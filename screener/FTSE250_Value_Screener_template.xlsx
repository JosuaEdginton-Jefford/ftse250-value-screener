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urham 2nd Year\Extracurriculars\ftse250-value-screener\screener\"/>
    </mc:Choice>
  </mc:AlternateContent>
  <xr:revisionPtr revIDLastSave="0" documentId="13_ncr:1_{1D2F3CFF-A2BD-4B9A-8E59-9EFC074C357F}" xr6:coauthVersionLast="47" xr6:coauthVersionMax="47" xr10:uidLastSave="{00000000-0000-0000-0000-000000000000}"/>
  <bookViews>
    <workbookView xWindow="-103" yWindow="-103" windowWidth="27634" windowHeight="16629" firstSheet="4" activeTab="6" xr2:uid="{23536A40-0E30-4683-8BBF-837388ACDEBB}"/>
  </bookViews>
  <sheets>
    <sheet name="Inputs" sheetId="8" r:id="rId1"/>
    <sheet name="Universe" sheetId="7" r:id="rId2"/>
    <sheet name="Raw_Fund" sheetId="6" r:id="rId3"/>
    <sheet name="Raw_Mkt" sheetId="5" r:id="rId4"/>
    <sheet name="Data" sheetId="4" r:id="rId5"/>
    <sheet name="Metrics" sheetId="3" r:id="rId6"/>
    <sheet name="Screen" sheetId="2" r:id="rId7"/>
    <sheet name="Checks" sheetId="1" r:id="rId8"/>
    <sheet name="Notes" sheetId="9" r:id="rId9"/>
  </sheets>
  <definedNames>
    <definedName name="ExclList">Inputs!$B$26:$B$30</definedName>
    <definedName name="FX_Ccy">Inputs!$B$16:$B$23</definedName>
    <definedName name="FX_Rate">Inputs!$C$16:$C$23</definedName>
    <definedName name="N_Co">Universe!$G$2</definedName>
    <definedName name="PriceDiv">Inputs!$C$13</definedName>
    <definedName name="ScreenDate">Inputs!$C$11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F42" i="4" s="1"/>
  <c r="E43" i="4"/>
  <c r="E44" i="4"/>
  <c r="E45" i="4"/>
  <c r="E46" i="4"/>
  <c r="E47" i="4"/>
  <c r="E48" i="4"/>
  <c r="E49" i="4"/>
  <c r="E50" i="4"/>
  <c r="E51" i="4"/>
  <c r="E52" i="4"/>
  <c r="E53" i="4"/>
  <c r="E54" i="4"/>
  <c r="D54" i="3" s="1"/>
  <c r="U54" i="3" s="1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F101" i="4" s="1"/>
  <c r="G101" i="4" s="1"/>
  <c r="H101" i="4" s="1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F125" i="4" s="1"/>
  <c r="G125" i="4" s="1"/>
  <c r="H125" i="4" s="1"/>
  <c r="E126" i="4"/>
  <c r="F126" i="4" s="1"/>
  <c r="G126" i="4" s="1"/>
  <c r="H126" i="4" s="1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F173" i="4" s="1"/>
  <c r="G173" i="4" s="1"/>
  <c r="H173" i="4" s="1"/>
  <c r="E174" i="4"/>
  <c r="F174" i="4" s="1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F256" i="4" s="1"/>
  <c r="G256" i="4" s="1"/>
  <c r="H256" i="4" s="1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D287" i="3" s="1"/>
  <c r="E288" i="4"/>
  <c r="E289" i="4"/>
  <c r="E290" i="4"/>
  <c r="F290" i="4" s="1"/>
  <c r="I290" i="4" s="1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6" i="4"/>
  <c r="U250" i="3"/>
  <c r="U257" i="3"/>
  <c r="U258" i="3"/>
  <c r="U299" i="3"/>
  <c r="A4" i="5"/>
  <c r="S4" i="3"/>
  <c r="R4" i="3"/>
  <c r="Q4" i="3"/>
  <c r="P4" i="3"/>
  <c r="O4" i="3"/>
  <c r="S3" i="3"/>
  <c r="R3" i="3"/>
  <c r="Q3" i="3"/>
  <c r="P3" i="3"/>
  <c r="O3" i="3"/>
  <c r="D58" i="3"/>
  <c r="D249" i="3"/>
  <c r="D250" i="3"/>
  <c r="D257" i="3"/>
  <c r="D258" i="3"/>
  <c r="C47" i="3"/>
  <c r="C67" i="3"/>
  <c r="C68" i="3"/>
  <c r="C70" i="3"/>
  <c r="C97" i="3"/>
  <c r="C155" i="3"/>
  <c r="C156" i="3"/>
  <c r="C235" i="3"/>
  <c r="C259" i="3"/>
  <c r="C260" i="3"/>
  <c r="C261" i="3"/>
  <c r="C276" i="3"/>
  <c r="C277" i="3"/>
  <c r="C278" i="3"/>
  <c r="C279" i="3"/>
  <c r="C280" i="3"/>
  <c r="C283" i="3"/>
  <c r="C284" i="3"/>
  <c r="C285" i="3"/>
  <c r="C289" i="3"/>
  <c r="B86" i="3"/>
  <c r="B91" i="3"/>
  <c r="B93" i="3"/>
  <c r="B117" i="3"/>
  <c r="B118" i="3"/>
  <c r="B121" i="3"/>
  <c r="B122" i="3"/>
  <c r="B123" i="3"/>
  <c r="B158" i="3"/>
  <c r="B181" i="3"/>
  <c r="B182" i="3"/>
  <c r="B183" i="3"/>
  <c r="B205" i="3"/>
  <c r="B263" i="3"/>
  <c r="B285" i="3"/>
  <c r="B286" i="3"/>
  <c r="B291" i="3"/>
  <c r="A9" i="3"/>
  <c r="A23" i="3"/>
  <c r="A24" i="3"/>
  <c r="A25" i="3"/>
  <c r="A57" i="3"/>
  <c r="A60" i="3"/>
  <c r="A119" i="3"/>
  <c r="A120" i="3"/>
  <c r="A123" i="3"/>
  <c r="A124" i="3"/>
  <c r="A125" i="3"/>
  <c r="A126" i="3"/>
  <c r="A127" i="3"/>
  <c r="A128" i="3"/>
  <c r="A129" i="3"/>
  <c r="A168" i="3"/>
  <c r="A199" i="3"/>
  <c r="A200" i="3"/>
  <c r="A203" i="3"/>
  <c r="A204" i="3"/>
  <c r="A205" i="3"/>
  <c r="A225" i="3"/>
  <c r="A227" i="3"/>
  <c r="A241" i="3"/>
  <c r="A256" i="3"/>
  <c r="A275" i="3"/>
  <c r="A276" i="3"/>
  <c r="A277" i="3"/>
  <c r="A289" i="3"/>
  <c r="A301" i="3"/>
  <c r="Z185" i="4"/>
  <c r="Z280" i="4"/>
  <c r="Z284" i="4"/>
  <c r="Z287" i="4"/>
  <c r="Z288" i="4"/>
  <c r="Z289" i="4"/>
  <c r="Z295" i="4"/>
  <c r="Z296" i="4"/>
  <c r="G16" i="4"/>
  <c r="H16" i="4" s="1"/>
  <c r="F9" i="4"/>
  <c r="G9" i="4" s="1"/>
  <c r="H9" i="4" s="1"/>
  <c r="F41" i="4"/>
  <c r="G41" i="4" s="1"/>
  <c r="H41" i="4" s="1"/>
  <c r="F128" i="4"/>
  <c r="F129" i="4"/>
  <c r="F228" i="4"/>
  <c r="F304" i="4"/>
  <c r="Y304" i="4" s="1"/>
  <c r="F305" i="4"/>
  <c r="Q305" i="4" s="1"/>
  <c r="F6" i="4"/>
  <c r="G6" i="4" s="1"/>
  <c r="H6" i="4" s="1"/>
  <c r="F160" i="4"/>
  <c r="G160" i="4" s="1"/>
  <c r="H160" i="4" s="1"/>
  <c r="F161" i="4"/>
  <c r="F162" i="4"/>
  <c r="G162" i="4" s="1"/>
  <c r="H162" i="4" s="1"/>
  <c r="F227" i="4"/>
  <c r="I227" i="4" s="1"/>
  <c r="F230" i="4"/>
  <c r="Z257" i="4"/>
  <c r="Z258" i="4"/>
  <c r="F262" i="4"/>
  <c r="G262" i="4" s="1"/>
  <c r="H262" i="4" s="1"/>
  <c r="D280" i="3"/>
  <c r="U280" i="3" s="1"/>
  <c r="D7" i="4"/>
  <c r="C7" i="3" s="1"/>
  <c r="D8" i="4"/>
  <c r="C8" i="3" s="1"/>
  <c r="D9" i="4"/>
  <c r="C9" i="3" s="1"/>
  <c r="D10" i="4"/>
  <c r="C10" i="3" s="1"/>
  <c r="D11" i="4"/>
  <c r="C11" i="3" s="1"/>
  <c r="D12" i="4"/>
  <c r="C12" i="3" s="1"/>
  <c r="D13" i="4"/>
  <c r="C13" i="3" s="1"/>
  <c r="D14" i="4"/>
  <c r="C14" i="3" s="1"/>
  <c r="D15" i="4"/>
  <c r="C15" i="3" s="1"/>
  <c r="D16" i="4"/>
  <c r="C16" i="3" s="1"/>
  <c r="D17" i="4"/>
  <c r="C17" i="3" s="1"/>
  <c r="D18" i="4"/>
  <c r="C18" i="3" s="1"/>
  <c r="D19" i="4"/>
  <c r="C19" i="3" s="1"/>
  <c r="D20" i="4"/>
  <c r="C20" i="3" s="1"/>
  <c r="D21" i="4"/>
  <c r="C21" i="3" s="1"/>
  <c r="D22" i="4"/>
  <c r="C22" i="3" s="1"/>
  <c r="D23" i="4"/>
  <c r="C23" i="3" s="1"/>
  <c r="D24" i="4"/>
  <c r="C24" i="3" s="1"/>
  <c r="D25" i="4"/>
  <c r="C25" i="3" s="1"/>
  <c r="D26" i="4"/>
  <c r="C26" i="3" s="1"/>
  <c r="D27" i="4"/>
  <c r="C27" i="3" s="1"/>
  <c r="D28" i="4"/>
  <c r="C28" i="3" s="1"/>
  <c r="D29" i="4"/>
  <c r="C29" i="3" s="1"/>
  <c r="D30" i="4"/>
  <c r="C30" i="3" s="1"/>
  <c r="D31" i="4"/>
  <c r="C31" i="3" s="1"/>
  <c r="D32" i="4"/>
  <c r="C32" i="3" s="1"/>
  <c r="D33" i="4"/>
  <c r="C33" i="3" s="1"/>
  <c r="D34" i="4"/>
  <c r="C34" i="3" s="1"/>
  <c r="D35" i="4"/>
  <c r="C35" i="3" s="1"/>
  <c r="D36" i="4"/>
  <c r="C36" i="3" s="1"/>
  <c r="D37" i="4"/>
  <c r="C37" i="3" s="1"/>
  <c r="D38" i="4"/>
  <c r="C38" i="3" s="1"/>
  <c r="D39" i="4"/>
  <c r="C39" i="3" s="1"/>
  <c r="D40" i="4"/>
  <c r="C40" i="3" s="1"/>
  <c r="D41" i="4"/>
  <c r="C41" i="3" s="1"/>
  <c r="D42" i="4"/>
  <c r="C42" i="3" s="1"/>
  <c r="D43" i="4"/>
  <c r="C43" i="3" s="1"/>
  <c r="D44" i="4"/>
  <c r="C44" i="3" s="1"/>
  <c r="D45" i="4"/>
  <c r="C45" i="3" s="1"/>
  <c r="D46" i="4"/>
  <c r="C46" i="3" s="1"/>
  <c r="D47" i="4"/>
  <c r="D48" i="4"/>
  <c r="C48" i="3" s="1"/>
  <c r="D49" i="4"/>
  <c r="C49" i="3" s="1"/>
  <c r="D50" i="4"/>
  <c r="C50" i="3" s="1"/>
  <c r="D51" i="4"/>
  <c r="C51" i="3" s="1"/>
  <c r="D52" i="4"/>
  <c r="C52" i="3" s="1"/>
  <c r="D53" i="4"/>
  <c r="C53" i="3" s="1"/>
  <c r="D54" i="4"/>
  <c r="C54" i="3" s="1"/>
  <c r="D55" i="4"/>
  <c r="C55" i="3" s="1"/>
  <c r="D56" i="4"/>
  <c r="C56" i="3" s="1"/>
  <c r="D57" i="4"/>
  <c r="C57" i="3" s="1"/>
  <c r="D58" i="4"/>
  <c r="C58" i="3" s="1"/>
  <c r="D59" i="4"/>
  <c r="C59" i="3" s="1"/>
  <c r="D60" i="4"/>
  <c r="C60" i="3" s="1"/>
  <c r="D61" i="4"/>
  <c r="C61" i="3" s="1"/>
  <c r="D62" i="4"/>
  <c r="C62" i="3" s="1"/>
  <c r="D63" i="4"/>
  <c r="C63" i="3" s="1"/>
  <c r="D64" i="4"/>
  <c r="C64" i="3" s="1"/>
  <c r="D65" i="4"/>
  <c r="C65" i="3" s="1"/>
  <c r="D66" i="4"/>
  <c r="C66" i="3" s="1"/>
  <c r="D67" i="4"/>
  <c r="D68" i="4"/>
  <c r="D69" i="4"/>
  <c r="C69" i="3" s="1"/>
  <c r="D70" i="4"/>
  <c r="D71" i="4"/>
  <c r="C71" i="3" s="1"/>
  <c r="D72" i="4"/>
  <c r="C72" i="3" s="1"/>
  <c r="D73" i="4"/>
  <c r="C73" i="3" s="1"/>
  <c r="D74" i="4"/>
  <c r="C74" i="3" s="1"/>
  <c r="D75" i="4"/>
  <c r="C75" i="3" s="1"/>
  <c r="D76" i="4"/>
  <c r="C76" i="3" s="1"/>
  <c r="D77" i="4"/>
  <c r="C77" i="3" s="1"/>
  <c r="D78" i="4"/>
  <c r="C78" i="3" s="1"/>
  <c r="D79" i="4"/>
  <c r="C79" i="3" s="1"/>
  <c r="D80" i="4"/>
  <c r="C80" i="3" s="1"/>
  <c r="D81" i="4"/>
  <c r="C81" i="3" s="1"/>
  <c r="D82" i="4"/>
  <c r="C82" i="3" s="1"/>
  <c r="D83" i="4"/>
  <c r="C83" i="3" s="1"/>
  <c r="D84" i="4"/>
  <c r="C84" i="3" s="1"/>
  <c r="D85" i="4"/>
  <c r="C85" i="3" s="1"/>
  <c r="D86" i="4"/>
  <c r="C86" i="3" s="1"/>
  <c r="D87" i="4"/>
  <c r="C87" i="3" s="1"/>
  <c r="D88" i="4"/>
  <c r="C88" i="3" s="1"/>
  <c r="D89" i="4"/>
  <c r="C89" i="3" s="1"/>
  <c r="D90" i="4"/>
  <c r="C90" i="3" s="1"/>
  <c r="D91" i="4"/>
  <c r="C91" i="3" s="1"/>
  <c r="D92" i="4"/>
  <c r="C92" i="3" s="1"/>
  <c r="D93" i="4"/>
  <c r="C93" i="3" s="1"/>
  <c r="D94" i="4"/>
  <c r="C94" i="3" s="1"/>
  <c r="D95" i="4"/>
  <c r="C95" i="3" s="1"/>
  <c r="D96" i="4"/>
  <c r="C96" i="3" s="1"/>
  <c r="D97" i="4"/>
  <c r="D98" i="4"/>
  <c r="C98" i="3" s="1"/>
  <c r="D99" i="4"/>
  <c r="C99" i="3" s="1"/>
  <c r="D100" i="4"/>
  <c r="C100" i="3" s="1"/>
  <c r="D101" i="4"/>
  <c r="C101" i="3" s="1"/>
  <c r="D102" i="4"/>
  <c r="C102" i="3" s="1"/>
  <c r="D103" i="4"/>
  <c r="C103" i="3" s="1"/>
  <c r="D104" i="4"/>
  <c r="C104" i="3" s="1"/>
  <c r="D105" i="4"/>
  <c r="C105" i="3" s="1"/>
  <c r="D106" i="4"/>
  <c r="C106" i="3" s="1"/>
  <c r="D107" i="4"/>
  <c r="C107" i="3" s="1"/>
  <c r="D108" i="4"/>
  <c r="C108" i="3" s="1"/>
  <c r="D109" i="4"/>
  <c r="C109" i="3" s="1"/>
  <c r="D110" i="4"/>
  <c r="C110" i="3" s="1"/>
  <c r="D111" i="4"/>
  <c r="C111" i="3" s="1"/>
  <c r="D112" i="4"/>
  <c r="C112" i="3" s="1"/>
  <c r="D113" i="4"/>
  <c r="C113" i="3" s="1"/>
  <c r="D114" i="4"/>
  <c r="C114" i="3" s="1"/>
  <c r="D115" i="4"/>
  <c r="C115" i="3" s="1"/>
  <c r="D116" i="4"/>
  <c r="C116" i="3" s="1"/>
  <c r="D117" i="4"/>
  <c r="C117" i="3" s="1"/>
  <c r="D118" i="4"/>
  <c r="C118" i="3" s="1"/>
  <c r="D119" i="4"/>
  <c r="C119" i="3" s="1"/>
  <c r="D120" i="4"/>
  <c r="C120" i="3" s="1"/>
  <c r="D121" i="4"/>
  <c r="C121" i="3" s="1"/>
  <c r="D122" i="4"/>
  <c r="C122" i="3" s="1"/>
  <c r="D123" i="4"/>
  <c r="C123" i="3" s="1"/>
  <c r="D124" i="4"/>
  <c r="C124" i="3" s="1"/>
  <c r="D125" i="4"/>
  <c r="C125" i="3" s="1"/>
  <c r="D126" i="4"/>
  <c r="C126" i="3" s="1"/>
  <c r="D127" i="4"/>
  <c r="C127" i="3" s="1"/>
  <c r="D128" i="4"/>
  <c r="C128" i="3" s="1"/>
  <c r="D129" i="4"/>
  <c r="C129" i="3" s="1"/>
  <c r="D130" i="4"/>
  <c r="C130" i="3" s="1"/>
  <c r="D131" i="4"/>
  <c r="C131" i="3" s="1"/>
  <c r="D132" i="4"/>
  <c r="C132" i="3" s="1"/>
  <c r="D133" i="4"/>
  <c r="C133" i="3" s="1"/>
  <c r="D134" i="4"/>
  <c r="C134" i="3" s="1"/>
  <c r="D135" i="4"/>
  <c r="C135" i="3" s="1"/>
  <c r="D136" i="4"/>
  <c r="C136" i="3" s="1"/>
  <c r="D137" i="4"/>
  <c r="C137" i="3" s="1"/>
  <c r="D138" i="4"/>
  <c r="C138" i="3" s="1"/>
  <c r="D139" i="4"/>
  <c r="C139" i="3" s="1"/>
  <c r="D140" i="4"/>
  <c r="C140" i="3" s="1"/>
  <c r="D141" i="4"/>
  <c r="C141" i="3" s="1"/>
  <c r="D142" i="4"/>
  <c r="C142" i="3" s="1"/>
  <c r="D143" i="4"/>
  <c r="C143" i="3" s="1"/>
  <c r="D144" i="4"/>
  <c r="C144" i="3" s="1"/>
  <c r="D145" i="4"/>
  <c r="C145" i="3" s="1"/>
  <c r="D146" i="4"/>
  <c r="C146" i="3" s="1"/>
  <c r="D147" i="4"/>
  <c r="C147" i="3" s="1"/>
  <c r="D148" i="4"/>
  <c r="C148" i="3" s="1"/>
  <c r="D149" i="4"/>
  <c r="C149" i="3" s="1"/>
  <c r="D150" i="4"/>
  <c r="C150" i="3" s="1"/>
  <c r="D151" i="4"/>
  <c r="C151" i="3" s="1"/>
  <c r="D152" i="4"/>
  <c r="C152" i="3" s="1"/>
  <c r="D153" i="4"/>
  <c r="C153" i="3" s="1"/>
  <c r="D154" i="4"/>
  <c r="C154" i="3" s="1"/>
  <c r="D155" i="4"/>
  <c r="D156" i="4"/>
  <c r="D157" i="4"/>
  <c r="C157" i="3" s="1"/>
  <c r="D158" i="4"/>
  <c r="C158" i="3" s="1"/>
  <c r="D159" i="4"/>
  <c r="C159" i="3" s="1"/>
  <c r="D160" i="4"/>
  <c r="C160" i="3" s="1"/>
  <c r="D161" i="4"/>
  <c r="C161" i="3" s="1"/>
  <c r="D162" i="4"/>
  <c r="C162" i="3" s="1"/>
  <c r="D163" i="4"/>
  <c r="C163" i="3" s="1"/>
  <c r="D164" i="4"/>
  <c r="C164" i="3" s="1"/>
  <c r="D165" i="4"/>
  <c r="C165" i="3" s="1"/>
  <c r="D166" i="4"/>
  <c r="C166" i="3" s="1"/>
  <c r="D167" i="4"/>
  <c r="C167" i="3" s="1"/>
  <c r="D168" i="4"/>
  <c r="C168" i="3" s="1"/>
  <c r="D169" i="4"/>
  <c r="C169" i="3" s="1"/>
  <c r="D170" i="4"/>
  <c r="C170" i="3" s="1"/>
  <c r="D171" i="4"/>
  <c r="C171" i="3" s="1"/>
  <c r="D172" i="4"/>
  <c r="C172" i="3" s="1"/>
  <c r="D173" i="4"/>
  <c r="C173" i="3" s="1"/>
  <c r="D174" i="4"/>
  <c r="C174" i="3" s="1"/>
  <c r="D175" i="4"/>
  <c r="C175" i="3" s="1"/>
  <c r="D176" i="4"/>
  <c r="C176" i="3" s="1"/>
  <c r="D177" i="4"/>
  <c r="C177" i="3" s="1"/>
  <c r="D178" i="4"/>
  <c r="C178" i="3" s="1"/>
  <c r="D179" i="4"/>
  <c r="C179" i="3" s="1"/>
  <c r="D180" i="4"/>
  <c r="C180" i="3" s="1"/>
  <c r="D181" i="4"/>
  <c r="C181" i="3" s="1"/>
  <c r="D182" i="4"/>
  <c r="C182" i="3" s="1"/>
  <c r="D183" i="4"/>
  <c r="C183" i="3" s="1"/>
  <c r="D184" i="4"/>
  <c r="C184" i="3" s="1"/>
  <c r="D185" i="4"/>
  <c r="C185" i="3" s="1"/>
  <c r="D186" i="4"/>
  <c r="C186" i="3" s="1"/>
  <c r="D187" i="4"/>
  <c r="C187" i="3" s="1"/>
  <c r="D188" i="4"/>
  <c r="C188" i="3" s="1"/>
  <c r="D189" i="4"/>
  <c r="C189" i="3" s="1"/>
  <c r="D190" i="4"/>
  <c r="C190" i="3" s="1"/>
  <c r="D191" i="4"/>
  <c r="C191" i="3" s="1"/>
  <c r="D192" i="4"/>
  <c r="C192" i="3" s="1"/>
  <c r="D193" i="4"/>
  <c r="C193" i="3" s="1"/>
  <c r="D194" i="4"/>
  <c r="C194" i="3" s="1"/>
  <c r="D195" i="4"/>
  <c r="C195" i="3" s="1"/>
  <c r="D196" i="4"/>
  <c r="C196" i="3" s="1"/>
  <c r="D197" i="4"/>
  <c r="C197" i="3" s="1"/>
  <c r="D198" i="4"/>
  <c r="C198" i="3" s="1"/>
  <c r="D199" i="4"/>
  <c r="C199" i="3" s="1"/>
  <c r="D200" i="4"/>
  <c r="C200" i="3" s="1"/>
  <c r="D201" i="4"/>
  <c r="C201" i="3" s="1"/>
  <c r="D202" i="4"/>
  <c r="C202" i="3" s="1"/>
  <c r="D203" i="4"/>
  <c r="C203" i="3" s="1"/>
  <c r="D204" i="4"/>
  <c r="C204" i="3" s="1"/>
  <c r="D205" i="4"/>
  <c r="C205" i="3" s="1"/>
  <c r="D206" i="4"/>
  <c r="C206" i="3" s="1"/>
  <c r="D207" i="4"/>
  <c r="C207" i="3" s="1"/>
  <c r="D208" i="4"/>
  <c r="C208" i="3" s="1"/>
  <c r="D209" i="4"/>
  <c r="C209" i="3" s="1"/>
  <c r="D210" i="4"/>
  <c r="C210" i="3" s="1"/>
  <c r="D211" i="4"/>
  <c r="C211" i="3" s="1"/>
  <c r="D212" i="4"/>
  <c r="C212" i="3" s="1"/>
  <c r="D213" i="4"/>
  <c r="C213" i="3" s="1"/>
  <c r="D214" i="4"/>
  <c r="C214" i="3" s="1"/>
  <c r="D215" i="4"/>
  <c r="C215" i="3" s="1"/>
  <c r="D216" i="4"/>
  <c r="C216" i="3" s="1"/>
  <c r="D217" i="4"/>
  <c r="C217" i="3" s="1"/>
  <c r="D218" i="4"/>
  <c r="C218" i="3" s="1"/>
  <c r="D219" i="4"/>
  <c r="C219" i="3" s="1"/>
  <c r="D220" i="4"/>
  <c r="C220" i="3" s="1"/>
  <c r="D221" i="4"/>
  <c r="C221" i="3" s="1"/>
  <c r="D222" i="4"/>
  <c r="C222" i="3" s="1"/>
  <c r="D223" i="4"/>
  <c r="C223" i="3" s="1"/>
  <c r="D224" i="4"/>
  <c r="C224" i="3" s="1"/>
  <c r="D225" i="4"/>
  <c r="C225" i="3" s="1"/>
  <c r="D226" i="4"/>
  <c r="C226" i="3" s="1"/>
  <c r="D227" i="4"/>
  <c r="C227" i="3" s="1"/>
  <c r="D228" i="4"/>
  <c r="C228" i="3" s="1"/>
  <c r="D229" i="4"/>
  <c r="C229" i="3" s="1"/>
  <c r="D230" i="4"/>
  <c r="C230" i="3" s="1"/>
  <c r="D231" i="4"/>
  <c r="C231" i="3" s="1"/>
  <c r="D232" i="4"/>
  <c r="C232" i="3" s="1"/>
  <c r="D233" i="4"/>
  <c r="C233" i="3" s="1"/>
  <c r="D234" i="4"/>
  <c r="C234" i="3" s="1"/>
  <c r="D235" i="4"/>
  <c r="D236" i="4"/>
  <c r="C236" i="3" s="1"/>
  <c r="D237" i="4"/>
  <c r="C237" i="3" s="1"/>
  <c r="D238" i="4"/>
  <c r="C238" i="3" s="1"/>
  <c r="D239" i="4"/>
  <c r="C239" i="3" s="1"/>
  <c r="D240" i="4"/>
  <c r="C240" i="3" s="1"/>
  <c r="D241" i="4"/>
  <c r="C241" i="3" s="1"/>
  <c r="D242" i="4"/>
  <c r="C242" i="3" s="1"/>
  <c r="D243" i="4"/>
  <c r="C243" i="3" s="1"/>
  <c r="D244" i="4"/>
  <c r="C244" i="3" s="1"/>
  <c r="D245" i="4"/>
  <c r="C245" i="3" s="1"/>
  <c r="D246" i="4"/>
  <c r="C246" i="3" s="1"/>
  <c r="D247" i="4"/>
  <c r="C247" i="3" s="1"/>
  <c r="D248" i="4"/>
  <c r="C248" i="3" s="1"/>
  <c r="D249" i="4"/>
  <c r="C249" i="3" s="1"/>
  <c r="D250" i="4"/>
  <c r="C250" i="3" s="1"/>
  <c r="D251" i="4"/>
  <c r="C251" i="3" s="1"/>
  <c r="D252" i="4"/>
  <c r="C252" i="3" s="1"/>
  <c r="D253" i="4"/>
  <c r="C253" i="3" s="1"/>
  <c r="D254" i="4"/>
  <c r="C254" i="3" s="1"/>
  <c r="D255" i="4"/>
  <c r="C255" i="3" s="1"/>
  <c r="D256" i="4"/>
  <c r="C256" i="3" s="1"/>
  <c r="D257" i="4"/>
  <c r="C257" i="3" s="1"/>
  <c r="D258" i="4"/>
  <c r="C258" i="3" s="1"/>
  <c r="D259" i="4"/>
  <c r="D260" i="4"/>
  <c r="D261" i="4"/>
  <c r="D262" i="4"/>
  <c r="C262" i="3" s="1"/>
  <c r="D263" i="4"/>
  <c r="C263" i="3" s="1"/>
  <c r="D264" i="4"/>
  <c r="C264" i="3" s="1"/>
  <c r="D265" i="4"/>
  <c r="C265" i="3" s="1"/>
  <c r="D266" i="4"/>
  <c r="C266" i="3" s="1"/>
  <c r="D267" i="4"/>
  <c r="C267" i="3" s="1"/>
  <c r="D268" i="4"/>
  <c r="C268" i="3" s="1"/>
  <c r="D269" i="4"/>
  <c r="C269" i="3" s="1"/>
  <c r="D270" i="4"/>
  <c r="C270" i="3" s="1"/>
  <c r="D271" i="4"/>
  <c r="C271" i="3" s="1"/>
  <c r="D272" i="4"/>
  <c r="C272" i="3" s="1"/>
  <c r="D273" i="4"/>
  <c r="C273" i="3" s="1"/>
  <c r="D274" i="4"/>
  <c r="C274" i="3" s="1"/>
  <c r="D275" i="4"/>
  <c r="C275" i="3" s="1"/>
  <c r="D276" i="4"/>
  <c r="D277" i="4"/>
  <c r="D278" i="4"/>
  <c r="D279" i="4"/>
  <c r="D280" i="4"/>
  <c r="D281" i="4"/>
  <c r="C281" i="3" s="1"/>
  <c r="D282" i="4"/>
  <c r="C282" i="3" s="1"/>
  <c r="D283" i="4"/>
  <c r="D284" i="4"/>
  <c r="D285" i="4"/>
  <c r="D286" i="4"/>
  <c r="C286" i="3" s="1"/>
  <c r="D287" i="4"/>
  <c r="C287" i="3" s="1"/>
  <c r="D288" i="4"/>
  <c r="C288" i="3" s="1"/>
  <c r="D289" i="4"/>
  <c r="D290" i="4"/>
  <c r="C290" i="3" s="1"/>
  <c r="D291" i="4"/>
  <c r="C291" i="3" s="1"/>
  <c r="D292" i="4"/>
  <c r="C292" i="3" s="1"/>
  <c r="D293" i="4"/>
  <c r="C293" i="3" s="1"/>
  <c r="D294" i="4"/>
  <c r="C294" i="3" s="1"/>
  <c r="D295" i="4"/>
  <c r="C295" i="3" s="1"/>
  <c r="D296" i="4"/>
  <c r="C296" i="3" s="1"/>
  <c r="D297" i="4"/>
  <c r="C297" i="3" s="1"/>
  <c r="D298" i="4"/>
  <c r="C298" i="3" s="1"/>
  <c r="D299" i="4"/>
  <c r="C299" i="3" s="1"/>
  <c r="D300" i="4"/>
  <c r="C300" i="3" s="1"/>
  <c r="D301" i="4"/>
  <c r="C301" i="3" s="1"/>
  <c r="D302" i="4"/>
  <c r="C302" i="3" s="1"/>
  <c r="D303" i="4"/>
  <c r="C303" i="3" s="1"/>
  <c r="D304" i="4"/>
  <c r="C304" i="3" s="1"/>
  <c r="D305" i="4"/>
  <c r="C305" i="3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B7" i="4"/>
  <c r="B7" i="3" s="1"/>
  <c r="B8" i="4"/>
  <c r="B8" i="3" s="1"/>
  <c r="B9" i="4"/>
  <c r="B9" i="3" s="1"/>
  <c r="B10" i="4"/>
  <c r="B10" i="3" s="1"/>
  <c r="B11" i="4"/>
  <c r="B11" i="3" s="1"/>
  <c r="B12" i="4"/>
  <c r="B12" i="3" s="1"/>
  <c r="B13" i="4"/>
  <c r="B13" i="3" s="1"/>
  <c r="B14" i="4"/>
  <c r="B14" i="3" s="1"/>
  <c r="B15" i="4"/>
  <c r="B15" i="3" s="1"/>
  <c r="B16" i="4"/>
  <c r="B16" i="3" s="1"/>
  <c r="B17" i="4"/>
  <c r="B17" i="3" s="1"/>
  <c r="B18" i="4"/>
  <c r="B18" i="3" s="1"/>
  <c r="B19" i="4"/>
  <c r="B19" i="3" s="1"/>
  <c r="B20" i="4"/>
  <c r="B20" i="3" s="1"/>
  <c r="B21" i="4"/>
  <c r="B21" i="3" s="1"/>
  <c r="B22" i="4"/>
  <c r="B22" i="3" s="1"/>
  <c r="B23" i="4"/>
  <c r="B23" i="3" s="1"/>
  <c r="B24" i="4"/>
  <c r="B24" i="3" s="1"/>
  <c r="B25" i="4"/>
  <c r="B25" i="3" s="1"/>
  <c r="B26" i="4"/>
  <c r="B26" i="3" s="1"/>
  <c r="B27" i="4"/>
  <c r="B27" i="3" s="1"/>
  <c r="B28" i="4"/>
  <c r="B28" i="3" s="1"/>
  <c r="B29" i="4"/>
  <c r="B29" i="3" s="1"/>
  <c r="B30" i="4"/>
  <c r="B30" i="3" s="1"/>
  <c r="B31" i="4"/>
  <c r="B31" i="3" s="1"/>
  <c r="B32" i="4"/>
  <c r="B32" i="3" s="1"/>
  <c r="B33" i="4"/>
  <c r="B33" i="3" s="1"/>
  <c r="B34" i="4"/>
  <c r="B34" i="3" s="1"/>
  <c r="B35" i="4"/>
  <c r="B35" i="3" s="1"/>
  <c r="B36" i="4"/>
  <c r="B36" i="3" s="1"/>
  <c r="B37" i="4"/>
  <c r="B37" i="3" s="1"/>
  <c r="B38" i="4"/>
  <c r="B38" i="3" s="1"/>
  <c r="B39" i="4"/>
  <c r="B39" i="3" s="1"/>
  <c r="B40" i="4"/>
  <c r="B40" i="3" s="1"/>
  <c r="B41" i="4"/>
  <c r="B41" i="3" s="1"/>
  <c r="B42" i="4"/>
  <c r="B42" i="3" s="1"/>
  <c r="B43" i="4"/>
  <c r="B43" i="3" s="1"/>
  <c r="B44" i="4"/>
  <c r="B44" i="3" s="1"/>
  <c r="B45" i="4"/>
  <c r="B45" i="3" s="1"/>
  <c r="B46" i="4"/>
  <c r="B46" i="3" s="1"/>
  <c r="B47" i="4"/>
  <c r="B47" i="3" s="1"/>
  <c r="B48" i="4"/>
  <c r="B48" i="3" s="1"/>
  <c r="B49" i="4"/>
  <c r="B49" i="3" s="1"/>
  <c r="B50" i="4"/>
  <c r="B50" i="3" s="1"/>
  <c r="B51" i="4"/>
  <c r="B51" i="3" s="1"/>
  <c r="B52" i="4"/>
  <c r="B52" i="3" s="1"/>
  <c r="B53" i="4"/>
  <c r="B53" i="3" s="1"/>
  <c r="B54" i="4"/>
  <c r="B54" i="3" s="1"/>
  <c r="B55" i="4"/>
  <c r="B55" i="3" s="1"/>
  <c r="B56" i="4"/>
  <c r="B56" i="3" s="1"/>
  <c r="B57" i="4"/>
  <c r="B57" i="3" s="1"/>
  <c r="B58" i="4"/>
  <c r="B58" i="3" s="1"/>
  <c r="B59" i="4"/>
  <c r="B59" i="3" s="1"/>
  <c r="B60" i="4"/>
  <c r="B60" i="3" s="1"/>
  <c r="B61" i="4"/>
  <c r="B61" i="3" s="1"/>
  <c r="B62" i="4"/>
  <c r="B62" i="3" s="1"/>
  <c r="B63" i="4"/>
  <c r="B63" i="3" s="1"/>
  <c r="B64" i="4"/>
  <c r="B64" i="3" s="1"/>
  <c r="B65" i="4"/>
  <c r="B65" i="3" s="1"/>
  <c r="B66" i="4"/>
  <c r="B66" i="3" s="1"/>
  <c r="B67" i="4"/>
  <c r="B67" i="3" s="1"/>
  <c r="B68" i="4"/>
  <c r="B68" i="3" s="1"/>
  <c r="B69" i="4"/>
  <c r="B69" i="3" s="1"/>
  <c r="B70" i="4"/>
  <c r="B70" i="3" s="1"/>
  <c r="B71" i="4"/>
  <c r="B71" i="3" s="1"/>
  <c r="B72" i="4"/>
  <c r="B72" i="3" s="1"/>
  <c r="B73" i="4"/>
  <c r="B73" i="3" s="1"/>
  <c r="B74" i="4"/>
  <c r="B74" i="3" s="1"/>
  <c r="B75" i="4"/>
  <c r="B75" i="3" s="1"/>
  <c r="B76" i="4"/>
  <c r="B76" i="3" s="1"/>
  <c r="B77" i="4"/>
  <c r="B77" i="3" s="1"/>
  <c r="B78" i="4"/>
  <c r="B78" i="3" s="1"/>
  <c r="B79" i="4"/>
  <c r="B79" i="3" s="1"/>
  <c r="B80" i="4"/>
  <c r="B80" i="3" s="1"/>
  <c r="B81" i="4"/>
  <c r="B81" i="3" s="1"/>
  <c r="B82" i="4"/>
  <c r="B82" i="3" s="1"/>
  <c r="B83" i="4"/>
  <c r="B83" i="3" s="1"/>
  <c r="B84" i="4"/>
  <c r="B84" i="3" s="1"/>
  <c r="B85" i="4"/>
  <c r="B85" i="3" s="1"/>
  <c r="B86" i="4"/>
  <c r="B87" i="4"/>
  <c r="B87" i="3" s="1"/>
  <c r="B88" i="4"/>
  <c r="B88" i="3" s="1"/>
  <c r="B89" i="4"/>
  <c r="B89" i="3" s="1"/>
  <c r="B90" i="4"/>
  <c r="B90" i="3" s="1"/>
  <c r="B91" i="4"/>
  <c r="B92" i="4"/>
  <c r="B92" i="3" s="1"/>
  <c r="B93" i="4"/>
  <c r="B94" i="4"/>
  <c r="B94" i="3" s="1"/>
  <c r="B95" i="4"/>
  <c r="B95" i="3" s="1"/>
  <c r="B96" i="4"/>
  <c r="B96" i="3" s="1"/>
  <c r="B97" i="4"/>
  <c r="B97" i="3" s="1"/>
  <c r="B98" i="4"/>
  <c r="B98" i="3" s="1"/>
  <c r="B99" i="4"/>
  <c r="B99" i="3" s="1"/>
  <c r="B100" i="4"/>
  <c r="B100" i="3" s="1"/>
  <c r="B101" i="4"/>
  <c r="B101" i="3" s="1"/>
  <c r="B102" i="4"/>
  <c r="B102" i="3" s="1"/>
  <c r="B103" i="4"/>
  <c r="B103" i="3" s="1"/>
  <c r="B104" i="4"/>
  <c r="B104" i="3" s="1"/>
  <c r="B105" i="4"/>
  <c r="B105" i="3" s="1"/>
  <c r="B106" i="4"/>
  <c r="B106" i="3" s="1"/>
  <c r="B107" i="4"/>
  <c r="B107" i="3" s="1"/>
  <c r="B108" i="4"/>
  <c r="B108" i="3" s="1"/>
  <c r="B109" i="4"/>
  <c r="B109" i="3" s="1"/>
  <c r="B110" i="4"/>
  <c r="B110" i="3" s="1"/>
  <c r="B111" i="4"/>
  <c r="B111" i="3" s="1"/>
  <c r="B112" i="4"/>
  <c r="B112" i="3" s="1"/>
  <c r="B113" i="4"/>
  <c r="B113" i="3" s="1"/>
  <c r="B114" i="4"/>
  <c r="B114" i="3" s="1"/>
  <c r="B115" i="4"/>
  <c r="B115" i="3" s="1"/>
  <c r="B116" i="4"/>
  <c r="B116" i="3" s="1"/>
  <c r="B117" i="4"/>
  <c r="B118" i="4"/>
  <c r="B119" i="4"/>
  <c r="B119" i="3" s="1"/>
  <c r="B120" i="4"/>
  <c r="B120" i="3" s="1"/>
  <c r="B121" i="4"/>
  <c r="B122" i="4"/>
  <c r="B123" i="4"/>
  <c r="B124" i="4"/>
  <c r="B124" i="3" s="1"/>
  <c r="B125" i="4"/>
  <c r="B125" i="3" s="1"/>
  <c r="B126" i="4"/>
  <c r="B126" i="3" s="1"/>
  <c r="B127" i="4"/>
  <c r="B127" i="3" s="1"/>
  <c r="B128" i="4"/>
  <c r="B128" i="3" s="1"/>
  <c r="B129" i="4"/>
  <c r="B129" i="3" s="1"/>
  <c r="B130" i="4"/>
  <c r="B130" i="3" s="1"/>
  <c r="B131" i="4"/>
  <c r="B131" i="3" s="1"/>
  <c r="B132" i="4"/>
  <c r="B132" i="3" s="1"/>
  <c r="B133" i="4"/>
  <c r="B133" i="3" s="1"/>
  <c r="B134" i="4"/>
  <c r="B134" i="3" s="1"/>
  <c r="B135" i="4"/>
  <c r="B135" i="3" s="1"/>
  <c r="B136" i="4"/>
  <c r="B136" i="3" s="1"/>
  <c r="B137" i="4"/>
  <c r="B137" i="3" s="1"/>
  <c r="B138" i="4"/>
  <c r="B138" i="3" s="1"/>
  <c r="B139" i="4"/>
  <c r="B139" i="3" s="1"/>
  <c r="B140" i="4"/>
  <c r="B140" i="3" s="1"/>
  <c r="B141" i="4"/>
  <c r="B141" i="3" s="1"/>
  <c r="B142" i="4"/>
  <c r="B142" i="3" s="1"/>
  <c r="B143" i="4"/>
  <c r="B143" i="3" s="1"/>
  <c r="B144" i="4"/>
  <c r="B144" i="3" s="1"/>
  <c r="B145" i="4"/>
  <c r="B145" i="3" s="1"/>
  <c r="B146" i="4"/>
  <c r="B146" i="3" s="1"/>
  <c r="B147" i="4"/>
  <c r="B147" i="3" s="1"/>
  <c r="B148" i="4"/>
  <c r="B148" i="3" s="1"/>
  <c r="B149" i="4"/>
  <c r="B149" i="3" s="1"/>
  <c r="B150" i="4"/>
  <c r="B150" i="3" s="1"/>
  <c r="B151" i="4"/>
  <c r="B151" i="3" s="1"/>
  <c r="B152" i="4"/>
  <c r="B152" i="3" s="1"/>
  <c r="B153" i="4"/>
  <c r="B153" i="3" s="1"/>
  <c r="B154" i="4"/>
  <c r="B154" i="3" s="1"/>
  <c r="B155" i="4"/>
  <c r="B155" i="3" s="1"/>
  <c r="B156" i="4"/>
  <c r="B156" i="3" s="1"/>
  <c r="B157" i="4"/>
  <c r="B157" i="3" s="1"/>
  <c r="B158" i="4"/>
  <c r="B159" i="4"/>
  <c r="B159" i="3" s="1"/>
  <c r="B160" i="4"/>
  <c r="B160" i="3" s="1"/>
  <c r="B161" i="4"/>
  <c r="B161" i="3" s="1"/>
  <c r="B162" i="4"/>
  <c r="B162" i="3" s="1"/>
  <c r="B163" i="4"/>
  <c r="B163" i="3" s="1"/>
  <c r="B164" i="4"/>
  <c r="B164" i="3" s="1"/>
  <c r="B165" i="4"/>
  <c r="B165" i="3" s="1"/>
  <c r="B166" i="4"/>
  <c r="B166" i="3" s="1"/>
  <c r="B167" i="4"/>
  <c r="B167" i="3" s="1"/>
  <c r="B168" i="4"/>
  <c r="B168" i="3" s="1"/>
  <c r="B169" i="4"/>
  <c r="B169" i="3" s="1"/>
  <c r="B170" i="4"/>
  <c r="B170" i="3" s="1"/>
  <c r="B171" i="4"/>
  <c r="B171" i="3" s="1"/>
  <c r="B172" i="4"/>
  <c r="B172" i="3" s="1"/>
  <c r="B173" i="4"/>
  <c r="B173" i="3" s="1"/>
  <c r="B174" i="4"/>
  <c r="B174" i="3" s="1"/>
  <c r="B175" i="4"/>
  <c r="B175" i="3" s="1"/>
  <c r="B176" i="4"/>
  <c r="B176" i="3" s="1"/>
  <c r="B177" i="4"/>
  <c r="B177" i="3" s="1"/>
  <c r="B178" i="4"/>
  <c r="B178" i="3" s="1"/>
  <c r="B179" i="4"/>
  <c r="B179" i="3" s="1"/>
  <c r="B180" i="4"/>
  <c r="B180" i="3" s="1"/>
  <c r="B181" i="4"/>
  <c r="B182" i="4"/>
  <c r="B183" i="4"/>
  <c r="B184" i="4"/>
  <c r="B184" i="3" s="1"/>
  <c r="B185" i="4"/>
  <c r="B185" i="3" s="1"/>
  <c r="B186" i="4"/>
  <c r="B186" i="3" s="1"/>
  <c r="B187" i="4"/>
  <c r="B187" i="3" s="1"/>
  <c r="B188" i="4"/>
  <c r="B188" i="3" s="1"/>
  <c r="B189" i="4"/>
  <c r="B189" i="3" s="1"/>
  <c r="B190" i="4"/>
  <c r="B190" i="3" s="1"/>
  <c r="B191" i="4"/>
  <c r="B191" i="3" s="1"/>
  <c r="B192" i="4"/>
  <c r="B192" i="3" s="1"/>
  <c r="B193" i="4"/>
  <c r="B193" i="3" s="1"/>
  <c r="B194" i="4"/>
  <c r="B194" i="3" s="1"/>
  <c r="B195" i="4"/>
  <c r="B195" i="3" s="1"/>
  <c r="B196" i="4"/>
  <c r="B196" i="3" s="1"/>
  <c r="B197" i="4"/>
  <c r="B197" i="3" s="1"/>
  <c r="B198" i="4"/>
  <c r="B198" i="3" s="1"/>
  <c r="B199" i="4"/>
  <c r="B199" i="3" s="1"/>
  <c r="B200" i="4"/>
  <c r="B200" i="3" s="1"/>
  <c r="B201" i="4"/>
  <c r="B201" i="3" s="1"/>
  <c r="B202" i="4"/>
  <c r="B202" i="3" s="1"/>
  <c r="B203" i="4"/>
  <c r="B203" i="3" s="1"/>
  <c r="B204" i="4"/>
  <c r="B204" i="3" s="1"/>
  <c r="B205" i="4"/>
  <c r="B206" i="4"/>
  <c r="B206" i="3" s="1"/>
  <c r="B207" i="4"/>
  <c r="B207" i="3" s="1"/>
  <c r="B208" i="4"/>
  <c r="B208" i="3" s="1"/>
  <c r="B209" i="4"/>
  <c r="B209" i="3" s="1"/>
  <c r="B210" i="4"/>
  <c r="B210" i="3" s="1"/>
  <c r="B211" i="4"/>
  <c r="B211" i="3" s="1"/>
  <c r="B212" i="4"/>
  <c r="B212" i="3" s="1"/>
  <c r="B213" i="4"/>
  <c r="B213" i="3" s="1"/>
  <c r="B214" i="4"/>
  <c r="B214" i="3" s="1"/>
  <c r="B215" i="4"/>
  <c r="B215" i="3" s="1"/>
  <c r="B216" i="4"/>
  <c r="B216" i="3" s="1"/>
  <c r="B217" i="4"/>
  <c r="B217" i="3" s="1"/>
  <c r="B218" i="4"/>
  <c r="B218" i="3" s="1"/>
  <c r="B219" i="4"/>
  <c r="B219" i="3" s="1"/>
  <c r="B220" i="4"/>
  <c r="B220" i="3" s="1"/>
  <c r="B221" i="4"/>
  <c r="B221" i="3" s="1"/>
  <c r="B222" i="4"/>
  <c r="B222" i="3" s="1"/>
  <c r="B223" i="4"/>
  <c r="B223" i="3" s="1"/>
  <c r="B224" i="4"/>
  <c r="B224" i="3" s="1"/>
  <c r="B225" i="4"/>
  <c r="B225" i="3" s="1"/>
  <c r="B226" i="4"/>
  <c r="B226" i="3" s="1"/>
  <c r="B227" i="4"/>
  <c r="B227" i="3" s="1"/>
  <c r="B228" i="4"/>
  <c r="B228" i="3" s="1"/>
  <c r="B229" i="4"/>
  <c r="B229" i="3" s="1"/>
  <c r="B230" i="4"/>
  <c r="B230" i="3" s="1"/>
  <c r="B231" i="4"/>
  <c r="B231" i="3" s="1"/>
  <c r="B232" i="4"/>
  <c r="B232" i="3" s="1"/>
  <c r="B233" i="4"/>
  <c r="B233" i="3" s="1"/>
  <c r="B234" i="4"/>
  <c r="B234" i="3" s="1"/>
  <c r="B235" i="4"/>
  <c r="B235" i="3" s="1"/>
  <c r="B236" i="4"/>
  <c r="B236" i="3" s="1"/>
  <c r="B237" i="4"/>
  <c r="B237" i="3" s="1"/>
  <c r="B238" i="4"/>
  <c r="B238" i="3" s="1"/>
  <c r="B239" i="4"/>
  <c r="B239" i="3" s="1"/>
  <c r="B240" i="4"/>
  <c r="B240" i="3" s="1"/>
  <c r="B241" i="4"/>
  <c r="B241" i="3" s="1"/>
  <c r="B242" i="4"/>
  <c r="B242" i="3" s="1"/>
  <c r="B243" i="4"/>
  <c r="B243" i="3" s="1"/>
  <c r="B244" i="4"/>
  <c r="B244" i="3" s="1"/>
  <c r="B245" i="4"/>
  <c r="B245" i="3" s="1"/>
  <c r="B246" i="4"/>
  <c r="B246" i="3" s="1"/>
  <c r="B247" i="4"/>
  <c r="B247" i="3" s="1"/>
  <c r="B248" i="4"/>
  <c r="B248" i="3" s="1"/>
  <c r="B249" i="4"/>
  <c r="B249" i="3" s="1"/>
  <c r="B250" i="4"/>
  <c r="B250" i="3" s="1"/>
  <c r="B251" i="4"/>
  <c r="B251" i="3" s="1"/>
  <c r="B252" i="4"/>
  <c r="B252" i="3" s="1"/>
  <c r="B253" i="4"/>
  <c r="B253" i="3" s="1"/>
  <c r="B254" i="4"/>
  <c r="B254" i="3" s="1"/>
  <c r="B255" i="4"/>
  <c r="B255" i="3" s="1"/>
  <c r="B256" i="4"/>
  <c r="B256" i="3" s="1"/>
  <c r="B257" i="4"/>
  <c r="B257" i="3" s="1"/>
  <c r="B258" i="4"/>
  <c r="B258" i="3" s="1"/>
  <c r="B259" i="4"/>
  <c r="B259" i="3" s="1"/>
  <c r="B260" i="4"/>
  <c r="B260" i="3" s="1"/>
  <c r="B261" i="4"/>
  <c r="B261" i="3" s="1"/>
  <c r="B262" i="4"/>
  <c r="B262" i="3" s="1"/>
  <c r="B263" i="4"/>
  <c r="B264" i="4"/>
  <c r="B264" i="3" s="1"/>
  <c r="B265" i="4"/>
  <c r="B265" i="3" s="1"/>
  <c r="B266" i="4"/>
  <c r="B266" i="3" s="1"/>
  <c r="B267" i="4"/>
  <c r="B267" i="3" s="1"/>
  <c r="B268" i="4"/>
  <c r="B268" i="3" s="1"/>
  <c r="B269" i="4"/>
  <c r="B269" i="3" s="1"/>
  <c r="B270" i="4"/>
  <c r="B270" i="3" s="1"/>
  <c r="B271" i="4"/>
  <c r="B271" i="3" s="1"/>
  <c r="B272" i="4"/>
  <c r="B272" i="3" s="1"/>
  <c r="B273" i="4"/>
  <c r="B273" i="3" s="1"/>
  <c r="B274" i="4"/>
  <c r="B274" i="3" s="1"/>
  <c r="B275" i="4"/>
  <c r="B275" i="3" s="1"/>
  <c r="B276" i="4"/>
  <c r="B276" i="3" s="1"/>
  <c r="B277" i="4"/>
  <c r="B277" i="3" s="1"/>
  <c r="B278" i="4"/>
  <c r="B278" i="3" s="1"/>
  <c r="B279" i="4"/>
  <c r="B279" i="3" s="1"/>
  <c r="B280" i="4"/>
  <c r="B280" i="3" s="1"/>
  <c r="B281" i="4"/>
  <c r="B281" i="3" s="1"/>
  <c r="B282" i="4"/>
  <c r="B282" i="3" s="1"/>
  <c r="B283" i="4"/>
  <c r="B283" i="3" s="1"/>
  <c r="B284" i="4"/>
  <c r="B284" i="3" s="1"/>
  <c r="B285" i="4"/>
  <c r="B286" i="4"/>
  <c r="B287" i="4"/>
  <c r="B287" i="3" s="1"/>
  <c r="B288" i="4"/>
  <c r="B288" i="3" s="1"/>
  <c r="B289" i="4"/>
  <c r="B289" i="3" s="1"/>
  <c r="B290" i="4"/>
  <c r="B290" i="3" s="1"/>
  <c r="B291" i="4"/>
  <c r="B292" i="4"/>
  <c r="B292" i="3" s="1"/>
  <c r="B293" i="4"/>
  <c r="B293" i="3" s="1"/>
  <c r="B294" i="4"/>
  <c r="B294" i="3" s="1"/>
  <c r="B295" i="4"/>
  <c r="B295" i="3" s="1"/>
  <c r="B296" i="4"/>
  <c r="B296" i="3" s="1"/>
  <c r="B297" i="4"/>
  <c r="B297" i="3" s="1"/>
  <c r="B298" i="4"/>
  <c r="B298" i="3" s="1"/>
  <c r="B299" i="4"/>
  <c r="B299" i="3" s="1"/>
  <c r="B300" i="4"/>
  <c r="B300" i="3" s="1"/>
  <c r="B301" i="4"/>
  <c r="B301" i="3" s="1"/>
  <c r="B302" i="4"/>
  <c r="B302" i="3" s="1"/>
  <c r="B303" i="4"/>
  <c r="B303" i="3" s="1"/>
  <c r="B304" i="4"/>
  <c r="B304" i="3" s="1"/>
  <c r="B305" i="4"/>
  <c r="B305" i="3" s="1"/>
  <c r="D6" i="4"/>
  <c r="C6" i="3" s="1"/>
  <c r="C6" i="4"/>
  <c r="B6" i="4"/>
  <c r="B6" i="3" s="1"/>
  <c r="A7" i="4"/>
  <c r="A7" i="3" s="1"/>
  <c r="A8" i="4"/>
  <c r="A8" i="3" s="1"/>
  <c r="A9" i="4"/>
  <c r="A10" i="4"/>
  <c r="A10" i="3" s="1"/>
  <c r="A11" i="4"/>
  <c r="A11" i="3" s="1"/>
  <c r="A12" i="4"/>
  <c r="A12" i="3" s="1"/>
  <c r="A13" i="4"/>
  <c r="A13" i="3" s="1"/>
  <c r="A14" i="4"/>
  <c r="A14" i="3" s="1"/>
  <c r="A15" i="4"/>
  <c r="A15" i="3" s="1"/>
  <c r="A16" i="4"/>
  <c r="A16" i="3" s="1"/>
  <c r="A17" i="4"/>
  <c r="A17" i="3" s="1"/>
  <c r="A18" i="4"/>
  <c r="A18" i="3" s="1"/>
  <c r="A19" i="4"/>
  <c r="A19" i="3" s="1"/>
  <c r="A20" i="4"/>
  <c r="A20" i="3" s="1"/>
  <c r="A21" i="4"/>
  <c r="A21" i="3" s="1"/>
  <c r="A22" i="4"/>
  <c r="A22" i="3" s="1"/>
  <c r="A23" i="4"/>
  <c r="A24" i="4"/>
  <c r="A25" i="4"/>
  <c r="A26" i="4"/>
  <c r="A26" i="3" s="1"/>
  <c r="A27" i="4"/>
  <c r="A27" i="3" s="1"/>
  <c r="A28" i="4"/>
  <c r="A28" i="3" s="1"/>
  <c r="A29" i="4"/>
  <c r="A29" i="3" s="1"/>
  <c r="A30" i="4"/>
  <c r="A30" i="3" s="1"/>
  <c r="A31" i="4"/>
  <c r="A31" i="3" s="1"/>
  <c r="A32" i="4"/>
  <c r="A32" i="3" s="1"/>
  <c r="A33" i="4"/>
  <c r="A33" i="3" s="1"/>
  <c r="A34" i="4"/>
  <c r="A34" i="3" s="1"/>
  <c r="A35" i="4"/>
  <c r="A35" i="3" s="1"/>
  <c r="A36" i="4"/>
  <c r="A36" i="3" s="1"/>
  <c r="A37" i="4"/>
  <c r="A37" i="3" s="1"/>
  <c r="A38" i="4"/>
  <c r="A38" i="3" s="1"/>
  <c r="A39" i="4"/>
  <c r="A39" i="3" s="1"/>
  <c r="A40" i="4"/>
  <c r="A40" i="3" s="1"/>
  <c r="A41" i="4"/>
  <c r="A41" i="3" s="1"/>
  <c r="A42" i="4"/>
  <c r="A42" i="3" s="1"/>
  <c r="A43" i="4"/>
  <c r="A43" i="3" s="1"/>
  <c r="A44" i="4"/>
  <c r="A44" i="3" s="1"/>
  <c r="A45" i="4"/>
  <c r="A45" i="3" s="1"/>
  <c r="A46" i="4"/>
  <c r="A46" i="3" s="1"/>
  <c r="A47" i="4"/>
  <c r="A47" i="3" s="1"/>
  <c r="A48" i="4"/>
  <c r="A48" i="3" s="1"/>
  <c r="A49" i="4"/>
  <c r="A49" i="3" s="1"/>
  <c r="A50" i="4"/>
  <c r="A50" i="3" s="1"/>
  <c r="A51" i="4"/>
  <c r="A51" i="3" s="1"/>
  <c r="A52" i="4"/>
  <c r="A52" i="3" s="1"/>
  <c r="A53" i="4"/>
  <c r="A53" i="3" s="1"/>
  <c r="A54" i="4"/>
  <c r="A54" i="3" s="1"/>
  <c r="A55" i="4"/>
  <c r="A55" i="3" s="1"/>
  <c r="A56" i="4"/>
  <c r="A56" i="3" s="1"/>
  <c r="A57" i="4"/>
  <c r="A58" i="4"/>
  <c r="A58" i="3" s="1"/>
  <c r="A59" i="4"/>
  <c r="A59" i="3" s="1"/>
  <c r="A60" i="4"/>
  <c r="A61" i="4"/>
  <c r="A61" i="3" s="1"/>
  <c r="A62" i="4"/>
  <c r="A62" i="3" s="1"/>
  <c r="A63" i="4"/>
  <c r="A63" i="3" s="1"/>
  <c r="A64" i="4"/>
  <c r="A64" i="3" s="1"/>
  <c r="A65" i="4"/>
  <c r="A65" i="3" s="1"/>
  <c r="A66" i="4"/>
  <c r="A66" i="3" s="1"/>
  <c r="A67" i="4"/>
  <c r="A67" i="3" s="1"/>
  <c r="A68" i="4"/>
  <c r="A68" i="3" s="1"/>
  <c r="A69" i="4"/>
  <c r="A69" i="3" s="1"/>
  <c r="A70" i="4"/>
  <c r="A70" i="3" s="1"/>
  <c r="A71" i="4"/>
  <c r="A71" i="3" s="1"/>
  <c r="A72" i="4"/>
  <c r="A72" i="3" s="1"/>
  <c r="A73" i="4"/>
  <c r="A73" i="3" s="1"/>
  <c r="A74" i="4"/>
  <c r="A74" i="3" s="1"/>
  <c r="A75" i="4"/>
  <c r="A75" i="3" s="1"/>
  <c r="A76" i="4"/>
  <c r="A76" i="3" s="1"/>
  <c r="A77" i="4"/>
  <c r="A77" i="3" s="1"/>
  <c r="A78" i="4"/>
  <c r="A78" i="3" s="1"/>
  <c r="A79" i="4"/>
  <c r="A79" i="3" s="1"/>
  <c r="A80" i="4"/>
  <c r="A80" i="3" s="1"/>
  <c r="A81" i="4"/>
  <c r="A81" i="3" s="1"/>
  <c r="A82" i="4"/>
  <c r="A82" i="3" s="1"/>
  <c r="A83" i="4"/>
  <c r="A83" i="3" s="1"/>
  <c r="A84" i="4"/>
  <c r="A84" i="3" s="1"/>
  <c r="A85" i="4"/>
  <c r="A85" i="3" s="1"/>
  <c r="A86" i="4"/>
  <c r="A86" i="3" s="1"/>
  <c r="A87" i="4"/>
  <c r="A87" i="3" s="1"/>
  <c r="A88" i="4"/>
  <c r="A88" i="3" s="1"/>
  <c r="A89" i="4"/>
  <c r="A89" i="3" s="1"/>
  <c r="A90" i="4"/>
  <c r="A90" i="3" s="1"/>
  <c r="A91" i="4"/>
  <c r="A91" i="3" s="1"/>
  <c r="A92" i="4"/>
  <c r="A92" i="3" s="1"/>
  <c r="A93" i="4"/>
  <c r="A93" i="3" s="1"/>
  <c r="A94" i="4"/>
  <c r="A94" i="3" s="1"/>
  <c r="A95" i="4"/>
  <c r="A95" i="3" s="1"/>
  <c r="A96" i="4"/>
  <c r="A96" i="3" s="1"/>
  <c r="A97" i="4"/>
  <c r="A97" i="3" s="1"/>
  <c r="A98" i="4"/>
  <c r="A98" i="3" s="1"/>
  <c r="A99" i="4"/>
  <c r="A99" i="3" s="1"/>
  <c r="A100" i="4"/>
  <c r="A100" i="3" s="1"/>
  <c r="A101" i="4"/>
  <c r="A101" i="3" s="1"/>
  <c r="A102" i="4"/>
  <c r="A102" i="3" s="1"/>
  <c r="A103" i="4"/>
  <c r="A103" i="3" s="1"/>
  <c r="A104" i="4"/>
  <c r="A104" i="3" s="1"/>
  <c r="A105" i="4"/>
  <c r="A105" i="3" s="1"/>
  <c r="A106" i="4"/>
  <c r="A106" i="3" s="1"/>
  <c r="A107" i="4"/>
  <c r="A107" i="3" s="1"/>
  <c r="A108" i="4"/>
  <c r="A108" i="3" s="1"/>
  <c r="A109" i="4"/>
  <c r="A109" i="3" s="1"/>
  <c r="A110" i="4"/>
  <c r="A110" i="3" s="1"/>
  <c r="A111" i="4"/>
  <c r="A111" i="3" s="1"/>
  <c r="A112" i="4"/>
  <c r="A112" i="3" s="1"/>
  <c r="A113" i="4"/>
  <c r="A113" i="3" s="1"/>
  <c r="A114" i="4"/>
  <c r="A114" i="3" s="1"/>
  <c r="A115" i="4"/>
  <c r="A115" i="3" s="1"/>
  <c r="A116" i="4"/>
  <c r="A116" i="3" s="1"/>
  <c r="A117" i="4"/>
  <c r="A117" i="3" s="1"/>
  <c r="A118" i="4"/>
  <c r="A118" i="3" s="1"/>
  <c r="A119" i="4"/>
  <c r="A120" i="4"/>
  <c r="A121" i="4"/>
  <c r="A121" i="3" s="1"/>
  <c r="A122" i="4"/>
  <c r="A122" i="3" s="1"/>
  <c r="A123" i="4"/>
  <c r="A124" i="4"/>
  <c r="A125" i="4"/>
  <c r="A126" i="4"/>
  <c r="A127" i="4"/>
  <c r="A128" i="4"/>
  <c r="A129" i="4"/>
  <c r="A130" i="4"/>
  <c r="A130" i="3" s="1"/>
  <c r="A131" i="4"/>
  <c r="A131" i="3" s="1"/>
  <c r="A132" i="4"/>
  <c r="A132" i="3" s="1"/>
  <c r="A133" i="4"/>
  <c r="A133" i="3" s="1"/>
  <c r="A134" i="4"/>
  <c r="A134" i="3" s="1"/>
  <c r="A135" i="4"/>
  <c r="A135" i="3" s="1"/>
  <c r="A136" i="4"/>
  <c r="A136" i="3" s="1"/>
  <c r="A137" i="4"/>
  <c r="A137" i="3" s="1"/>
  <c r="A138" i="4"/>
  <c r="A138" i="3" s="1"/>
  <c r="A139" i="4"/>
  <c r="A139" i="3" s="1"/>
  <c r="A140" i="4"/>
  <c r="A140" i="3" s="1"/>
  <c r="A141" i="4"/>
  <c r="A141" i="3" s="1"/>
  <c r="A142" i="4"/>
  <c r="A142" i="3" s="1"/>
  <c r="A143" i="4"/>
  <c r="A143" i="3" s="1"/>
  <c r="A144" i="4"/>
  <c r="A144" i="3" s="1"/>
  <c r="A145" i="4"/>
  <c r="A145" i="3" s="1"/>
  <c r="A146" i="4"/>
  <c r="A146" i="3" s="1"/>
  <c r="A147" i="4"/>
  <c r="A147" i="3" s="1"/>
  <c r="A148" i="4"/>
  <c r="A148" i="3" s="1"/>
  <c r="A149" i="4"/>
  <c r="A149" i="3" s="1"/>
  <c r="A150" i="4"/>
  <c r="A150" i="3" s="1"/>
  <c r="A151" i="4"/>
  <c r="A151" i="3" s="1"/>
  <c r="A152" i="4"/>
  <c r="A152" i="3" s="1"/>
  <c r="A153" i="4"/>
  <c r="A153" i="3" s="1"/>
  <c r="A154" i="4"/>
  <c r="A154" i="3" s="1"/>
  <c r="A155" i="4"/>
  <c r="A155" i="3" s="1"/>
  <c r="A156" i="4"/>
  <c r="A156" i="3" s="1"/>
  <c r="A157" i="4"/>
  <c r="A157" i="3" s="1"/>
  <c r="A158" i="4"/>
  <c r="A158" i="3" s="1"/>
  <c r="A159" i="4"/>
  <c r="A159" i="3" s="1"/>
  <c r="A160" i="4"/>
  <c r="A160" i="3" s="1"/>
  <c r="A161" i="4"/>
  <c r="A161" i="3" s="1"/>
  <c r="A162" i="4"/>
  <c r="A162" i="3" s="1"/>
  <c r="A163" i="4"/>
  <c r="A163" i="3" s="1"/>
  <c r="A164" i="4"/>
  <c r="A164" i="3" s="1"/>
  <c r="A165" i="4"/>
  <c r="A165" i="3" s="1"/>
  <c r="A166" i="4"/>
  <c r="A166" i="3" s="1"/>
  <c r="A167" i="4"/>
  <c r="A167" i="3" s="1"/>
  <c r="A168" i="4"/>
  <c r="A169" i="4"/>
  <c r="A169" i="3" s="1"/>
  <c r="A170" i="4"/>
  <c r="A170" i="3" s="1"/>
  <c r="A171" i="4"/>
  <c r="A171" i="3" s="1"/>
  <c r="A172" i="4"/>
  <c r="A172" i="3" s="1"/>
  <c r="A173" i="4"/>
  <c r="A173" i="3" s="1"/>
  <c r="A174" i="4"/>
  <c r="A174" i="3" s="1"/>
  <c r="A175" i="4"/>
  <c r="A175" i="3" s="1"/>
  <c r="A176" i="4"/>
  <c r="A176" i="3" s="1"/>
  <c r="A177" i="4"/>
  <c r="A177" i="3" s="1"/>
  <c r="A178" i="4"/>
  <c r="A178" i="3" s="1"/>
  <c r="A179" i="4"/>
  <c r="A179" i="3" s="1"/>
  <c r="A180" i="4"/>
  <c r="A180" i="3" s="1"/>
  <c r="A181" i="4"/>
  <c r="A181" i="3" s="1"/>
  <c r="A182" i="4"/>
  <c r="A182" i="3" s="1"/>
  <c r="A183" i="4"/>
  <c r="A183" i="3" s="1"/>
  <c r="A184" i="4"/>
  <c r="A184" i="3" s="1"/>
  <c r="A185" i="4"/>
  <c r="A185" i="3" s="1"/>
  <c r="A186" i="4"/>
  <c r="A186" i="3" s="1"/>
  <c r="A187" i="4"/>
  <c r="A187" i="3" s="1"/>
  <c r="A188" i="4"/>
  <c r="A188" i="3" s="1"/>
  <c r="A189" i="4"/>
  <c r="A189" i="3" s="1"/>
  <c r="A190" i="4"/>
  <c r="A190" i="3" s="1"/>
  <c r="A191" i="4"/>
  <c r="A191" i="3" s="1"/>
  <c r="A192" i="4"/>
  <c r="A192" i="3" s="1"/>
  <c r="A193" i="4"/>
  <c r="A193" i="3" s="1"/>
  <c r="A194" i="4"/>
  <c r="A194" i="3" s="1"/>
  <c r="A195" i="4"/>
  <c r="A195" i="3" s="1"/>
  <c r="A196" i="4"/>
  <c r="A196" i="3" s="1"/>
  <c r="A197" i="4"/>
  <c r="A197" i="3" s="1"/>
  <c r="A198" i="4"/>
  <c r="A198" i="3" s="1"/>
  <c r="A199" i="4"/>
  <c r="A200" i="4"/>
  <c r="A201" i="4"/>
  <c r="A201" i="3" s="1"/>
  <c r="A202" i="4"/>
  <c r="A202" i="3" s="1"/>
  <c r="A203" i="4"/>
  <c r="A204" i="4"/>
  <c r="A205" i="4"/>
  <c r="A206" i="4"/>
  <c r="A206" i="3" s="1"/>
  <c r="A207" i="4"/>
  <c r="A207" i="3" s="1"/>
  <c r="A208" i="4"/>
  <c r="A208" i="3" s="1"/>
  <c r="A209" i="4"/>
  <c r="A209" i="3" s="1"/>
  <c r="A210" i="4"/>
  <c r="A210" i="3" s="1"/>
  <c r="A211" i="4"/>
  <c r="A211" i="3" s="1"/>
  <c r="A212" i="4"/>
  <c r="A212" i="3" s="1"/>
  <c r="A213" i="4"/>
  <c r="A213" i="3" s="1"/>
  <c r="A214" i="4"/>
  <c r="A214" i="3" s="1"/>
  <c r="A215" i="4"/>
  <c r="A215" i="3" s="1"/>
  <c r="A216" i="4"/>
  <c r="A216" i="3" s="1"/>
  <c r="A217" i="4"/>
  <c r="A217" i="3" s="1"/>
  <c r="A218" i="4"/>
  <c r="A218" i="3" s="1"/>
  <c r="A219" i="4"/>
  <c r="A219" i="3" s="1"/>
  <c r="A220" i="4"/>
  <c r="A220" i="3" s="1"/>
  <c r="A221" i="4"/>
  <c r="A221" i="3" s="1"/>
  <c r="A222" i="4"/>
  <c r="A222" i="3" s="1"/>
  <c r="A223" i="4"/>
  <c r="A223" i="3" s="1"/>
  <c r="A224" i="4"/>
  <c r="A224" i="3" s="1"/>
  <c r="A225" i="4"/>
  <c r="A226" i="4"/>
  <c r="A226" i="3" s="1"/>
  <c r="A227" i="4"/>
  <c r="A228" i="4"/>
  <c r="A228" i="3" s="1"/>
  <c r="A229" i="4"/>
  <c r="A229" i="3" s="1"/>
  <c r="A230" i="4"/>
  <c r="A230" i="3" s="1"/>
  <c r="A231" i="4"/>
  <c r="A231" i="3" s="1"/>
  <c r="A232" i="4"/>
  <c r="A232" i="3" s="1"/>
  <c r="A233" i="4"/>
  <c r="A233" i="3" s="1"/>
  <c r="A234" i="4"/>
  <c r="A234" i="3" s="1"/>
  <c r="A235" i="4"/>
  <c r="A235" i="3" s="1"/>
  <c r="A236" i="4"/>
  <c r="A236" i="3" s="1"/>
  <c r="A237" i="4"/>
  <c r="A237" i="3" s="1"/>
  <c r="A238" i="4"/>
  <c r="A238" i="3" s="1"/>
  <c r="A239" i="4"/>
  <c r="A239" i="3" s="1"/>
  <c r="A240" i="4"/>
  <c r="A240" i="3" s="1"/>
  <c r="A241" i="4"/>
  <c r="A242" i="4"/>
  <c r="A242" i="3" s="1"/>
  <c r="A243" i="4"/>
  <c r="A243" i="3" s="1"/>
  <c r="A244" i="4"/>
  <c r="A244" i="3" s="1"/>
  <c r="A245" i="4"/>
  <c r="A245" i="3" s="1"/>
  <c r="A246" i="4"/>
  <c r="A246" i="3" s="1"/>
  <c r="A247" i="4"/>
  <c r="A247" i="3" s="1"/>
  <c r="A248" i="4"/>
  <c r="A248" i="3" s="1"/>
  <c r="A249" i="4"/>
  <c r="A249" i="3" s="1"/>
  <c r="A250" i="4"/>
  <c r="A250" i="3" s="1"/>
  <c r="A251" i="4"/>
  <c r="A251" i="3" s="1"/>
  <c r="A252" i="4"/>
  <c r="A252" i="3" s="1"/>
  <c r="A253" i="4"/>
  <c r="A253" i="3" s="1"/>
  <c r="A254" i="4"/>
  <c r="A254" i="3" s="1"/>
  <c r="A255" i="4"/>
  <c r="A255" i="3" s="1"/>
  <c r="A256" i="4"/>
  <c r="A257" i="4"/>
  <c r="A257" i="3" s="1"/>
  <c r="A258" i="4"/>
  <c r="A258" i="3" s="1"/>
  <c r="A259" i="4"/>
  <c r="A259" i="3" s="1"/>
  <c r="A260" i="4"/>
  <c r="A260" i="3" s="1"/>
  <c r="A261" i="4"/>
  <c r="A261" i="3" s="1"/>
  <c r="A262" i="4"/>
  <c r="A262" i="3" s="1"/>
  <c r="A263" i="4"/>
  <c r="A263" i="3" s="1"/>
  <c r="A264" i="4"/>
  <c r="A264" i="3" s="1"/>
  <c r="A265" i="4"/>
  <c r="A265" i="3" s="1"/>
  <c r="A266" i="4"/>
  <c r="A266" i="3" s="1"/>
  <c r="A267" i="4"/>
  <c r="A267" i="3" s="1"/>
  <c r="A268" i="4"/>
  <c r="A268" i="3" s="1"/>
  <c r="A269" i="4"/>
  <c r="A269" i="3" s="1"/>
  <c r="A270" i="4"/>
  <c r="A270" i="3" s="1"/>
  <c r="A271" i="4"/>
  <c r="A271" i="3" s="1"/>
  <c r="A272" i="4"/>
  <c r="A272" i="3" s="1"/>
  <c r="A273" i="4"/>
  <c r="A273" i="3" s="1"/>
  <c r="A274" i="4"/>
  <c r="A274" i="3" s="1"/>
  <c r="A275" i="4"/>
  <c r="A276" i="4"/>
  <c r="A277" i="4"/>
  <c r="A278" i="4"/>
  <c r="A278" i="3" s="1"/>
  <c r="A279" i="4"/>
  <c r="A279" i="3" s="1"/>
  <c r="A280" i="4"/>
  <c r="A280" i="3" s="1"/>
  <c r="A281" i="4"/>
  <c r="A281" i="3" s="1"/>
  <c r="A282" i="4"/>
  <c r="A282" i="3" s="1"/>
  <c r="A283" i="4"/>
  <c r="A283" i="3" s="1"/>
  <c r="A284" i="4"/>
  <c r="A284" i="3" s="1"/>
  <c r="A285" i="4"/>
  <c r="A285" i="3" s="1"/>
  <c r="A286" i="4"/>
  <c r="A286" i="3" s="1"/>
  <c r="A287" i="4"/>
  <c r="A287" i="3" s="1"/>
  <c r="A288" i="4"/>
  <c r="A288" i="3" s="1"/>
  <c r="A289" i="4"/>
  <c r="A290" i="4"/>
  <c r="A290" i="3" s="1"/>
  <c r="A291" i="4"/>
  <c r="A291" i="3" s="1"/>
  <c r="A292" i="4"/>
  <c r="A292" i="3" s="1"/>
  <c r="A293" i="4"/>
  <c r="A293" i="3" s="1"/>
  <c r="A294" i="4"/>
  <c r="A294" i="3" s="1"/>
  <c r="A295" i="4"/>
  <c r="A295" i="3" s="1"/>
  <c r="A296" i="4"/>
  <c r="A296" i="3" s="1"/>
  <c r="A297" i="4"/>
  <c r="A297" i="3" s="1"/>
  <c r="A298" i="4"/>
  <c r="A298" i="3" s="1"/>
  <c r="A299" i="4"/>
  <c r="A299" i="3" s="1"/>
  <c r="A300" i="4"/>
  <c r="A300" i="3" s="1"/>
  <c r="A301" i="4"/>
  <c r="A302" i="4"/>
  <c r="A302" i="3" s="1"/>
  <c r="A303" i="4"/>
  <c r="A303" i="3" s="1"/>
  <c r="A304" i="4"/>
  <c r="A304" i="3" s="1"/>
  <c r="A305" i="4"/>
  <c r="A305" i="3" s="1"/>
  <c r="A6" i="4"/>
  <c r="A6" i="3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2" i="5"/>
  <c r="A3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2" i="5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705" i="6"/>
  <c r="A2706" i="6"/>
  <c r="A2707" i="6"/>
  <c r="A2708" i="6"/>
  <c r="A2709" i="6"/>
  <c r="A2710" i="6"/>
  <c r="A2711" i="6"/>
  <c r="A2712" i="6"/>
  <c r="A2713" i="6"/>
  <c r="A2714" i="6"/>
  <c r="A2715" i="6"/>
  <c r="A2716" i="6"/>
  <c r="A2717" i="6"/>
  <c r="A2718" i="6"/>
  <c r="A2719" i="6"/>
  <c r="A2720" i="6"/>
  <c r="A2721" i="6"/>
  <c r="A2722" i="6"/>
  <c r="A2723" i="6"/>
  <c r="A2724" i="6"/>
  <c r="A2725" i="6"/>
  <c r="A2726" i="6"/>
  <c r="A2727" i="6"/>
  <c r="A2728" i="6"/>
  <c r="A2729" i="6"/>
  <c r="A2730" i="6"/>
  <c r="A2731" i="6"/>
  <c r="A2732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3" i="6"/>
  <c r="A2754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8" i="6"/>
  <c r="A2769" i="6"/>
  <c r="A2770" i="6"/>
  <c r="A2771" i="6"/>
  <c r="A2772" i="6"/>
  <c r="A2773" i="6"/>
  <c r="A2774" i="6"/>
  <c r="A2775" i="6"/>
  <c r="A2776" i="6"/>
  <c r="A2777" i="6"/>
  <c r="A2778" i="6"/>
  <c r="A2779" i="6"/>
  <c r="A2780" i="6"/>
  <c r="A2781" i="6"/>
  <c r="A2782" i="6"/>
  <c r="A2783" i="6"/>
  <c r="A2784" i="6"/>
  <c r="A2785" i="6"/>
  <c r="A2786" i="6"/>
  <c r="A2787" i="6"/>
  <c r="A2788" i="6"/>
  <c r="A2789" i="6"/>
  <c r="A2790" i="6"/>
  <c r="A2791" i="6"/>
  <c r="A2792" i="6"/>
  <c r="A2793" i="6"/>
  <c r="A2794" i="6"/>
  <c r="A2795" i="6"/>
  <c r="A2796" i="6"/>
  <c r="A2797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2" i="6"/>
  <c r="A2813" i="6"/>
  <c r="A2814" i="6"/>
  <c r="A2815" i="6"/>
  <c r="A2816" i="6"/>
  <c r="A2817" i="6"/>
  <c r="A2818" i="6"/>
  <c r="A2819" i="6"/>
  <c r="A2820" i="6"/>
  <c r="A2821" i="6"/>
  <c r="A2822" i="6"/>
  <c r="A2823" i="6"/>
  <c r="A2824" i="6"/>
  <c r="A2825" i="6"/>
  <c r="A2826" i="6"/>
  <c r="A2827" i="6"/>
  <c r="A2828" i="6"/>
  <c r="A2829" i="6"/>
  <c r="A2830" i="6"/>
  <c r="A2831" i="6"/>
  <c r="A2832" i="6"/>
  <c r="A2833" i="6"/>
  <c r="A2834" i="6"/>
  <c r="A2835" i="6"/>
  <c r="A2836" i="6"/>
  <c r="A2837" i="6"/>
  <c r="A2838" i="6"/>
  <c r="A2839" i="6"/>
  <c r="A2840" i="6"/>
  <c r="A2841" i="6"/>
  <c r="A2842" i="6"/>
  <c r="A2843" i="6"/>
  <c r="A2844" i="6"/>
  <c r="A2845" i="6"/>
  <c r="A2846" i="6"/>
  <c r="A2847" i="6"/>
  <c r="A2848" i="6"/>
  <c r="A2849" i="6"/>
  <c r="A2850" i="6"/>
  <c r="A2851" i="6"/>
  <c r="A2852" i="6"/>
  <c r="A2853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2869" i="6"/>
  <c r="A2870" i="6"/>
  <c r="A2871" i="6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2939" i="6"/>
  <c r="A2940" i="6"/>
  <c r="A2941" i="6"/>
  <c r="A2942" i="6"/>
  <c r="A2943" i="6"/>
  <c r="A2944" i="6"/>
  <c r="A2945" i="6"/>
  <c r="A2946" i="6"/>
  <c r="A2947" i="6"/>
  <c r="A2948" i="6"/>
  <c r="A2949" i="6"/>
  <c r="A2950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2999" i="6"/>
  <c r="A3000" i="6"/>
  <c r="A2" i="6"/>
  <c r="E7" i="7"/>
  <c r="E8" i="7"/>
  <c r="F8" i="4" s="1"/>
  <c r="G8" i="4" s="1"/>
  <c r="H8" i="4" s="1"/>
  <c r="E9" i="7"/>
  <c r="E10" i="7"/>
  <c r="E11" i="7"/>
  <c r="E12" i="7"/>
  <c r="F12" i="4" s="1"/>
  <c r="E13" i="7"/>
  <c r="E14" i="7"/>
  <c r="E15" i="7"/>
  <c r="E16" i="7"/>
  <c r="E17" i="7"/>
  <c r="G17" i="7" s="1"/>
  <c r="E18" i="7"/>
  <c r="G18" i="7" s="1"/>
  <c r="E19" i="7"/>
  <c r="G19" i="7" s="1"/>
  <c r="E20" i="7"/>
  <c r="G20" i="7" s="1"/>
  <c r="E21" i="7"/>
  <c r="G21" i="7" s="1"/>
  <c r="E22" i="7"/>
  <c r="G22" i="7" s="1"/>
  <c r="E23" i="7"/>
  <c r="G23" i="7" s="1"/>
  <c r="E24" i="7"/>
  <c r="E25" i="7"/>
  <c r="E26" i="7"/>
  <c r="E27" i="7"/>
  <c r="E28" i="7"/>
  <c r="E29" i="7"/>
  <c r="E30" i="7"/>
  <c r="E31" i="7"/>
  <c r="E32" i="7"/>
  <c r="E33" i="7"/>
  <c r="Z33" i="4" s="1"/>
  <c r="E34" i="7"/>
  <c r="E35" i="7"/>
  <c r="E36" i="7"/>
  <c r="E37" i="7"/>
  <c r="E38" i="7"/>
  <c r="E39" i="7"/>
  <c r="E40" i="7"/>
  <c r="E41" i="7"/>
  <c r="E42" i="7"/>
  <c r="Z42" i="4" s="1"/>
  <c r="E43" i="7"/>
  <c r="E44" i="7"/>
  <c r="E45" i="7"/>
  <c r="G45" i="7" s="1"/>
  <c r="E46" i="7"/>
  <c r="G46" i="7" s="1"/>
  <c r="E47" i="7"/>
  <c r="G47" i="7" s="1"/>
  <c r="E48" i="7"/>
  <c r="E49" i="7"/>
  <c r="E50" i="7"/>
  <c r="E51" i="7"/>
  <c r="F51" i="4" s="1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G64" i="7" s="1"/>
  <c r="E65" i="7"/>
  <c r="E66" i="7"/>
  <c r="E67" i="7"/>
  <c r="E68" i="7"/>
  <c r="E69" i="7"/>
  <c r="G69" i="7" s="1"/>
  <c r="E70" i="7"/>
  <c r="G70" i="7" s="1"/>
  <c r="E71" i="7"/>
  <c r="G71" i="7" s="1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F88" i="4" s="1"/>
  <c r="G88" i="4" s="1"/>
  <c r="H88" i="4" s="1"/>
  <c r="E89" i="7"/>
  <c r="E90" i="7"/>
  <c r="E91" i="7"/>
  <c r="E92" i="7"/>
  <c r="E93" i="7"/>
  <c r="E94" i="7"/>
  <c r="G94" i="7" s="1"/>
  <c r="E95" i="7"/>
  <c r="G95" i="7" s="1"/>
  <c r="E96" i="7"/>
  <c r="G96" i="7" s="1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G113" i="7" s="1"/>
  <c r="E114" i="7"/>
  <c r="G114" i="7" s="1"/>
  <c r="E115" i="7"/>
  <c r="E116" i="7"/>
  <c r="G116" i="7" s="1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G143" i="7" s="1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G164" i="7" s="1"/>
  <c r="E165" i="7"/>
  <c r="G165" i="7" s="1"/>
  <c r="E166" i="7"/>
  <c r="G166" i="7" s="1"/>
  <c r="E167" i="7"/>
  <c r="G167" i="7" s="1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G184" i="7" s="1"/>
  <c r="E185" i="7"/>
  <c r="E186" i="7"/>
  <c r="D186" i="3" s="1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G209" i="7" s="1"/>
  <c r="E210" i="7"/>
  <c r="F210" i="4" s="1"/>
  <c r="E211" i="7"/>
  <c r="E212" i="7"/>
  <c r="E213" i="7"/>
  <c r="G213" i="7" s="1"/>
  <c r="E214" i="7"/>
  <c r="E215" i="7"/>
  <c r="G215" i="7" s="1"/>
  <c r="E216" i="7"/>
  <c r="E217" i="7"/>
  <c r="E218" i="7"/>
  <c r="E219" i="7"/>
  <c r="E220" i="7"/>
  <c r="E221" i="7"/>
  <c r="E222" i="7"/>
  <c r="E223" i="7"/>
  <c r="E224" i="7"/>
  <c r="Z224" i="4" s="1"/>
  <c r="E225" i="7"/>
  <c r="E226" i="7"/>
  <c r="E227" i="7"/>
  <c r="E228" i="7"/>
  <c r="E229" i="7"/>
  <c r="E230" i="7"/>
  <c r="E231" i="7"/>
  <c r="E232" i="7"/>
  <c r="E233" i="7"/>
  <c r="E234" i="7"/>
  <c r="E235" i="7"/>
  <c r="E236" i="7"/>
  <c r="G236" i="7" s="1"/>
  <c r="E237" i="7"/>
  <c r="G237" i="7" s="1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D299" i="3" s="1"/>
  <c r="E300" i="7"/>
  <c r="E301" i="7"/>
  <c r="E302" i="7"/>
  <c r="E303" i="7"/>
  <c r="E304" i="7"/>
  <c r="E305" i="7"/>
  <c r="E6" i="7"/>
  <c r="G7" i="7"/>
  <c r="G8" i="7"/>
  <c r="G9" i="7"/>
  <c r="G10" i="7"/>
  <c r="G11" i="7"/>
  <c r="G12" i="7"/>
  <c r="G13" i="7"/>
  <c r="G14" i="7"/>
  <c r="G15" i="7"/>
  <c r="G16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52" i="7"/>
  <c r="G53" i="7"/>
  <c r="G54" i="7"/>
  <c r="G55" i="7"/>
  <c r="G56" i="7"/>
  <c r="G57" i="7"/>
  <c r="G58" i="7"/>
  <c r="G59" i="7"/>
  <c r="G60" i="7"/>
  <c r="G61" i="7"/>
  <c r="G62" i="7"/>
  <c r="G63" i="7"/>
  <c r="G65" i="7"/>
  <c r="G66" i="7"/>
  <c r="G67" i="7"/>
  <c r="G77" i="7"/>
  <c r="G78" i="7"/>
  <c r="G79" i="7"/>
  <c r="G80" i="7"/>
  <c r="G81" i="7"/>
  <c r="G82" i="7"/>
  <c r="G83" i="7"/>
  <c r="G84" i="7"/>
  <c r="G85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8" i="7"/>
  <c r="G149" i="7"/>
  <c r="G150" i="7"/>
  <c r="G151" i="7"/>
  <c r="G152" i="7"/>
  <c r="G153" i="7"/>
  <c r="G154" i="7"/>
  <c r="G155" i="7"/>
  <c r="G156" i="7"/>
  <c r="G157" i="7"/>
  <c r="G158" i="7"/>
  <c r="G160" i="7"/>
  <c r="G161" i="7"/>
  <c r="G162" i="7"/>
  <c r="G163" i="7"/>
  <c r="G173" i="7"/>
  <c r="G174" i="7"/>
  <c r="G175" i="7"/>
  <c r="G176" i="7"/>
  <c r="G177" i="7"/>
  <c r="G178" i="7"/>
  <c r="G179" i="7"/>
  <c r="G180" i="7"/>
  <c r="G181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45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C13" i="8"/>
  <c r="C9" i="8"/>
  <c r="C6" i="1" s="1"/>
  <c r="D6" i="1" s="1"/>
  <c r="E287" i="3" l="1"/>
  <c r="U287" i="3"/>
  <c r="G287" i="3"/>
  <c r="R287" i="3"/>
  <c r="F287" i="3"/>
  <c r="F287" i="4"/>
  <c r="G287" i="4" s="1"/>
  <c r="H287" i="4" s="1"/>
  <c r="F40" i="4"/>
  <c r="G40" i="4" s="1"/>
  <c r="H40" i="4" s="1"/>
  <c r="L6" i="4"/>
  <c r="R42" i="4"/>
  <c r="N125" i="4"/>
  <c r="K161" i="4"/>
  <c r="L256" i="4"/>
  <c r="G304" i="4"/>
  <c r="H304" i="4" s="1"/>
  <c r="M6" i="4"/>
  <c r="N88" i="4"/>
  <c r="P256" i="4"/>
  <c r="S256" i="4"/>
  <c r="F242" i="4"/>
  <c r="G242" i="4" s="1"/>
  <c r="H242" i="4" s="1"/>
  <c r="K16" i="4"/>
  <c r="F10" i="4"/>
  <c r="F166" i="4"/>
  <c r="F247" i="4"/>
  <c r="G247" i="4" s="1"/>
  <c r="H247" i="4" s="1"/>
  <c r="Y247" i="4" s="1"/>
  <c r="Y256" i="4"/>
  <c r="F245" i="4"/>
  <c r="G245" i="4" s="1"/>
  <c r="H245" i="4" s="1"/>
  <c r="F61" i="4"/>
  <c r="U256" i="4"/>
  <c r="F63" i="4"/>
  <c r="V256" i="4"/>
  <c r="F58" i="4"/>
  <c r="Q9" i="4"/>
  <c r="K8" i="4"/>
  <c r="T256" i="4"/>
  <c r="F62" i="4"/>
  <c r="W256" i="4"/>
  <c r="X256" i="4"/>
  <c r="Z102" i="4"/>
  <c r="Z232" i="4"/>
  <c r="G51" i="4"/>
  <c r="H51" i="4" s="1"/>
  <c r="M51" i="4"/>
  <c r="L51" i="4"/>
  <c r="J51" i="4"/>
  <c r="K51" i="4"/>
  <c r="G99" i="7"/>
  <c r="G98" i="7"/>
  <c r="G97" i="7"/>
  <c r="F18" i="4"/>
  <c r="Y18" i="4" s="1"/>
  <c r="G72" i="7"/>
  <c r="G219" i="7"/>
  <c r="G123" i="7"/>
  <c r="G75" i="7"/>
  <c r="G27" i="7"/>
  <c r="G218" i="7"/>
  <c r="G170" i="7"/>
  <c r="F170" i="4"/>
  <c r="S170" i="4" s="1"/>
  <c r="G74" i="7"/>
  <c r="D74" i="3"/>
  <c r="G146" i="7"/>
  <c r="D193" i="3"/>
  <c r="G193" i="7"/>
  <c r="G49" i="7"/>
  <c r="G216" i="7"/>
  <c r="G168" i="7"/>
  <c r="G120" i="7"/>
  <c r="G48" i="7"/>
  <c r="D48" i="3"/>
  <c r="I48" i="3" s="1"/>
  <c r="G24" i="7"/>
  <c r="G50" i="7"/>
  <c r="Z96" i="4"/>
  <c r="G147" i="7"/>
  <c r="F194" i="4"/>
  <c r="Y194" i="4" s="1"/>
  <c r="G194" i="7"/>
  <c r="G122" i="7"/>
  <c r="G26" i="7"/>
  <c r="Z217" i="4"/>
  <c r="G217" i="7"/>
  <c r="G169" i="7"/>
  <c r="G145" i="7"/>
  <c r="G121" i="7"/>
  <c r="D121" i="3"/>
  <c r="G25" i="7"/>
  <c r="G144" i="7"/>
  <c r="V160" i="4"/>
  <c r="R160" i="4"/>
  <c r="Q160" i="4"/>
  <c r="P160" i="4"/>
  <c r="S160" i="4"/>
  <c r="O160" i="4"/>
  <c r="Y210" i="4"/>
  <c r="D185" i="3"/>
  <c r="U185" i="3" s="1"/>
  <c r="F185" i="4"/>
  <c r="Q185" i="4" s="1"/>
  <c r="Q161" i="4"/>
  <c r="G174" i="4"/>
  <c r="H174" i="4" s="1"/>
  <c r="J174" i="4"/>
  <c r="M174" i="4"/>
  <c r="L174" i="4"/>
  <c r="K174" i="4"/>
  <c r="G243" i="7"/>
  <c r="O161" i="4"/>
  <c r="P161" i="4"/>
  <c r="N161" i="4"/>
  <c r="G192" i="7"/>
  <c r="G242" i="7"/>
  <c r="L161" i="4"/>
  <c r="D171" i="3"/>
  <c r="U171" i="3" s="1"/>
  <c r="G171" i="7"/>
  <c r="G241" i="7"/>
  <c r="G51" i="7"/>
  <c r="Q42" i="4"/>
  <c r="G42" i="4"/>
  <c r="H42" i="4" s="1"/>
  <c r="M161" i="4"/>
  <c r="F195" i="4"/>
  <c r="R195" i="4" s="1"/>
  <c r="G195" i="7"/>
  <c r="Y42" i="4"/>
  <c r="T42" i="4"/>
  <c r="X42" i="4"/>
  <c r="W42" i="4"/>
  <c r="V42" i="4"/>
  <c r="U42" i="4"/>
  <c r="S42" i="4"/>
  <c r="G73" i="7"/>
  <c r="G240" i="7"/>
  <c r="F244" i="4"/>
  <c r="G244" i="4" s="1"/>
  <c r="H244" i="4" s="1"/>
  <c r="G244" i="7"/>
  <c r="G220" i="7"/>
  <c r="D196" i="3"/>
  <c r="G196" i="7"/>
  <c r="Z172" i="4"/>
  <c r="G172" i="7"/>
  <c r="G124" i="7"/>
  <c r="F124" i="4"/>
  <c r="Y124" i="4" s="1"/>
  <c r="F100" i="4"/>
  <c r="L100" i="4" s="1"/>
  <c r="G100" i="7"/>
  <c r="G76" i="7"/>
  <c r="D28" i="3"/>
  <c r="G28" i="7"/>
  <c r="Z186" i="4"/>
  <c r="I88" i="4"/>
  <c r="G239" i="7"/>
  <c r="F119" i="4"/>
  <c r="Y119" i="4" s="1"/>
  <c r="G119" i="7"/>
  <c r="M88" i="4"/>
  <c r="Z189" i="4"/>
  <c r="G189" i="7"/>
  <c r="G141" i="7"/>
  <c r="G93" i="7"/>
  <c r="N230" i="4"/>
  <c r="F71" i="4"/>
  <c r="G188" i="7"/>
  <c r="G68" i="7"/>
  <c r="F70" i="4"/>
  <c r="J70" i="4" s="1"/>
  <c r="G142" i="7"/>
  <c r="D143" i="3"/>
  <c r="F215" i="4"/>
  <c r="J16" i="4"/>
  <c r="R88" i="4"/>
  <c r="O88" i="4"/>
  <c r="Q88" i="4"/>
  <c r="F214" i="4"/>
  <c r="G214" i="4" s="1"/>
  <c r="H214" i="4" s="1"/>
  <c r="G214" i="7"/>
  <c r="F231" i="4"/>
  <c r="G92" i="7"/>
  <c r="D90" i="3"/>
  <c r="Z90" i="4"/>
  <c r="D89" i="3"/>
  <c r="Z89" i="4"/>
  <c r="G186" i="7"/>
  <c r="G90" i="7"/>
  <c r="D42" i="3"/>
  <c r="E42" i="3" s="1"/>
  <c r="G185" i="7"/>
  <c r="Z116" i="4"/>
  <c r="W16" i="4"/>
  <c r="G88" i="7"/>
  <c r="G247" i="7"/>
  <c r="G182" i="7"/>
  <c r="G86" i="7"/>
  <c r="Z113" i="4"/>
  <c r="F45" i="4"/>
  <c r="V45" i="4" s="1"/>
  <c r="D232" i="3"/>
  <c r="F232" i="4"/>
  <c r="G118" i="7"/>
  <c r="Z117" i="4"/>
  <c r="G117" i="7"/>
  <c r="F91" i="4"/>
  <c r="U91" i="4" s="1"/>
  <c r="Z91" i="4"/>
  <c r="I16" i="4"/>
  <c r="G159" i="7"/>
  <c r="F209" i="4"/>
  <c r="Y209" i="4" s="1"/>
  <c r="V16" i="4"/>
  <c r="G89" i="7"/>
  <c r="F11" i="4"/>
  <c r="N51" i="4"/>
  <c r="G87" i="7"/>
  <c r="G246" i="7"/>
  <c r="G211" i="7"/>
  <c r="G115" i="7"/>
  <c r="Z127" i="4"/>
  <c r="F127" i="4"/>
  <c r="G127" i="4" s="1"/>
  <c r="H127" i="4" s="1"/>
  <c r="D127" i="3"/>
  <c r="U127" i="3" s="1"/>
  <c r="D7" i="3"/>
  <c r="F7" i="4"/>
  <c r="G7" i="4" s="1"/>
  <c r="H7" i="4" s="1"/>
  <c r="Z7" i="4"/>
  <c r="G191" i="7"/>
  <c r="G238" i="7"/>
  <c r="G190" i="7"/>
  <c r="F190" i="4"/>
  <c r="Y190" i="4" s="1"/>
  <c r="G212" i="7"/>
  <c r="G140" i="7"/>
  <c r="G44" i="7"/>
  <c r="D44" i="3"/>
  <c r="U44" i="3" s="1"/>
  <c r="L16" i="4"/>
  <c r="D91" i="3"/>
  <c r="U91" i="3" s="1"/>
  <c r="F89" i="4"/>
  <c r="G183" i="7"/>
  <c r="G210" i="7"/>
  <c r="D22" i="3"/>
  <c r="F60" i="4"/>
  <c r="F111" i="4"/>
  <c r="M16" i="4"/>
  <c r="O126" i="4"/>
  <c r="F246" i="4"/>
  <c r="F90" i="4"/>
  <c r="Q16" i="4"/>
  <c r="G187" i="7"/>
  <c r="G91" i="7"/>
  <c r="F229" i="4"/>
  <c r="R16" i="4"/>
  <c r="F167" i="4"/>
  <c r="Y167" i="4" s="1"/>
  <c r="Z58" i="4"/>
  <c r="Z249" i="4"/>
  <c r="X125" i="4"/>
  <c r="J6" i="4"/>
  <c r="V6" i="4"/>
  <c r="G6" i="7"/>
  <c r="K6" i="4"/>
  <c r="Z279" i="4"/>
  <c r="D279" i="3"/>
  <c r="U279" i="3" s="1"/>
  <c r="F279" i="4"/>
  <c r="Y279" i="4" s="1"/>
  <c r="D87" i="3"/>
  <c r="Z87" i="4"/>
  <c r="F87" i="4"/>
  <c r="D86" i="3"/>
  <c r="F86" i="4"/>
  <c r="Z86" i="4"/>
  <c r="D198" i="3"/>
  <c r="Z198" i="4"/>
  <c r="F198" i="4"/>
  <c r="Z245" i="4"/>
  <c r="D245" i="3"/>
  <c r="Z196" i="4"/>
  <c r="Z52" i="4"/>
  <c r="D52" i="3"/>
  <c r="U52" i="3" s="1"/>
  <c r="F52" i="4"/>
  <c r="N52" i="4" s="1"/>
  <c r="R299" i="3"/>
  <c r="J299" i="3"/>
  <c r="T299" i="3"/>
  <c r="O299" i="3"/>
  <c r="I299" i="3"/>
  <c r="K299" i="3"/>
  <c r="L299" i="3"/>
  <c r="M299" i="3"/>
  <c r="N299" i="3"/>
  <c r="G299" i="3"/>
  <c r="P299" i="3"/>
  <c r="H299" i="3"/>
  <c r="Q299" i="3"/>
  <c r="S299" i="3"/>
  <c r="E299" i="3"/>
  <c r="F299" i="3"/>
  <c r="D135" i="3"/>
  <c r="Z135" i="4"/>
  <c r="F135" i="4"/>
  <c r="R48" i="3"/>
  <c r="E48" i="3"/>
  <c r="G48" i="3"/>
  <c r="D246" i="3"/>
  <c r="Z246" i="4"/>
  <c r="Z53" i="4"/>
  <c r="D53" i="3"/>
  <c r="F53" i="4"/>
  <c r="Z244" i="4"/>
  <c r="O258" i="3"/>
  <c r="P258" i="3"/>
  <c r="R258" i="3"/>
  <c r="S258" i="3"/>
  <c r="Q258" i="3"/>
  <c r="T258" i="3"/>
  <c r="K258" i="3"/>
  <c r="L258" i="3"/>
  <c r="J258" i="3"/>
  <c r="N258" i="3"/>
  <c r="E258" i="3"/>
  <c r="M258" i="3"/>
  <c r="I258" i="3"/>
  <c r="F258" i="3"/>
  <c r="G258" i="3"/>
  <c r="H258" i="3"/>
  <c r="D136" i="3"/>
  <c r="F136" i="4"/>
  <c r="Y136" i="4" s="1"/>
  <c r="Z136" i="4"/>
  <c r="D83" i="3"/>
  <c r="F83" i="4"/>
  <c r="Z83" i="4"/>
  <c r="D82" i="3"/>
  <c r="Z82" i="4"/>
  <c r="F82" i="4"/>
  <c r="D134" i="3"/>
  <c r="Z134" i="4"/>
  <c r="F134" i="4"/>
  <c r="D78" i="3"/>
  <c r="U78" i="3" s="1"/>
  <c r="Z78" i="4"/>
  <c r="F78" i="4"/>
  <c r="D131" i="3"/>
  <c r="U131" i="3" s="1"/>
  <c r="Z131" i="4"/>
  <c r="F131" i="4"/>
  <c r="X131" i="4" s="1"/>
  <c r="Z197" i="4"/>
  <c r="D197" i="3"/>
  <c r="F197" i="4"/>
  <c r="H257" i="3"/>
  <c r="K257" i="3"/>
  <c r="T257" i="3"/>
  <c r="S257" i="3"/>
  <c r="L257" i="3"/>
  <c r="J257" i="3"/>
  <c r="M257" i="3"/>
  <c r="O257" i="3"/>
  <c r="N257" i="3"/>
  <c r="P257" i="3"/>
  <c r="I257" i="3"/>
  <c r="E257" i="3"/>
  <c r="Q257" i="3"/>
  <c r="R257" i="3"/>
  <c r="G257" i="3"/>
  <c r="F257" i="3"/>
  <c r="M250" i="3"/>
  <c r="E250" i="3"/>
  <c r="T250" i="3"/>
  <c r="O250" i="3"/>
  <c r="P250" i="3"/>
  <c r="G250" i="3"/>
  <c r="S250" i="3"/>
  <c r="K250" i="3"/>
  <c r="R250" i="3"/>
  <c r="H250" i="3"/>
  <c r="I250" i="3"/>
  <c r="N250" i="3"/>
  <c r="Q250" i="3"/>
  <c r="F250" i="3"/>
  <c r="J250" i="3"/>
  <c r="L250" i="3"/>
  <c r="Z278" i="4"/>
  <c r="D278" i="3"/>
  <c r="U278" i="3" s="1"/>
  <c r="F278" i="4"/>
  <c r="I278" i="4" s="1"/>
  <c r="G60" i="4"/>
  <c r="H60" i="4" s="1"/>
  <c r="D99" i="3"/>
  <c r="F99" i="4"/>
  <c r="D130" i="3"/>
  <c r="U130" i="3" s="1"/>
  <c r="Z130" i="4"/>
  <c r="Z237" i="4"/>
  <c r="F237" i="4"/>
  <c r="U237" i="4" s="1"/>
  <c r="D237" i="3"/>
  <c r="U237" i="3" s="1"/>
  <c r="D235" i="3"/>
  <c r="U235" i="3" s="1"/>
  <c r="Z235" i="4"/>
  <c r="F235" i="4"/>
  <c r="T235" i="4" s="1"/>
  <c r="G128" i="4"/>
  <c r="H128" i="4" s="1"/>
  <c r="U128" i="4"/>
  <c r="V128" i="4"/>
  <c r="N128" i="4"/>
  <c r="K128" i="4"/>
  <c r="J128" i="4"/>
  <c r="I128" i="4"/>
  <c r="O128" i="4"/>
  <c r="D188" i="3"/>
  <c r="U188" i="3" s="1"/>
  <c r="F188" i="4"/>
  <c r="V188" i="4" s="1"/>
  <c r="Z188" i="4"/>
  <c r="M230" i="4"/>
  <c r="D259" i="3"/>
  <c r="U259" i="3" s="1"/>
  <c r="F259" i="4"/>
  <c r="M259" i="4" s="1"/>
  <c r="Z259" i="4"/>
  <c r="T227" i="4"/>
  <c r="D283" i="3"/>
  <c r="U283" i="3" s="1"/>
  <c r="F283" i="4"/>
  <c r="I283" i="4" s="1"/>
  <c r="Z283" i="4"/>
  <c r="V125" i="4"/>
  <c r="Z227" i="4"/>
  <c r="D227" i="3"/>
  <c r="U227" i="3" s="1"/>
  <c r="D281" i="3"/>
  <c r="U281" i="3" s="1"/>
  <c r="Z281" i="4"/>
  <c r="Z51" i="4"/>
  <c r="D51" i="3"/>
  <c r="U51" i="3" s="1"/>
  <c r="N305" i="4"/>
  <c r="K305" i="4"/>
  <c r="M305" i="4"/>
  <c r="L305" i="4"/>
  <c r="Q6" i="4"/>
  <c r="T54" i="3"/>
  <c r="L54" i="3"/>
  <c r="M54" i="3"/>
  <c r="N54" i="3"/>
  <c r="O54" i="3"/>
  <c r="K54" i="3"/>
  <c r="P54" i="3"/>
  <c r="Q54" i="3"/>
  <c r="S54" i="3"/>
  <c r="F54" i="3"/>
  <c r="J54" i="3"/>
  <c r="H54" i="3"/>
  <c r="E54" i="3"/>
  <c r="G54" i="3"/>
  <c r="I54" i="3"/>
  <c r="R54" i="3"/>
  <c r="F130" i="4"/>
  <c r="V130" i="4" s="1"/>
  <c r="D236" i="3"/>
  <c r="U236" i="3" s="1"/>
  <c r="Z236" i="4"/>
  <c r="F236" i="4"/>
  <c r="K236" i="4" s="1"/>
  <c r="M129" i="4"/>
  <c r="L129" i="4"/>
  <c r="K129" i="4"/>
  <c r="U129" i="4"/>
  <c r="R129" i="4"/>
  <c r="Q129" i="4"/>
  <c r="P129" i="4"/>
  <c r="O129" i="4"/>
  <c r="N129" i="4"/>
  <c r="T127" i="3"/>
  <c r="S127" i="3"/>
  <c r="P127" i="3"/>
  <c r="R127" i="3"/>
  <c r="L127" i="3"/>
  <c r="M127" i="3"/>
  <c r="K127" i="3"/>
  <c r="S230" i="4"/>
  <c r="R230" i="4"/>
  <c r="L230" i="4"/>
  <c r="K230" i="4"/>
  <c r="J230" i="4"/>
  <c r="I230" i="4"/>
  <c r="F234" i="4"/>
  <c r="Z234" i="4"/>
  <c r="D234" i="3"/>
  <c r="D286" i="3"/>
  <c r="U286" i="3" s="1"/>
  <c r="Z286" i="4"/>
  <c r="G228" i="4"/>
  <c r="H228" i="4" s="1"/>
  <c r="O228" i="4"/>
  <c r="K228" i="4"/>
  <c r="G230" i="4"/>
  <c r="H230" i="4" s="1"/>
  <c r="T121" i="3"/>
  <c r="J121" i="3"/>
  <c r="L121" i="3"/>
  <c r="Q121" i="3"/>
  <c r="R121" i="3"/>
  <c r="M121" i="3"/>
  <c r="Q125" i="4"/>
  <c r="F284" i="4"/>
  <c r="Q284" i="4" s="1"/>
  <c r="D284" i="3"/>
  <c r="U284" i="3" s="1"/>
  <c r="D139" i="3"/>
  <c r="U139" i="3" s="1"/>
  <c r="Z139" i="4"/>
  <c r="F139" i="4"/>
  <c r="W139" i="4" s="1"/>
  <c r="D230" i="3"/>
  <c r="U230" i="3" s="1"/>
  <c r="Z230" i="4"/>
  <c r="G12" i="4"/>
  <c r="H12" i="4" s="1"/>
  <c r="Y12" i="4"/>
  <c r="X12" i="4"/>
  <c r="W12" i="4"/>
  <c r="Z282" i="4"/>
  <c r="D282" i="3"/>
  <c r="U282" i="3" s="1"/>
  <c r="N6" i="4"/>
  <c r="W125" i="4"/>
  <c r="Y128" i="4"/>
  <c r="Q280" i="3"/>
  <c r="H280" i="3"/>
  <c r="F280" i="3"/>
  <c r="O280" i="3"/>
  <c r="G280" i="3"/>
  <c r="I280" i="3"/>
  <c r="T280" i="3"/>
  <c r="K280" i="3"/>
  <c r="R280" i="3"/>
  <c r="S280" i="3"/>
  <c r="N280" i="3"/>
  <c r="P280" i="3"/>
  <c r="J280" i="3"/>
  <c r="L280" i="3"/>
  <c r="M280" i="3"/>
  <c r="E280" i="3"/>
  <c r="D50" i="3"/>
  <c r="Z50" i="4"/>
  <c r="F50" i="4"/>
  <c r="R9" i="4"/>
  <c r="M9" i="4"/>
  <c r="X9" i="4"/>
  <c r="S9" i="4"/>
  <c r="Y9" i="4"/>
  <c r="W9" i="4"/>
  <c r="V9" i="4"/>
  <c r="U9" i="4"/>
  <c r="T9" i="4"/>
  <c r="K9" i="4"/>
  <c r="J9" i="4"/>
  <c r="I9" i="4"/>
  <c r="R6" i="4"/>
  <c r="J126" i="4"/>
  <c r="D242" i="3"/>
  <c r="Z242" i="4"/>
  <c r="Z171" i="4"/>
  <c r="D233" i="3"/>
  <c r="U233" i="3" s="1"/>
  <c r="F233" i="4"/>
  <c r="Y233" i="4" s="1"/>
  <c r="Z233" i="4"/>
  <c r="Z285" i="4"/>
  <c r="F285" i="4"/>
  <c r="M285" i="4" s="1"/>
  <c r="D285" i="3"/>
  <c r="U285" i="3" s="1"/>
  <c r="G227" i="4"/>
  <c r="H227" i="4" s="1"/>
  <c r="S227" i="4"/>
  <c r="R227" i="4"/>
  <c r="N227" i="4"/>
  <c r="K227" i="4"/>
  <c r="O227" i="4"/>
  <c r="J227" i="4"/>
  <c r="D140" i="3"/>
  <c r="Z140" i="4"/>
  <c r="F140" i="4"/>
  <c r="Z231" i="4"/>
  <c r="D231" i="3"/>
  <c r="R125" i="4"/>
  <c r="Z10" i="4"/>
  <c r="D10" i="3"/>
  <c r="Z303" i="4"/>
  <c r="D303" i="3"/>
  <c r="U303" i="3" s="1"/>
  <c r="F303" i="4"/>
  <c r="V303" i="4" s="1"/>
  <c r="Z255" i="4"/>
  <c r="D255" i="3"/>
  <c r="F255" i="4"/>
  <c r="D207" i="3"/>
  <c r="U207" i="3" s="1"/>
  <c r="Z207" i="4"/>
  <c r="F207" i="4"/>
  <c r="D183" i="3"/>
  <c r="F183" i="4"/>
  <c r="Z183" i="4"/>
  <c r="D159" i="3"/>
  <c r="U159" i="3" s="1"/>
  <c r="Z159" i="4"/>
  <c r="F159" i="4"/>
  <c r="R159" i="4" s="1"/>
  <c r="Z111" i="4"/>
  <c r="D111" i="3"/>
  <c r="Z63" i="4"/>
  <c r="D63" i="3"/>
  <c r="D39" i="3"/>
  <c r="Z39" i="4"/>
  <c r="F39" i="4"/>
  <c r="D49" i="3"/>
  <c r="U49" i="3" s="1"/>
  <c r="Z49" i="4"/>
  <c r="F49" i="4"/>
  <c r="P49" i="4" s="1"/>
  <c r="G290" i="4"/>
  <c r="H290" i="4" s="1"/>
  <c r="J290" i="4"/>
  <c r="Y8" i="4"/>
  <c r="X8" i="4"/>
  <c r="W8" i="4"/>
  <c r="V8" i="4"/>
  <c r="T8" i="4"/>
  <c r="U8" i="4"/>
  <c r="S8" i="4"/>
  <c r="P8" i="4"/>
  <c r="R8" i="4"/>
  <c r="O8" i="4"/>
  <c r="Q8" i="4"/>
  <c r="M8" i="4"/>
  <c r="N8" i="4"/>
  <c r="L8" i="4"/>
  <c r="I42" i="3"/>
  <c r="Q42" i="3"/>
  <c r="R42" i="3"/>
  <c r="J42" i="3"/>
  <c r="M42" i="3"/>
  <c r="N42" i="3"/>
  <c r="K42" i="3"/>
  <c r="G42" i="3"/>
  <c r="L42" i="3"/>
  <c r="P42" i="3"/>
  <c r="S42" i="3"/>
  <c r="H42" i="3"/>
  <c r="D206" i="3"/>
  <c r="U206" i="3" s="1"/>
  <c r="Z206" i="4"/>
  <c r="F206" i="4"/>
  <c r="T206" i="4" s="1"/>
  <c r="D110" i="3"/>
  <c r="Z110" i="4"/>
  <c r="F110" i="4"/>
  <c r="D38" i="3"/>
  <c r="Z38" i="4"/>
  <c r="F38" i="4"/>
  <c r="U6" i="4"/>
  <c r="T6" i="4"/>
  <c r="S6" i="4"/>
  <c r="P6" i="4"/>
  <c r="O6" i="4"/>
  <c r="Y6" i="4"/>
  <c r="I6" i="4"/>
  <c r="W174" i="4"/>
  <c r="V174" i="4"/>
  <c r="Y174" i="4"/>
  <c r="X174" i="4"/>
  <c r="I174" i="4"/>
  <c r="R174" i="4"/>
  <c r="U174" i="4"/>
  <c r="S174" i="4"/>
  <c r="T174" i="4"/>
  <c r="P174" i="4"/>
  <c r="O174" i="4"/>
  <c r="N174" i="4"/>
  <c r="Q174" i="4"/>
  <c r="Z48" i="4"/>
  <c r="F48" i="4"/>
  <c r="X48" i="4" s="1"/>
  <c r="V129" i="4"/>
  <c r="Z99" i="4"/>
  <c r="Z277" i="4"/>
  <c r="F277" i="4"/>
  <c r="W277" i="4" s="1"/>
  <c r="D205" i="3"/>
  <c r="U205" i="3" s="1"/>
  <c r="Z205" i="4"/>
  <c r="F205" i="4"/>
  <c r="W205" i="4" s="1"/>
  <c r="D37" i="3"/>
  <c r="U37" i="3" s="1"/>
  <c r="Z37" i="4"/>
  <c r="F37" i="4"/>
  <c r="X37" i="4" s="1"/>
  <c r="U125" i="4"/>
  <c r="T125" i="4"/>
  <c r="S125" i="4"/>
  <c r="P125" i="4"/>
  <c r="O125" i="4"/>
  <c r="L125" i="4"/>
  <c r="K125" i="4"/>
  <c r="I125" i="4"/>
  <c r="Y125" i="4"/>
  <c r="M125" i="4"/>
  <c r="J125" i="4"/>
  <c r="Z47" i="4"/>
  <c r="D47" i="3"/>
  <c r="F47" i="4"/>
  <c r="R305" i="4"/>
  <c r="D300" i="3"/>
  <c r="U300" i="3" s="1"/>
  <c r="F300" i="4"/>
  <c r="R300" i="4" s="1"/>
  <c r="Z252" i="4"/>
  <c r="D252" i="3"/>
  <c r="F252" i="4"/>
  <c r="Z204" i="4"/>
  <c r="D204" i="3"/>
  <c r="U204" i="3" s="1"/>
  <c r="F204" i="4"/>
  <c r="L204" i="4" s="1"/>
  <c r="Z156" i="4"/>
  <c r="D156" i="3"/>
  <c r="U156" i="3" s="1"/>
  <c r="F156" i="4"/>
  <c r="K156" i="4" s="1"/>
  <c r="D84" i="3"/>
  <c r="U84" i="3" s="1"/>
  <c r="Z84" i="4"/>
  <c r="F84" i="4"/>
  <c r="O84" i="4" s="1"/>
  <c r="Z36" i="4"/>
  <c r="F36" i="4"/>
  <c r="W36" i="4" s="1"/>
  <c r="D36" i="3"/>
  <c r="U36" i="3" s="1"/>
  <c r="D266" i="3"/>
  <c r="U266" i="3" s="1"/>
  <c r="Z266" i="4"/>
  <c r="F266" i="4"/>
  <c r="Z46" i="4"/>
  <c r="D46" i="3"/>
  <c r="F46" i="4"/>
  <c r="F282" i="4"/>
  <c r="G305" i="4"/>
  <c r="H305" i="4" s="1"/>
  <c r="Z300" i="4"/>
  <c r="Z275" i="4"/>
  <c r="F275" i="4"/>
  <c r="L275" i="4" s="1"/>
  <c r="D203" i="3"/>
  <c r="U203" i="3" s="1"/>
  <c r="Z203" i="4"/>
  <c r="F203" i="4"/>
  <c r="M203" i="4" s="1"/>
  <c r="D107" i="3"/>
  <c r="U107" i="3" s="1"/>
  <c r="Z107" i="4"/>
  <c r="F107" i="4"/>
  <c r="I107" i="4" s="1"/>
  <c r="Z59" i="4"/>
  <c r="F59" i="4"/>
  <c r="N59" i="4" s="1"/>
  <c r="D59" i="3"/>
  <c r="U59" i="3" s="1"/>
  <c r="D11" i="3"/>
  <c r="Z11" i="4"/>
  <c r="D194" i="3"/>
  <c r="Z194" i="4"/>
  <c r="D92" i="3"/>
  <c r="U92" i="3" s="1"/>
  <c r="Z92" i="4"/>
  <c r="F92" i="4"/>
  <c r="D45" i="3"/>
  <c r="U45" i="3" s="1"/>
  <c r="Z45" i="4"/>
  <c r="F281" i="4"/>
  <c r="K281" i="4" s="1"/>
  <c r="N9" i="4"/>
  <c r="Z68" i="4"/>
  <c r="D68" i="3"/>
  <c r="F68" i="4"/>
  <c r="Z180" i="4"/>
  <c r="F180" i="4"/>
  <c r="N180" i="4" s="1"/>
  <c r="D180" i="3"/>
  <c r="U180" i="3" s="1"/>
  <c r="Z94" i="4"/>
  <c r="D94" i="3"/>
  <c r="F94" i="4"/>
  <c r="Z179" i="4"/>
  <c r="F179" i="4"/>
  <c r="D179" i="3"/>
  <c r="Z250" i="4"/>
  <c r="F250" i="4"/>
  <c r="Q250" i="4" s="1"/>
  <c r="D202" i="3"/>
  <c r="Z202" i="4"/>
  <c r="F202" i="4"/>
  <c r="R202" i="4" s="1"/>
  <c r="M290" i="4"/>
  <c r="Z193" i="4"/>
  <c r="F44" i="4"/>
  <c r="K44" i="4" s="1"/>
  <c r="F280" i="4"/>
  <c r="S280" i="4" s="1"/>
  <c r="F172" i="4"/>
  <c r="O9" i="4"/>
  <c r="D277" i="3"/>
  <c r="U277" i="3" s="1"/>
  <c r="D260" i="3"/>
  <c r="U260" i="3" s="1"/>
  <c r="F260" i="4"/>
  <c r="L260" i="4" s="1"/>
  <c r="Z260" i="4"/>
  <c r="D187" i="3"/>
  <c r="F187" i="4"/>
  <c r="Y187" i="4" s="1"/>
  <c r="Z187" i="4"/>
  <c r="Z302" i="4"/>
  <c r="D302" i="3"/>
  <c r="U302" i="3" s="1"/>
  <c r="F302" i="4"/>
  <c r="Z254" i="4"/>
  <c r="D254" i="3"/>
  <c r="F254" i="4"/>
  <c r="Z158" i="4"/>
  <c r="D158" i="3"/>
  <c r="U158" i="3" s="1"/>
  <c r="F158" i="4"/>
  <c r="I158" i="4" s="1"/>
  <c r="D14" i="3"/>
  <c r="F14" i="4"/>
  <c r="F96" i="4"/>
  <c r="D96" i="3"/>
  <c r="W6" i="4"/>
  <c r="Z301" i="4"/>
  <c r="F301" i="4"/>
  <c r="R301" i="4" s="1"/>
  <c r="D301" i="3"/>
  <c r="U301" i="3" s="1"/>
  <c r="D229" i="3"/>
  <c r="Z229" i="4"/>
  <c r="D85" i="3"/>
  <c r="Z85" i="4"/>
  <c r="F85" i="4"/>
  <c r="D274" i="3"/>
  <c r="U274" i="3" s="1"/>
  <c r="Z274" i="4"/>
  <c r="F274" i="4"/>
  <c r="X274" i="4" s="1"/>
  <c r="Z95" i="4"/>
  <c r="D95" i="3"/>
  <c r="F95" i="4"/>
  <c r="Y95" i="4" s="1"/>
  <c r="F286" i="4"/>
  <c r="M286" i="4" s="1"/>
  <c r="X6" i="4"/>
  <c r="Z276" i="4"/>
  <c r="F276" i="4"/>
  <c r="N276" i="4" s="1"/>
  <c r="D228" i="3"/>
  <c r="U228" i="3" s="1"/>
  <c r="Z228" i="4"/>
  <c r="D132" i="3"/>
  <c r="U132" i="3" s="1"/>
  <c r="Z132" i="4"/>
  <c r="F132" i="4"/>
  <c r="D60" i="3"/>
  <c r="Z60" i="4"/>
  <c r="D12" i="3"/>
  <c r="U12" i="3" s="1"/>
  <c r="Z12" i="4"/>
  <c r="N244" i="4"/>
  <c r="Y100" i="4"/>
  <c r="S100" i="4"/>
  <c r="Z299" i="4"/>
  <c r="F299" i="4"/>
  <c r="X299" i="4" s="1"/>
  <c r="Z155" i="4"/>
  <c r="D155" i="3"/>
  <c r="U155" i="3" s="1"/>
  <c r="F155" i="4"/>
  <c r="X155" i="4" s="1"/>
  <c r="D35" i="3"/>
  <c r="U35" i="3" s="1"/>
  <c r="Z35" i="4"/>
  <c r="F35" i="4"/>
  <c r="O35" i="4" s="1"/>
  <c r="D192" i="3"/>
  <c r="F192" i="4"/>
  <c r="Z192" i="4"/>
  <c r="D138" i="3"/>
  <c r="U138" i="3" s="1"/>
  <c r="Z138" i="4"/>
  <c r="F138" i="4"/>
  <c r="Q138" i="4" s="1"/>
  <c r="F171" i="4"/>
  <c r="G129" i="4"/>
  <c r="H129" i="4" s="1"/>
  <c r="Z14" i="4"/>
  <c r="D276" i="3"/>
  <c r="U276" i="3" s="1"/>
  <c r="D182" i="3"/>
  <c r="U182" i="3" s="1"/>
  <c r="F182" i="4"/>
  <c r="O182" i="4" s="1"/>
  <c r="Z182" i="4"/>
  <c r="Z62" i="4"/>
  <c r="D62" i="3"/>
  <c r="W126" i="4"/>
  <c r="V126" i="4"/>
  <c r="Y126" i="4"/>
  <c r="X126" i="4"/>
  <c r="U126" i="4"/>
  <c r="S126" i="4"/>
  <c r="R126" i="4"/>
  <c r="Q126" i="4"/>
  <c r="N126" i="4"/>
  <c r="M126" i="4"/>
  <c r="L126" i="4"/>
  <c r="K126" i="4"/>
  <c r="I126" i="4"/>
  <c r="T126" i="4"/>
  <c r="P126" i="4"/>
  <c r="Z253" i="4"/>
  <c r="D253" i="3"/>
  <c r="U253" i="3" s="1"/>
  <c r="F253" i="4"/>
  <c r="M253" i="4" s="1"/>
  <c r="Z181" i="4"/>
  <c r="F181" i="4"/>
  <c r="U181" i="4" s="1"/>
  <c r="D181" i="3"/>
  <c r="U181" i="3" s="1"/>
  <c r="Z157" i="4"/>
  <c r="D157" i="3"/>
  <c r="F157" i="4"/>
  <c r="D133" i="3"/>
  <c r="U133" i="3" s="1"/>
  <c r="Z133" i="4"/>
  <c r="F133" i="4"/>
  <c r="U133" i="4" s="1"/>
  <c r="D109" i="3"/>
  <c r="Z109" i="4"/>
  <c r="F109" i="4"/>
  <c r="D61" i="3"/>
  <c r="Z61" i="4"/>
  <c r="D13" i="3"/>
  <c r="Z13" i="4"/>
  <c r="F13" i="4"/>
  <c r="S13" i="4" s="1"/>
  <c r="U173" i="4"/>
  <c r="T173" i="4"/>
  <c r="S173" i="4"/>
  <c r="P173" i="4"/>
  <c r="O173" i="4"/>
  <c r="N173" i="4"/>
  <c r="M173" i="4"/>
  <c r="X173" i="4"/>
  <c r="W173" i="4"/>
  <c r="V173" i="4"/>
  <c r="Q173" i="4"/>
  <c r="L173" i="4"/>
  <c r="K173" i="4"/>
  <c r="J173" i="4"/>
  <c r="Y173" i="4"/>
  <c r="R173" i="4"/>
  <c r="I173" i="4"/>
  <c r="U101" i="4"/>
  <c r="T101" i="4"/>
  <c r="S101" i="4"/>
  <c r="P101" i="4"/>
  <c r="O101" i="4"/>
  <c r="W101" i="4"/>
  <c r="V101" i="4"/>
  <c r="R101" i="4"/>
  <c r="M101" i="4"/>
  <c r="L101" i="4"/>
  <c r="I101" i="4"/>
  <c r="Y101" i="4"/>
  <c r="X101" i="4"/>
  <c r="Q101" i="4"/>
  <c r="N101" i="4"/>
  <c r="K101" i="4"/>
  <c r="J101" i="4"/>
  <c r="D108" i="3"/>
  <c r="U108" i="3" s="1"/>
  <c r="Z108" i="4"/>
  <c r="F108" i="4"/>
  <c r="U108" i="4" s="1"/>
  <c r="Z251" i="4"/>
  <c r="D251" i="3"/>
  <c r="U251" i="3" s="1"/>
  <c r="F251" i="4"/>
  <c r="V251" i="4" s="1"/>
  <c r="D191" i="3"/>
  <c r="U191" i="3" s="1"/>
  <c r="Z191" i="4"/>
  <c r="F191" i="4"/>
  <c r="D137" i="3"/>
  <c r="U137" i="3" s="1"/>
  <c r="Z137" i="4"/>
  <c r="F137" i="4"/>
  <c r="T137" i="4" s="1"/>
  <c r="I51" i="4"/>
  <c r="D275" i="3"/>
  <c r="U275" i="3" s="1"/>
  <c r="Z154" i="4"/>
  <c r="F154" i="4"/>
  <c r="Y51" i="4"/>
  <c r="X51" i="4"/>
  <c r="W51" i="4"/>
  <c r="V51" i="4"/>
  <c r="O51" i="4"/>
  <c r="U51" i="4"/>
  <c r="T51" i="4"/>
  <c r="S51" i="4"/>
  <c r="R51" i="4"/>
  <c r="P51" i="4"/>
  <c r="Q51" i="4"/>
  <c r="Z126" i="4"/>
  <c r="D126" i="3"/>
  <c r="U126" i="3" s="1"/>
  <c r="Z105" i="4"/>
  <c r="D105" i="3"/>
  <c r="U105" i="3" s="1"/>
  <c r="F105" i="4"/>
  <c r="R105" i="4" s="1"/>
  <c r="Z125" i="4"/>
  <c r="D125" i="3"/>
  <c r="U125" i="3" s="1"/>
  <c r="K290" i="4"/>
  <c r="Z272" i="4"/>
  <c r="D272" i="3"/>
  <c r="U272" i="3" s="1"/>
  <c r="F272" i="4"/>
  <c r="Y272" i="4" s="1"/>
  <c r="Z200" i="4"/>
  <c r="D200" i="3"/>
  <c r="U200" i="3" s="1"/>
  <c r="D104" i="3"/>
  <c r="U104" i="3" s="1"/>
  <c r="Z104" i="4"/>
  <c r="F104" i="4"/>
  <c r="R104" i="4" s="1"/>
  <c r="D8" i="3"/>
  <c r="U8" i="3" s="1"/>
  <c r="Z8" i="4"/>
  <c r="L290" i="4"/>
  <c r="D55" i="3"/>
  <c r="Z55" i="4"/>
  <c r="F55" i="4"/>
  <c r="D167" i="3"/>
  <c r="Z167" i="4"/>
  <c r="D34" i="3"/>
  <c r="U34" i="3" s="1"/>
  <c r="Z34" i="4"/>
  <c r="F34" i="4"/>
  <c r="Y34" i="4" s="1"/>
  <c r="D265" i="3"/>
  <c r="U265" i="3" s="1"/>
  <c r="Z265" i="4"/>
  <c r="F265" i="4"/>
  <c r="Z77" i="4"/>
  <c r="D77" i="3"/>
  <c r="F77" i="4"/>
  <c r="D297" i="3"/>
  <c r="U297" i="3" s="1"/>
  <c r="Z297" i="4"/>
  <c r="F297" i="4"/>
  <c r="N297" i="4" s="1"/>
  <c r="Z273" i="4"/>
  <c r="D273" i="3"/>
  <c r="U273" i="3" s="1"/>
  <c r="Z201" i="4"/>
  <c r="D201" i="3"/>
  <c r="U201" i="3" s="1"/>
  <c r="D153" i="3"/>
  <c r="Z153" i="4"/>
  <c r="F153" i="4"/>
  <c r="D129" i="3"/>
  <c r="U129" i="3" s="1"/>
  <c r="Z129" i="4"/>
  <c r="D57" i="3"/>
  <c r="Z57" i="4"/>
  <c r="F57" i="4"/>
  <c r="Y57" i="4" s="1"/>
  <c r="D9" i="3"/>
  <c r="U9" i="3" s="1"/>
  <c r="Z9" i="4"/>
  <c r="D296" i="3"/>
  <c r="U296" i="3" s="1"/>
  <c r="F296" i="4"/>
  <c r="Y296" i="4" s="1"/>
  <c r="D224" i="3"/>
  <c r="U224" i="3" s="1"/>
  <c r="F224" i="4"/>
  <c r="X224" i="4" s="1"/>
  <c r="Z152" i="4"/>
  <c r="D152" i="3"/>
  <c r="F152" i="4"/>
  <c r="Z80" i="4"/>
  <c r="D80" i="3"/>
  <c r="N49" i="4"/>
  <c r="D168" i="3"/>
  <c r="U168" i="3" s="1"/>
  <c r="Z168" i="4"/>
  <c r="F168" i="4"/>
  <c r="T168" i="4" s="1"/>
  <c r="D102" i="3"/>
  <c r="F102" i="4"/>
  <c r="Z226" i="4"/>
  <c r="D226" i="3"/>
  <c r="U226" i="3" s="1"/>
  <c r="F226" i="4"/>
  <c r="T226" i="4" s="1"/>
  <c r="D106" i="3"/>
  <c r="U106" i="3" s="1"/>
  <c r="Z106" i="4"/>
  <c r="F106" i="4"/>
  <c r="Y106" i="4" s="1"/>
  <c r="D170" i="3"/>
  <c r="U170" i="3" s="1"/>
  <c r="Z170" i="4"/>
  <c r="D81" i="3"/>
  <c r="U81" i="3" s="1"/>
  <c r="Z81" i="4"/>
  <c r="D169" i="3"/>
  <c r="Z169" i="4"/>
  <c r="F169" i="4"/>
  <c r="G169" i="4" s="1"/>
  <c r="H169" i="4" s="1"/>
  <c r="V161" i="4"/>
  <c r="R161" i="4"/>
  <c r="D248" i="3"/>
  <c r="Z248" i="4"/>
  <c r="Z176" i="4"/>
  <c r="D176" i="3"/>
  <c r="F176" i="4"/>
  <c r="D32" i="3"/>
  <c r="U32" i="3" s="1"/>
  <c r="F32" i="4"/>
  <c r="Q32" i="4" s="1"/>
  <c r="D271" i="3"/>
  <c r="U271" i="3" s="1"/>
  <c r="Z271" i="4"/>
  <c r="Z199" i="4"/>
  <c r="D199" i="3"/>
  <c r="U199" i="3" s="1"/>
  <c r="D151" i="3"/>
  <c r="F151" i="4"/>
  <c r="G151" i="4" s="1"/>
  <c r="H151" i="4" s="1"/>
  <c r="Z151" i="4"/>
  <c r="D103" i="3"/>
  <c r="Z103" i="4"/>
  <c r="F103" i="4"/>
  <c r="G103" i="4" s="1"/>
  <c r="H103" i="4" s="1"/>
  <c r="D30" i="3"/>
  <c r="F30" i="4"/>
  <c r="D298" i="3"/>
  <c r="U298" i="3" s="1"/>
  <c r="Z298" i="4"/>
  <c r="F298" i="4"/>
  <c r="V298" i="4" s="1"/>
  <c r="Z178" i="4"/>
  <c r="F178" i="4"/>
  <c r="D178" i="3"/>
  <c r="D33" i="3"/>
  <c r="U33" i="3" s="1"/>
  <c r="F33" i="4"/>
  <c r="W33" i="4" s="1"/>
  <c r="V290" i="4"/>
  <c r="U290" i="4"/>
  <c r="T290" i="4"/>
  <c r="Q290" i="4"/>
  <c r="Y290" i="4"/>
  <c r="X290" i="4"/>
  <c r="P290" i="4"/>
  <c r="O290" i="4"/>
  <c r="N290" i="4"/>
  <c r="S290" i="4"/>
  <c r="R290" i="4"/>
  <c r="D264" i="3"/>
  <c r="U264" i="3" s="1"/>
  <c r="F264" i="4"/>
  <c r="Z264" i="4"/>
  <c r="Z128" i="4"/>
  <c r="D128" i="3"/>
  <c r="U128" i="3" s="1"/>
  <c r="D56" i="3"/>
  <c r="Z56" i="4"/>
  <c r="F56" i="4"/>
  <c r="D263" i="3"/>
  <c r="U263" i="3" s="1"/>
  <c r="F263" i="4"/>
  <c r="G263" i="4" s="1"/>
  <c r="H263" i="4" s="1"/>
  <c r="Z263" i="4"/>
  <c r="D213" i="3"/>
  <c r="U213" i="3" s="1"/>
  <c r="F213" i="4"/>
  <c r="Z213" i="4"/>
  <c r="Z124" i="4"/>
  <c r="D124" i="3"/>
  <c r="F23" i="4"/>
  <c r="D23" i="3"/>
  <c r="G161" i="4"/>
  <c r="H161" i="4" s="1"/>
  <c r="D295" i="3"/>
  <c r="U295" i="3" s="1"/>
  <c r="F295" i="4"/>
  <c r="I295" i="4" s="1"/>
  <c r="D247" i="3"/>
  <c r="Z247" i="4"/>
  <c r="F223" i="4"/>
  <c r="G223" i="4" s="1"/>
  <c r="H223" i="4" s="1"/>
  <c r="D223" i="3"/>
  <c r="Z175" i="4"/>
  <c r="D175" i="3"/>
  <c r="F175" i="4"/>
  <c r="G175" i="4" s="1"/>
  <c r="H175" i="4" s="1"/>
  <c r="Z79" i="4"/>
  <c r="D79" i="3"/>
  <c r="U79" i="3" s="1"/>
  <c r="D31" i="3"/>
  <c r="F31" i="4"/>
  <c r="G31" i="4" s="1"/>
  <c r="H31" i="4" s="1"/>
  <c r="D294" i="3"/>
  <c r="U294" i="3" s="1"/>
  <c r="Z294" i="4"/>
  <c r="F294" i="4"/>
  <c r="G294" i="4" s="1"/>
  <c r="H294" i="4" s="1"/>
  <c r="D270" i="3"/>
  <c r="U270" i="3" s="1"/>
  <c r="F270" i="4"/>
  <c r="W270" i="4" s="1"/>
  <c r="Z270" i="4"/>
  <c r="D222" i="3"/>
  <c r="F222" i="4"/>
  <c r="G222" i="4" s="1"/>
  <c r="H222" i="4" s="1"/>
  <c r="Z174" i="4"/>
  <c r="D174" i="3"/>
  <c r="U174" i="3" s="1"/>
  <c r="Z150" i="4"/>
  <c r="F150" i="4"/>
  <c r="W150" i="4" s="1"/>
  <c r="Z54" i="4"/>
  <c r="F54" i="4"/>
  <c r="G54" i="4" s="1"/>
  <c r="H54" i="4" s="1"/>
  <c r="D166" i="3"/>
  <c r="Z166" i="4"/>
  <c r="Z32" i="4"/>
  <c r="Z293" i="4"/>
  <c r="D293" i="3"/>
  <c r="U293" i="3" s="1"/>
  <c r="F293" i="4"/>
  <c r="G293" i="4" s="1"/>
  <c r="H293" i="4" s="1"/>
  <c r="Z221" i="4"/>
  <c r="D221" i="3"/>
  <c r="U221" i="3" s="1"/>
  <c r="F221" i="4"/>
  <c r="G221" i="4" s="1"/>
  <c r="H221" i="4" s="1"/>
  <c r="Z149" i="4"/>
  <c r="D149" i="3"/>
  <c r="F149" i="4"/>
  <c r="Z292" i="4"/>
  <c r="D292" i="3"/>
  <c r="U292" i="3" s="1"/>
  <c r="F292" i="4"/>
  <c r="G292" i="4" s="1"/>
  <c r="H292" i="4" s="1"/>
  <c r="Z268" i="4"/>
  <c r="D268" i="3"/>
  <c r="U268" i="3" s="1"/>
  <c r="F268" i="4"/>
  <c r="G268" i="4" s="1"/>
  <c r="H268" i="4" s="1"/>
  <c r="Z220" i="4"/>
  <c r="F220" i="4"/>
  <c r="D220" i="3"/>
  <c r="U220" i="3" s="1"/>
  <c r="Z148" i="4"/>
  <c r="D148" i="3"/>
  <c r="U148" i="3" s="1"/>
  <c r="F148" i="4"/>
  <c r="Z100" i="4"/>
  <c r="D100" i="3"/>
  <c r="U100" i="3" s="1"/>
  <c r="Z76" i="4"/>
  <c r="D76" i="3"/>
  <c r="U76" i="3" s="1"/>
  <c r="F76" i="4"/>
  <c r="G76" i="4" s="1"/>
  <c r="H76" i="4" s="1"/>
  <c r="X237" i="4"/>
  <c r="W237" i="4"/>
  <c r="Y237" i="4"/>
  <c r="I237" i="4"/>
  <c r="D164" i="3"/>
  <c r="U164" i="3" s="1"/>
  <c r="Z164" i="4"/>
  <c r="F164" i="4"/>
  <c r="Y164" i="4" s="1"/>
  <c r="D115" i="3"/>
  <c r="U115" i="3" s="1"/>
  <c r="Z115" i="4"/>
  <c r="F115" i="4"/>
  <c r="J115" i="4" s="1"/>
  <c r="Z67" i="4"/>
  <c r="D67" i="3"/>
  <c r="F67" i="4"/>
  <c r="Y67" i="4" s="1"/>
  <c r="Z19" i="4"/>
  <c r="F19" i="4"/>
  <c r="D19" i="3"/>
  <c r="F271" i="4"/>
  <c r="T271" i="4" s="1"/>
  <c r="Z30" i="4"/>
  <c r="I287" i="4"/>
  <c r="U287" i="4"/>
  <c r="T287" i="4"/>
  <c r="P287" i="4"/>
  <c r="Y287" i="4"/>
  <c r="V287" i="4"/>
  <c r="R287" i="4"/>
  <c r="X287" i="4"/>
  <c r="W287" i="4"/>
  <c r="N287" i="4"/>
  <c r="M287" i="4"/>
  <c r="L287" i="4"/>
  <c r="K287" i="4"/>
  <c r="Q287" i="4"/>
  <c r="O287" i="4"/>
  <c r="D208" i="3"/>
  <c r="U208" i="3" s="1"/>
  <c r="Z208" i="4"/>
  <c r="Z21" i="4"/>
  <c r="F21" i="4"/>
  <c r="D21" i="3"/>
  <c r="U21" i="3" s="1"/>
  <c r="N41" i="4"/>
  <c r="M41" i="4"/>
  <c r="L41" i="4"/>
  <c r="K41" i="4"/>
  <c r="J41" i="4"/>
  <c r="W290" i="4"/>
  <c r="Z223" i="4"/>
  <c r="Z20" i="4"/>
  <c r="F20" i="4"/>
  <c r="Y20" i="4" s="1"/>
  <c r="D20" i="3"/>
  <c r="Z222" i="4"/>
  <c r="D267" i="3"/>
  <c r="U267" i="3" s="1"/>
  <c r="Z267" i="4"/>
  <c r="F267" i="4"/>
  <c r="T267" i="4" s="1"/>
  <c r="D243" i="3"/>
  <c r="F243" i="4"/>
  <c r="Z243" i="4"/>
  <c r="Z147" i="4"/>
  <c r="D147" i="3"/>
  <c r="F147" i="4"/>
  <c r="D75" i="3"/>
  <c r="U75" i="3" s="1"/>
  <c r="Z75" i="4"/>
  <c r="F75" i="4"/>
  <c r="L75" i="4" s="1"/>
  <c r="F27" i="4"/>
  <c r="G27" i="4" s="1"/>
  <c r="H27" i="4" s="1"/>
  <c r="D27" i="3"/>
  <c r="U27" i="3" s="1"/>
  <c r="D163" i="3"/>
  <c r="Z163" i="4"/>
  <c r="F163" i="4"/>
  <c r="Y163" i="4" s="1"/>
  <c r="D114" i="3"/>
  <c r="Z114" i="4"/>
  <c r="F114" i="4"/>
  <c r="D66" i="3"/>
  <c r="U66" i="3" s="1"/>
  <c r="F66" i="4"/>
  <c r="I66" i="4" s="1"/>
  <c r="Z66" i="4"/>
  <c r="Z18" i="4"/>
  <c r="D18" i="3"/>
  <c r="F201" i="4"/>
  <c r="P201" i="4" s="1"/>
  <c r="F22" i="4"/>
  <c r="O41" i="4"/>
  <c r="U215" i="4"/>
  <c r="Z27" i="4"/>
  <c r="Z121" i="4"/>
  <c r="F121" i="4"/>
  <c r="P121" i="4" s="1"/>
  <c r="F208" i="4"/>
  <c r="I208" i="4" s="1"/>
  <c r="Z173" i="4"/>
  <c r="D173" i="3"/>
  <c r="U173" i="3" s="1"/>
  <c r="Z101" i="4"/>
  <c r="D101" i="3"/>
  <c r="U101" i="3" s="1"/>
  <c r="D29" i="3"/>
  <c r="U29" i="3" s="1"/>
  <c r="Z29" i="4"/>
  <c r="F29" i="4"/>
  <c r="L286" i="4"/>
  <c r="N286" i="4"/>
  <c r="I286" i="4"/>
  <c r="P286" i="4"/>
  <c r="X286" i="4"/>
  <c r="W286" i="4"/>
  <c r="Y286" i="4"/>
  <c r="R286" i="4"/>
  <c r="L262" i="4"/>
  <c r="K262" i="4"/>
  <c r="J262" i="4"/>
  <c r="R262" i="4"/>
  <c r="Q262" i="4"/>
  <c r="P262" i="4"/>
  <c r="M262" i="4"/>
  <c r="I262" i="4"/>
  <c r="W262" i="4"/>
  <c r="V262" i="4"/>
  <c r="O262" i="4"/>
  <c r="N262" i="4"/>
  <c r="T262" i="4"/>
  <c r="S262" i="4"/>
  <c r="X262" i="4"/>
  <c r="U262" i="4"/>
  <c r="Y262" i="4"/>
  <c r="D165" i="3"/>
  <c r="F165" i="4"/>
  <c r="Z165" i="4"/>
  <c r="F273" i="4"/>
  <c r="P273" i="4" s="1"/>
  <c r="G210" i="4"/>
  <c r="H210" i="4" s="1"/>
  <c r="Z31" i="4"/>
  <c r="D291" i="3"/>
  <c r="U291" i="3" s="1"/>
  <c r="Z291" i="4"/>
  <c r="F291" i="4"/>
  <c r="G291" i="4" s="1"/>
  <c r="H291" i="4" s="1"/>
  <c r="F26" i="4"/>
  <c r="D26" i="3"/>
  <c r="D65" i="3"/>
  <c r="U65" i="3" s="1"/>
  <c r="Z65" i="4"/>
  <c r="F65" i="4"/>
  <c r="T65" i="4" s="1"/>
  <c r="P41" i="4"/>
  <c r="J45" i="4"/>
  <c r="M237" i="4"/>
  <c r="Z26" i="4"/>
  <c r="F24" i="4"/>
  <c r="G24" i="4" s="1"/>
  <c r="H24" i="4" s="1"/>
  <c r="D24" i="3"/>
  <c r="U24" i="3" s="1"/>
  <c r="Z225" i="4"/>
  <c r="D225" i="3"/>
  <c r="F225" i="4"/>
  <c r="F116" i="4"/>
  <c r="D116" i="3"/>
  <c r="D160" i="3"/>
  <c r="U160" i="3" s="1"/>
  <c r="Z160" i="4"/>
  <c r="Z15" i="4"/>
  <c r="D15" i="3"/>
  <c r="F81" i="4"/>
  <c r="F15" i="4"/>
  <c r="Y41" i="4"/>
  <c r="Z24" i="4"/>
  <c r="D219" i="3"/>
  <c r="U219" i="3" s="1"/>
  <c r="Z219" i="4"/>
  <c r="F219" i="4"/>
  <c r="G219" i="4" s="1"/>
  <c r="H219" i="4" s="1"/>
  <c r="D217" i="3"/>
  <c r="F217" i="4"/>
  <c r="Z73" i="4"/>
  <c r="F73" i="4"/>
  <c r="S73" i="4" s="1"/>
  <c r="D73" i="3"/>
  <c r="U73" i="3" s="1"/>
  <c r="Y162" i="4"/>
  <c r="D16" i="3"/>
  <c r="U16" i="3" s="1"/>
  <c r="Z16" i="4"/>
  <c r="F249" i="4"/>
  <c r="F80" i="4"/>
  <c r="M42" i="4"/>
  <c r="P237" i="4"/>
  <c r="Z23" i="4"/>
  <c r="D154" i="3"/>
  <c r="Z177" i="4"/>
  <c r="F177" i="4"/>
  <c r="T177" i="4" s="1"/>
  <c r="D177" i="3"/>
  <c r="U177" i="3" s="1"/>
  <c r="Z269" i="4"/>
  <c r="D269" i="3"/>
  <c r="U269" i="3" s="1"/>
  <c r="F269" i="4"/>
  <c r="G269" i="4" s="1"/>
  <c r="H269" i="4" s="1"/>
  <c r="Z146" i="4"/>
  <c r="D146" i="3"/>
  <c r="F146" i="4"/>
  <c r="G146" i="4" s="1"/>
  <c r="H146" i="4" s="1"/>
  <c r="Z305" i="4"/>
  <c r="D305" i="3"/>
  <c r="U305" i="3" s="1"/>
  <c r="D162" i="3"/>
  <c r="U162" i="3" s="1"/>
  <c r="Z162" i="4"/>
  <c r="D17" i="3"/>
  <c r="U17" i="3" s="1"/>
  <c r="Z17" i="4"/>
  <c r="F200" i="4"/>
  <c r="D289" i="3"/>
  <c r="U289" i="3" s="1"/>
  <c r="F289" i="4"/>
  <c r="W289" i="4" s="1"/>
  <c r="Z145" i="4"/>
  <c r="D145" i="3"/>
  <c r="F145" i="4"/>
  <c r="G145" i="4" s="1"/>
  <c r="H145" i="4" s="1"/>
  <c r="D161" i="3"/>
  <c r="U161" i="3" s="1"/>
  <c r="Z161" i="4"/>
  <c r="F199" i="4"/>
  <c r="G199" i="4" s="1"/>
  <c r="H199" i="4" s="1"/>
  <c r="F17" i="4"/>
  <c r="R41" i="4"/>
  <c r="N237" i="4"/>
  <c r="T287" i="3"/>
  <c r="P287" i="3"/>
  <c r="Q287" i="3"/>
  <c r="H287" i="3"/>
  <c r="O287" i="3"/>
  <c r="J287" i="3"/>
  <c r="L287" i="3"/>
  <c r="M287" i="3"/>
  <c r="N287" i="3"/>
  <c r="S287" i="3"/>
  <c r="K287" i="3"/>
  <c r="I287" i="3"/>
  <c r="Z97" i="4"/>
  <c r="F97" i="4"/>
  <c r="Y97" i="4" s="1"/>
  <c r="D97" i="3"/>
  <c r="U97" i="3" s="1"/>
  <c r="F248" i="4"/>
  <c r="F79" i="4"/>
  <c r="G79" i="4" s="1"/>
  <c r="H79" i="4" s="1"/>
  <c r="S237" i="4"/>
  <c r="Z22" i="4"/>
  <c r="D150" i="3"/>
  <c r="U150" i="3" s="1"/>
  <c r="T41" i="4"/>
  <c r="D261" i="3"/>
  <c r="U261" i="3" s="1"/>
  <c r="F261" i="4"/>
  <c r="P261" i="4" s="1"/>
  <c r="Z261" i="4"/>
  <c r="D189" i="3"/>
  <c r="F189" i="4"/>
  <c r="D112" i="3"/>
  <c r="Z112" i="4"/>
  <c r="F112" i="4"/>
  <c r="Q74" i="3"/>
  <c r="K74" i="3"/>
  <c r="L74" i="3"/>
  <c r="M74" i="3"/>
  <c r="T74" i="3"/>
  <c r="J74" i="3"/>
  <c r="P74" i="3"/>
  <c r="I74" i="3"/>
  <c r="R74" i="3"/>
  <c r="S74" i="3"/>
  <c r="F74" i="3"/>
  <c r="E74" i="3"/>
  <c r="H74" i="3"/>
  <c r="N74" i="3"/>
  <c r="G74" i="3"/>
  <c r="D41" i="3"/>
  <c r="U41" i="3" s="1"/>
  <c r="Z41" i="4"/>
  <c r="F258" i="4"/>
  <c r="F186" i="4"/>
  <c r="L162" i="4"/>
  <c r="P227" i="4"/>
  <c r="Z43" i="4"/>
  <c r="D43" i="3"/>
  <c r="F43" i="4"/>
  <c r="I162" i="4"/>
  <c r="O91" i="3"/>
  <c r="P91" i="3"/>
  <c r="Q91" i="3"/>
  <c r="R91" i="3"/>
  <c r="S91" i="3"/>
  <c r="G91" i="3"/>
  <c r="T91" i="3"/>
  <c r="L91" i="3"/>
  <c r="M91" i="3"/>
  <c r="J91" i="3"/>
  <c r="I91" i="3"/>
  <c r="D239" i="3"/>
  <c r="F239" i="4"/>
  <c r="Z119" i="4"/>
  <c r="D119" i="3"/>
  <c r="D214" i="3"/>
  <c r="U214" i="3" s="1"/>
  <c r="Z214" i="4"/>
  <c r="D144" i="3"/>
  <c r="U144" i="3" s="1"/>
  <c r="Z144" i="4"/>
  <c r="F144" i="4"/>
  <c r="I144" i="4" s="1"/>
  <c r="D40" i="3"/>
  <c r="Z40" i="4"/>
  <c r="F257" i="4"/>
  <c r="W257" i="4" s="1"/>
  <c r="F74" i="4"/>
  <c r="X74" i="4" s="1"/>
  <c r="R162" i="4"/>
  <c r="Q227" i="4"/>
  <c r="Z74" i="4"/>
  <c r="D241" i="3"/>
  <c r="U241" i="3" s="1"/>
  <c r="Z241" i="4"/>
  <c r="F241" i="4"/>
  <c r="P210" i="4"/>
  <c r="O210" i="4"/>
  <c r="N210" i="4"/>
  <c r="K210" i="4"/>
  <c r="J210" i="4"/>
  <c r="S210" i="4"/>
  <c r="R210" i="4"/>
  <c r="I210" i="4"/>
  <c r="U210" i="4"/>
  <c r="T210" i="4"/>
  <c r="Q210" i="4"/>
  <c r="L210" i="4"/>
  <c r="X210" i="4"/>
  <c r="W210" i="4"/>
  <c r="V210" i="4"/>
  <c r="M210" i="4"/>
  <c r="D240" i="3"/>
  <c r="U240" i="3" s="1"/>
  <c r="Z240" i="4"/>
  <c r="F240" i="4"/>
  <c r="Y240" i="4" s="1"/>
  <c r="Z120" i="4"/>
  <c r="F120" i="4"/>
  <c r="D120" i="3"/>
  <c r="U120" i="3" s="1"/>
  <c r="F117" i="4"/>
  <c r="G117" i="4" s="1"/>
  <c r="H117" i="4" s="1"/>
  <c r="D117" i="3"/>
  <c r="U117" i="3" s="1"/>
  <c r="Z93" i="4"/>
  <c r="D93" i="3"/>
  <c r="U93" i="3" s="1"/>
  <c r="F93" i="4"/>
  <c r="K93" i="4" s="1"/>
  <c r="D72" i="3"/>
  <c r="U72" i="3" s="1"/>
  <c r="Z72" i="4"/>
  <c r="F72" i="4"/>
  <c r="M72" i="4" s="1"/>
  <c r="F143" i="4"/>
  <c r="U143" i="4" s="1"/>
  <c r="P277" i="4"/>
  <c r="N277" i="4"/>
  <c r="M277" i="4"/>
  <c r="Y277" i="4"/>
  <c r="X277" i="4"/>
  <c r="D71" i="3"/>
  <c r="Z71" i="4"/>
  <c r="J304" i="4"/>
  <c r="Z211" i="4"/>
  <c r="F211" i="4"/>
  <c r="W211" i="4" s="1"/>
  <c r="D211" i="3"/>
  <c r="U211" i="3" s="1"/>
  <c r="M228" i="4"/>
  <c r="J228" i="4"/>
  <c r="I228" i="4"/>
  <c r="Y228" i="4"/>
  <c r="U228" i="4"/>
  <c r="T228" i="4"/>
  <c r="S228" i="4"/>
  <c r="X228" i="4"/>
  <c r="W228" i="4"/>
  <c r="R228" i="4"/>
  <c r="Q228" i="4"/>
  <c r="P228" i="4"/>
  <c r="V228" i="4"/>
  <c r="N228" i="4"/>
  <c r="L228" i="4"/>
  <c r="V12" i="4"/>
  <c r="Q12" i="4"/>
  <c r="O12" i="4"/>
  <c r="N12" i="4"/>
  <c r="M12" i="4"/>
  <c r="J12" i="4"/>
  <c r="I12" i="4"/>
  <c r="U12" i="4"/>
  <c r="T12" i="4"/>
  <c r="S12" i="4"/>
  <c r="R12" i="4"/>
  <c r="L12" i="4"/>
  <c r="D290" i="3"/>
  <c r="U290" i="3" s="1"/>
  <c r="Z290" i="4"/>
  <c r="D256" i="3"/>
  <c r="U256" i="3" s="1"/>
  <c r="Z256" i="4"/>
  <c r="Z141" i="4"/>
  <c r="D141" i="3"/>
  <c r="U141" i="3" s="1"/>
  <c r="F141" i="4"/>
  <c r="G141" i="4" s="1"/>
  <c r="H141" i="4" s="1"/>
  <c r="D70" i="3"/>
  <c r="U70" i="3" s="1"/>
  <c r="Z70" i="4"/>
  <c r="W304" i="4"/>
  <c r="Z238" i="4"/>
  <c r="P42" i="4"/>
  <c r="O42" i="4"/>
  <c r="N42" i="4"/>
  <c r="K42" i="4"/>
  <c r="L42" i="4"/>
  <c r="J42" i="4"/>
  <c r="I42" i="4"/>
  <c r="D262" i="3"/>
  <c r="U262" i="3" s="1"/>
  <c r="Z262" i="4"/>
  <c r="D113" i="3"/>
  <c r="F113" i="4"/>
  <c r="Z239" i="4"/>
  <c r="Z6" i="4"/>
  <c r="Y227" i="4"/>
  <c r="V227" i="4"/>
  <c r="U227" i="4"/>
  <c r="M227" i="4"/>
  <c r="L227" i="4"/>
  <c r="O131" i="4"/>
  <c r="N131" i="4"/>
  <c r="I131" i="4"/>
  <c r="S131" i="4"/>
  <c r="R131" i="4"/>
  <c r="P131" i="4"/>
  <c r="L131" i="4"/>
  <c r="D216" i="3"/>
  <c r="Z216" i="4"/>
  <c r="F216" i="4"/>
  <c r="Z69" i="4"/>
  <c r="D69" i="3"/>
  <c r="F69" i="4"/>
  <c r="K12" i="4"/>
  <c r="I36" i="4"/>
  <c r="W227" i="4"/>
  <c r="X304" i="4"/>
  <c r="P162" i="4"/>
  <c r="O162" i="4"/>
  <c r="N162" i="4"/>
  <c r="K162" i="4"/>
  <c r="J162" i="4"/>
  <c r="V162" i="4"/>
  <c r="U162" i="4"/>
  <c r="X162" i="4"/>
  <c r="W162" i="4"/>
  <c r="T162" i="4"/>
  <c r="S162" i="4"/>
  <c r="Q162" i="4"/>
  <c r="M162" i="4"/>
  <c r="Z190" i="4"/>
  <c r="D190" i="3"/>
  <c r="D212" i="3"/>
  <c r="F212" i="4"/>
  <c r="Z212" i="4"/>
  <c r="D218" i="3"/>
  <c r="Z218" i="4"/>
  <c r="F142" i="4"/>
  <c r="R142" i="4" s="1"/>
  <c r="Z210" i="4"/>
  <c r="D210" i="3"/>
  <c r="U210" i="3" s="1"/>
  <c r="D288" i="3"/>
  <c r="U288" i="3" s="1"/>
  <c r="F288" i="4"/>
  <c r="Q288" i="4" s="1"/>
  <c r="D215" i="3"/>
  <c r="U215" i="3" s="1"/>
  <c r="Z215" i="4"/>
  <c r="F218" i="4"/>
  <c r="P12" i="4"/>
  <c r="X227" i="4"/>
  <c r="Z143" i="4"/>
  <c r="D6" i="3"/>
  <c r="U6" i="3" s="1"/>
  <c r="N235" i="4"/>
  <c r="Q235" i="4"/>
  <c r="P235" i="4"/>
  <c r="O235" i="4"/>
  <c r="K235" i="4"/>
  <c r="J235" i="4"/>
  <c r="Y235" i="4"/>
  <c r="X235" i="4"/>
  <c r="W235" i="4"/>
  <c r="U235" i="4"/>
  <c r="Q41" i="4"/>
  <c r="P88" i="4"/>
  <c r="S41" i="4"/>
  <c r="U303" i="4"/>
  <c r="I304" i="4"/>
  <c r="T304" i="4"/>
  <c r="S304" i="4"/>
  <c r="R304" i="4"/>
  <c r="O304" i="4"/>
  <c r="V304" i="4"/>
  <c r="U304" i="4"/>
  <c r="Q304" i="4"/>
  <c r="M304" i="4"/>
  <c r="L304" i="4"/>
  <c r="P304" i="4"/>
  <c r="N304" i="4"/>
  <c r="K304" i="4"/>
  <c r="R256" i="4"/>
  <c r="Q256" i="4"/>
  <c r="M256" i="4"/>
  <c r="O256" i="4"/>
  <c r="N256" i="4"/>
  <c r="I256" i="4"/>
  <c r="K256" i="4"/>
  <c r="J256" i="4"/>
  <c r="Y160" i="4"/>
  <c r="X160" i="4"/>
  <c r="U160" i="4"/>
  <c r="T160" i="4"/>
  <c r="W160" i="4"/>
  <c r="K160" i="4"/>
  <c r="J160" i="4"/>
  <c r="I160" i="4"/>
  <c r="Y88" i="4"/>
  <c r="X88" i="4"/>
  <c r="U88" i="4"/>
  <c r="T88" i="4"/>
  <c r="L88" i="4"/>
  <c r="K88" i="4"/>
  <c r="J88" i="4"/>
  <c r="U16" i="4"/>
  <c r="Y16" i="4"/>
  <c r="X16" i="4"/>
  <c r="T16" i="4"/>
  <c r="S16" i="4"/>
  <c r="N16" i="4"/>
  <c r="S88" i="4"/>
  <c r="L160" i="4"/>
  <c r="Z64" i="4"/>
  <c r="I41" i="4"/>
  <c r="W41" i="4"/>
  <c r="V41" i="4"/>
  <c r="Y255" i="4"/>
  <c r="O16" i="4"/>
  <c r="U41" i="4"/>
  <c r="V88" i="4"/>
  <c r="M160" i="4"/>
  <c r="I235" i="4"/>
  <c r="W303" i="4"/>
  <c r="J185" i="3"/>
  <c r="P305" i="4"/>
  <c r="O305" i="4"/>
  <c r="X305" i="4"/>
  <c r="J305" i="4"/>
  <c r="I305" i="4"/>
  <c r="Y305" i="4"/>
  <c r="V305" i="4"/>
  <c r="W305" i="4"/>
  <c r="U305" i="4"/>
  <c r="T305" i="4"/>
  <c r="S305" i="4"/>
  <c r="I161" i="4"/>
  <c r="J161" i="4"/>
  <c r="Y161" i="4"/>
  <c r="X161" i="4"/>
  <c r="W161" i="4"/>
  <c r="U161" i="4"/>
  <c r="T161" i="4"/>
  <c r="S161" i="4"/>
  <c r="D304" i="3"/>
  <c r="U304" i="3" s="1"/>
  <c r="Z304" i="4"/>
  <c r="D209" i="3"/>
  <c r="U209" i="3" s="1"/>
  <c r="Z209" i="4"/>
  <c r="D88" i="3"/>
  <c r="U88" i="3" s="1"/>
  <c r="Z88" i="4"/>
  <c r="P16" i="4"/>
  <c r="X41" i="4"/>
  <c r="W88" i="4"/>
  <c r="N139" i="4"/>
  <c r="N160" i="4"/>
  <c r="Y230" i="4"/>
  <c r="X230" i="4"/>
  <c r="U230" i="4"/>
  <c r="T230" i="4"/>
  <c r="W230" i="4"/>
  <c r="Q230" i="4"/>
  <c r="P230" i="4"/>
  <c r="O230" i="4"/>
  <c r="L158" i="4"/>
  <c r="K158" i="4"/>
  <c r="J158" i="4"/>
  <c r="L9" i="4"/>
  <c r="S128" i="4"/>
  <c r="V230" i="4"/>
  <c r="T128" i="4"/>
  <c r="X250" i="4"/>
  <c r="W250" i="4"/>
  <c r="Y250" i="4"/>
  <c r="S130" i="4"/>
  <c r="R130" i="4"/>
  <c r="I8" i="4"/>
  <c r="P9" i="4"/>
  <c r="Y129" i="4"/>
  <c r="X129" i="4"/>
  <c r="W129" i="4"/>
  <c r="T129" i="4"/>
  <c r="S129" i="4"/>
  <c r="J8" i="4"/>
  <c r="I129" i="4"/>
  <c r="W130" i="4"/>
  <c r="R128" i="4"/>
  <c r="Q128" i="4"/>
  <c r="P128" i="4"/>
  <c r="M128" i="4"/>
  <c r="L128" i="4"/>
  <c r="X128" i="4"/>
  <c r="W128" i="4"/>
  <c r="J129" i="4"/>
  <c r="L139" i="4" l="1"/>
  <c r="S303" i="4"/>
  <c r="R296" i="4"/>
  <c r="V296" i="4"/>
  <c r="W296" i="4"/>
  <c r="R177" i="4"/>
  <c r="Y205" i="4"/>
  <c r="T205" i="4"/>
  <c r="I185" i="4"/>
  <c r="I299" i="4"/>
  <c r="Q296" i="4"/>
  <c r="U296" i="4"/>
  <c r="S296" i="4"/>
  <c r="W263" i="4"/>
  <c r="X263" i="4"/>
  <c r="X296" i="4"/>
  <c r="L303" i="4"/>
  <c r="M303" i="4"/>
  <c r="W281" i="4"/>
  <c r="T299" i="4"/>
  <c r="J208" i="4"/>
  <c r="J280" i="4"/>
  <c r="N242" i="4"/>
  <c r="Y159" i="4"/>
  <c r="K121" i="4"/>
  <c r="K48" i="3"/>
  <c r="U36" i="4"/>
  <c r="P48" i="3"/>
  <c r="O303" i="4"/>
  <c r="N185" i="3"/>
  <c r="L108" i="4"/>
  <c r="Q276" i="4"/>
  <c r="S287" i="4"/>
  <c r="O48" i="3"/>
  <c r="R185" i="4"/>
  <c r="I279" i="4"/>
  <c r="E185" i="3"/>
  <c r="N48" i="3"/>
  <c r="T185" i="3"/>
  <c r="Q185" i="3"/>
  <c r="P303" i="4"/>
  <c r="M185" i="3"/>
  <c r="M108" i="4"/>
  <c r="R276" i="4"/>
  <c r="K214" i="4"/>
  <c r="O127" i="3"/>
  <c r="O74" i="3"/>
  <c r="U74" i="3"/>
  <c r="J279" i="4"/>
  <c r="F185" i="3"/>
  <c r="O185" i="3"/>
  <c r="P84" i="4"/>
  <c r="L185" i="3"/>
  <c r="N299" i="4"/>
  <c r="N108" i="4"/>
  <c r="S276" i="4"/>
  <c r="I121" i="3"/>
  <c r="U121" i="3"/>
  <c r="M208" i="4"/>
  <c r="J48" i="4"/>
  <c r="J48" i="3"/>
  <c r="U48" i="3"/>
  <c r="T48" i="3"/>
  <c r="Q48" i="3"/>
  <c r="M242" i="4"/>
  <c r="T8" i="3"/>
  <c r="P242" i="4"/>
  <c r="N158" i="4"/>
  <c r="L235" i="4"/>
  <c r="J303" i="4"/>
  <c r="S235" i="4"/>
  <c r="R299" i="4"/>
  <c r="P108" i="4"/>
  <c r="K300" i="4"/>
  <c r="N91" i="3"/>
  <c r="J287" i="4"/>
  <c r="P263" i="4"/>
  <c r="K208" i="4"/>
  <c r="T159" i="4"/>
  <c r="T279" i="4"/>
  <c r="S48" i="3"/>
  <c r="N303" i="4"/>
  <c r="O276" i="4"/>
  <c r="Q303" i="4"/>
  <c r="T9" i="3"/>
  <c r="I303" i="4"/>
  <c r="H185" i="3"/>
  <c r="P130" i="4"/>
  <c r="P299" i="4"/>
  <c r="O108" i="4"/>
  <c r="T276" i="4"/>
  <c r="K303" i="4"/>
  <c r="Y131" i="4"/>
  <c r="S299" i="4"/>
  <c r="Q108" i="4"/>
  <c r="O300" i="4"/>
  <c r="K91" i="3"/>
  <c r="T263" i="4"/>
  <c r="T108" i="4"/>
  <c r="V108" i="4"/>
  <c r="T202" i="4"/>
  <c r="Y299" i="4"/>
  <c r="M164" i="4"/>
  <c r="V100" i="4"/>
  <c r="O42" i="3"/>
  <c r="U42" i="3"/>
  <c r="P300" i="4"/>
  <c r="R244" i="4"/>
  <c r="V283" i="4"/>
  <c r="R280" i="4"/>
  <c r="I32" i="4"/>
  <c r="N182" i="4"/>
  <c r="M283" i="4"/>
  <c r="K181" i="4"/>
  <c r="J84" i="4"/>
  <c r="J300" i="4"/>
  <c r="U188" i="4"/>
  <c r="R32" i="4"/>
  <c r="U177" i="4"/>
  <c r="P182" i="4"/>
  <c r="N283" i="4"/>
  <c r="L59" i="4"/>
  <c r="L181" i="4"/>
  <c r="M84" i="4"/>
  <c r="R260" i="4"/>
  <c r="O242" i="4"/>
  <c r="T244" i="4"/>
  <c r="N300" i="4"/>
  <c r="O253" i="4"/>
  <c r="I280" i="4"/>
  <c r="X300" i="4"/>
  <c r="K182" i="4"/>
  <c r="J283" i="4"/>
  <c r="J181" i="4"/>
  <c r="I300" i="4"/>
  <c r="Y44" i="4"/>
  <c r="P177" i="4"/>
  <c r="O283" i="4"/>
  <c r="P181" i="4"/>
  <c r="N84" i="4"/>
  <c r="N260" i="4"/>
  <c r="O66" i="4"/>
  <c r="U277" i="4"/>
  <c r="K280" i="4"/>
  <c r="W300" i="4"/>
  <c r="J182" i="4"/>
  <c r="V280" i="4"/>
  <c r="Y283" i="4"/>
  <c r="M257" i="4"/>
  <c r="Q181" i="4"/>
  <c r="X260" i="4"/>
  <c r="R279" i="4"/>
  <c r="X257" i="4"/>
  <c r="R181" i="4"/>
  <c r="Q84" i="4"/>
  <c r="S279" i="4"/>
  <c r="U48" i="4"/>
  <c r="R48" i="4"/>
  <c r="W279" i="4"/>
  <c r="W283" i="4"/>
  <c r="V181" i="4"/>
  <c r="V84" i="4"/>
  <c r="T283" i="4"/>
  <c r="O44" i="4"/>
  <c r="I201" i="4"/>
  <c r="N279" i="4"/>
  <c r="L214" i="4"/>
  <c r="U286" i="4"/>
  <c r="W188" i="4"/>
  <c r="I284" i="4"/>
  <c r="L48" i="4"/>
  <c r="X279" i="4"/>
  <c r="O280" i="4"/>
  <c r="W181" i="4"/>
  <c r="I108" i="4"/>
  <c r="Q205" i="4"/>
  <c r="Q214" i="4"/>
  <c r="T286" i="4"/>
  <c r="I45" i="4"/>
  <c r="J284" i="4"/>
  <c r="N70" i="4"/>
  <c r="Q237" i="4"/>
  <c r="M48" i="4"/>
  <c r="L300" i="4"/>
  <c r="Q283" i="4"/>
  <c r="U168" i="4"/>
  <c r="X284" i="4"/>
  <c r="Q260" i="4"/>
  <c r="V48" i="4"/>
  <c r="J214" i="4"/>
  <c r="L284" i="4"/>
  <c r="K45" i="4"/>
  <c r="P202" i="4"/>
  <c r="L279" i="4"/>
  <c r="T181" i="4"/>
  <c r="J108" i="4"/>
  <c r="K276" i="4"/>
  <c r="R205" i="4"/>
  <c r="R214" i="4"/>
  <c r="V286" i="4"/>
  <c r="P284" i="4"/>
  <c r="R70" i="4"/>
  <c r="V195" i="4"/>
  <c r="N48" i="4"/>
  <c r="J100" i="4"/>
  <c r="S245" i="4"/>
  <c r="X283" i="4"/>
  <c r="T84" i="4"/>
  <c r="J272" i="4"/>
  <c r="O279" i="4"/>
  <c r="I253" i="4"/>
  <c r="S205" i="4"/>
  <c r="U214" i="4"/>
  <c r="T284" i="4"/>
  <c r="T48" i="4"/>
  <c r="K100" i="4"/>
  <c r="T245" i="4"/>
  <c r="S300" i="4"/>
  <c r="T280" i="4"/>
  <c r="J253" i="4"/>
  <c r="U205" i="4"/>
  <c r="Y284" i="4"/>
  <c r="V214" i="4"/>
  <c r="U284" i="4"/>
  <c r="Q100" i="4"/>
  <c r="U245" i="4"/>
  <c r="V300" i="4"/>
  <c r="P279" i="4"/>
  <c r="Y48" i="4"/>
  <c r="Q279" i="4"/>
  <c r="X205" i="4"/>
  <c r="W214" i="4"/>
  <c r="V284" i="4"/>
  <c r="Y261" i="4"/>
  <c r="I48" i="4"/>
  <c r="V245" i="4"/>
  <c r="J59" i="4"/>
  <c r="O59" i="4"/>
  <c r="I244" i="4"/>
  <c r="O244" i="4"/>
  <c r="V60" i="4"/>
  <c r="O164" i="4"/>
  <c r="Y45" i="4"/>
  <c r="Y293" i="4"/>
  <c r="V299" i="4"/>
  <c r="Q45" i="4"/>
  <c r="O49" i="4"/>
  <c r="P52" i="4"/>
  <c r="Q244" i="4"/>
  <c r="M245" i="4"/>
  <c r="J206" i="4"/>
  <c r="K279" i="4"/>
  <c r="T131" i="4"/>
  <c r="N45" i="4"/>
  <c r="Q52" i="4"/>
  <c r="Y244" i="4"/>
  <c r="Y274" i="4"/>
  <c r="M274" i="4"/>
  <c r="V159" i="4"/>
  <c r="J259" i="4"/>
  <c r="U131" i="4"/>
  <c r="Q156" i="4"/>
  <c r="P205" i="4"/>
  <c r="O45" i="4"/>
  <c r="I52" i="4"/>
  <c r="P7" i="4"/>
  <c r="N206" i="4"/>
  <c r="P206" i="4"/>
  <c r="I91" i="4"/>
  <c r="Y245" i="4"/>
  <c r="U206" i="4"/>
  <c r="P274" i="4"/>
  <c r="U299" i="4"/>
  <c r="P244" i="4"/>
  <c r="L245" i="4"/>
  <c r="U274" i="4"/>
  <c r="I206" i="4"/>
  <c r="T70" i="4"/>
  <c r="W45" i="4"/>
  <c r="N274" i="4"/>
  <c r="W159" i="4"/>
  <c r="T185" i="4"/>
  <c r="N259" i="4"/>
  <c r="R133" i="4"/>
  <c r="T156" i="4"/>
  <c r="R45" i="4"/>
  <c r="L52" i="4"/>
  <c r="T7" i="4"/>
  <c r="N224" i="4"/>
  <c r="S274" i="4"/>
  <c r="X159" i="4"/>
  <c r="U185" i="4"/>
  <c r="J131" i="4"/>
  <c r="Y133" i="4"/>
  <c r="U156" i="4"/>
  <c r="S45" i="4"/>
  <c r="M52" i="4"/>
  <c r="N7" i="4"/>
  <c r="K206" i="4"/>
  <c r="V274" i="4"/>
  <c r="I159" i="4"/>
  <c r="V185" i="4"/>
  <c r="N301" i="4"/>
  <c r="M131" i="4"/>
  <c r="V156" i="4"/>
  <c r="T45" i="4"/>
  <c r="U7" i="4"/>
  <c r="I59" i="4"/>
  <c r="Y105" i="4"/>
  <c r="M185" i="4"/>
  <c r="L115" i="4"/>
  <c r="Q115" i="4"/>
  <c r="S155" i="4"/>
  <c r="M180" i="4"/>
  <c r="K237" i="4"/>
  <c r="M45" i="4"/>
  <c r="M7" i="4"/>
  <c r="K59" i="4"/>
  <c r="U244" i="4"/>
  <c r="V91" i="4"/>
  <c r="M159" i="4"/>
  <c r="U45" i="4"/>
  <c r="L45" i="4"/>
  <c r="J7" i="4"/>
  <c r="N159" i="4"/>
  <c r="N185" i="4"/>
  <c r="O274" i="4"/>
  <c r="Q159" i="4"/>
  <c r="O185" i="4"/>
  <c r="R115" i="4"/>
  <c r="I155" i="4"/>
  <c r="N267" i="4"/>
  <c r="N127" i="4"/>
  <c r="S159" i="4"/>
  <c r="X185" i="4"/>
  <c r="U115" i="4"/>
  <c r="O155" i="4"/>
  <c r="Q300" i="4"/>
  <c r="Q131" i="4"/>
  <c r="V127" i="4"/>
  <c r="L280" i="4"/>
  <c r="T281" i="4"/>
  <c r="V115" i="4"/>
  <c r="Y90" i="4"/>
  <c r="M300" i="4"/>
  <c r="O277" i="4"/>
  <c r="R291" i="4"/>
  <c r="I127" i="4"/>
  <c r="I242" i="4"/>
  <c r="X105" i="4"/>
  <c r="J159" i="4"/>
  <c r="X180" i="4"/>
  <c r="G90" i="4"/>
  <c r="H90" i="4" s="1"/>
  <c r="I90" i="4" s="1"/>
  <c r="V279" i="4"/>
  <c r="W115" i="4"/>
  <c r="L35" i="4"/>
  <c r="Q277" i="4"/>
  <c r="X214" i="4"/>
  <c r="I188" i="4"/>
  <c r="S291" i="4"/>
  <c r="W242" i="4"/>
  <c r="M244" i="4"/>
  <c r="K127" i="4"/>
  <c r="L242" i="4"/>
  <c r="L244" i="4"/>
  <c r="O27" i="4"/>
  <c r="K137" i="4"/>
  <c r="V139" i="4"/>
  <c r="S35" i="4"/>
  <c r="I277" i="4"/>
  <c r="S214" i="4"/>
  <c r="L188" i="4"/>
  <c r="S195" i="4"/>
  <c r="X242" i="4"/>
  <c r="S244" i="4"/>
  <c r="M59" i="4"/>
  <c r="M90" i="4"/>
  <c r="V244" i="4"/>
  <c r="W274" i="4"/>
  <c r="X7" i="4"/>
  <c r="I156" i="4"/>
  <c r="Y60" i="4"/>
  <c r="Y180" i="4"/>
  <c r="Q35" i="4"/>
  <c r="J277" i="4"/>
  <c r="Y214" i="4"/>
  <c r="M188" i="4"/>
  <c r="T195" i="4"/>
  <c r="Y242" i="4"/>
  <c r="X244" i="4"/>
  <c r="Y47" i="4"/>
  <c r="G282" i="4"/>
  <c r="H282" i="4" s="1"/>
  <c r="U282" i="4"/>
  <c r="N282" i="4"/>
  <c r="Q282" i="4"/>
  <c r="L282" i="4"/>
  <c r="M282" i="4"/>
  <c r="V282" i="4"/>
  <c r="W282" i="4"/>
  <c r="G89" i="4"/>
  <c r="H89" i="4" s="1"/>
  <c r="P89" i="4" s="1"/>
  <c r="Y89" i="4"/>
  <c r="W278" i="4"/>
  <c r="Y278" i="4"/>
  <c r="G215" i="4"/>
  <c r="H215" i="4" s="1"/>
  <c r="X215" i="4"/>
  <c r="T215" i="4"/>
  <c r="Q215" i="4"/>
  <c r="M215" i="4"/>
  <c r="J215" i="4"/>
  <c r="I215" i="4"/>
  <c r="O215" i="4"/>
  <c r="W215" i="4"/>
  <c r="N215" i="4"/>
  <c r="V215" i="4"/>
  <c r="S215" i="4"/>
  <c r="P215" i="4"/>
  <c r="L215" i="4"/>
  <c r="K215" i="4"/>
  <c r="I281" i="4"/>
  <c r="R281" i="4"/>
  <c r="Q281" i="4"/>
  <c r="P281" i="4"/>
  <c r="K282" i="4"/>
  <c r="Q247" i="4"/>
  <c r="W264" i="4"/>
  <c r="P264" i="4"/>
  <c r="O264" i="4"/>
  <c r="X264" i="4"/>
  <c r="J264" i="4"/>
  <c r="I264" i="4"/>
  <c r="Q207" i="4"/>
  <c r="P207" i="4"/>
  <c r="O207" i="4"/>
  <c r="N207" i="4"/>
  <c r="L207" i="4"/>
  <c r="R207" i="4"/>
  <c r="K207" i="4"/>
  <c r="M207" i="4"/>
  <c r="X207" i="4"/>
  <c r="W207" i="4"/>
  <c r="V207" i="4"/>
  <c r="K266" i="4"/>
  <c r="Q266" i="4"/>
  <c r="P266" i="4"/>
  <c r="M266" i="4"/>
  <c r="J266" i="4"/>
  <c r="O282" i="4"/>
  <c r="S282" i="4"/>
  <c r="X282" i="4"/>
  <c r="L247" i="4"/>
  <c r="W65" i="4"/>
  <c r="P282" i="4"/>
  <c r="Y215" i="4"/>
  <c r="X281" i="4"/>
  <c r="Y281" i="4"/>
  <c r="W81" i="4"/>
  <c r="T81" i="4"/>
  <c r="J282" i="4"/>
  <c r="Y200" i="4"/>
  <c r="T200" i="4"/>
  <c r="K200" i="4"/>
  <c r="J200" i="4"/>
  <c r="V200" i="4"/>
  <c r="J207" i="4"/>
  <c r="R215" i="4"/>
  <c r="M89" i="4"/>
  <c r="S171" i="4"/>
  <c r="U171" i="4"/>
  <c r="I171" i="4"/>
  <c r="V247" i="4"/>
  <c r="T247" i="4"/>
  <c r="X247" i="4"/>
  <c r="W247" i="4"/>
  <c r="U247" i="4"/>
  <c r="N247" i="4"/>
  <c r="P247" i="4"/>
  <c r="M247" i="4"/>
  <c r="I247" i="3" s="1"/>
  <c r="O302" i="4"/>
  <c r="Y302" i="4"/>
  <c r="S302" i="4"/>
  <c r="I302" i="4"/>
  <c r="R302" i="4"/>
  <c r="U302" i="4"/>
  <c r="W302" i="4"/>
  <c r="V302" i="4"/>
  <c r="T302" i="4"/>
  <c r="N302" i="4"/>
  <c r="Q302" i="4"/>
  <c r="P302" i="4"/>
  <c r="J302" i="4"/>
  <c r="Y46" i="4"/>
  <c r="G58" i="4"/>
  <c r="H58" i="4" s="1"/>
  <c r="Y58" i="4" s="1"/>
  <c r="P65" i="4"/>
  <c r="Q65" i="4"/>
  <c r="G63" i="4"/>
  <c r="H63" i="4" s="1"/>
  <c r="P63" i="4" s="1"/>
  <c r="Y63" i="4"/>
  <c r="Y267" i="4"/>
  <c r="I267" i="4"/>
  <c r="Y282" i="4"/>
  <c r="X226" i="4"/>
  <c r="O226" i="4"/>
  <c r="J226" i="4"/>
  <c r="W226" i="4"/>
  <c r="Q226" i="4"/>
  <c r="N226" i="4"/>
  <c r="R226" i="4"/>
  <c r="Y226" i="4"/>
  <c r="V226" i="4"/>
  <c r="I226" i="4"/>
  <c r="O120" i="4"/>
  <c r="X120" i="4"/>
  <c r="I120" i="4"/>
  <c r="S120" i="4"/>
  <c r="X92" i="4"/>
  <c r="Y92" i="4"/>
  <c r="K92" i="4"/>
  <c r="J92" i="4"/>
  <c r="I92" i="4"/>
  <c r="P92" i="4"/>
  <c r="O92" i="4"/>
  <c r="M92" i="4"/>
  <c r="N92" i="4"/>
  <c r="L92" i="4"/>
  <c r="S207" i="4"/>
  <c r="Y94" i="4"/>
  <c r="Y176" i="4"/>
  <c r="Q60" i="4"/>
  <c r="J60" i="4"/>
  <c r="U60" i="4"/>
  <c r="T60" i="4"/>
  <c r="O60" i="4"/>
  <c r="I60" i="4"/>
  <c r="Y65" i="4"/>
  <c r="X208" i="4"/>
  <c r="P208" i="4"/>
  <c r="L208" i="4"/>
  <c r="R208" i="4"/>
  <c r="T208" i="4"/>
  <c r="S208" i="4"/>
  <c r="Q253" i="4"/>
  <c r="T253" i="4"/>
  <c r="S253" i="4"/>
  <c r="N253" i="4"/>
  <c r="U253" i="4"/>
  <c r="P253" i="4"/>
  <c r="V253" i="4"/>
  <c r="X253" i="4"/>
  <c r="W253" i="4"/>
  <c r="Y253" i="4"/>
  <c r="I65" i="4"/>
  <c r="J281" i="4"/>
  <c r="X121" i="4"/>
  <c r="N121" i="4"/>
  <c r="U132" i="4"/>
  <c r="T132" i="4"/>
  <c r="R132" i="4"/>
  <c r="Q132" i="4"/>
  <c r="M132" i="4"/>
  <c r="S132" i="4"/>
  <c r="N132" i="4"/>
  <c r="Y132" i="4"/>
  <c r="O132" i="4"/>
  <c r="Y40" i="4"/>
  <c r="X40" i="4"/>
  <c r="U40" i="4"/>
  <c r="T40" i="4"/>
  <c r="Q40" i="4"/>
  <c r="P40" i="4"/>
  <c r="S40" i="4"/>
  <c r="R40" i="4"/>
  <c r="W40" i="4"/>
  <c r="E40" i="3" s="1"/>
  <c r="M40" i="3" s="1"/>
  <c r="M40" i="4"/>
  <c r="O40" i="4"/>
  <c r="L40" i="4"/>
  <c r="K40" i="4"/>
  <c r="I40" i="4"/>
  <c r="V40" i="4"/>
  <c r="N40" i="4"/>
  <c r="J40" i="4"/>
  <c r="X276" i="4"/>
  <c r="U202" i="4"/>
  <c r="W280" i="4"/>
  <c r="Y115" i="4"/>
  <c r="N90" i="4"/>
  <c r="R13" i="4"/>
  <c r="P60" i="4"/>
  <c r="Y276" i="4"/>
  <c r="R277" i="4"/>
  <c r="Y188" i="4"/>
  <c r="M158" i="4"/>
  <c r="Y202" i="4"/>
  <c r="Y303" i="4"/>
  <c r="M280" i="4"/>
  <c r="V13" i="4"/>
  <c r="E13" i="3" s="1"/>
  <c r="M13" i="3" s="1"/>
  <c r="W60" i="4"/>
  <c r="I276" i="4"/>
  <c r="R37" i="4"/>
  <c r="V277" i="4"/>
  <c r="M263" i="4"/>
  <c r="R247" i="4"/>
  <c r="T260" i="4"/>
  <c r="J263" i="4"/>
  <c r="O247" i="4"/>
  <c r="L177" i="4"/>
  <c r="Q280" i="4"/>
  <c r="M156" i="4"/>
  <c r="W13" i="4"/>
  <c r="X60" i="4"/>
  <c r="L276" i="4"/>
  <c r="T37" i="4"/>
  <c r="O263" i="4"/>
  <c r="V168" i="4"/>
  <c r="S247" i="4"/>
  <c r="U224" i="4"/>
  <c r="M276" i="4"/>
  <c r="S211" i="4"/>
  <c r="Q301" i="4"/>
  <c r="Y224" i="4"/>
  <c r="I285" i="4"/>
  <c r="R242" i="4"/>
  <c r="I138" i="4"/>
  <c r="O285" i="4"/>
  <c r="O245" i="4"/>
  <c r="X211" i="4"/>
  <c r="O251" i="4"/>
  <c r="I245" i="4"/>
  <c r="J247" i="4"/>
  <c r="S91" i="4"/>
  <c r="N156" i="4"/>
  <c r="Q285" i="4"/>
  <c r="S263" i="4"/>
  <c r="X272" i="4"/>
  <c r="Q273" i="4"/>
  <c r="P233" i="4"/>
  <c r="T91" i="4"/>
  <c r="K60" i="4"/>
  <c r="W251" i="4"/>
  <c r="R188" i="4"/>
  <c r="S285" i="4"/>
  <c r="N75" i="4"/>
  <c r="I49" i="4"/>
  <c r="I292" i="4"/>
  <c r="X245" i="4"/>
  <c r="K7" i="4"/>
  <c r="I247" i="4"/>
  <c r="N247" i="3" s="1"/>
  <c r="K301" i="4"/>
  <c r="L104" i="4"/>
  <c r="W224" i="4"/>
  <c r="K105" i="4"/>
  <c r="I224" i="4"/>
  <c r="Q251" i="4"/>
  <c r="X133" i="4"/>
  <c r="W285" i="4"/>
  <c r="N272" i="4"/>
  <c r="T274" i="4"/>
  <c r="Q233" i="4"/>
  <c r="I139" i="4"/>
  <c r="N91" i="4"/>
  <c r="K251" i="4"/>
  <c r="S188" i="4"/>
  <c r="W70" i="4"/>
  <c r="X285" i="4"/>
  <c r="J195" i="4"/>
  <c r="K49" i="4"/>
  <c r="Q242" i="4"/>
  <c r="U242" i="4"/>
  <c r="J245" i="4"/>
  <c r="G61" i="4"/>
  <c r="H61" i="4" s="1"/>
  <c r="O61" i="4" s="1"/>
  <c r="L285" i="4"/>
  <c r="S33" i="4"/>
  <c r="N33" i="4"/>
  <c r="R233" i="4"/>
  <c r="Q91" i="4"/>
  <c r="K245" i="4"/>
  <c r="Q61" i="4"/>
  <c r="W276" i="4"/>
  <c r="O272" i="4"/>
  <c r="U251" i="4"/>
  <c r="O188" i="4"/>
  <c r="V70" i="4"/>
  <c r="Q195" i="4"/>
  <c r="V242" i="4"/>
  <c r="S60" i="4"/>
  <c r="R272" i="4"/>
  <c r="X303" i="4"/>
  <c r="T115" i="4"/>
  <c r="R91" i="4"/>
  <c r="P188" i="4"/>
  <c r="X70" i="4"/>
  <c r="U195" i="4"/>
  <c r="T219" i="4"/>
  <c r="R49" i="4"/>
  <c r="J242" i="4"/>
  <c r="N245" i="4"/>
  <c r="W7" i="4"/>
  <c r="Y13" i="4"/>
  <c r="W59" i="4"/>
  <c r="K242" i="4"/>
  <c r="P245" i="4"/>
  <c r="Y166" i="4"/>
  <c r="K247" i="4"/>
  <c r="I214" i="4"/>
  <c r="P185" i="4"/>
  <c r="P105" i="4"/>
  <c r="S272" i="4"/>
  <c r="J156" i="4"/>
  <c r="Q188" i="4"/>
  <c r="Y70" i="4"/>
  <c r="N195" i="4"/>
  <c r="T272" i="4"/>
  <c r="Q105" i="4"/>
  <c r="I274" i="4"/>
  <c r="M139" i="4"/>
  <c r="W91" i="4"/>
  <c r="W155" i="4"/>
  <c r="L156" i="4"/>
  <c r="K66" i="4"/>
  <c r="Y260" i="4"/>
  <c r="X188" i="4"/>
  <c r="J44" i="4"/>
  <c r="J188" i="4"/>
  <c r="I70" i="4"/>
  <c r="V49" i="4"/>
  <c r="O195" i="4"/>
  <c r="S242" i="4"/>
  <c r="W245" i="4"/>
  <c r="G166" i="4"/>
  <c r="H166" i="4" s="1"/>
  <c r="L185" i="4"/>
  <c r="I272" i="4"/>
  <c r="S105" i="4"/>
  <c r="L274" i="4"/>
  <c r="J137" i="4"/>
  <c r="I115" i="4"/>
  <c r="P156" i="4"/>
  <c r="N66" i="4"/>
  <c r="K188" i="4"/>
  <c r="T242" i="4"/>
  <c r="R245" i="4"/>
  <c r="W78" i="4"/>
  <c r="V78" i="4"/>
  <c r="U78" i="4"/>
  <c r="X78" i="4"/>
  <c r="T78" i="4"/>
  <c r="P78" i="4"/>
  <c r="O78" i="4"/>
  <c r="S233" i="4"/>
  <c r="S297" i="4"/>
  <c r="G231" i="4"/>
  <c r="H231" i="4" s="1"/>
  <c r="W231" i="4" s="1"/>
  <c r="T107" i="4"/>
  <c r="V204" i="4"/>
  <c r="K204" i="4"/>
  <c r="J297" i="4"/>
  <c r="G258" i="4"/>
  <c r="H258" i="4" s="1"/>
  <c r="V258" i="4"/>
  <c r="N258" i="4"/>
  <c r="M258" i="4"/>
  <c r="L258" i="4"/>
  <c r="Q72" i="4"/>
  <c r="N213" i="4"/>
  <c r="O213" i="4"/>
  <c r="U213" i="4"/>
  <c r="S213" i="4"/>
  <c r="Q213" i="4"/>
  <c r="L201" i="4"/>
  <c r="Y203" i="4"/>
  <c r="O100" i="4"/>
  <c r="W58" i="4"/>
  <c r="T58" i="4"/>
  <c r="L58" i="4"/>
  <c r="X33" i="4"/>
  <c r="U250" i="4"/>
  <c r="Y208" i="4"/>
  <c r="Q236" i="4"/>
  <c r="P100" i="4"/>
  <c r="Q208" i="4"/>
  <c r="P180" i="4"/>
  <c r="R203" i="4"/>
  <c r="T275" i="4"/>
  <c r="L61" i="4"/>
  <c r="Y211" i="4"/>
  <c r="V211" i="4"/>
  <c r="R211" i="4"/>
  <c r="Y120" i="4"/>
  <c r="N120" i="4"/>
  <c r="I258" i="4"/>
  <c r="X75" i="4"/>
  <c r="V75" i="4"/>
  <c r="N170" i="4"/>
  <c r="S226" i="4"/>
  <c r="M226" i="4"/>
  <c r="P226" i="4"/>
  <c r="G266" i="4"/>
  <c r="H266" i="4" s="1"/>
  <c r="Y266" i="4"/>
  <c r="X266" i="4"/>
  <c r="T266" i="4"/>
  <c r="S266" i="4"/>
  <c r="R266" i="4"/>
  <c r="W266" i="4"/>
  <c r="U266" i="4"/>
  <c r="L266" i="4"/>
  <c r="G11" i="4"/>
  <c r="H11" i="4" s="1"/>
  <c r="O11" i="4" s="1"/>
  <c r="O259" i="4"/>
  <c r="G111" i="4"/>
  <c r="H111" i="4" s="1"/>
  <c r="J111" i="4" s="1"/>
  <c r="R297" i="4"/>
  <c r="G194" i="4"/>
  <c r="H194" i="4" s="1"/>
  <c r="J194" i="4" s="1"/>
  <c r="U204" i="4"/>
  <c r="T297" i="4"/>
  <c r="G236" i="4"/>
  <c r="H236" i="4" s="1"/>
  <c r="O236" i="4"/>
  <c r="J236" i="4"/>
  <c r="I236" i="4"/>
  <c r="V236" i="4"/>
  <c r="M236" i="4"/>
  <c r="X297" i="4"/>
  <c r="I168" i="4"/>
  <c r="M107" i="4"/>
  <c r="I78" i="4"/>
  <c r="V171" i="4"/>
  <c r="J171" i="4"/>
  <c r="R171" i="4"/>
  <c r="V132" i="4"/>
  <c r="P132" i="4"/>
  <c r="X132" i="4"/>
  <c r="R204" i="4"/>
  <c r="I170" i="4"/>
  <c r="N138" i="4"/>
  <c r="K138" i="4"/>
  <c r="J138" i="4"/>
  <c r="M138" i="4"/>
  <c r="I297" i="4"/>
  <c r="W298" i="4"/>
  <c r="P275" i="4"/>
  <c r="N236" i="4"/>
  <c r="J170" i="4"/>
  <c r="W208" i="4"/>
  <c r="M35" i="4"/>
  <c r="P203" i="4"/>
  <c r="Q275" i="4"/>
  <c r="X13" i="4"/>
  <c r="T236" i="4"/>
  <c r="G148" i="4"/>
  <c r="H148" i="4" s="1"/>
  <c r="P148" i="4"/>
  <c r="K170" i="4"/>
  <c r="M58" i="4"/>
  <c r="Q201" i="4"/>
  <c r="Q298" i="4"/>
  <c r="X203" i="4"/>
  <c r="Q203" i="4"/>
  <c r="S275" i="4"/>
  <c r="I61" i="4"/>
  <c r="R258" i="4"/>
  <c r="I213" i="4"/>
  <c r="L170" i="4"/>
  <c r="Y33" i="4"/>
  <c r="R201" i="4"/>
  <c r="R298" i="4"/>
  <c r="X130" i="4"/>
  <c r="S81" i="4"/>
  <c r="S201" i="4"/>
  <c r="N298" i="4"/>
  <c r="L138" i="4"/>
  <c r="T203" i="4"/>
  <c r="W275" i="4"/>
  <c r="R138" i="4"/>
  <c r="J258" i="4"/>
  <c r="P236" i="4"/>
  <c r="O170" i="4"/>
  <c r="R58" i="4"/>
  <c r="G167" i="4"/>
  <c r="H167" i="4" s="1"/>
  <c r="Q70" i="4"/>
  <c r="S70" i="4"/>
  <c r="O70" i="4"/>
  <c r="U70" i="4"/>
  <c r="G195" i="4"/>
  <c r="H195" i="4" s="1"/>
  <c r="K195" i="4"/>
  <c r="I195" i="4"/>
  <c r="Y195" i="4"/>
  <c r="X195" i="4"/>
  <c r="W195" i="4"/>
  <c r="P195" i="4"/>
  <c r="L195" i="4"/>
  <c r="M195" i="4"/>
  <c r="N168" i="4"/>
  <c r="X233" i="4"/>
  <c r="U107" i="4"/>
  <c r="O273" i="4"/>
  <c r="N273" i="4"/>
  <c r="J275" i="4"/>
  <c r="Q93" i="4"/>
  <c r="O250" i="4"/>
  <c r="X275" i="4"/>
  <c r="G18" i="4"/>
  <c r="H18" i="4" s="1"/>
  <c r="W18" i="4" s="1"/>
  <c r="V203" i="4"/>
  <c r="Y275" i="4"/>
  <c r="Q180" i="4"/>
  <c r="P138" i="4"/>
  <c r="T258" i="4"/>
  <c r="S236" i="4"/>
  <c r="Q170" i="4"/>
  <c r="L37" i="4"/>
  <c r="K37" i="4"/>
  <c r="J37" i="4"/>
  <c r="Q37" i="4"/>
  <c r="O190" i="4"/>
  <c r="G124" i="4"/>
  <c r="H124" i="4" s="1"/>
  <c r="I124" i="4" s="1"/>
  <c r="P124" i="4"/>
  <c r="G295" i="4"/>
  <c r="H295" i="4" s="1"/>
  <c r="R295" i="4"/>
  <c r="O295" i="4"/>
  <c r="N295" i="4"/>
  <c r="J295" i="4"/>
  <c r="S295" i="4"/>
  <c r="L295" i="4"/>
  <c r="W295" i="4"/>
  <c r="Y295" i="4"/>
  <c r="X295" i="4"/>
  <c r="X204" i="4"/>
  <c r="Y204" i="4"/>
  <c r="T204" i="4"/>
  <c r="O204" i="4"/>
  <c r="I204" i="4"/>
  <c r="S203" i="4"/>
  <c r="J203" i="4"/>
  <c r="K295" i="4"/>
  <c r="W233" i="4"/>
  <c r="O52" i="4"/>
  <c r="V52" i="4"/>
  <c r="U52" i="4"/>
  <c r="T52" i="4"/>
  <c r="S52" i="4"/>
  <c r="K52" i="4"/>
  <c r="V295" i="4"/>
  <c r="Q107" i="4"/>
  <c r="M297" i="4"/>
  <c r="K275" i="4"/>
  <c r="Q204" i="4"/>
  <c r="J201" i="4"/>
  <c r="O297" i="4"/>
  <c r="U170" i="4"/>
  <c r="L236" i="4"/>
  <c r="V201" i="4"/>
  <c r="T33" i="4"/>
  <c r="X138" i="4"/>
  <c r="T138" i="4"/>
  <c r="P170" i="4"/>
  <c r="M99" i="4"/>
  <c r="J35" i="4"/>
  <c r="N35" i="4"/>
  <c r="R35" i="4"/>
  <c r="N100" i="4"/>
  <c r="M100" i="4"/>
  <c r="I100" i="4"/>
  <c r="U100" i="4"/>
  <c r="Y61" i="4"/>
  <c r="V61" i="4"/>
  <c r="W61" i="4"/>
  <c r="U61" i="4"/>
  <c r="S61" i="4"/>
  <c r="P61" i="4"/>
  <c r="X61" i="4"/>
  <c r="W80" i="4"/>
  <c r="I132" i="4"/>
  <c r="W203" i="4"/>
  <c r="P297" i="4"/>
  <c r="K259" i="4"/>
  <c r="O180" i="4"/>
  <c r="K203" i="4"/>
  <c r="S133" i="4"/>
  <c r="V180" i="4"/>
  <c r="W236" i="4"/>
  <c r="R170" i="4"/>
  <c r="S168" i="4"/>
  <c r="Q36" i="4"/>
  <c r="J36" i="4"/>
  <c r="U209" i="4"/>
  <c r="Q209" i="4"/>
  <c r="X209" i="4"/>
  <c r="T209" i="4"/>
  <c r="K209" i="4"/>
  <c r="I209" i="4"/>
  <c r="P209" i="4"/>
  <c r="M209" i="4"/>
  <c r="L209" i="4"/>
  <c r="P32" i="4"/>
  <c r="Y110" i="4"/>
  <c r="V209" i="4"/>
  <c r="O139" i="4"/>
  <c r="L203" i="4"/>
  <c r="O299" i="4"/>
  <c r="S138" i="4"/>
  <c r="T36" i="4"/>
  <c r="O37" i="4"/>
  <c r="Y170" i="4"/>
  <c r="X236" i="4"/>
  <c r="T97" i="4"/>
  <c r="R251" i="4"/>
  <c r="J251" i="4"/>
  <c r="S251" i="4"/>
  <c r="R155" i="4"/>
  <c r="T155" i="4"/>
  <c r="G95" i="4"/>
  <c r="H95" i="4" s="1"/>
  <c r="T95" i="4" s="1"/>
  <c r="Q297" i="4"/>
  <c r="W107" i="4"/>
  <c r="J107" i="4"/>
  <c r="L107" i="4"/>
  <c r="R107" i="4"/>
  <c r="S107" i="4"/>
  <c r="Y107" i="4"/>
  <c r="I180" i="4"/>
  <c r="L180" i="4"/>
  <c r="W180" i="4"/>
  <c r="G170" i="4"/>
  <c r="H170" i="4" s="1"/>
  <c r="T170" i="4"/>
  <c r="V170" i="4"/>
  <c r="O298" i="4"/>
  <c r="P298" i="4"/>
  <c r="T295" i="4"/>
  <c r="T233" i="4"/>
  <c r="K107" i="4"/>
  <c r="W297" i="4"/>
  <c r="L168" i="4"/>
  <c r="P295" i="4"/>
  <c r="Y62" i="4"/>
  <c r="G62" i="4"/>
  <c r="H62" i="4" s="1"/>
  <c r="V62" i="4" s="1"/>
  <c r="N107" i="4"/>
  <c r="U203" i="4"/>
  <c r="P258" i="4"/>
  <c r="R236" i="4"/>
  <c r="G260" i="4"/>
  <c r="H260" i="4" s="1"/>
  <c r="M260" i="4"/>
  <c r="V260" i="4"/>
  <c r="W260" i="4"/>
  <c r="I273" i="4"/>
  <c r="K250" i="4"/>
  <c r="N250" i="4"/>
  <c r="Y231" i="4"/>
  <c r="P139" i="4"/>
  <c r="W138" i="4"/>
  <c r="I203" i="4"/>
  <c r="R180" i="4"/>
  <c r="Y234" i="4"/>
  <c r="Y236" i="4"/>
  <c r="S261" i="4"/>
  <c r="W170" i="4"/>
  <c r="I133" i="4"/>
  <c r="V133" i="4"/>
  <c r="L301" i="4"/>
  <c r="S301" i="4"/>
  <c r="Y301" i="4"/>
  <c r="U84" i="4"/>
  <c r="K84" i="4"/>
  <c r="I84" i="4"/>
  <c r="G71" i="4"/>
  <c r="H71" i="4" s="1"/>
  <c r="R71" i="4" s="1"/>
  <c r="T71" i="4"/>
  <c r="U201" i="4"/>
  <c r="R273" i="4"/>
  <c r="L250" i="4"/>
  <c r="L259" i="4"/>
  <c r="W209" i="4"/>
  <c r="L233" i="4"/>
  <c r="K139" i="4"/>
  <c r="Q139" i="4"/>
  <c r="W133" i="4"/>
  <c r="U180" i="4"/>
  <c r="S37" i="4"/>
  <c r="I261" i="4"/>
  <c r="Y140" i="4"/>
  <c r="U236" i="4"/>
  <c r="G243" i="4"/>
  <c r="H243" i="4" s="1"/>
  <c r="X243" i="4" s="1"/>
  <c r="M170" i="4"/>
  <c r="T261" i="4"/>
  <c r="X170" i="4"/>
  <c r="M224" i="4"/>
  <c r="V224" i="4"/>
  <c r="L224" i="4"/>
  <c r="O171" i="4"/>
  <c r="U283" i="4"/>
  <c r="S283" i="4"/>
  <c r="O237" i="4"/>
  <c r="L237" i="4"/>
  <c r="G190" i="4"/>
  <c r="H190" i="4" s="1"/>
  <c r="O90" i="4"/>
  <c r="N209" i="4"/>
  <c r="G185" i="4"/>
  <c r="H185" i="4" s="1"/>
  <c r="J185" i="4"/>
  <c r="Y185" i="4"/>
  <c r="P204" i="4"/>
  <c r="X93" i="4"/>
  <c r="M201" i="4"/>
  <c r="R250" i="4"/>
  <c r="M233" i="4"/>
  <c r="R139" i="4"/>
  <c r="Y259" i="4"/>
  <c r="X107" i="4"/>
  <c r="S180" i="4"/>
  <c r="I260" i="4"/>
  <c r="V261" i="4"/>
  <c r="P171" i="4"/>
  <c r="J299" i="4"/>
  <c r="W299" i="4"/>
  <c r="Q299" i="4"/>
  <c r="M299" i="4"/>
  <c r="P280" i="4"/>
  <c r="N280" i="4"/>
  <c r="U49" i="4"/>
  <c r="W49" i="4"/>
  <c r="T49" i="4"/>
  <c r="L49" i="4"/>
  <c r="X49" i="4"/>
  <c r="Y246" i="4"/>
  <c r="O209" i="4"/>
  <c r="S204" i="4"/>
  <c r="O107" i="4"/>
  <c r="M204" i="4"/>
  <c r="U137" i="4"/>
  <c r="I137" i="4"/>
  <c r="K298" i="4"/>
  <c r="Y273" i="4"/>
  <c r="L273" i="4"/>
  <c r="V250" i="4"/>
  <c r="N233" i="4"/>
  <c r="U139" i="4"/>
  <c r="I259" i="4"/>
  <c r="T180" i="4"/>
  <c r="K171" i="4"/>
  <c r="J260" i="4"/>
  <c r="G267" i="4"/>
  <c r="H267" i="4" s="1"/>
  <c r="J267" i="4"/>
  <c r="W267" i="4"/>
  <c r="V267" i="4"/>
  <c r="U267" i="4"/>
  <c r="P267" i="4"/>
  <c r="O267" i="4"/>
  <c r="L267" i="4"/>
  <c r="S267" i="4"/>
  <c r="L261" i="4"/>
  <c r="T171" i="4"/>
  <c r="I44" i="4"/>
  <c r="M44" i="4"/>
  <c r="L44" i="4"/>
  <c r="N44" i="4"/>
  <c r="V285" i="4"/>
  <c r="U285" i="4"/>
  <c r="T285" i="4"/>
  <c r="J285" i="4"/>
  <c r="R285" i="4"/>
  <c r="P285" i="4"/>
  <c r="N285" i="4"/>
  <c r="K285" i="4"/>
  <c r="J209" i="4"/>
  <c r="I200" i="4"/>
  <c r="J91" i="4"/>
  <c r="R282" i="4"/>
  <c r="Q92" i="4"/>
  <c r="N188" i="4"/>
  <c r="L7" i="4"/>
  <c r="M91" i="4"/>
  <c r="I282" i="4"/>
  <c r="J121" i="4"/>
  <c r="T127" i="4"/>
  <c r="L121" i="4"/>
  <c r="L272" i="4"/>
  <c r="T282" i="4"/>
  <c r="N214" i="4"/>
  <c r="K284" i="4"/>
  <c r="Q121" i="4"/>
  <c r="L291" i="4"/>
  <c r="I7" i="4"/>
  <c r="Q245" i="4"/>
  <c r="O214" i="4"/>
  <c r="N284" i="4"/>
  <c r="P214" i="4"/>
  <c r="O284" i="4"/>
  <c r="M60" i="4"/>
  <c r="T214" i="4"/>
  <c r="M214" i="4"/>
  <c r="G10" i="4"/>
  <c r="H10" i="4" s="1"/>
  <c r="L10" i="4" s="1"/>
  <c r="V120" i="4"/>
  <c r="G30" i="4"/>
  <c r="H30" i="4" s="1"/>
  <c r="W121" i="4"/>
  <c r="G138" i="4"/>
  <c r="H138" i="4" s="1"/>
  <c r="U138" i="4"/>
  <c r="T105" i="4"/>
  <c r="K143" i="4"/>
  <c r="W143" i="4"/>
  <c r="R164" i="4"/>
  <c r="Y229" i="4"/>
  <c r="M32" i="4"/>
  <c r="W105" i="4"/>
  <c r="S250" i="4"/>
  <c r="N251" i="4"/>
  <c r="J72" i="4"/>
  <c r="R72" i="4"/>
  <c r="W120" i="4"/>
  <c r="G229" i="4"/>
  <c r="H229" i="4" s="1"/>
  <c r="W229" i="4" s="1"/>
  <c r="G191" i="4"/>
  <c r="H191" i="4" s="1"/>
  <c r="Y191" i="4"/>
  <c r="T191" i="4"/>
  <c r="Q191" i="4"/>
  <c r="J191" i="4"/>
  <c r="I169" i="4"/>
  <c r="G77" i="4"/>
  <c r="H77" i="4" s="1"/>
  <c r="P77" i="4" s="1"/>
  <c r="G49" i="4"/>
  <c r="H49" i="4" s="1"/>
  <c r="Y49" i="4"/>
  <c r="R213" i="4"/>
  <c r="I191" i="4"/>
  <c r="J169" i="4"/>
  <c r="G53" i="4"/>
  <c r="H53" i="4" s="1"/>
  <c r="I53" i="4" s="1"/>
  <c r="V191" i="4"/>
  <c r="T169" i="4"/>
  <c r="N74" i="4"/>
  <c r="T251" i="4"/>
  <c r="N241" i="4"/>
  <c r="I241" i="4"/>
  <c r="V164" i="4"/>
  <c r="W213" i="4"/>
  <c r="P191" i="4"/>
  <c r="N169" i="4"/>
  <c r="P74" i="4"/>
  <c r="Y85" i="4"/>
  <c r="G50" i="4"/>
  <c r="H50" i="4" s="1"/>
  <c r="Y165" i="4"/>
  <c r="U164" i="4"/>
  <c r="J164" i="4"/>
  <c r="U93" i="4"/>
  <c r="J213" i="4"/>
  <c r="W191" i="4"/>
  <c r="S169" i="4"/>
  <c r="T74" i="4"/>
  <c r="I251" i="4"/>
  <c r="Y68" i="4"/>
  <c r="P164" i="4"/>
  <c r="T21" i="4"/>
  <c r="M21" i="4"/>
  <c r="V93" i="4"/>
  <c r="M213" i="4"/>
  <c r="Y23" i="4"/>
  <c r="X191" i="4"/>
  <c r="U169" i="4"/>
  <c r="S74" i="4"/>
  <c r="J75" i="4"/>
  <c r="Q75" i="4"/>
  <c r="Y232" i="4"/>
  <c r="G232" i="4"/>
  <c r="H232" i="4" s="1"/>
  <c r="O232" i="4" s="1"/>
  <c r="Q232" i="4"/>
  <c r="S93" i="4"/>
  <c r="K191" i="4"/>
  <c r="V169" i="4"/>
  <c r="V74" i="4"/>
  <c r="J168" i="4"/>
  <c r="K168" i="4"/>
  <c r="X168" i="4"/>
  <c r="Y168" i="4"/>
  <c r="G45" i="4"/>
  <c r="H45" i="4" s="1"/>
  <c r="X45" i="4"/>
  <c r="P45" i="4"/>
  <c r="L164" i="4"/>
  <c r="N53" i="4"/>
  <c r="L93" i="4"/>
  <c r="R191" i="4"/>
  <c r="V72" i="4"/>
  <c r="X169" i="4"/>
  <c r="I219" i="4"/>
  <c r="Y30" i="4"/>
  <c r="U191" i="4"/>
  <c r="M169" i="4"/>
  <c r="K74" i="4"/>
  <c r="I164" i="4"/>
  <c r="S191" i="4"/>
  <c r="R169" i="4"/>
  <c r="Q74" i="4"/>
  <c r="G216" i="4"/>
  <c r="H216" i="4" s="1"/>
  <c r="N216" i="4" s="1"/>
  <c r="P80" i="4"/>
  <c r="N164" i="4"/>
  <c r="L191" i="4"/>
  <c r="Y169" i="4"/>
  <c r="L182" i="4"/>
  <c r="T35" i="4"/>
  <c r="P104" i="4"/>
  <c r="I177" i="4"/>
  <c r="S182" i="4"/>
  <c r="U35" i="4"/>
  <c r="M93" i="4"/>
  <c r="Q120" i="4"/>
  <c r="K169" i="4"/>
  <c r="Q164" i="4"/>
  <c r="R80" i="4"/>
  <c r="Y93" i="4"/>
  <c r="M191" i="4"/>
  <c r="W169" i="4"/>
  <c r="Y75" i="4"/>
  <c r="M104" i="4"/>
  <c r="Y43" i="4"/>
  <c r="N211" i="4"/>
  <c r="Q104" i="4"/>
  <c r="T182" i="4"/>
  <c r="I35" i="4"/>
  <c r="Y155" i="4"/>
  <c r="N204" i="4"/>
  <c r="V138" i="4"/>
  <c r="K73" i="4"/>
  <c r="Y73" i="4"/>
  <c r="I117" i="4"/>
  <c r="P120" i="4"/>
  <c r="L169" i="4"/>
  <c r="U219" i="4"/>
  <c r="M49" i="4"/>
  <c r="U148" i="4"/>
  <c r="Y53" i="4"/>
  <c r="I222" i="4"/>
  <c r="P35" i="4"/>
  <c r="G121" i="4"/>
  <c r="H121" i="4" s="1"/>
  <c r="V121" i="4"/>
  <c r="U121" i="4"/>
  <c r="I121" i="4"/>
  <c r="R121" i="4"/>
  <c r="O75" i="4"/>
  <c r="U75" i="4"/>
  <c r="W75" i="4"/>
  <c r="K117" i="4"/>
  <c r="T120" i="4"/>
  <c r="O169" i="4"/>
  <c r="X148" i="4"/>
  <c r="P169" i="4"/>
  <c r="V237" i="4"/>
  <c r="T237" i="4"/>
  <c r="R237" i="4"/>
  <c r="Q169" i="4"/>
  <c r="I148" i="4"/>
  <c r="S53" i="4"/>
  <c r="L198" i="4"/>
  <c r="I198" i="4"/>
  <c r="J155" i="4"/>
  <c r="O138" i="4"/>
  <c r="R120" i="4"/>
  <c r="Q241" i="4"/>
  <c r="N148" i="4"/>
  <c r="G220" i="4"/>
  <c r="H220" i="4" s="1"/>
  <c r="U220" i="4"/>
  <c r="O220" i="4"/>
  <c r="T121" i="4"/>
  <c r="G99" i="4"/>
  <c r="H99" i="4" s="1"/>
  <c r="T99" i="4" s="1"/>
  <c r="S99" i="4"/>
  <c r="D142" i="3"/>
  <c r="U142" i="3" s="1"/>
  <c r="Z142" i="4"/>
  <c r="F25" i="4"/>
  <c r="Z25" i="4"/>
  <c r="D25" i="3"/>
  <c r="U25" i="3" s="1"/>
  <c r="G70" i="4"/>
  <c r="H70" i="4" s="1"/>
  <c r="L70" i="4"/>
  <c r="K70" i="4"/>
  <c r="P70" i="4"/>
  <c r="M70" i="4"/>
  <c r="Y91" i="4"/>
  <c r="G91" i="4"/>
  <c r="H91" i="4" s="1"/>
  <c r="H91" i="3"/>
  <c r="F91" i="3"/>
  <c r="E91" i="3"/>
  <c r="G100" i="4"/>
  <c r="H100" i="4" s="1"/>
  <c r="R100" i="4"/>
  <c r="F42" i="3"/>
  <c r="V7" i="4"/>
  <c r="R60" i="4"/>
  <c r="I127" i="3"/>
  <c r="Q127" i="3"/>
  <c r="F123" i="4"/>
  <c r="D123" i="3"/>
  <c r="Z123" i="4"/>
  <c r="O127" i="4"/>
  <c r="H121" i="3"/>
  <c r="F118" i="4"/>
  <c r="D118" i="3"/>
  <c r="U118" i="3" s="1"/>
  <c r="Z118" i="4"/>
  <c r="P127" i="4"/>
  <c r="N121" i="3"/>
  <c r="L60" i="4"/>
  <c r="Q127" i="4"/>
  <c r="E121" i="3"/>
  <c r="N60" i="4"/>
  <c r="U127" i="4"/>
  <c r="F121" i="3"/>
  <c r="G246" i="4"/>
  <c r="H246" i="4" s="1"/>
  <c r="P246" i="4" s="1"/>
  <c r="R127" i="4"/>
  <c r="V89" i="4"/>
  <c r="K91" i="4"/>
  <c r="W89" i="4"/>
  <c r="F28" i="4"/>
  <c r="G28" i="4" s="1"/>
  <c r="H28" i="4" s="1"/>
  <c r="O48" i="4"/>
  <c r="Z44" i="4"/>
  <c r="T42" i="3"/>
  <c r="Y7" i="4"/>
  <c r="S127" i="4"/>
  <c r="K121" i="3"/>
  <c r="J127" i="3"/>
  <c r="D184" i="3"/>
  <c r="F184" i="4"/>
  <c r="Z184" i="4"/>
  <c r="Z98" i="4"/>
  <c r="F98" i="4"/>
  <c r="D98" i="3"/>
  <c r="U98" i="3" s="1"/>
  <c r="Z28" i="4"/>
  <c r="S48" i="4"/>
  <c r="T100" i="4"/>
  <c r="W244" i="4"/>
  <c r="O7" i="4"/>
  <c r="W127" i="4"/>
  <c r="S121" i="3"/>
  <c r="G127" i="3"/>
  <c r="Y127" i="4"/>
  <c r="P121" i="3"/>
  <c r="H127" i="3"/>
  <c r="D172" i="3"/>
  <c r="U172" i="3" s="1"/>
  <c r="M48" i="3"/>
  <c r="G119" i="4"/>
  <c r="H119" i="4" s="1"/>
  <c r="P119" i="4" s="1"/>
  <c r="Q119" i="4"/>
  <c r="W48" i="4"/>
  <c r="W100" i="4"/>
  <c r="J244" i="4"/>
  <c r="F193" i="4"/>
  <c r="O193" i="4" s="1"/>
  <c r="Q7" i="4"/>
  <c r="X127" i="4"/>
  <c r="O121" i="3"/>
  <c r="F127" i="3"/>
  <c r="L48" i="3"/>
  <c r="X100" i="4"/>
  <c r="K244" i="4"/>
  <c r="R7" i="4"/>
  <c r="M127" i="4"/>
  <c r="Z195" i="4"/>
  <c r="G121" i="3"/>
  <c r="N127" i="3"/>
  <c r="H48" i="3"/>
  <c r="F196" i="4"/>
  <c r="K185" i="4"/>
  <c r="S7" i="4"/>
  <c r="G7" i="3" s="1"/>
  <c r="K7" i="3" s="1"/>
  <c r="L127" i="4"/>
  <c r="D195" i="3"/>
  <c r="U195" i="3" s="1"/>
  <c r="E127" i="3"/>
  <c r="F48" i="3"/>
  <c r="F238" i="4"/>
  <c r="D238" i="3"/>
  <c r="L91" i="4"/>
  <c r="R185" i="3"/>
  <c r="I185" i="3"/>
  <c r="P185" i="3"/>
  <c r="S185" i="3"/>
  <c r="K185" i="3"/>
  <c r="G185" i="3"/>
  <c r="S185" i="4"/>
  <c r="F122" i="4"/>
  <c r="D122" i="3"/>
  <c r="Z122" i="4"/>
  <c r="G2" i="7"/>
  <c r="P91" i="4"/>
  <c r="W185" i="4"/>
  <c r="J127" i="4"/>
  <c r="D64" i="3"/>
  <c r="F64" i="4"/>
  <c r="Y11" i="4"/>
  <c r="X91" i="4"/>
  <c r="D244" i="3"/>
  <c r="G209" i="4"/>
  <c r="H209" i="4" s="1"/>
  <c r="S209" i="4"/>
  <c r="R209" i="4"/>
  <c r="O91" i="4"/>
  <c r="G15" i="4"/>
  <c r="H15" i="4" s="1"/>
  <c r="Q15" i="4" s="1"/>
  <c r="Y15" i="4"/>
  <c r="V15" i="4"/>
  <c r="R15" i="4"/>
  <c r="O24" i="3"/>
  <c r="P24" i="3"/>
  <c r="M24" i="3"/>
  <c r="N24" i="3"/>
  <c r="S24" i="3"/>
  <c r="Q24" i="3"/>
  <c r="G24" i="3"/>
  <c r="J24" i="3"/>
  <c r="L24" i="3"/>
  <c r="E24" i="3"/>
  <c r="R24" i="3"/>
  <c r="I24" i="3"/>
  <c r="H24" i="3"/>
  <c r="K24" i="3"/>
  <c r="T24" i="3"/>
  <c r="F24" i="3"/>
  <c r="L142" i="4"/>
  <c r="Y145" i="4"/>
  <c r="S115" i="4"/>
  <c r="X115" i="4"/>
  <c r="O115" i="4"/>
  <c r="K115" i="4"/>
  <c r="P115" i="4"/>
  <c r="G115" i="4"/>
  <c r="H115" i="4" s="1"/>
  <c r="Q141" i="4"/>
  <c r="K261" i="4"/>
  <c r="R100" i="3"/>
  <c r="S100" i="3"/>
  <c r="M100" i="3"/>
  <c r="G100" i="3"/>
  <c r="E100" i="3"/>
  <c r="T100" i="3"/>
  <c r="O100" i="3"/>
  <c r="P100" i="3"/>
  <c r="J100" i="3"/>
  <c r="N100" i="3"/>
  <c r="I100" i="3"/>
  <c r="Q100" i="3"/>
  <c r="K100" i="3"/>
  <c r="L100" i="3"/>
  <c r="H100" i="3"/>
  <c r="F100" i="3"/>
  <c r="P72" i="4"/>
  <c r="X73" i="4"/>
  <c r="G264" i="4"/>
  <c r="H264" i="4" s="1"/>
  <c r="T264" i="4"/>
  <c r="S264" i="4"/>
  <c r="R264" i="4"/>
  <c r="N264" i="4"/>
  <c r="W146" i="4"/>
  <c r="T271" i="3"/>
  <c r="O271" i="3"/>
  <c r="P271" i="3"/>
  <c r="S271" i="3"/>
  <c r="L271" i="3"/>
  <c r="M271" i="3"/>
  <c r="Q271" i="3"/>
  <c r="E271" i="3"/>
  <c r="K271" i="3"/>
  <c r="G271" i="3"/>
  <c r="J271" i="3"/>
  <c r="F271" i="3"/>
  <c r="H271" i="3"/>
  <c r="R271" i="3"/>
  <c r="N271" i="3"/>
  <c r="I271" i="3"/>
  <c r="S219" i="4"/>
  <c r="R289" i="4"/>
  <c r="Q291" i="4"/>
  <c r="Y24" i="4"/>
  <c r="M144" i="4"/>
  <c r="L288" i="4"/>
  <c r="G272" i="4"/>
  <c r="H272" i="4" s="1"/>
  <c r="W272" i="4"/>
  <c r="U272" i="4"/>
  <c r="Q272" i="4"/>
  <c r="V272" i="4"/>
  <c r="P272" i="4"/>
  <c r="M272" i="4"/>
  <c r="K76" i="4"/>
  <c r="I220" i="4"/>
  <c r="O221" i="4"/>
  <c r="G182" i="4"/>
  <c r="H182" i="4" s="1"/>
  <c r="Y182" i="4"/>
  <c r="W182" i="4"/>
  <c r="V182" i="4"/>
  <c r="R182" i="4"/>
  <c r="U182" i="4"/>
  <c r="Q182" i="4"/>
  <c r="M182" i="4"/>
  <c r="I182" i="4"/>
  <c r="X182" i="4"/>
  <c r="G299" i="4"/>
  <c r="H299" i="4" s="1"/>
  <c r="L299" i="4"/>
  <c r="J132" i="3"/>
  <c r="I132" i="3"/>
  <c r="F132" i="3"/>
  <c r="S132" i="3"/>
  <c r="K132" i="3"/>
  <c r="L132" i="3"/>
  <c r="E132" i="3"/>
  <c r="M132" i="3"/>
  <c r="P132" i="3"/>
  <c r="Q132" i="3"/>
  <c r="H132" i="3"/>
  <c r="T132" i="3"/>
  <c r="N132" i="3"/>
  <c r="O132" i="3"/>
  <c r="R132" i="3"/>
  <c r="G132" i="3"/>
  <c r="W269" i="4"/>
  <c r="G96" i="4"/>
  <c r="H96" i="4" s="1"/>
  <c r="X293" i="4"/>
  <c r="O36" i="3"/>
  <c r="T36" i="3"/>
  <c r="Q36" i="3"/>
  <c r="M36" i="3"/>
  <c r="N36" i="3"/>
  <c r="P36" i="3"/>
  <c r="R36" i="3"/>
  <c r="S36" i="3"/>
  <c r="E36" i="3"/>
  <c r="I36" i="3"/>
  <c r="G36" i="3"/>
  <c r="H36" i="3"/>
  <c r="K36" i="3"/>
  <c r="L36" i="3"/>
  <c r="J36" i="3"/>
  <c r="F36" i="3"/>
  <c r="V150" i="4"/>
  <c r="Q31" i="4"/>
  <c r="L79" i="4"/>
  <c r="N103" i="4"/>
  <c r="W175" i="4"/>
  <c r="I199" i="4"/>
  <c r="Y271" i="4"/>
  <c r="O282" i="3"/>
  <c r="Q282" i="3"/>
  <c r="R282" i="3"/>
  <c r="K282" i="3"/>
  <c r="S282" i="3"/>
  <c r="J282" i="3"/>
  <c r="N282" i="3"/>
  <c r="E282" i="3"/>
  <c r="I282" i="3"/>
  <c r="T282" i="3"/>
  <c r="G282" i="3"/>
  <c r="H282" i="3"/>
  <c r="L282" i="3"/>
  <c r="F282" i="3"/>
  <c r="M282" i="3"/>
  <c r="P282" i="3"/>
  <c r="O17" i="4"/>
  <c r="G17" i="4"/>
  <c r="H17" i="4" s="1"/>
  <c r="L17" i="4"/>
  <c r="N17" i="4"/>
  <c r="M17" i="4"/>
  <c r="K17" i="4"/>
  <c r="X17" i="4"/>
  <c r="V17" i="4"/>
  <c r="U17" i="4"/>
  <c r="T17" i="4"/>
  <c r="S17" i="4"/>
  <c r="R17" i="4"/>
  <c r="W17" i="4"/>
  <c r="Q17" i="4"/>
  <c r="P17" i="4"/>
  <c r="N209" i="3"/>
  <c r="H209" i="3"/>
  <c r="O209" i="3"/>
  <c r="P209" i="3"/>
  <c r="T209" i="3"/>
  <c r="Q209" i="3"/>
  <c r="S209" i="3"/>
  <c r="J209" i="3"/>
  <c r="I209" i="3"/>
  <c r="G209" i="3"/>
  <c r="M209" i="3"/>
  <c r="F209" i="3"/>
  <c r="R209" i="3"/>
  <c r="K209" i="3"/>
  <c r="L209" i="3"/>
  <c r="E209" i="3"/>
  <c r="N257" i="4"/>
  <c r="U81" i="4"/>
  <c r="R81" i="4"/>
  <c r="G81" i="4"/>
  <c r="H81" i="4" s="1"/>
  <c r="Q81" i="4"/>
  <c r="P81" i="4"/>
  <c r="N81" i="4"/>
  <c r="V81" i="4"/>
  <c r="L81" i="4"/>
  <c r="O81" i="4"/>
  <c r="M81" i="4"/>
  <c r="K81" i="4"/>
  <c r="J81" i="4"/>
  <c r="I81" i="4"/>
  <c r="X145" i="4"/>
  <c r="P142" i="4"/>
  <c r="W145" i="4"/>
  <c r="N141" i="4"/>
  <c r="T264" i="3"/>
  <c r="Q264" i="3"/>
  <c r="R264" i="3"/>
  <c r="S264" i="3"/>
  <c r="K264" i="3"/>
  <c r="N264" i="3"/>
  <c r="F264" i="3"/>
  <c r="J264" i="3"/>
  <c r="E264" i="3"/>
  <c r="M264" i="3"/>
  <c r="O264" i="3"/>
  <c r="L264" i="3"/>
  <c r="H264" i="3"/>
  <c r="G264" i="3"/>
  <c r="P264" i="3"/>
  <c r="I264" i="3"/>
  <c r="X146" i="4"/>
  <c r="U289" i="4"/>
  <c r="T297" i="3"/>
  <c r="M297" i="3"/>
  <c r="J297" i="3"/>
  <c r="R297" i="3"/>
  <c r="S297" i="3"/>
  <c r="N297" i="3"/>
  <c r="O297" i="3"/>
  <c r="L297" i="3"/>
  <c r="P297" i="3"/>
  <c r="Q297" i="3"/>
  <c r="E297" i="3"/>
  <c r="G297" i="3"/>
  <c r="H297" i="3"/>
  <c r="F297" i="3"/>
  <c r="K297" i="3"/>
  <c r="I297" i="3"/>
  <c r="P24" i="4"/>
  <c r="N144" i="4"/>
  <c r="J240" i="4"/>
  <c r="M288" i="4"/>
  <c r="T272" i="3"/>
  <c r="K272" i="3"/>
  <c r="M272" i="3"/>
  <c r="J272" i="3"/>
  <c r="P272" i="3"/>
  <c r="I272" i="3"/>
  <c r="S272" i="3"/>
  <c r="G272" i="3"/>
  <c r="F272" i="3"/>
  <c r="R272" i="3"/>
  <c r="N272" i="3"/>
  <c r="H272" i="3"/>
  <c r="O272" i="3"/>
  <c r="Q272" i="3"/>
  <c r="E272" i="3"/>
  <c r="L272" i="3"/>
  <c r="O76" i="4"/>
  <c r="Q108" i="3"/>
  <c r="R108" i="3"/>
  <c r="S108" i="3"/>
  <c r="T108" i="3"/>
  <c r="K108" i="3"/>
  <c r="L108" i="3"/>
  <c r="H108" i="3"/>
  <c r="O108" i="3"/>
  <c r="G108" i="3"/>
  <c r="F108" i="3"/>
  <c r="I108" i="3"/>
  <c r="M108" i="3"/>
  <c r="N108" i="3"/>
  <c r="E108" i="3"/>
  <c r="P108" i="3"/>
  <c r="J108" i="3"/>
  <c r="I221" i="4"/>
  <c r="G133" i="4"/>
  <c r="H133" i="4" s="1"/>
  <c r="T133" i="4"/>
  <c r="Q133" i="4"/>
  <c r="O133" i="4"/>
  <c r="P133" i="4"/>
  <c r="N133" i="4"/>
  <c r="K133" i="4"/>
  <c r="L133" i="4"/>
  <c r="J133" i="4"/>
  <c r="M133" i="4"/>
  <c r="P182" i="3"/>
  <c r="K182" i="3"/>
  <c r="O182" i="3"/>
  <c r="S182" i="3"/>
  <c r="T182" i="3"/>
  <c r="F182" i="3"/>
  <c r="H182" i="3"/>
  <c r="R182" i="3"/>
  <c r="M182" i="3"/>
  <c r="G182" i="3"/>
  <c r="N182" i="3"/>
  <c r="I182" i="3"/>
  <c r="J182" i="3"/>
  <c r="E182" i="3"/>
  <c r="Q182" i="3"/>
  <c r="L182" i="3"/>
  <c r="X269" i="4"/>
  <c r="G172" i="4"/>
  <c r="H172" i="4" s="1"/>
  <c r="J172" i="4"/>
  <c r="K172" i="4"/>
  <c r="R28" i="4"/>
  <c r="O45" i="3"/>
  <c r="T45" i="3"/>
  <c r="P45" i="3"/>
  <c r="Q45" i="3"/>
  <c r="M45" i="3"/>
  <c r="J45" i="3"/>
  <c r="N45" i="3"/>
  <c r="R45" i="3"/>
  <c r="S45" i="3"/>
  <c r="E45" i="3"/>
  <c r="H45" i="3"/>
  <c r="G45" i="3"/>
  <c r="L45" i="3"/>
  <c r="K45" i="3"/>
  <c r="F45" i="3"/>
  <c r="I45" i="3"/>
  <c r="G36" i="4"/>
  <c r="H36" i="4" s="1"/>
  <c r="M36" i="4"/>
  <c r="Y36" i="4"/>
  <c r="S36" i="4"/>
  <c r="O36" i="4"/>
  <c r="N36" i="4"/>
  <c r="R36" i="4"/>
  <c r="P36" i="4"/>
  <c r="L36" i="4"/>
  <c r="K36" i="4"/>
  <c r="V31" i="4"/>
  <c r="N79" i="4"/>
  <c r="O103" i="4"/>
  <c r="X175" i="4"/>
  <c r="M199" i="4"/>
  <c r="P159" i="4"/>
  <c r="O159" i="4"/>
  <c r="L159" i="4"/>
  <c r="K159" i="4"/>
  <c r="U159" i="4"/>
  <c r="G159" i="4"/>
  <c r="H159" i="4" s="1"/>
  <c r="G140" i="4"/>
  <c r="H140" i="4" s="1"/>
  <c r="K140" i="4" s="1"/>
  <c r="G197" i="4"/>
  <c r="H197" i="4" s="1"/>
  <c r="X197" i="4" s="1"/>
  <c r="W197" i="4"/>
  <c r="G29" i="4"/>
  <c r="H29" i="4" s="1"/>
  <c r="Q29" i="4"/>
  <c r="L29" i="4"/>
  <c r="O257" i="4"/>
  <c r="Q256" i="3"/>
  <c r="H256" i="3"/>
  <c r="K256" i="3"/>
  <c r="F256" i="3"/>
  <c r="L256" i="3"/>
  <c r="T256" i="3"/>
  <c r="M256" i="3"/>
  <c r="N256" i="3"/>
  <c r="E256" i="3"/>
  <c r="J256" i="3"/>
  <c r="S256" i="3"/>
  <c r="O256" i="3"/>
  <c r="P256" i="3"/>
  <c r="G256" i="3"/>
  <c r="R256" i="3"/>
  <c r="I256" i="3"/>
  <c r="G186" i="4"/>
  <c r="H186" i="4" s="1"/>
  <c r="M186" i="4" s="1"/>
  <c r="O186" i="4"/>
  <c r="U258" i="4"/>
  <c r="T97" i="3"/>
  <c r="R97" i="3"/>
  <c r="S97" i="3"/>
  <c r="K97" i="3"/>
  <c r="E97" i="3"/>
  <c r="O97" i="3"/>
  <c r="I97" i="3"/>
  <c r="F97" i="3"/>
  <c r="P97" i="3"/>
  <c r="Q97" i="3"/>
  <c r="G97" i="3"/>
  <c r="H97" i="3"/>
  <c r="J97" i="3"/>
  <c r="L97" i="3"/>
  <c r="M97" i="3"/>
  <c r="N97" i="3"/>
  <c r="Q142" i="4"/>
  <c r="X143" i="4"/>
  <c r="O115" i="3"/>
  <c r="Q115" i="3"/>
  <c r="T115" i="3"/>
  <c r="J115" i="3"/>
  <c r="R115" i="3"/>
  <c r="S115" i="3"/>
  <c r="H115" i="3"/>
  <c r="F115" i="3"/>
  <c r="K115" i="3"/>
  <c r="I115" i="3"/>
  <c r="G115" i="3"/>
  <c r="P115" i="3"/>
  <c r="L115" i="3"/>
  <c r="N115" i="3"/>
  <c r="M115" i="3"/>
  <c r="E115" i="3"/>
  <c r="J93" i="4"/>
  <c r="T141" i="4"/>
  <c r="N261" i="4"/>
  <c r="N263" i="4"/>
  <c r="W72" i="4"/>
  <c r="K264" i="4"/>
  <c r="I73" i="4"/>
  <c r="W74" i="4"/>
  <c r="U33" i="4"/>
  <c r="O33" i="4"/>
  <c r="M33" i="4"/>
  <c r="L33" i="4"/>
  <c r="K33" i="4"/>
  <c r="J33" i="4"/>
  <c r="P33" i="4"/>
  <c r="G33" i="4"/>
  <c r="H33" i="4" s="1"/>
  <c r="I33" i="4"/>
  <c r="V33" i="4"/>
  <c r="Q33" i="4"/>
  <c r="O219" i="4"/>
  <c r="V289" i="4"/>
  <c r="V291" i="4"/>
  <c r="R24" i="4"/>
  <c r="P144" i="4"/>
  <c r="K240" i="4"/>
  <c r="S288" i="4"/>
  <c r="Q76" i="4"/>
  <c r="P220" i="4"/>
  <c r="R29" i="4"/>
  <c r="U221" i="4"/>
  <c r="Q276" i="3"/>
  <c r="R276" i="3"/>
  <c r="P276" i="3"/>
  <c r="S276" i="3"/>
  <c r="M276" i="3"/>
  <c r="O276" i="3"/>
  <c r="E276" i="3"/>
  <c r="G276" i="3"/>
  <c r="H276" i="3"/>
  <c r="T276" i="3"/>
  <c r="J276" i="3"/>
  <c r="I276" i="3"/>
  <c r="F276" i="3"/>
  <c r="K276" i="3"/>
  <c r="L276" i="3"/>
  <c r="N276" i="3"/>
  <c r="O228" i="3"/>
  <c r="P228" i="3"/>
  <c r="M228" i="3"/>
  <c r="T228" i="3"/>
  <c r="J228" i="3"/>
  <c r="G228" i="3"/>
  <c r="L228" i="3"/>
  <c r="N228" i="3"/>
  <c r="Q228" i="3"/>
  <c r="F228" i="3"/>
  <c r="K228" i="3"/>
  <c r="E228" i="3"/>
  <c r="I228" i="3"/>
  <c r="R228" i="3"/>
  <c r="S228" i="3"/>
  <c r="H228" i="3"/>
  <c r="Q269" i="4"/>
  <c r="G14" i="4"/>
  <c r="H14" i="4" s="1"/>
  <c r="I14" i="4" s="1"/>
  <c r="Y14" i="4"/>
  <c r="G280" i="4"/>
  <c r="H280" i="4" s="1"/>
  <c r="Y280" i="4"/>
  <c r="X280" i="4"/>
  <c r="U280" i="4"/>
  <c r="V28" i="4"/>
  <c r="N268" i="4"/>
  <c r="I293" i="4"/>
  <c r="G92" i="4"/>
  <c r="H92" i="4" s="1"/>
  <c r="W92" i="4"/>
  <c r="V92" i="4"/>
  <c r="U92" i="4"/>
  <c r="T92" i="4"/>
  <c r="S92" i="4"/>
  <c r="R92" i="4"/>
  <c r="W37" i="4"/>
  <c r="Y37" i="4"/>
  <c r="N37" i="4"/>
  <c r="M37" i="4"/>
  <c r="I37" i="4"/>
  <c r="G37" i="4"/>
  <c r="H37" i="4" s="1"/>
  <c r="V37" i="4"/>
  <c r="U37" i="4"/>
  <c r="P37" i="4"/>
  <c r="W31" i="4"/>
  <c r="S79" i="4"/>
  <c r="R103" i="4"/>
  <c r="O175" i="4"/>
  <c r="N199" i="4"/>
  <c r="Q171" i="3"/>
  <c r="R171" i="3"/>
  <c r="O171" i="3"/>
  <c r="P171" i="3"/>
  <c r="G171" i="3"/>
  <c r="E171" i="3"/>
  <c r="K171" i="3"/>
  <c r="L171" i="3"/>
  <c r="M171" i="3"/>
  <c r="T171" i="3"/>
  <c r="J171" i="3"/>
  <c r="I171" i="3"/>
  <c r="F171" i="3"/>
  <c r="S171" i="3"/>
  <c r="N171" i="3"/>
  <c r="H171" i="3"/>
  <c r="Q220" i="4"/>
  <c r="N177" i="4"/>
  <c r="G177" i="4"/>
  <c r="H177" i="4" s="1"/>
  <c r="K177" i="4"/>
  <c r="J177" i="4"/>
  <c r="V177" i="4"/>
  <c r="O177" i="4"/>
  <c r="W177" i="4"/>
  <c r="T257" i="4"/>
  <c r="G189" i="4"/>
  <c r="H189" i="4" s="1"/>
  <c r="Q189" i="4" s="1"/>
  <c r="X258" i="4"/>
  <c r="G97" i="4"/>
  <c r="H97" i="4" s="1"/>
  <c r="J97" i="4"/>
  <c r="I97" i="4"/>
  <c r="M97" i="4"/>
  <c r="O161" i="3"/>
  <c r="P161" i="3"/>
  <c r="R161" i="3"/>
  <c r="S161" i="3"/>
  <c r="H161" i="3"/>
  <c r="L161" i="3"/>
  <c r="M161" i="3"/>
  <c r="T161" i="3"/>
  <c r="N161" i="3"/>
  <c r="J161" i="3"/>
  <c r="I161" i="3"/>
  <c r="Q161" i="3"/>
  <c r="K161" i="3"/>
  <c r="G161" i="3"/>
  <c r="E161" i="3"/>
  <c r="F161" i="3"/>
  <c r="P16" i="3"/>
  <c r="Q16" i="3"/>
  <c r="H16" i="3"/>
  <c r="F16" i="3"/>
  <c r="J16" i="3"/>
  <c r="O16" i="3"/>
  <c r="R16" i="3"/>
  <c r="S16" i="3"/>
  <c r="E16" i="3"/>
  <c r="I16" i="3"/>
  <c r="T16" i="3"/>
  <c r="K16" i="3"/>
  <c r="N16" i="3"/>
  <c r="G16" i="3"/>
  <c r="M16" i="3"/>
  <c r="L16" i="3"/>
  <c r="Q65" i="3"/>
  <c r="H65" i="3"/>
  <c r="O65" i="3"/>
  <c r="R65" i="3"/>
  <c r="G65" i="3"/>
  <c r="L65" i="3"/>
  <c r="T65" i="3"/>
  <c r="M65" i="3"/>
  <c r="P65" i="3"/>
  <c r="I65" i="3"/>
  <c r="F65" i="3"/>
  <c r="K65" i="3"/>
  <c r="N65" i="3"/>
  <c r="S65" i="3"/>
  <c r="J65" i="3"/>
  <c r="E65" i="3"/>
  <c r="T29" i="3"/>
  <c r="O29" i="3"/>
  <c r="P29" i="3"/>
  <c r="R29" i="3"/>
  <c r="K29" i="3"/>
  <c r="L29" i="3"/>
  <c r="M29" i="3"/>
  <c r="N29" i="3"/>
  <c r="J29" i="3"/>
  <c r="Q29" i="3"/>
  <c r="S29" i="3"/>
  <c r="E29" i="3"/>
  <c r="H29" i="3"/>
  <c r="G29" i="3"/>
  <c r="I29" i="3"/>
  <c r="F29" i="3"/>
  <c r="Y212" i="4"/>
  <c r="U142" i="4"/>
  <c r="J143" i="4"/>
  <c r="G164" i="4"/>
  <c r="H164" i="4" s="1"/>
  <c r="W164" i="4"/>
  <c r="T164" i="4"/>
  <c r="N93" i="4"/>
  <c r="I141" i="4"/>
  <c r="O261" i="4"/>
  <c r="R148" i="3"/>
  <c r="Q148" i="3"/>
  <c r="P148" i="3"/>
  <c r="S148" i="3"/>
  <c r="G148" i="3"/>
  <c r="E148" i="3"/>
  <c r="I148" i="3"/>
  <c r="T148" i="3"/>
  <c r="O148" i="3"/>
  <c r="K148" i="3"/>
  <c r="L148" i="3"/>
  <c r="H148" i="3"/>
  <c r="F148" i="3"/>
  <c r="N148" i="3"/>
  <c r="J148" i="3"/>
  <c r="M148" i="3"/>
  <c r="Q263" i="4"/>
  <c r="I72" i="4"/>
  <c r="L264" i="4"/>
  <c r="J73" i="4"/>
  <c r="Q33" i="3"/>
  <c r="R33" i="3"/>
  <c r="S33" i="3"/>
  <c r="O33" i="3"/>
  <c r="P33" i="3"/>
  <c r="K33" i="3"/>
  <c r="N33" i="3"/>
  <c r="J33" i="3"/>
  <c r="H33" i="3"/>
  <c r="M33" i="3"/>
  <c r="E33" i="3"/>
  <c r="G33" i="3"/>
  <c r="L33" i="3"/>
  <c r="T33" i="3"/>
  <c r="F33" i="3"/>
  <c r="I33" i="3"/>
  <c r="U97" i="4"/>
  <c r="P219" i="4"/>
  <c r="Y121" i="4"/>
  <c r="Y289" i="4"/>
  <c r="O291" i="4"/>
  <c r="S24" i="4"/>
  <c r="Q144" i="4"/>
  <c r="L240" i="4"/>
  <c r="T288" i="4"/>
  <c r="M145" i="4"/>
  <c r="G154" i="4"/>
  <c r="H154" i="4" s="1"/>
  <c r="Y154" i="4"/>
  <c r="P76" i="4"/>
  <c r="S220" i="4"/>
  <c r="X29" i="4"/>
  <c r="J221" i="4"/>
  <c r="O133" i="3"/>
  <c r="K133" i="3"/>
  <c r="S133" i="3"/>
  <c r="J133" i="3"/>
  <c r="T133" i="3"/>
  <c r="P133" i="3"/>
  <c r="Q133" i="3"/>
  <c r="E133" i="3"/>
  <c r="M133" i="3"/>
  <c r="N133" i="3"/>
  <c r="H133" i="3"/>
  <c r="F133" i="3"/>
  <c r="L133" i="3"/>
  <c r="R133" i="3"/>
  <c r="I133" i="3"/>
  <c r="G133" i="3"/>
  <c r="G276" i="4"/>
  <c r="H276" i="4" s="1"/>
  <c r="V276" i="4"/>
  <c r="U276" i="4"/>
  <c r="P276" i="4"/>
  <c r="J276" i="4"/>
  <c r="S269" i="4"/>
  <c r="W44" i="4"/>
  <c r="V44" i="4"/>
  <c r="G44" i="4"/>
  <c r="H44" i="4" s="1"/>
  <c r="T44" i="4"/>
  <c r="U44" i="4"/>
  <c r="S44" i="4"/>
  <c r="R44" i="4"/>
  <c r="Q44" i="4"/>
  <c r="P44" i="4"/>
  <c r="T268" i="4"/>
  <c r="N293" i="4"/>
  <c r="G46" i="4"/>
  <c r="H46" i="4" s="1"/>
  <c r="G84" i="4"/>
  <c r="H84" i="4" s="1"/>
  <c r="Y84" i="4"/>
  <c r="S84" i="4"/>
  <c r="X84" i="4"/>
  <c r="W84" i="4"/>
  <c r="R84" i="4"/>
  <c r="L84" i="4"/>
  <c r="L31" i="4"/>
  <c r="V79" i="4"/>
  <c r="S103" i="4"/>
  <c r="M151" i="4"/>
  <c r="P175" i="4"/>
  <c r="U199" i="4"/>
  <c r="U295" i="4"/>
  <c r="S159" i="3"/>
  <c r="M159" i="3"/>
  <c r="F159" i="3"/>
  <c r="T159" i="3"/>
  <c r="P159" i="3"/>
  <c r="Q159" i="3"/>
  <c r="R159" i="3"/>
  <c r="I159" i="3"/>
  <c r="O159" i="3"/>
  <c r="K159" i="3"/>
  <c r="L159" i="3"/>
  <c r="H159" i="3"/>
  <c r="J159" i="3"/>
  <c r="G159" i="3"/>
  <c r="N159" i="3"/>
  <c r="E159" i="3"/>
  <c r="P285" i="3"/>
  <c r="K285" i="3"/>
  <c r="Q285" i="3"/>
  <c r="J285" i="3"/>
  <c r="O285" i="3"/>
  <c r="I285" i="3"/>
  <c r="H285" i="3"/>
  <c r="M285" i="3"/>
  <c r="N285" i="3"/>
  <c r="G285" i="3"/>
  <c r="E285" i="3"/>
  <c r="L285" i="3"/>
  <c r="T285" i="3"/>
  <c r="F285" i="3"/>
  <c r="R285" i="3"/>
  <c r="S285" i="3"/>
  <c r="O29" i="4"/>
  <c r="G112" i="4"/>
  <c r="H112" i="4" s="1"/>
  <c r="G249" i="4"/>
  <c r="H249" i="4" s="1"/>
  <c r="L249" i="4" s="1"/>
  <c r="Y249" i="4"/>
  <c r="G248" i="4"/>
  <c r="H248" i="4" s="1"/>
  <c r="O248" i="4" s="1"/>
  <c r="V65" i="4"/>
  <c r="U65" i="4"/>
  <c r="R65" i="4"/>
  <c r="M65" i="4"/>
  <c r="G65" i="4"/>
  <c r="H65" i="4" s="1"/>
  <c r="K65" i="4"/>
  <c r="J65" i="4"/>
  <c r="Q304" i="3"/>
  <c r="O304" i="3"/>
  <c r="H304" i="3"/>
  <c r="F304" i="3"/>
  <c r="T304" i="3"/>
  <c r="P304" i="3"/>
  <c r="R304" i="3"/>
  <c r="E304" i="3"/>
  <c r="I304" i="3"/>
  <c r="K304" i="3"/>
  <c r="J304" i="3"/>
  <c r="L304" i="3"/>
  <c r="M304" i="3"/>
  <c r="N304" i="3"/>
  <c r="G304" i="3"/>
  <c r="S304" i="3"/>
  <c r="O290" i="3"/>
  <c r="K290" i="3"/>
  <c r="L290" i="3"/>
  <c r="F290" i="3"/>
  <c r="M290" i="3"/>
  <c r="I290" i="3"/>
  <c r="R290" i="3"/>
  <c r="S290" i="3"/>
  <c r="H290" i="3"/>
  <c r="J290" i="3"/>
  <c r="E290" i="3"/>
  <c r="N290" i="3"/>
  <c r="T290" i="3"/>
  <c r="G290" i="3"/>
  <c r="P290" i="3"/>
  <c r="Q290" i="3"/>
  <c r="G74" i="4"/>
  <c r="H74" i="4" s="1"/>
  <c r="Y74" i="4"/>
  <c r="Y258" i="4"/>
  <c r="K260" i="4"/>
  <c r="O101" i="3"/>
  <c r="S101" i="3"/>
  <c r="P101" i="3"/>
  <c r="T101" i="3"/>
  <c r="Q101" i="3"/>
  <c r="I101" i="3"/>
  <c r="J101" i="3"/>
  <c r="K101" i="3"/>
  <c r="N101" i="3"/>
  <c r="F101" i="3"/>
  <c r="E101" i="3"/>
  <c r="G101" i="3"/>
  <c r="R101" i="3"/>
  <c r="L101" i="3"/>
  <c r="H101" i="3"/>
  <c r="M101" i="3"/>
  <c r="T75" i="4"/>
  <c r="N142" i="4"/>
  <c r="J141" i="4"/>
  <c r="R263" i="4"/>
  <c r="U264" i="4"/>
  <c r="M73" i="4"/>
  <c r="L241" i="4"/>
  <c r="U26" i="4"/>
  <c r="P27" i="4"/>
  <c r="N97" i="4"/>
  <c r="V266" i="4"/>
  <c r="Q219" i="4"/>
  <c r="M121" i="4"/>
  <c r="K289" i="4"/>
  <c r="P291" i="4"/>
  <c r="T24" i="4"/>
  <c r="R144" i="4"/>
  <c r="R240" i="4"/>
  <c r="I288" i="4"/>
  <c r="J145" i="4"/>
  <c r="P75" i="4"/>
  <c r="N171" i="4"/>
  <c r="U76" i="4"/>
  <c r="T220" i="4"/>
  <c r="W29" i="4"/>
  <c r="P221" i="4"/>
  <c r="Y157" i="4"/>
  <c r="G157" i="4"/>
  <c r="H157" i="4" s="1"/>
  <c r="R294" i="4"/>
  <c r="M270" i="4"/>
  <c r="T269" i="4"/>
  <c r="Y158" i="4"/>
  <c r="X158" i="4"/>
  <c r="T158" i="4"/>
  <c r="S158" i="4"/>
  <c r="W158" i="4"/>
  <c r="U158" i="4"/>
  <c r="V158" i="4"/>
  <c r="R158" i="4"/>
  <c r="Q158" i="4"/>
  <c r="P158" i="4"/>
  <c r="O158" i="4"/>
  <c r="G158" i="4"/>
  <c r="H158" i="4" s="1"/>
  <c r="I268" i="4"/>
  <c r="J293" i="4"/>
  <c r="K92" i="3"/>
  <c r="L92" i="3"/>
  <c r="I92" i="3"/>
  <c r="O92" i="3"/>
  <c r="P92" i="3"/>
  <c r="R92" i="3"/>
  <c r="Q92" i="3"/>
  <c r="E92" i="3"/>
  <c r="G92" i="3"/>
  <c r="M92" i="3"/>
  <c r="J92" i="3"/>
  <c r="T92" i="3"/>
  <c r="S92" i="3"/>
  <c r="H92" i="3"/>
  <c r="N92" i="3"/>
  <c r="F92" i="3"/>
  <c r="L37" i="3"/>
  <c r="K37" i="3"/>
  <c r="M37" i="3"/>
  <c r="J37" i="3"/>
  <c r="T37" i="3"/>
  <c r="N37" i="3"/>
  <c r="O37" i="3"/>
  <c r="R37" i="3"/>
  <c r="S37" i="3"/>
  <c r="E37" i="3"/>
  <c r="H37" i="3"/>
  <c r="I37" i="3"/>
  <c r="G37" i="3"/>
  <c r="P37" i="3"/>
  <c r="Q37" i="3"/>
  <c r="F37" i="3"/>
  <c r="M54" i="4"/>
  <c r="L49" i="3"/>
  <c r="N49" i="3"/>
  <c r="O49" i="3"/>
  <c r="P49" i="3"/>
  <c r="R49" i="3"/>
  <c r="S49" i="3"/>
  <c r="I49" i="3"/>
  <c r="G49" i="3"/>
  <c r="K49" i="3"/>
  <c r="T49" i="3"/>
  <c r="M49" i="3"/>
  <c r="Q49" i="3"/>
  <c r="E49" i="3"/>
  <c r="J49" i="3"/>
  <c r="H49" i="3"/>
  <c r="F49" i="3"/>
  <c r="M31" i="4"/>
  <c r="U79" i="4"/>
  <c r="T103" i="4"/>
  <c r="N151" i="4"/>
  <c r="Q175" i="4"/>
  <c r="V199" i="4"/>
  <c r="G285" i="4"/>
  <c r="H285" i="4" s="1"/>
  <c r="Y285" i="4"/>
  <c r="G235" i="4"/>
  <c r="H235" i="4" s="1"/>
  <c r="R235" i="4"/>
  <c r="M235" i="4"/>
  <c r="V235" i="4"/>
  <c r="G131" i="4"/>
  <c r="H131" i="4" s="1"/>
  <c r="W131" i="4"/>
  <c r="V131" i="4"/>
  <c r="K131" i="4"/>
  <c r="G198" i="4"/>
  <c r="H198" i="4" s="1"/>
  <c r="Y198" i="4" s="1"/>
  <c r="U198" i="4"/>
  <c r="S257" i="4"/>
  <c r="V257" i="4"/>
  <c r="L257" i="4"/>
  <c r="K257" i="4"/>
  <c r="R257" i="4"/>
  <c r="P257" i="4"/>
  <c r="Q257" i="4"/>
  <c r="G257" i="4"/>
  <c r="H257" i="4" s="1"/>
  <c r="Q41" i="3"/>
  <c r="T41" i="3"/>
  <c r="K41" i="3"/>
  <c r="R41" i="3"/>
  <c r="S41" i="3"/>
  <c r="H41" i="3"/>
  <c r="M41" i="3"/>
  <c r="E41" i="3"/>
  <c r="I41" i="3"/>
  <c r="J41" i="3"/>
  <c r="F41" i="3"/>
  <c r="G41" i="3"/>
  <c r="L41" i="3"/>
  <c r="N41" i="3"/>
  <c r="O41" i="3"/>
  <c r="P41" i="3"/>
  <c r="R150" i="3"/>
  <c r="S150" i="3"/>
  <c r="T150" i="3"/>
  <c r="L150" i="3"/>
  <c r="M150" i="3"/>
  <c r="N150" i="3"/>
  <c r="O150" i="3"/>
  <c r="P150" i="3"/>
  <c r="I150" i="3"/>
  <c r="G150" i="3"/>
  <c r="H150" i="3"/>
  <c r="Q150" i="3"/>
  <c r="F150" i="3"/>
  <c r="E150" i="3"/>
  <c r="K150" i="3"/>
  <c r="J150" i="3"/>
  <c r="O142" i="4"/>
  <c r="K164" i="3"/>
  <c r="L164" i="3"/>
  <c r="M164" i="3"/>
  <c r="N164" i="3"/>
  <c r="T164" i="3"/>
  <c r="I164" i="3"/>
  <c r="F164" i="3"/>
  <c r="O164" i="3"/>
  <c r="P164" i="3"/>
  <c r="Q164" i="3"/>
  <c r="R164" i="3"/>
  <c r="S164" i="3"/>
  <c r="J164" i="3"/>
  <c r="E164" i="3"/>
  <c r="H164" i="3"/>
  <c r="G164" i="3"/>
  <c r="Y141" i="4"/>
  <c r="G220" i="3"/>
  <c r="E220" i="3"/>
  <c r="J220" i="3"/>
  <c r="Q220" i="3"/>
  <c r="R220" i="3"/>
  <c r="I220" i="3"/>
  <c r="S220" i="3"/>
  <c r="H220" i="3"/>
  <c r="T220" i="3"/>
  <c r="O220" i="3"/>
  <c r="P220" i="3"/>
  <c r="K220" i="3"/>
  <c r="L220" i="3"/>
  <c r="M220" i="3"/>
  <c r="N220" i="3"/>
  <c r="F220" i="3"/>
  <c r="G149" i="4"/>
  <c r="H149" i="4" s="1"/>
  <c r="V149" i="4" s="1"/>
  <c r="M149" i="4"/>
  <c r="L289" i="4"/>
  <c r="G265" i="4"/>
  <c r="H265" i="4" s="1"/>
  <c r="Y265" i="4"/>
  <c r="O265" i="4"/>
  <c r="J265" i="4"/>
  <c r="L265" i="4"/>
  <c r="K265" i="4"/>
  <c r="U24" i="4"/>
  <c r="V144" i="4"/>
  <c r="V240" i="4"/>
  <c r="J288" i="4"/>
  <c r="N145" i="4"/>
  <c r="M265" i="4"/>
  <c r="O125" i="3"/>
  <c r="P125" i="3"/>
  <c r="Q125" i="3"/>
  <c r="T125" i="3"/>
  <c r="R125" i="3"/>
  <c r="N125" i="3"/>
  <c r="E125" i="3"/>
  <c r="K125" i="3"/>
  <c r="J125" i="3"/>
  <c r="M125" i="3"/>
  <c r="G125" i="3"/>
  <c r="S125" i="3"/>
  <c r="H125" i="3"/>
  <c r="F125" i="3"/>
  <c r="L125" i="3"/>
  <c r="I125" i="3"/>
  <c r="R275" i="3"/>
  <c r="J275" i="3"/>
  <c r="L275" i="3"/>
  <c r="M275" i="3"/>
  <c r="S275" i="3"/>
  <c r="G275" i="3"/>
  <c r="T275" i="3"/>
  <c r="E275" i="3"/>
  <c r="O275" i="3"/>
  <c r="P275" i="3"/>
  <c r="F275" i="3"/>
  <c r="Q275" i="3"/>
  <c r="H275" i="3"/>
  <c r="N275" i="3"/>
  <c r="I275" i="3"/>
  <c r="K275" i="3"/>
  <c r="R76" i="4"/>
  <c r="Y29" i="4"/>
  <c r="Q221" i="4"/>
  <c r="S294" i="4"/>
  <c r="U269" i="4"/>
  <c r="P158" i="3"/>
  <c r="R158" i="3"/>
  <c r="K158" i="3"/>
  <c r="L158" i="3"/>
  <c r="N158" i="3"/>
  <c r="T158" i="3"/>
  <c r="S158" i="3"/>
  <c r="F158" i="3"/>
  <c r="Q158" i="3"/>
  <c r="M158" i="3"/>
  <c r="H158" i="3"/>
  <c r="G158" i="3"/>
  <c r="O158" i="3"/>
  <c r="I158" i="3"/>
  <c r="J158" i="3"/>
  <c r="E158" i="3"/>
  <c r="S44" i="3"/>
  <c r="J44" i="3"/>
  <c r="P44" i="3"/>
  <c r="Q44" i="3"/>
  <c r="R44" i="3"/>
  <c r="T44" i="3"/>
  <c r="M44" i="3"/>
  <c r="N44" i="3"/>
  <c r="G44" i="3"/>
  <c r="K44" i="3"/>
  <c r="E44" i="3"/>
  <c r="L44" i="3"/>
  <c r="F44" i="3"/>
  <c r="I44" i="3"/>
  <c r="O44" i="3"/>
  <c r="H44" i="3"/>
  <c r="K268" i="4"/>
  <c r="M293" i="4"/>
  <c r="R84" i="3"/>
  <c r="S84" i="3"/>
  <c r="O84" i="3"/>
  <c r="Q84" i="3"/>
  <c r="T84" i="3"/>
  <c r="P84" i="3"/>
  <c r="F84" i="3"/>
  <c r="H84" i="3"/>
  <c r="E84" i="3"/>
  <c r="L84" i="3"/>
  <c r="M84" i="3"/>
  <c r="I84" i="3"/>
  <c r="N84" i="3"/>
  <c r="J84" i="3"/>
  <c r="G84" i="3"/>
  <c r="K84" i="3"/>
  <c r="G205" i="4"/>
  <c r="H205" i="4" s="1"/>
  <c r="V205" i="4"/>
  <c r="O205" i="4"/>
  <c r="M205" i="4"/>
  <c r="L205" i="4"/>
  <c r="K205" i="4"/>
  <c r="N205" i="4"/>
  <c r="J205" i="4"/>
  <c r="I205" i="4"/>
  <c r="L54" i="4"/>
  <c r="N31" i="4"/>
  <c r="W79" i="4"/>
  <c r="V103" i="4"/>
  <c r="L151" i="4"/>
  <c r="S175" i="4"/>
  <c r="Y199" i="4"/>
  <c r="G183" i="4"/>
  <c r="H183" i="4" s="1"/>
  <c r="O183" i="4" s="1"/>
  <c r="Y257" i="4"/>
  <c r="G69" i="4"/>
  <c r="H69" i="4" s="1"/>
  <c r="T69" i="4" s="1"/>
  <c r="G143" i="4"/>
  <c r="H143" i="4" s="1"/>
  <c r="S143" i="4"/>
  <c r="T143" i="4"/>
  <c r="P143" i="4"/>
  <c r="O143" i="4"/>
  <c r="N143" i="4"/>
  <c r="L143" i="4"/>
  <c r="I143" i="4"/>
  <c r="M143" i="4"/>
  <c r="Q143" i="4"/>
  <c r="R143" i="4"/>
  <c r="G261" i="4"/>
  <c r="H261" i="4" s="1"/>
  <c r="U261" i="4"/>
  <c r="Q261" i="4"/>
  <c r="R261" i="4"/>
  <c r="M261" i="4"/>
  <c r="Q73" i="3"/>
  <c r="R73" i="3"/>
  <c r="T73" i="3"/>
  <c r="I73" i="3"/>
  <c r="O73" i="3"/>
  <c r="P73" i="3"/>
  <c r="S73" i="3"/>
  <c r="M73" i="3"/>
  <c r="J73" i="3"/>
  <c r="N73" i="3"/>
  <c r="F73" i="3"/>
  <c r="E73" i="3"/>
  <c r="H73" i="3"/>
  <c r="K73" i="3"/>
  <c r="L73" i="3"/>
  <c r="G73" i="3"/>
  <c r="R173" i="3"/>
  <c r="T173" i="3"/>
  <c r="I173" i="3"/>
  <c r="E173" i="3"/>
  <c r="K173" i="3"/>
  <c r="P173" i="3"/>
  <c r="Q173" i="3"/>
  <c r="F173" i="3"/>
  <c r="S173" i="3"/>
  <c r="L173" i="3"/>
  <c r="J173" i="3"/>
  <c r="N173" i="3"/>
  <c r="G173" i="3"/>
  <c r="O173" i="3"/>
  <c r="H173" i="3"/>
  <c r="M173" i="3"/>
  <c r="V143" i="4"/>
  <c r="U21" i="4"/>
  <c r="R141" i="4"/>
  <c r="X261" i="4"/>
  <c r="P216" i="4"/>
  <c r="Y264" i="4"/>
  <c r="R241" i="4"/>
  <c r="Q27" i="4"/>
  <c r="R97" i="4"/>
  <c r="W219" i="4"/>
  <c r="M289" i="4"/>
  <c r="T291" i="4"/>
  <c r="W24" i="4"/>
  <c r="W144" i="4"/>
  <c r="X240" i="4"/>
  <c r="Y288" i="4"/>
  <c r="I145" i="4"/>
  <c r="N265" i="4"/>
  <c r="N270" i="4"/>
  <c r="V76" i="4"/>
  <c r="P292" i="4"/>
  <c r="V29" i="4"/>
  <c r="T221" i="4"/>
  <c r="T294" i="4"/>
  <c r="Y149" i="4"/>
  <c r="I269" i="4"/>
  <c r="J268" i="4"/>
  <c r="K293" i="4"/>
  <c r="G156" i="4"/>
  <c r="H156" i="4" s="1"/>
  <c r="X156" i="4"/>
  <c r="W156" i="4"/>
  <c r="S156" i="4"/>
  <c r="Y156" i="4"/>
  <c r="R156" i="4"/>
  <c r="O156" i="4"/>
  <c r="N54" i="4"/>
  <c r="M222" i="4"/>
  <c r="G38" i="4"/>
  <c r="H38" i="4" s="1"/>
  <c r="V38" i="4" s="1"/>
  <c r="Y38" i="4"/>
  <c r="T31" i="4"/>
  <c r="X79" i="4"/>
  <c r="W103" i="4"/>
  <c r="R151" i="4"/>
  <c r="T175" i="4"/>
  <c r="L223" i="4"/>
  <c r="T235" i="3"/>
  <c r="O235" i="3"/>
  <c r="P235" i="3"/>
  <c r="S235" i="3"/>
  <c r="H235" i="3"/>
  <c r="K235" i="3"/>
  <c r="N235" i="3"/>
  <c r="J235" i="3"/>
  <c r="I235" i="3"/>
  <c r="G235" i="3"/>
  <c r="E235" i="3"/>
  <c r="F235" i="3"/>
  <c r="L235" i="3"/>
  <c r="M235" i="3"/>
  <c r="Q235" i="3"/>
  <c r="R235" i="3"/>
  <c r="J131" i="3"/>
  <c r="O131" i="3"/>
  <c r="P131" i="3"/>
  <c r="Q131" i="3"/>
  <c r="L131" i="3"/>
  <c r="S131" i="3"/>
  <c r="I131" i="3"/>
  <c r="F131" i="3"/>
  <c r="H131" i="3"/>
  <c r="E131" i="3"/>
  <c r="T131" i="3"/>
  <c r="K131" i="3"/>
  <c r="M131" i="3"/>
  <c r="N131" i="3"/>
  <c r="G131" i="3"/>
  <c r="R131" i="3"/>
  <c r="G142" i="4"/>
  <c r="H142" i="4" s="1"/>
  <c r="Y142" i="4"/>
  <c r="X142" i="4"/>
  <c r="O160" i="3"/>
  <c r="H160" i="3"/>
  <c r="F160" i="3"/>
  <c r="T160" i="3"/>
  <c r="P160" i="3"/>
  <c r="R160" i="3"/>
  <c r="J160" i="3"/>
  <c r="I160" i="3"/>
  <c r="Q160" i="3"/>
  <c r="S160" i="3"/>
  <c r="L160" i="3"/>
  <c r="M160" i="3"/>
  <c r="N160" i="3"/>
  <c r="G160" i="3"/>
  <c r="K160" i="3"/>
  <c r="E160" i="3"/>
  <c r="L65" i="4"/>
  <c r="I215" i="3"/>
  <c r="R215" i="3"/>
  <c r="N215" i="3"/>
  <c r="S215" i="3"/>
  <c r="F215" i="3"/>
  <c r="H215" i="3"/>
  <c r="K215" i="3"/>
  <c r="L215" i="3"/>
  <c r="J215" i="3"/>
  <c r="E215" i="3"/>
  <c r="P215" i="3"/>
  <c r="Q215" i="3"/>
  <c r="O215" i="3"/>
  <c r="G215" i="3"/>
  <c r="T215" i="3"/>
  <c r="M215" i="3"/>
  <c r="O70" i="3"/>
  <c r="P70" i="3"/>
  <c r="Q70" i="3"/>
  <c r="R70" i="3"/>
  <c r="K70" i="3"/>
  <c r="S70" i="3"/>
  <c r="I70" i="3"/>
  <c r="J70" i="3"/>
  <c r="G70" i="3"/>
  <c r="E70" i="3"/>
  <c r="L70" i="3"/>
  <c r="M70" i="3"/>
  <c r="H70" i="3"/>
  <c r="F70" i="3"/>
  <c r="T70" i="3"/>
  <c r="N70" i="3"/>
  <c r="S72" i="4"/>
  <c r="X72" i="4"/>
  <c r="G72" i="4"/>
  <c r="H72" i="4" s="1"/>
  <c r="Y72" i="4"/>
  <c r="U72" i="4"/>
  <c r="T72" i="4"/>
  <c r="P261" i="3"/>
  <c r="T261" i="3"/>
  <c r="R261" i="3"/>
  <c r="S261" i="3"/>
  <c r="H261" i="3"/>
  <c r="O261" i="3"/>
  <c r="Q261" i="3"/>
  <c r="F261" i="3"/>
  <c r="N261" i="3"/>
  <c r="G261" i="3"/>
  <c r="K261" i="3"/>
  <c r="L261" i="3"/>
  <c r="M261" i="3"/>
  <c r="E261" i="3"/>
  <c r="J261" i="3"/>
  <c r="I261" i="3"/>
  <c r="T73" i="4"/>
  <c r="R73" i="4"/>
  <c r="N73" i="4"/>
  <c r="G73" i="4"/>
  <c r="H73" i="4" s="1"/>
  <c r="G22" i="4"/>
  <c r="H22" i="4" s="1"/>
  <c r="Y22" i="4"/>
  <c r="Q27" i="3"/>
  <c r="R27" i="3"/>
  <c r="L27" i="3"/>
  <c r="M27" i="3"/>
  <c r="O27" i="3"/>
  <c r="G27" i="3"/>
  <c r="E27" i="3"/>
  <c r="P27" i="3"/>
  <c r="S27" i="3"/>
  <c r="F27" i="3"/>
  <c r="H27" i="3"/>
  <c r="I27" i="3"/>
  <c r="T27" i="3"/>
  <c r="K27" i="3"/>
  <c r="J27" i="3"/>
  <c r="N27" i="3"/>
  <c r="S142" i="4"/>
  <c r="T21" i="3"/>
  <c r="S21" i="3"/>
  <c r="R21" i="3"/>
  <c r="P21" i="3"/>
  <c r="Q21" i="3"/>
  <c r="N21" i="3"/>
  <c r="J21" i="3"/>
  <c r="O21" i="3"/>
  <c r="I21" i="3"/>
  <c r="F21" i="3"/>
  <c r="K21" i="3"/>
  <c r="H21" i="3"/>
  <c r="L21" i="3"/>
  <c r="M21" i="3"/>
  <c r="G21" i="3"/>
  <c r="E21" i="3"/>
  <c r="Y143" i="4"/>
  <c r="Y27" i="4"/>
  <c r="R117" i="4"/>
  <c r="S141" i="4"/>
  <c r="L73" i="4"/>
  <c r="S241" i="4"/>
  <c r="Y26" i="4"/>
  <c r="R27" i="4"/>
  <c r="S97" i="4"/>
  <c r="K219" i="4"/>
  <c r="T265" i="3"/>
  <c r="Q265" i="3"/>
  <c r="R265" i="3"/>
  <c r="S265" i="3"/>
  <c r="K265" i="3"/>
  <c r="L265" i="3"/>
  <c r="J265" i="3"/>
  <c r="F265" i="3"/>
  <c r="M265" i="3"/>
  <c r="N265" i="3"/>
  <c r="H265" i="3"/>
  <c r="P265" i="3"/>
  <c r="E265" i="3"/>
  <c r="O265" i="3"/>
  <c r="G265" i="3"/>
  <c r="I265" i="3"/>
  <c r="U291" i="4"/>
  <c r="X24" i="4"/>
  <c r="O240" i="4"/>
  <c r="P288" i="4"/>
  <c r="R145" i="4"/>
  <c r="P265" i="4"/>
  <c r="R220" i="4"/>
  <c r="S76" i="4"/>
  <c r="Q292" i="4"/>
  <c r="I29" i="4"/>
  <c r="V221" i="4"/>
  <c r="T181" i="3"/>
  <c r="S181" i="3"/>
  <c r="O181" i="3"/>
  <c r="Q181" i="3"/>
  <c r="H181" i="3"/>
  <c r="P181" i="3"/>
  <c r="K181" i="3"/>
  <c r="L181" i="3"/>
  <c r="M181" i="3"/>
  <c r="I181" i="3"/>
  <c r="J181" i="3"/>
  <c r="F181" i="3"/>
  <c r="E181" i="3"/>
  <c r="N181" i="3"/>
  <c r="G181" i="3"/>
  <c r="R181" i="3"/>
  <c r="U294" i="4"/>
  <c r="G286" i="4"/>
  <c r="H286" i="4" s="1"/>
  <c r="O286" i="4"/>
  <c r="P269" i="4"/>
  <c r="G254" i="4"/>
  <c r="H254" i="4" s="1"/>
  <c r="N254" i="4" s="1"/>
  <c r="L268" i="4"/>
  <c r="L293" i="4"/>
  <c r="M27" i="4"/>
  <c r="O156" i="3"/>
  <c r="T156" i="3"/>
  <c r="Q156" i="3"/>
  <c r="R156" i="3"/>
  <c r="F156" i="3"/>
  <c r="H156" i="3"/>
  <c r="I156" i="3"/>
  <c r="P156" i="3"/>
  <c r="M156" i="3"/>
  <c r="S156" i="3"/>
  <c r="N156" i="3"/>
  <c r="J156" i="3"/>
  <c r="G156" i="3"/>
  <c r="K156" i="3"/>
  <c r="L156" i="3"/>
  <c r="E156" i="3"/>
  <c r="T205" i="3"/>
  <c r="Q205" i="3"/>
  <c r="R205" i="3"/>
  <c r="O205" i="3"/>
  <c r="P205" i="3"/>
  <c r="K205" i="3"/>
  <c r="L205" i="3"/>
  <c r="M205" i="3"/>
  <c r="E205" i="3"/>
  <c r="F205" i="3"/>
  <c r="N205" i="3"/>
  <c r="S205" i="3"/>
  <c r="H205" i="3"/>
  <c r="I205" i="3"/>
  <c r="J205" i="3"/>
  <c r="G205" i="3"/>
  <c r="O54" i="4"/>
  <c r="Y102" i="4"/>
  <c r="Q222" i="4"/>
  <c r="U31" i="4"/>
  <c r="Y79" i="4"/>
  <c r="I103" i="4"/>
  <c r="Q151" i="4"/>
  <c r="U175" i="4"/>
  <c r="K223" i="4"/>
  <c r="Y207" i="4"/>
  <c r="U207" i="4"/>
  <c r="T207" i="4"/>
  <c r="I207" i="4"/>
  <c r="G207" i="4"/>
  <c r="H207" i="4" s="1"/>
  <c r="G233" i="4"/>
  <c r="H233" i="4" s="1"/>
  <c r="V233" i="4"/>
  <c r="U233" i="4"/>
  <c r="O233" i="4"/>
  <c r="K233" i="4"/>
  <c r="J233" i="4"/>
  <c r="I233" i="4"/>
  <c r="K272" i="4"/>
  <c r="K230" i="3"/>
  <c r="L230" i="3"/>
  <c r="T230" i="3"/>
  <c r="O230" i="3"/>
  <c r="Q230" i="3"/>
  <c r="M230" i="3"/>
  <c r="P230" i="3"/>
  <c r="N230" i="3"/>
  <c r="R230" i="3"/>
  <c r="E230" i="3"/>
  <c r="J230" i="3"/>
  <c r="S230" i="3"/>
  <c r="H230" i="3"/>
  <c r="I230" i="3"/>
  <c r="G230" i="3"/>
  <c r="F230" i="3"/>
  <c r="L286" i="3"/>
  <c r="M286" i="3"/>
  <c r="R286" i="3"/>
  <c r="S286" i="3"/>
  <c r="J286" i="3"/>
  <c r="O286" i="3"/>
  <c r="P286" i="3"/>
  <c r="I286" i="3"/>
  <c r="E286" i="3"/>
  <c r="K286" i="3"/>
  <c r="N286" i="3"/>
  <c r="T286" i="3"/>
  <c r="F286" i="3"/>
  <c r="H286" i="3"/>
  <c r="G286" i="3"/>
  <c r="Q286" i="3"/>
  <c r="G78" i="4"/>
  <c r="H78" i="4" s="1"/>
  <c r="Q78" i="4"/>
  <c r="Y78" i="4"/>
  <c r="R78" i="4"/>
  <c r="N78" i="4"/>
  <c r="L78" i="4"/>
  <c r="M78" i="4"/>
  <c r="K78" i="4"/>
  <c r="J78" i="4"/>
  <c r="G144" i="4"/>
  <c r="H144" i="4" s="1"/>
  <c r="K144" i="4"/>
  <c r="Y17" i="4"/>
  <c r="G289" i="4"/>
  <c r="H289" i="4" s="1"/>
  <c r="J289" i="4"/>
  <c r="I289" i="4"/>
  <c r="T289" i="4"/>
  <c r="S289" i="4"/>
  <c r="P289" i="4"/>
  <c r="O289" i="4"/>
  <c r="N289" i="4"/>
  <c r="L291" i="3"/>
  <c r="I291" i="3"/>
  <c r="G291" i="3"/>
  <c r="E291" i="3"/>
  <c r="O291" i="3"/>
  <c r="P291" i="3"/>
  <c r="Q291" i="3"/>
  <c r="R291" i="3"/>
  <c r="K291" i="3"/>
  <c r="M291" i="3"/>
  <c r="H291" i="3"/>
  <c r="J291" i="3"/>
  <c r="N291" i="3"/>
  <c r="T291" i="3"/>
  <c r="S291" i="3"/>
  <c r="F291" i="3"/>
  <c r="N201" i="4"/>
  <c r="Y201" i="4"/>
  <c r="G201" i="4"/>
  <c r="H201" i="4" s="1"/>
  <c r="X201" i="4"/>
  <c r="W201" i="4"/>
  <c r="O201" i="4"/>
  <c r="X27" i="4"/>
  <c r="T142" i="4"/>
  <c r="G21" i="4"/>
  <c r="H21" i="4" s="1"/>
  <c r="P21" i="4"/>
  <c r="O21" i="4"/>
  <c r="N21" i="4"/>
  <c r="J21" i="4"/>
  <c r="I21" i="4"/>
  <c r="Y21" i="4"/>
  <c r="Q117" i="4"/>
  <c r="U141" i="4"/>
  <c r="G150" i="4"/>
  <c r="H150" i="4" s="1"/>
  <c r="R150" i="4"/>
  <c r="K150" i="4"/>
  <c r="Q150" i="4"/>
  <c r="O73" i="4"/>
  <c r="T241" i="4"/>
  <c r="N27" i="4"/>
  <c r="V97" i="4"/>
  <c r="L219" i="4"/>
  <c r="X289" i="4"/>
  <c r="M291" i="4"/>
  <c r="I24" i="4"/>
  <c r="J144" i="4"/>
  <c r="P240" i="4"/>
  <c r="S145" i="4"/>
  <c r="S265" i="4"/>
  <c r="T76" i="4"/>
  <c r="J292" i="4"/>
  <c r="J29" i="4"/>
  <c r="Y221" i="4"/>
  <c r="G181" i="4"/>
  <c r="H181" i="4" s="1"/>
  <c r="Y181" i="4"/>
  <c r="X181" i="4"/>
  <c r="N181" i="4"/>
  <c r="S181" i="4"/>
  <c r="O181" i="4"/>
  <c r="I181" i="4"/>
  <c r="I294" i="4"/>
  <c r="J269" i="4"/>
  <c r="M268" i="4"/>
  <c r="O293" i="4"/>
  <c r="O266" i="3"/>
  <c r="K266" i="3"/>
  <c r="L266" i="3"/>
  <c r="T266" i="3"/>
  <c r="Q266" i="3"/>
  <c r="M266" i="3"/>
  <c r="H266" i="3"/>
  <c r="N266" i="3"/>
  <c r="J266" i="3"/>
  <c r="F266" i="3"/>
  <c r="I266" i="3"/>
  <c r="G266" i="3"/>
  <c r="P266" i="3"/>
  <c r="E266" i="3"/>
  <c r="R266" i="3"/>
  <c r="S266" i="3"/>
  <c r="L277" i="4"/>
  <c r="G277" i="4"/>
  <c r="H277" i="4" s="1"/>
  <c r="V54" i="4"/>
  <c r="N222" i="4"/>
  <c r="X31" i="4"/>
  <c r="T79" i="4"/>
  <c r="J103" i="4"/>
  <c r="U151" i="4"/>
  <c r="M175" i="4"/>
  <c r="M223" i="4"/>
  <c r="T233" i="3"/>
  <c r="O233" i="3"/>
  <c r="P233" i="3"/>
  <c r="H233" i="3"/>
  <c r="Q233" i="3"/>
  <c r="G233" i="3"/>
  <c r="K233" i="3"/>
  <c r="E233" i="3"/>
  <c r="J233" i="3"/>
  <c r="L233" i="3"/>
  <c r="M233" i="3"/>
  <c r="I233" i="3"/>
  <c r="N233" i="3"/>
  <c r="F233" i="3"/>
  <c r="R233" i="3"/>
  <c r="S233" i="3"/>
  <c r="M29" i="4"/>
  <c r="G135" i="4"/>
  <c r="H135" i="4" s="1"/>
  <c r="L135" i="4"/>
  <c r="O288" i="3"/>
  <c r="P288" i="3"/>
  <c r="R288" i="3"/>
  <c r="L288" i="3"/>
  <c r="S288" i="3"/>
  <c r="M288" i="3"/>
  <c r="F288" i="3"/>
  <c r="H288" i="3"/>
  <c r="Q288" i="3"/>
  <c r="J288" i="3"/>
  <c r="I288" i="3"/>
  <c r="K288" i="3"/>
  <c r="T288" i="3"/>
  <c r="N288" i="3"/>
  <c r="G288" i="3"/>
  <c r="E288" i="3"/>
  <c r="J141" i="3"/>
  <c r="F141" i="3"/>
  <c r="G141" i="3"/>
  <c r="E141" i="3"/>
  <c r="K141" i="3"/>
  <c r="L141" i="3"/>
  <c r="O141" i="3"/>
  <c r="H141" i="3"/>
  <c r="P141" i="3"/>
  <c r="R141" i="3"/>
  <c r="S141" i="3"/>
  <c r="M141" i="3"/>
  <c r="N141" i="3"/>
  <c r="T141" i="3"/>
  <c r="I141" i="3"/>
  <c r="Q141" i="3"/>
  <c r="O211" i="3"/>
  <c r="P211" i="3"/>
  <c r="Q211" i="3"/>
  <c r="L211" i="3"/>
  <c r="T211" i="3"/>
  <c r="R211" i="3"/>
  <c r="S211" i="3"/>
  <c r="F211" i="3"/>
  <c r="H211" i="3"/>
  <c r="J211" i="3"/>
  <c r="I211" i="3"/>
  <c r="E211" i="3"/>
  <c r="G211" i="3"/>
  <c r="M211" i="3"/>
  <c r="N211" i="3"/>
  <c r="K211" i="3"/>
  <c r="O72" i="3"/>
  <c r="P72" i="3"/>
  <c r="S72" i="3"/>
  <c r="L72" i="3"/>
  <c r="M72" i="3"/>
  <c r="I72" i="3"/>
  <c r="Q72" i="3"/>
  <c r="N72" i="3"/>
  <c r="E72" i="3"/>
  <c r="F72" i="3"/>
  <c r="J72" i="3"/>
  <c r="H72" i="3"/>
  <c r="G72" i="3"/>
  <c r="K72" i="3"/>
  <c r="R72" i="3"/>
  <c r="T72" i="3"/>
  <c r="T289" i="3"/>
  <c r="O289" i="3"/>
  <c r="R289" i="3"/>
  <c r="M289" i="3"/>
  <c r="L289" i="3"/>
  <c r="N289" i="3"/>
  <c r="F289" i="3"/>
  <c r="H289" i="3"/>
  <c r="P289" i="3"/>
  <c r="J289" i="3"/>
  <c r="K289" i="3"/>
  <c r="Q289" i="3"/>
  <c r="I289" i="3"/>
  <c r="S289" i="3"/>
  <c r="G289" i="3"/>
  <c r="E289" i="3"/>
  <c r="G217" i="4"/>
  <c r="H217" i="4" s="1"/>
  <c r="L217" i="4" s="1"/>
  <c r="S217" i="4"/>
  <c r="I189" i="4"/>
  <c r="P260" i="4"/>
  <c r="G75" i="4"/>
  <c r="H75" i="4" s="1"/>
  <c r="M75" i="4"/>
  <c r="I75" i="4"/>
  <c r="Q21" i="4"/>
  <c r="S117" i="4"/>
  <c r="V141" i="4"/>
  <c r="O268" i="3"/>
  <c r="P268" i="3"/>
  <c r="N268" i="3"/>
  <c r="J268" i="3"/>
  <c r="I268" i="3"/>
  <c r="G268" i="3"/>
  <c r="E268" i="3"/>
  <c r="T268" i="3"/>
  <c r="S268" i="3"/>
  <c r="Q268" i="3"/>
  <c r="F268" i="3"/>
  <c r="M268" i="3"/>
  <c r="H268" i="3"/>
  <c r="R268" i="3"/>
  <c r="L268" i="3"/>
  <c r="K268" i="3"/>
  <c r="R221" i="3"/>
  <c r="S221" i="3"/>
  <c r="L221" i="3"/>
  <c r="J221" i="3"/>
  <c r="M221" i="3"/>
  <c r="N221" i="3"/>
  <c r="I221" i="3"/>
  <c r="Q221" i="3"/>
  <c r="T221" i="3"/>
  <c r="O221" i="3"/>
  <c r="P221" i="3"/>
  <c r="K221" i="3"/>
  <c r="H221" i="3"/>
  <c r="G221" i="3"/>
  <c r="E221" i="3"/>
  <c r="F221" i="3"/>
  <c r="T79" i="3"/>
  <c r="S79" i="3"/>
  <c r="O79" i="3"/>
  <c r="P79" i="3"/>
  <c r="K79" i="3"/>
  <c r="L79" i="3"/>
  <c r="F79" i="3"/>
  <c r="H79" i="3"/>
  <c r="M79" i="3"/>
  <c r="G79" i="3"/>
  <c r="R79" i="3"/>
  <c r="E79" i="3"/>
  <c r="Q79" i="3"/>
  <c r="J79" i="3"/>
  <c r="I79" i="3"/>
  <c r="N79" i="3"/>
  <c r="P73" i="4"/>
  <c r="U241" i="4"/>
  <c r="S27" i="4"/>
  <c r="W97" i="4"/>
  <c r="M219" i="4"/>
  <c r="G168" i="4"/>
  <c r="H168" i="4" s="1"/>
  <c r="R168" i="4"/>
  <c r="Q168" i="4"/>
  <c r="P168" i="4"/>
  <c r="O168" i="4"/>
  <c r="N291" i="4"/>
  <c r="J24" i="4"/>
  <c r="Q240" i="4"/>
  <c r="G55" i="4"/>
  <c r="H55" i="4" s="1"/>
  <c r="W55" i="4" s="1"/>
  <c r="T145" i="4"/>
  <c r="T265" i="4"/>
  <c r="W76" i="4"/>
  <c r="K292" i="4"/>
  <c r="K29" i="4"/>
  <c r="K221" i="4"/>
  <c r="L294" i="4"/>
  <c r="T148" i="4"/>
  <c r="N269" i="4"/>
  <c r="O268" i="4"/>
  <c r="P293" i="4"/>
  <c r="R172" i="4"/>
  <c r="G204" i="4"/>
  <c r="H204" i="4" s="1"/>
  <c r="J204" i="4"/>
  <c r="W204" i="4"/>
  <c r="X54" i="4"/>
  <c r="W222" i="4"/>
  <c r="G110" i="4"/>
  <c r="H110" i="4" s="1"/>
  <c r="J110" i="4" s="1"/>
  <c r="Y31" i="4"/>
  <c r="M79" i="4"/>
  <c r="K103" i="4"/>
  <c r="O151" i="4"/>
  <c r="N175" i="4"/>
  <c r="U223" i="4"/>
  <c r="S207" i="3"/>
  <c r="F207" i="3"/>
  <c r="T207" i="3"/>
  <c r="H207" i="3"/>
  <c r="E207" i="3"/>
  <c r="I207" i="3"/>
  <c r="G207" i="3"/>
  <c r="R207" i="3"/>
  <c r="L207" i="3"/>
  <c r="M207" i="3"/>
  <c r="P207" i="3"/>
  <c r="O207" i="3"/>
  <c r="Q207" i="3"/>
  <c r="K207" i="3"/>
  <c r="N207" i="3"/>
  <c r="J207" i="3"/>
  <c r="T78" i="3"/>
  <c r="O78" i="3"/>
  <c r="P78" i="3"/>
  <c r="R78" i="3"/>
  <c r="F78" i="3"/>
  <c r="H78" i="3"/>
  <c r="I78" i="3"/>
  <c r="M78" i="3"/>
  <c r="N78" i="3"/>
  <c r="G78" i="3"/>
  <c r="Q78" i="3"/>
  <c r="J78" i="3"/>
  <c r="K78" i="3"/>
  <c r="L78" i="3"/>
  <c r="S78" i="3"/>
  <c r="E78" i="3"/>
  <c r="G26" i="4"/>
  <c r="H26" i="4" s="1"/>
  <c r="K26" i="4" s="1"/>
  <c r="I26" i="4"/>
  <c r="L26" i="4"/>
  <c r="G288" i="4"/>
  <c r="H288" i="4" s="1"/>
  <c r="X288" i="4"/>
  <c r="U257" i="4"/>
  <c r="T211" i="4"/>
  <c r="O211" i="4"/>
  <c r="Q211" i="4"/>
  <c r="P211" i="4"/>
  <c r="M211" i="4"/>
  <c r="I211" i="4"/>
  <c r="L211" i="4"/>
  <c r="J211" i="4"/>
  <c r="K211" i="4"/>
  <c r="G211" i="4"/>
  <c r="H211" i="4" s="1"/>
  <c r="U211" i="4"/>
  <c r="T144" i="3"/>
  <c r="J144" i="3"/>
  <c r="I144" i="3"/>
  <c r="K144" i="3"/>
  <c r="O144" i="3"/>
  <c r="P144" i="3"/>
  <c r="N144" i="3"/>
  <c r="R144" i="3"/>
  <c r="Q144" i="3"/>
  <c r="E144" i="3"/>
  <c r="L144" i="3"/>
  <c r="G144" i="3"/>
  <c r="F144" i="3"/>
  <c r="S144" i="3"/>
  <c r="H144" i="3"/>
  <c r="M144" i="3"/>
  <c r="N65" i="4"/>
  <c r="G200" i="4"/>
  <c r="H200" i="4" s="1"/>
  <c r="W200" i="4"/>
  <c r="U200" i="4"/>
  <c r="M200" i="4"/>
  <c r="L200" i="4"/>
  <c r="O200" i="4"/>
  <c r="X200" i="4"/>
  <c r="S200" i="4"/>
  <c r="Q200" i="4"/>
  <c r="P200" i="4"/>
  <c r="R200" i="4"/>
  <c r="N200" i="4"/>
  <c r="W27" i="4"/>
  <c r="R21" i="4"/>
  <c r="J117" i="4"/>
  <c r="W141" i="4"/>
  <c r="O174" i="3"/>
  <c r="P174" i="3"/>
  <c r="Q174" i="3"/>
  <c r="S174" i="3"/>
  <c r="E174" i="3"/>
  <c r="J174" i="3"/>
  <c r="T174" i="3"/>
  <c r="F174" i="3"/>
  <c r="N174" i="3"/>
  <c r="I174" i="3"/>
  <c r="K174" i="3"/>
  <c r="L174" i="3"/>
  <c r="M174" i="3"/>
  <c r="G174" i="3"/>
  <c r="R174" i="3"/>
  <c r="H174" i="3"/>
  <c r="Q73" i="4"/>
  <c r="V241" i="4"/>
  <c r="T27" i="4"/>
  <c r="X97" i="4"/>
  <c r="K170" i="3"/>
  <c r="N170" i="3"/>
  <c r="Q170" i="3"/>
  <c r="L170" i="3"/>
  <c r="E170" i="3"/>
  <c r="R170" i="3"/>
  <c r="M170" i="3"/>
  <c r="S170" i="3"/>
  <c r="G170" i="3"/>
  <c r="J170" i="3"/>
  <c r="F170" i="3"/>
  <c r="O170" i="3"/>
  <c r="P170" i="3"/>
  <c r="I170" i="3"/>
  <c r="H170" i="3"/>
  <c r="T170" i="3"/>
  <c r="V219" i="4"/>
  <c r="Q9" i="3"/>
  <c r="R9" i="3"/>
  <c r="S9" i="3"/>
  <c r="O9" i="3"/>
  <c r="M9" i="3"/>
  <c r="N9" i="3"/>
  <c r="L9" i="3"/>
  <c r="G9" i="3"/>
  <c r="F9" i="3"/>
  <c r="I9" i="3"/>
  <c r="K9" i="3"/>
  <c r="E9" i="3"/>
  <c r="H9" i="3"/>
  <c r="P9" i="3"/>
  <c r="J9" i="3"/>
  <c r="X34" i="4"/>
  <c r="W34" i="4"/>
  <c r="V34" i="4"/>
  <c r="I34" i="4"/>
  <c r="G34" i="4"/>
  <c r="H34" i="4" s="1"/>
  <c r="U34" i="4"/>
  <c r="R34" i="4"/>
  <c r="Q34" i="4"/>
  <c r="N34" i="4"/>
  <c r="T34" i="4"/>
  <c r="S34" i="4"/>
  <c r="P34" i="4"/>
  <c r="O34" i="4"/>
  <c r="M34" i="4"/>
  <c r="L34" i="4"/>
  <c r="K34" i="4"/>
  <c r="J34" i="4"/>
  <c r="S240" i="4"/>
  <c r="U145" i="4"/>
  <c r="X265" i="4"/>
  <c r="X76" i="4"/>
  <c r="R292" i="4"/>
  <c r="P29" i="4"/>
  <c r="M221" i="4"/>
  <c r="G253" i="4"/>
  <c r="H253" i="4" s="1"/>
  <c r="K253" i="4"/>
  <c r="M294" i="4"/>
  <c r="G171" i="4"/>
  <c r="H171" i="4" s="1"/>
  <c r="L171" i="4"/>
  <c r="X171" i="4"/>
  <c r="W171" i="4"/>
  <c r="Q171" i="4"/>
  <c r="M171" i="4"/>
  <c r="V148" i="4"/>
  <c r="O269" i="4"/>
  <c r="K302" i="4"/>
  <c r="X302" i="4"/>
  <c r="L302" i="4"/>
  <c r="M302" i="4"/>
  <c r="G302" i="4"/>
  <c r="H302" i="4" s="1"/>
  <c r="T28" i="4"/>
  <c r="P268" i="4"/>
  <c r="Q293" i="4"/>
  <c r="Q172" i="4"/>
  <c r="T204" i="3"/>
  <c r="S204" i="3"/>
  <c r="K204" i="3"/>
  <c r="N204" i="3"/>
  <c r="O204" i="3"/>
  <c r="E204" i="3"/>
  <c r="F204" i="3"/>
  <c r="L204" i="3"/>
  <c r="I204" i="3"/>
  <c r="R204" i="3"/>
  <c r="H204" i="3"/>
  <c r="P204" i="3"/>
  <c r="M204" i="3"/>
  <c r="Q204" i="3"/>
  <c r="J204" i="3"/>
  <c r="G204" i="3"/>
  <c r="Q54" i="4"/>
  <c r="V102" i="4"/>
  <c r="X222" i="4"/>
  <c r="I270" i="4"/>
  <c r="I31" i="4"/>
  <c r="O79" i="4"/>
  <c r="P151" i="4"/>
  <c r="I175" i="4"/>
  <c r="W223" i="4"/>
  <c r="G255" i="4"/>
  <c r="H255" i="4" s="1"/>
  <c r="M255" i="4" s="1"/>
  <c r="I242" i="3"/>
  <c r="G234" i="4"/>
  <c r="H234" i="4" s="1"/>
  <c r="G134" i="4"/>
  <c r="H134" i="4" s="1"/>
  <c r="S134" i="4" s="1"/>
  <c r="Y134" i="4"/>
  <c r="G218" i="4"/>
  <c r="H218" i="4" s="1"/>
  <c r="S177" i="4"/>
  <c r="G113" i="4"/>
  <c r="H113" i="4" s="1"/>
  <c r="L113" i="4" s="1"/>
  <c r="Y113" i="4"/>
  <c r="U113" i="4"/>
  <c r="J113" i="4"/>
  <c r="U146" i="4"/>
  <c r="M75" i="3"/>
  <c r="G75" i="3"/>
  <c r="E75" i="3"/>
  <c r="N75" i="3"/>
  <c r="T75" i="3"/>
  <c r="J75" i="3"/>
  <c r="P75" i="3"/>
  <c r="L75" i="3"/>
  <c r="Q75" i="3"/>
  <c r="R75" i="3"/>
  <c r="H75" i="3"/>
  <c r="I75" i="3"/>
  <c r="F75" i="3"/>
  <c r="K75" i="3"/>
  <c r="O75" i="3"/>
  <c r="S75" i="3"/>
  <c r="Q208" i="3"/>
  <c r="T208" i="3"/>
  <c r="O208" i="3"/>
  <c r="H208" i="3"/>
  <c r="F208" i="3"/>
  <c r="S208" i="3"/>
  <c r="L208" i="3"/>
  <c r="M208" i="3"/>
  <c r="G208" i="3"/>
  <c r="I208" i="3"/>
  <c r="J208" i="3"/>
  <c r="P208" i="3"/>
  <c r="R208" i="3"/>
  <c r="N208" i="3"/>
  <c r="K208" i="3"/>
  <c r="E208" i="3"/>
  <c r="S21" i="4"/>
  <c r="T117" i="4"/>
  <c r="X141" i="4"/>
  <c r="W241" i="4"/>
  <c r="U27" i="4"/>
  <c r="K97" i="4"/>
  <c r="M106" i="4"/>
  <c r="L106" i="4"/>
  <c r="K106" i="4"/>
  <c r="J106" i="4"/>
  <c r="G106" i="4"/>
  <c r="H106" i="4" s="1"/>
  <c r="V106" i="4"/>
  <c r="U106" i="4"/>
  <c r="W106" i="4"/>
  <c r="X106" i="4"/>
  <c r="O106" i="4"/>
  <c r="N106" i="4"/>
  <c r="I106" i="4"/>
  <c r="R106" i="4"/>
  <c r="Q106" i="4"/>
  <c r="P106" i="4"/>
  <c r="T106" i="4"/>
  <c r="S106" i="4"/>
  <c r="R168" i="3"/>
  <c r="I168" i="3"/>
  <c r="O168" i="3"/>
  <c r="J168" i="3"/>
  <c r="P168" i="3"/>
  <c r="S168" i="3"/>
  <c r="Q168" i="3"/>
  <c r="G168" i="3"/>
  <c r="M168" i="3"/>
  <c r="N168" i="3"/>
  <c r="E168" i="3"/>
  <c r="K168" i="3"/>
  <c r="F168" i="3"/>
  <c r="T168" i="3"/>
  <c r="H168" i="3"/>
  <c r="L168" i="3"/>
  <c r="G152" i="4"/>
  <c r="H152" i="4" s="1"/>
  <c r="V152" i="4" s="1"/>
  <c r="Y152" i="4"/>
  <c r="K57" i="4"/>
  <c r="U57" i="4"/>
  <c r="G57" i="4"/>
  <c r="H57" i="4" s="1"/>
  <c r="Q57" i="4" s="1"/>
  <c r="T240" i="4"/>
  <c r="V145" i="4"/>
  <c r="Q265" i="4"/>
  <c r="U105" i="4"/>
  <c r="L105" i="4"/>
  <c r="V105" i="4"/>
  <c r="G105" i="4"/>
  <c r="H105" i="4" s="1"/>
  <c r="N105" i="4"/>
  <c r="M105" i="4"/>
  <c r="J105" i="4"/>
  <c r="I105" i="4"/>
  <c r="O31" i="4"/>
  <c r="Y76" i="4"/>
  <c r="Y292" i="4"/>
  <c r="S29" i="4"/>
  <c r="N221" i="4"/>
  <c r="O253" i="3"/>
  <c r="P253" i="3"/>
  <c r="M253" i="3"/>
  <c r="T253" i="3"/>
  <c r="S253" i="3"/>
  <c r="J253" i="3"/>
  <c r="G253" i="3"/>
  <c r="H253" i="3"/>
  <c r="I253" i="3"/>
  <c r="R253" i="3"/>
  <c r="E253" i="3"/>
  <c r="Q253" i="3"/>
  <c r="K253" i="3"/>
  <c r="L253" i="3"/>
  <c r="N253" i="3"/>
  <c r="F253" i="3"/>
  <c r="O294" i="4"/>
  <c r="K148" i="4"/>
  <c r="Q274" i="4"/>
  <c r="G274" i="4"/>
  <c r="H274" i="4" s="1"/>
  <c r="K274" i="4"/>
  <c r="R274" i="4"/>
  <c r="J274" i="4"/>
  <c r="N77" i="4"/>
  <c r="K269" i="4"/>
  <c r="K302" i="3"/>
  <c r="T302" i="3"/>
  <c r="N302" i="3"/>
  <c r="E302" i="3"/>
  <c r="G302" i="3"/>
  <c r="F302" i="3"/>
  <c r="O302" i="3"/>
  <c r="R302" i="3"/>
  <c r="S302" i="3"/>
  <c r="L302" i="3"/>
  <c r="I302" i="3"/>
  <c r="P302" i="3"/>
  <c r="Q302" i="3"/>
  <c r="H302" i="3"/>
  <c r="J302" i="3"/>
  <c r="M302" i="3"/>
  <c r="U28" i="4"/>
  <c r="U268" i="4"/>
  <c r="R293" i="4"/>
  <c r="U172" i="4"/>
  <c r="Y54" i="4"/>
  <c r="O222" i="4"/>
  <c r="J270" i="4"/>
  <c r="J31" i="4"/>
  <c r="P79" i="4"/>
  <c r="S151" i="4"/>
  <c r="J175" i="4"/>
  <c r="V223" i="4"/>
  <c r="G139" i="4"/>
  <c r="H139" i="4" s="1"/>
  <c r="Y139" i="4"/>
  <c r="S139" i="4"/>
  <c r="X139" i="4"/>
  <c r="T139" i="4"/>
  <c r="J139" i="4"/>
  <c r="K201" i="4"/>
  <c r="G93" i="4"/>
  <c r="H93" i="4" s="1"/>
  <c r="P93" i="4"/>
  <c r="I93" i="4"/>
  <c r="Q258" i="4"/>
  <c r="L17" i="3"/>
  <c r="I17" i="3"/>
  <c r="M17" i="3"/>
  <c r="H17" i="3"/>
  <c r="N17" i="3"/>
  <c r="O17" i="3"/>
  <c r="P17" i="3"/>
  <c r="Q17" i="3"/>
  <c r="G17" i="3"/>
  <c r="J17" i="3"/>
  <c r="K17" i="3"/>
  <c r="R17" i="3"/>
  <c r="F17" i="3"/>
  <c r="S17" i="3"/>
  <c r="E17" i="3"/>
  <c r="T17" i="3"/>
  <c r="P146" i="4"/>
  <c r="G208" i="4"/>
  <c r="H208" i="4" s="1"/>
  <c r="O208" i="4"/>
  <c r="N208" i="4"/>
  <c r="V208" i="4"/>
  <c r="U208" i="4"/>
  <c r="G66" i="4"/>
  <c r="H66" i="4" s="1"/>
  <c r="Y66" i="4"/>
  <c r="X66" i="4"/>
  <c r="W66" i="4"/>
  <c r="V66" i="4"/>
  <c r="T66" i="4"/>
  <c r="U66" i="4"/>
  <c r="S66" i="4"/>
  <c r="M66" i="4"/>
  <c r="L66" i="4"/>
  <c r="R66" i="4"/>
  <c r="Q66" i="4"/>
  <c r="O260" i="4"/>
  <c r="G147" i="4"/>
  <c r="H147" i="4" s="1"/>
  <c r="W147" i="4" s="1"/>
  <c r="U147" i="4"/>
  <c r="Q147" i="4"/>
  <c r="V21" i="4"/>
  <c r="V117" i="4"/>
  <c r="O141" i="4"/>
  <c r="R292" i="3"/>
  <c r="S292" i="3"/>
  <c r="J292" i="3"/>
  <c r="I292" i="3"/>
  <c r="G292" i="3"/>
  <c r="E292" i="3"/>
  <c r="H292" i="3"/>
  <c r="O292" i="3"/>
  <c r="P292" i="3"/>
  <c r="Q292" i="3"/>
  <c r="K292" i="3"/>
  <c r="L292" i="3"/>
  <c r="M292" i="3"/>
  <c r="N292" i="3"/>
  <c r="F292" i="3"/>
  <c r="T292" i="3"/>
  <c r="T293" i="3"/>
  <c r="O293" i="3"/>
  <c r="P293" i="3"/>
  <c r="J293" i="3"/>
  <c r="M293" i="3"/>
  <c r="N293" i="3"/>
  <c r="F293" i="3"/>
  <c r="H293" i="3"/>
  <c r="R293" i="3"/>
  <c r="S293" i="3"/>
  <c r="E293" i="3"/>
  <c r="Q293" i="3"/>
  <c r="I293" i="3"/>
  <c r="L293" i="3"/>
  <c r="G293" i="3"/>
  <c r="K293" i="3"/>
  <c r="G23" i="4"/>
  <c r="H23" i="4" s="1"/>
  <c r="O23" i="4" s="1"/>
  <c r="J241" i="4"/>
  <c r="I74" i="4"/>
  <c r="Y146" i="4"/>
  <c r="V27" i="4"/>
  <c r="L97" i="4"/>
  <c r="N266" i="4"/>
  <c r="K34" i="3"/>
  <c r="L34" i="3"/>
  <c r="R34" i="3"/>
  <c r="S34" i="3"/>
  <c r="P34" i="3"/>
  <c r="I34" i="3"/>
  <c r="Q34" i="3"/>
  <c r="O34" i="3"/>
  <c r="J34" i="3"/>
  <c r="M34" i="3"/>
  <c r="N34" i="3"/>
  <c r="H34" i="3"/>
  <c r="T34" i="3"/>
  <c r="E34" i="3"/>
  <c r="G34" i="3"/>
  <c r="F34" i="3"/>
  <c r="U240" i="4"/>
  <c r="K145" i="4"/>
  <c r="R265" i="4"/>
  <c r="Q105" i="3"/>
  <c r="T105" i="3"/>
  <c r="S105" i="3"/>
  <c r="P105" i="3"/>
  <c r="R105" i="3"/>
  <c r="F105" i="3"/>
  <c r="H105" i="3"/>
  <c r="J105" i="3"/>
  <c r="E105" i="3"/>
  <c r="O105" i="3"/>
  <c r="K105" i="3"/>
  <c r="L105" i="3"/>
  <c r="M105" i="3"/>
  <c r="G105" i="3"/>
  <c r="N105" i="3"/>
  <c r="I105" i="3"/>
  <c r="Y171" i="4"/>
  <c r="G137" i="4"/>
  <c r="H137" i="4" s="1"/>
  <c r="V137" i="4"/>
  <c r="S137" i="4"/>
  <c r="Y137" i="4"/>
  <c r="W137" i="4"/>
  <c r="X137" i="4"/>
  <c r="N137" i="4"/>
  <c r="O137" i="4"/>
  <c r="M137" i="4"/>
  <c r="R137" i="4"/>
  <c r="Q137" i="4"/>
  <c r="P137" i="4"/>
  <c r="L137" i="4"/>
  <c r="I76" i="4"/>
  <c r="O292" i="4"/>
  <c r="T29" i="4"/>
  <c r="R221" i="4"/>
  <c r="N294" i="4"/>
  <c r="W148" i="4"/>
  <c r="L269" i="4"/>
  <c r="G202" i="4"/>
  <c r="H202" i="4" s="1"/>
  <c r="W202" i="4" s="1"/>
  <c r="S202" i="4"/>
  <c r="G202" i="3" s="1"/>
  <c r="K202" i="3" s="1"/>
  <c r="Q202" i="4"/>
  <c r="V202" i="4"/>
  <c r="X202" i="4"/>
  <c r="N202" i="4"/>
  <c r="M202" i="4"/>
  <c r="L202" i="4"/>
  <c r="K202" i="4"/>
  <c r="J202" i="4"/>
  <c r="I202" i="4"/>
  <c r="X268" i="4"/>
  <c r="U293" i="4"/>
  <c r="J59" i="3"/>
  <c r="Q59" i="3"/>
  <c r="T59" i="3"/>
  <c r="S59" i="3"/>
  <c r="I59" i="3"/>
  <c r="K59" i="3"/>
  <c r="F59" i="3"/>
  <c r="P59" i="3"/>
  <c r="R59" i="3"/>
  <c r="M59" i="3"/>
  <c r="N59" i="3"/>
  <c r="O59" i="3"/>
  <c r="E59" i="3"/>
  <c r="G59" i="3"/>
  <c r="H59" i="3"/>
  <c r="L59" i="3"/>
  <c r="O172" i="4"/>
  <c r="G252" i="4"/>
  <c r="H252" i="4" s="1"/>
  <c r="R252" i="4" s="1"/>
  <c r="X252" i="4"/>
  <c r="W252" i="4"/>
  <c r="P54" i="4"/>
  <c r="S150" i="4"/>
  <c r="P222" i="4"/>
  <c r="K270" i="4"/>
  <c r="G206" i="4"/>
  <c r="H206" i="4" s="1"/>
  <c r="Y206" i="4"/>
  <c r="X206" i="4"/>
  <c r="S206" i="4"/>
  <c r="R206" i="4"/>
  <c r="V206" i="4"/>
  <c r="W206" i="4"/>
  <c r="M206" i="4"/>
  <c r="Q206" i="4"/>
  <c r="O206" i="4"/>
  <c r="L206" i="4"/>
  <c r="K31" i="4"/>
  <c r="Q79" i="4"/>
  <c r="T151" i="4"/>
  <c r="K175" i="4"/>
  <c r="X223" i="4"/>
  <c r="Q271" i="4"/>
  <c r="G195" i="3"/>
  <c r="E195" i="3"/>
  <c r="O195" i="3"/>
  <c r="N195" i="3"/>
  <c r="T195" i="3"/>
  <c r="H195" i="3"/>
  <c r="Q195" i="3"/>
  <c r="L195" i="3"/>
  <c r="R195" i="3"/>
  <c r="M195" i="3"/>
  <c r="S195" i="3"/>
  <c r="K195" i="3"/>
  <c r="I195" i="3"/>
  <c r="J195" i="3"/>
  <c r="F195" i="3"/>
  <c r="P195" i="3"/>
  <c r="P237" i="3"/>
  <c r="M237" i="3"/>
  <c r="T237" i="3"/>
  <c r="F237" i="3"/>
  <c r="H237" i="3"/>
  <c r="E237" i="3"/>
  <c r="Q237" i="3"/>
  <c r="R237" i="3"/>
  <c r="K237" i="3"/>
  <c r="G237" i="3"/>
  <c r="O237" i="3"/>
  <c r="J237" i="3"/>
  <c r="I237" i="3"/>
  <c r="N237" i="3"/>
  <c r="L237" i="3"/>
  <c r="S237" i="3"/>
  <c r="M177" i="4"/>
  <c r="J17" i="4"/>
  <c r="K299" i="4"/>
  <c r="M181" i="4"/>
  <c r="K277" i="4"/>
  <c r="I93" i="3"/>
  <c r="O93" i="3"/>
  <c r="E93" i="3"/>
  <c r="J93" i="3"/>
  <c r="T93" i="3"/>
  <c r="P93" i="3"/>
  <c r="S93" i="3"/>
  <c r="L93" i="3"/>
  <c r="M93" i="3"/>
  <c r="R93" i="3"/>
  <c r="K93" i="3"/>
  <c r="N93" i="3"/>
  <c r="G93" i="3"/>
  <c r="H93" i="3"/>
  <c r="Q93" i="3"/>
  <c r="F93" i="3"/>
  <c r="W258" i="4"/>
  <c r="S164" i="4"/>
  <c r="T219" i="3"/>
  <c r="G219" i="3"/>
  <c r="E219" i="3"/>
  <c r="I219" i="3"/>
  <c r="H219" i="3"/>
  <c r="J219" i="3"/>
  <c r="K219" i="3"/>
  <c r="L219" i="3"/>
  <c r="Q219" i="3"/>
  <c r="R219" i="3"/>
  <c r="S219" i="3"/>
  <c r="M219" i="3"/>
  <c r="N219" i="3"/>
  <c r="O219" i="3"/>
  <c r="P219" i="3"/>
  <c r="F219" i="3"/>
  <c r="S286" i="4"/>
  <c r="J66" i="3"/>
  <c r="E66" i="3"/>
  <c r="G66" i="3"/>
  <c r="P66" i="3"/>
  <c r="Q66" i="3"/>
  <c r="I66" i="3"/>
  <c r="F66" i="3"/>
  <c r="T66" i="3"/>
  <c r="H66" i="3"/>
  <c r="K66" i="3"/>
  <c r="O66" i="3"/>
  <c r="R66" i="3"/>
  <c r="M66" i="3"/>
  <c r="N66" i="3"/>
  <c r="L66" i="3"/>
  <c r="S66" i="3"/>
  <c r="X164" i="4"/>
  <c r="S260" i="4"/>
  <c r="W21" i="4"/>
  <c r="W117" i="4"/>
  <c r="P141" i="4"/>
  <c r="I263" i="4"/>
  <c r="U120" i="4"/>
  <c r="I216" i="4"/>
  <c r="K241" i="4"/>
  <c r="J74" i="4"/>
  <c r="I146" i="4"/>
  <c r="K27" i="4"/>
  <c r="O97" i="4"/>
  <c r="O266" i="4"/>
  <c r="S106" i="3"/>
  <c r="T106" i="3"/>
  <c r="O106" i="3"/>
  <c r="P106" i="3"/>
  <c r="F106" i="3"/>
  <c r="I106" i="3"/>
  <c r="J106" i="3"/>
  <c r="E106" i="3"/>
  <c r="Q106" i="3"/>
  <c r="G106" i="3"/>
  <c r="M106" i="3"/>
  <c r="N106" i="3"/>
  <c r="K106" i="3"/>
  <c r="L106" i="3"/>
  <c r="R106" i="3"/>
  <c r="H106" i="3"/>
  <c r="J49" i="4"/>
  <c r="O121" i="4"/>
  <c r="N147" i="4"/>
  <c r="I240" i="4"/>
  <c r="I266" i="4"/>
  <c r="L145" i="4"/>
  <c r="U265" i="4"/>
  <c r="X267" i="4"/>
  <c r="L76" i="4"/>
  <c r="X292" i="4"/>
  <c r="U29" i="4"/>
  <c r="S221" i="4"/>
  <c r="P294" i="4"/>
  <c r="P138" i="3"/>
  <c r="K138" i="3"/>
  <c r="O138" i="3"/>
  <c r="S138" i="3"/>
  <c r="F138" i="3"/>
  <c r="I138" i="3"/>
  <c r="J138" i="3"/>
  <c r="E138" i="3"/>
  <c r="N138" i="3"/>
  <c r="T138" i="3"/>
  <c r="G138" i="3"/>
  <c r="H138" i="3"/>
  <c r="M138" i="3"/>
  <c r="R138" i="3"/>
  <c r="L138" i="3"/>
  <c r="Q138" i="3"/>
  <c r="Y148" i="4"/>
  <c r="T274" i="3"/>
  <c r="G274" i="3"/>
  <c r="I274" i="3"/>
  <c r="M274" i="3"/>
  <c r="N274" i="3"/>
  <c r="F274" i="3"/>
  <c r="P274" i="3"/>
  <c r="E274" i="3"/>
  <c r="Q274" i="3"/>
  <c r="O274" i="3"/>
  <c r="H274" i="3"/>
  <c r="J274" i="3"/>
  <c r="R274" i="3"/>
  <c r="S274" i="3"/>
  <c r="L274" i="3"/>
  <c r="K274" i="3"/>
  <c r="M269" i="4"/>
  <c r="L28" i="4"/>
  <c r="Q268" i="4"/>
  <c r="V293" i="4"/>
  <c r="G59" i="4"/>
  <c r="H59" i="4" s="1"/>
  <c r="Y59" i="4"/>
  <c r="T59" i="4"/>
  <c r="X59" i="4"/>
  <c r="U59" i="4"/>
  <c r="V59" i="4"/>
  <c r="P59" i="4"/>
  <c r="S59" i="4"/>
  <c r="R59" i="4"/>
  <c r="Q59" i="4"/>
  <c r="P172" i="4"/>
  <c r="G48" i="4"/>
  <c r="H48" i="4" s="1"/>
  <c r="P48" i="4"/>
  <c r="K48" i="4"/>
  <c r="Q48" i="4"/>
  <c r="R54" i="4"/>
  <c r="U150" i="4"/>
  <c r="R222" i="4"/>
  <c r="V270" i="4"/>
  <c r="R79" i="4"/>
  <c r="V151" i="4"/>
  <c r="R199" i="4"/>
  <c r="Y223" i="4"/>
  <c r="R271" i="4"/>
  <c r="M295" i="4"/>
  <c r="R303" i="4"/>
  <c r="T303" i="4"/>
  <c r="G303" i="4"/>
  <c r="H303" i="4" s="1"/>
  <c r="O139" i="3"/>
  <c r="Q139" i="3"/>
  <c r="M139" i="3"/>
  <c r="P139" i="3"/>
  <c r="R139" i="3"/>
  <c r="G139" i="3"/>
  <c r="I139" i="3"/>
  <c r="K139" i="3"/>
  <c r="F139" i="3"/>
  <c r="T139" i="3"/>
  <c r="E139" i="3"/>
  <c r="H139" i="3"/>
  <c r="L139" i="3"/>
  <c r="N139" i="3"/>
  <c r="S139" i="3"/>
  <c r="J139" i="3"/>
  <c r="R227" i="3"/>
  <c r="J227" i="3"/>
  <c r="O227" i="3"/>
  <c r="P227" i="3"/>
  <c r="T227" i="3"/>
  <c r="G227" i="3"/>
  <c r="Q227" i="3"/>
  <c r="S227" i="3"/>
  <c r="L227" i="3"/>
  <c r="M227" i="3"/>
  <c r="F227" i="3"/>
  <c r="N227" i="3"/>
  <c r="E227" i="3"/>
  <c r="I227" i="3"/>
  <c r="K227" i="3"/>
  <c r="H227" i="3"/>
  <c r="G237" i="4"/>
  <c r="H237" i="4" s="1"/>
  <c r="J237" i="4"/>
  <c r="G82" i="4"/>
  <c r="H82" i="4" s="1"/>
  <c r="P82" i="4" s="1"/>
  <c r="Y82" i="4"/>
  <c r="I82" i="4"/>
  <c r="X44" i="4"/>
  <c r="I17" i="4"/>
  <c r="N6" i="3"/>
  <c r="S6" i="3" s="1"/>
  <c r="G6" i="3"/>
  <c r="K6" i="3" s="1"/>
  <c r="P6" i="3" s="1"/>
  <c r="E6" i="3"/>
  <c r="F6" i="3" s="1"/>
  <c r="J6" i="3" s="1"/>
  <c r="O6" i="3" s="1"/>
  <c r="I6" i="3"/>
  <c r="L6" i="3" s="1"/>
  <c r="Q6" i="3" s="1"/>
  <c r="H6" i="3"/>
  <c r="M6" i="3"/>
  <c r="R6" i="3" s="1"/>
  <c r="T262" i="3"/>
  <c r="L262" i="3"/>
  <c r="M262" i="3"/>
  <c r="N262" i="3"/>
  <c r="O262" i="3"/>
  <c r="P262" i="3"/>
  <c r="R262" i="3"/>
  <c r="F262" i="3"/>
  <c r="H262" i="3"/>
  <c r="Q262" i="3"/>
  <c r="K262" i="3"/>
  <c r="S262" i="3"/>
  <c r="G262" i="3"/>
  <c r="E262" i="3"/>
  <c r="J262" i="3"/>
  <c r="I262" i="3"/>
  <c r="O162" i="3"/>
  <c r="Q162" i="3"/>
  <c r="R162" i="3"/>
  <c r="T162" i="3"/>
  <c r="J162" i="3"/>
  <c r="K162" i="3"/>
  <c r="L162" i="3"/>
  <c r="P162" i="3"/>
  <c r="H162" i="3"/>
  <c r="S162" i="3"/>
  <c r="M162" i="3"/>
  <c r="I162" i="3"/>
  <c r="F162" i="3"/>
  <c r="N162" i="3"/>
  <c r="E162" i="3"/>
  <c r="G162" i="3"/>
  <c r="M273" i="4"/>
  <c r="K273" i="4"/>
  <c r="J273" i="4"/>
  <c r="V273" i="4"/>
  <c r="S273" i="4"/>
  <c r="U273" i="4"/>
  <c r="T273" i="4"/>
  <c r="G273" i="4"/>
  <c r="H273" i="4" s="1"/>
  <c r="W273" i="4"/>
  <c r="X273" i="4"/>
  <c r="G114" i="4"/>
  <c r="H114" i="4" s="1"/>
  <c r="O114" i="4" s="1"/>
  <c r="W114" i="4"/>
  <c r="G20" i="4"/>
  <c r="H20" i="4" s="1"/>
  <c r="K20" i="4" s="1"/>
  <c r="V20" i="4"/>
  <c r="X21" i="4"/>
  <c r="U117" i="4"/>
  <c r="K141" i="4"/>
  <c r="J146" i="4"/>
  <c r="L27" i="4"/>
  <c r="P97" i="4"/>
  <c r="K226" i="4"/>
  <c r="G226" i="4"/>
  <c r="H226" i="4" s="1"/>
  <c r="U226" i="4"/>
  <c r="L226" i="4"/>
  <c r="G224" i="4"/>
  <c r="H224" i="4" s="1"/>
  <c r="J224" i="4"/>
  <c r="O224" i="4"/>
  <c r="K224" i="4"/>
  <c r="Q224" i="4"/>
  <c r="P224" i="4"/>
  <c r="R224" i="4"/>
  <c r="S224" i="4"/>
  <c r="T224" i="4"/>
  <c r="X144" i="4"/>
  <c r="M240" i="4"/>
  <c r="O145" i="4"/>
  <c r="V265" i="4"/>
  <c r="O137" i="3"/>
  <c r="K137" i="3"/>
  <c r="H137" i="3"/>
  <c r="L137" i="3"/>
  <c r="Q137" i="3"/>
  <c r="R137" i="3"/>
  <c r="F137" i="3"/>
  <c r="M137" i="3"/>
  <c r="J137" i="3"/>
  <c r="I137" i="3"/>
  <c r="E137" i="3"/>
  <c r="N137" i="3"/>
  <c r="P137" i="3"/>
  <c r="G137" i="3"/>
  <c r="S137" i="3"/>
  <c r="T137" i="3"/>
  <c r="M76" i="4"/>
  <c r="S292" i="4"/>
  <c r="W221" i="4"/>
  <c r="Q294" i="4"/>
  <c r="G85" i="4"/>
  <c r="H85" i="4" s="1"/>
  <c r="T85" i="4" s="1"/>
  <c r="N85" i="4"/>
  <c r="J85" i="4"/>
  <c r="G187" i="4"/>
  <c r="H187" i="4" s="1"/>
  <c r="W187" i="4" s="1"/>
  <c r="R268" i="4"/>
  <c r="W293" i="4"/>
  <c r="S172" i="4"/>
  <c r="S54" i="4"/>
  <c r="X150" i="4"/>
  <c r="T222" i="4"/>
  <c r="T206" i="3"/>
  <c r="K206" i="3"/>
  <c r="P206" i="3"/>
  <c r="R206" i="3"/>
  <c r="M206" i="3"/>
  <c r="N206" i="3"/>
  <c r="E206" i="3"/>
  <c r="L206" i="3"/>
  <c r="O206" i="3"/>
  <c r="H206" i="3"/>
  <c r="F206" i="3"/>
  <c r="I206" i="3"/>
  <c r="Q206" i="3"/>
  <c r="G206" i="3"/>
  <c r="S206" i="3"/>
  <c r="J206" i="3"/>
  <c r="I79" i="4"/>
  <c r="W151" i="4"/>
  <c r="Q199" i="4"/>
  <c r="I223" i="4"/>
  <c r="W271" i="4"/>
  <c r="O303" i="3"/>
  <c r="P303" i="3"/>
  <c r="S303" i="3"/>
  <c r="N303" i="3"/>
  <c r="F303" i="3"/>
  <c r="T303" i="3"/>
  <c r="R303" i="3"/>
  <c r="E303" i="3"/>
  <c r="I303" i="3"/>
  <c r="G303" i="3"/>
  <c r="Q303" i="3"/>
  <c r="H303" i="3"/>
  <c r="L303" i="3"/>
  <c r="M303" i="3"/>
  <c r="J303" i="3"/>
  <c r="K303" i="3"/>
  <c r="K284" i="3"/>
  <c r="T284" i="3"/>
  <c r="P284" i="3"/>
  <c r="Q284" i="3"/>
  <c r="R284" i="3"/>
  <c r="S284" i="3"/>
  <c r="O284" i="3"/>
  <c r="H284" i="3"/>
  <c r="L284" i="3"/>
  <c r="M284" i="3"/>
  <c r="G284" i="3"/>
  <c r="F284" i="3"/>
  <c r="N284" i="3"/>
  <c r="I284" i="3"/>
  <c r="J284" i="3"/>
  <c r="E284" i="3"/>
  <c r="T51" i="3"/>
  <c r="P51" i="3"/>
  <c r="Q51" i="3"/>
  <c r="G51" i="3"/>
  <c r="E51" i="3"/>
  <c r="H51" i="3"/>
  <c r="O51" i="3"/>
  <c r="R51" i="3"/>
  <c r="F51" i="3"/>
  <c r="N51" i="3"/>
  <c r="I51" i="3"/>
  <c r="S51" i="3"/>
  <c r="J51" i="3"/>
  <c r="K51" i="3"/>
  <c r="M51" i="3"/>
  <c r="L51" i="3"/>
  <c r="P278" i="4"/>
  <c r="O278" i="4"/>
  <c r="N278" i="4"/>
  <c r="M278" i="4"/>
  <c r="L278" i="4"/>
  <c r="K278" i="4"/>
  <c r="J278" i="4"/>
  <c r="R278" i="4"/>
  <c r="Q278" i="4"/>
  <c r="G278" i="4"/>
  <c r="H278" i="4" s="1"/>
  <c r="S278" i="4"/>
  <c r="X278" i="4"/>
  <c r="U278" i="4"/>
  <c r="V278" i="4"/>
  <c r="T278" i="4"/>
  <c r="G86" i="4"/>
  <c r="H86" i="4" s="1"/>
  <c r="P86" i="4" s="1"/>
  <c r="X86" i="4"/>
  <c r="S65" i="4"/>
  <c r="Q117" i="3"/>
  <c r="I117" i="3"/>
  <c r="T117" i="3"/>
  <c r="O117" i="3"/>
  <c r="K117" i="3"/>
  <c r="R117" i="3"/>
  <c r="S117" i="3"/>
  <c r="N117" i="3"/>
  <c r="P117" i="3"/>
  <c r="L117" i="3"/>
  <c r="M117" i="3"/>
  <c r="G117" i="3"/>
  <c r="H117" i="3"/>
  <c r="F117" i="3"/>
  <c r="E117" i="3"/>
  <c r="J117" i="3"/>
  <c r="X241" i="4"/>
  <c r="M241" i="4"/>
  <c r="Y241" i="4"/>
  <c r="G241" i="4"/>
  <c r="H241" i="4" s="1"/>
  <c r="G43" i="4"/>
  <c r="H43" i="4" s="1"/>
  <c r="X43" i="4" s="1"/>
  <c r="H305" i="3"/>
  <c r="T305" i="3"/>
  <c r="P305" i="3"/>
  <c r="Q305" i="3"/>
  <c r="R305" i="3"/>
  <c r="S305" i="3"/>
  <c r="M305" i="3"/>
  <c r="N305" i="3"/>
  <c r="G305" i="3"/>
  <c r="F305" i="3"/>
  <c r="E305" i="3"/>
  <c r="J305" i="3"/>
  <c r="I305" i="3"/>
  <c r="K305" i="3"/>
  <c r="L305" i="3"/>
  <c r="O305" i="3"/>
  <c r="K21" i="4"/>
  <c r="X117" i="4"/>
  <c r="L141" i="4"/>
  <c r="Y189" i="4"/>
  <c r="K263" i="4"/>
  <c r="G270" i="4"/>
  <c r="H270" i="4" s="1"/>
  <c r="P270" i="4"/>
  <c r="O241" i="4"/>
  <c r="M74" i="4"/>
  <c r="K146" i="4"/>
  <c r="I27" i="4"/>
  <c r="Q97" i="4"/>
  <c r="T226" i="3"/>
  <c r="E226" i="3"/>
  <c r="Q226" i="3"/>
  <c r="L226" i="3"/>
  <c r="R226" i="3"/>
  <c r="M226" i="3"/>
  <c r="F226" i="3"/>
  <c r="O226" i="3"/>
  <c r="P226" i="3"/>
  <c r="J226" i="3"/>
  <c r="I226" i="3"/>
  <c r="G226" i="3"/>
  <c r="N226" i="3"/>
  <c r="S226" i="3"/>
  <c r="K226" i="3"/>
  <c r="H226" i="3"/>
  <c r="T224" i="3"/>
  <c r="K224" i="3"/>
  <c r="P224" i="3"/>
  <c r="M224" i="3"/>
  <c r="R224" i="3"/>
  <c r="O224" i="3"/>
  <c r="N224" i="3"/>
  <c r="Q224" i="3"/>
  <c r="S224" i="3"/>
  <c r="E224" i="3"/>
  <c r="J224" i="3"/>
  <c r="G224" i="3"/>
  <c r="I224" i="3"/>
  <c r="L224" i="3"/>
  <c r="F224" i="3"/>
  <c r="H224" i="3"/>
  <c r="Q129" i="3"/>
  <c r="T129" i="3"/>
  <c r="S129" i="3"/>
  <c r="O129" i="3"/>
  <c r="P129" i="3"/>
  <c r="J129" i="3"/>
  <c r="H129" i="3"/>
  <c r="R129" i="3"/>
  <c r="K129" i="3"/>
  <c r="N129" i="3"/>
  <c r="F129" i="3"/>
  <c r="E129" i="3"/>
  <c r="G129" i="3"/>
  <c r="L129" i="3"/>
  <c r="I129" i="3"/>
  <c r="M129" i="3"/>
  <c r="N240" i="4"/>
  <c r="P145" i="4"/>
  <c r="W265" i="4"/>
  <c r="M126" i="3"/>
  <c r="P126" i="3"/>
  <c r="Q126" i="3"/>
  <c r="R126" i="3"/>
  <c r="S126" i="3"/>
  <c r="T126" i="3"/>
  <c r="K126" i="3"/>
  <c r="L126" i="3"/>
  <c r="E126" i="3"/>
  <c r="N126" i="3"/>
  <c r="J126" i="3"/>
  <c r="H126" i="3"/>
  <c r="G126" i="3"/>
  <c r="F126" i="3"/>
  <c r="O126" i="3"/>
  <c r="I126" i="3"/>
  <c r="N76" i="4"/>
  <c r="V292" i="4"/>
  <c r="X221" i="4"/>
  <c r="V294" i="4"/>
  <c r="G192" i="4"/>
  <c r="H192" i="4" s="1"/>
  <c r="V192" i="4" s="1"/>
  <c r="J148" i="4"/>
  <c r="P250" i="4"/>
  <c r="G250" i="4"/>
  <c r="H250" i="4" s="1"/>
  <c r="M250" i="4"/>
  <c r="J250" i="4"/>
  <c r="I250" i="4"/>
  <c r="T250" i="4"/>
  <c r="S268" i="4"/>
  <c r="G68" i="4"/>
  <c r="H68" i="4" s="1"/>
  <c r="V68" i="4" s="1"/>
  <c r="G107" i="4"/>
  <c r="H107" i="4" s="1"/>
  <c r="V107" i="4"/>
  <c r="P107" i="4"/>
  <c r="T172" i="4"/>
  <c r="G300" i="4"/>
  <c r="H300" i="4" s="1"/>
  <c r="Y300" i="4"/>
  <c r="U300" i="4"/>
  <c r="T300" i="4"/>
  <c r="T54" i="4"/>
  <c r="T150" i="4"/>
  <c r="U222" i="4"/>
  <c r="Q270" i="4"/>
  <c r="J79" i="4"/>
  <c r="X151" i="4"/>
  <c r="S199" i="4"/>
  <c r="J223" i="4"/>
  <c r="S271" i="4"/>
  <c r="S284" i="4"/>
  <c r="R284" i="4"/>
  <c r="M284" i="4"/>
  <c r="G284" i="4"/>
  <c r="H284" i="4" s="1"/>
  <c r="O278" i="3"/>
  <c r="K278" i="3"/>
  <c r="P278" i="3"/>
  <c r="N278" i="3"/>
  <c r="T278" i="3"/>
  <c r="Q278" i="3"/>
  <c r="J278" i="3"/>
  <c r="R278" i="3"/>
  <c r="S278" i="3"/>
  <c r="E278" i="3"/>
  <c r="I278" i="3"/>
  <c r="H278" i="3"/>
  <c r="F278" i="3"/>
  <c r="M278" i="3"/>
  <c r="G278" i="3"/>
  <c r="L278" i="3"/>
  <c r="I244" i="3"/>
  <c r="K164" i="4"/>
  <c r="G212" i="4"/>
  <c r="H212" i="4" s="1"/>
  <c r="J212" i="4" s="1"/>
  <c r="W212" i="4"/>
  <c r="L212" i="4"/>
  <c r="K212" i="4"/>
  <c r="X212" i="4"/>
  <c r="G165" i="4"/>
  <c r="H165" i="4" s="1"/>
  <c r="R165" i="4" s="1"/>
  <c r="L21" i="4"/>
  <c r="O93" i="4"/>
  <c r="Y117" i="4"/>
  <c r="M141" i="4"/>
  <c r="L263" i="4"/>
  <c r="S270" i="3"/>
  <c r="P270" i="3"/>
  <c r="Q270" i="3"/>
  <c r="R270" i="3"/>
  <c r="K270" i="3"/>
  <c r="T270" i="3"/>
  <c r="O270" i="3"/>
  <c r="E270" i="3"/>
  <c r="M270" i="3"/>
  <c r="N270" i="3"/>
  <c r="G270" i="3"/>
  <c r="H270" i="3"/>
  <c r="F270" i="3"/>
  <c r="J270" i="3"/>
  <c r="L270" i="3"/>
  <c r="I270" i="3"/>
  <c r="G213" i="4"/>
  <c r="H213" i="4" s="1"/>
  <c r="Y213" i="4"/>
  <c r="V213" i="4"/>
  <c r="T213" i="4"/>
  <c r="X213" i="4"/>
  <c r="L213" i="4"/>
  <c r="P241" i="4"/>
  <c r="L74" i="4"/>
  <c r="M146" i="4"/>
  <c r="J27" i="4"/>
  <c r="G32" i="4"/>
  <c r="H32" i="4" s="1"/>
  <c r="Y32" i="4"/>
  <c r="W32" i="4"/>
  <c r="O32" i="4"/>
  <c r="X32" i="4"/>
  <c r="V32" i="4"/>
  <c r="U32" i="4"/>
  <c r="S32" i="4"/>
  <c r="T32" i="4"/>
  <c r="N32" i="4"/>
  <c r="L32" i="4"/>
  <c r="K32" i="4"/>
  <c r="J32" i="4"/>
  <c r="Q81" i="3"/>
  <c r="R81" i="3"/>
  <c r="T81" i="3"/>
  <c r="S81" i="3"/>
  <c r="K81" i="3"/>
  <c r="O81" i="3"/>
  <c r="P81" i="3"/>
  <c r="L81" i="3"/>
  <c r="M81" i="3"/>
  <c r="N81" i="3"/>
  <c r="H81" i="3"/>
  <c r="F81" i="3"/>
  <c r="J81" i="3"/>
  <c r="I81" i="3"/>
  <c r="G81" i="3"/>
  <c r="E81" i="3"/>
  <c r="G296" i="4"/>
  <c r="H296" i="4" s="1"/>
  <c r="T296" i="4"/>
  <c r="I296" i="4"/>
  <c r="P296" i="4"/>
  <c r="O296" i="4"/>
  <c r="N296" i="4"/>
  <c r="J296" i="4"/>
  <c r="M296" i="4"/>
  <c r="L296" i="4"/>
  <c r="K296" i="4"/>
  <c r="G153" i="4"/>
  <c r="H153" i="4" s="1"/>
  <c r="M153" i="4" s="1"/>
  <c r="R75" i="4"/>
  <c r="Q145" i="4"/>
  <c r="I265" i="4"/>
  <c r="X220" i="4"/>
  <c r="W292" i="4"/>
  <c r="L221" i="4"/>
  <c r="W294" i="4"/>
  <c r="O148" i="4"/>
  <c r="V268" i="4"/>
  <c r="V172" i="4"/>
  <c r="Q300" i="3"/>
  <c r="R300" i="3"/>
  <c r="S300" i="3"/>
  <c r="N300" i="3"/>
  <c r="T300" i="3"/>
  <c r="G300" i="3"/>
  <c r="I300" i="3"/>
  <c r="E300" i="3"/>
  <c r="K300" i="3"/>
  <c r="L300" i="3"/>
  <c r="M300" i="3"/>
  <c r="H300" i="3"/>
  <c r="J300" i="3"/>
  <c r="O300" i="3"/>
  <c r="P300" i="3"/>
  <c r="F300" i="3"/>
  <c r="U54" i="4"/>
  <c r="Y150" i="4"/>
  <c r="V222" i="4"/>
  <c r="U270" i="4"/>
  <c r="K79" i="4"/>
  <c r="Y151" i="4"/>
  <c r="K199" i="4"/>
  <c r="P223" i="4"/>
  <c r="Q295" i="4"/>
  <c r="N29" i="4"/>
  <c r="O130" i="3"/>
  <c r="K130" i="3"/>
  <c r="P130" i="3"/>
  <c r="L130" i="3"/>
  <c r="Q130" i="3"/>
  <c r="M130" i="3"/>
  <c r="S130" i="3"/>
  <c r="I130" i="3"/>
  <c r="F130" i="3"/>
  <c r="J130" i="3"/>
  <c r="H130" i="3"/>
  <c r="T130" i="3"/>
  <c r="R130" i="3"/>
  <c r="N130" i="3"/>
  <c r="E130" i="3"/>
  <c r="G130" i="3"/>
  <c r="G271" i="4"/>
  <c r="H271" i="4" s="1"/>
  <c r="M271" i="4"/>
  <c r="P271" i="4"/>
  <c r="L271" i="4"/>
  <c r="K271" i="4"/>
  <c r="Y216" i="4"/>
  <c r="G247" i="3"/>
  <c r="K247" i="3" s="1"/>
  <c r="E247" i="3"/>
  <c r="M247" i="3" s="1"/>
  <c r="P213" i="3"/>
  <c r="O213" i="3"/>
  <c r="T213" i="3"/>
  <c r="L213" i="3"/>
  <c r="M213" i="3"/>
  <c r="N213" i="3"/>
  <c r="R213" i="3"/>
  <c r="S213" i="3"/>
  <c r="Q213" i="3"/>
  <c r="H213" i="3"/>
  <c r="K213" i="3"/>
  <c r="G213" i="3"/>
  <c r="F213" i="3"/>
  <c r="J213" i="3"/>
  <c r="E213" i="3"/>
  <c r="I213" i="3"/>
  <c r="N146" i="4"/>
  <c r="G178" i="4"/>
  <c r="H178" i="4" s="1"/>
  <c r="L178" i="4" s="1"/>
  <c r="Y178" i="4"/>
  <c r="X178" i="4"/>
  <c r="T178" i="4"/>
  <c r="S178" i="4"/>
  <c r="P32" i="3"/>
  <c r="Q32" i="3"/>
  <c r="M32" i="3"/>
  <c r="N32" i="3"/>
  <c r="S32" i="3"/>
  <c r="J32" i="3"/>
  <c r="K32" i="3"/>
  <c r="L32" i="3"/>
  <c r="F32" i="3"/>
  <c r="O32" i="3"/>
  <c r="H32" i="3"/>
  <c r="T32" i="3"/>
  <c r="E32" i="3"/>
  <c r="G32" i="3"/>
  <c r="R32" i="3"/>
  <c r="I32" i="3"/>
  <c r="G102" i="4"/>
  <c r="H102" i="4" s="1"/>
  <c r="W102" i="4" s="1"/>
  <c r="N102" i="4"/>
  <c r="L102" i="4"/>
  <c r="M102" i="4"/>
  <c r="T296" i="3"/>
  <c r="K296" i="3"/>
  <c r="L296" i="3"/>
  <c r="O296" i="3"/>
  <c r="P296" i="3"/>
  <c r="S296" i="3"/>
  <c r="E296" i="3"/>
  <c r="M296" i="3"/>
  <c r="I296" i="3"/>
  <c r="J296" i="3"/>
  <c r="G296" i="3"/>
  <c r="Q296" i="3"/>
  <c r="R296" i="3"/>
  <c r="F296" i="3"/>
  <c r="H296" i="3"/>
  <c r="N296" i="3"/>
  <c r="O288" i="4"/>
  <c r="S191" i="3"/>
  <c r="I191" i="3"/>
  <c r="K191" i="3"/>
  <c r="T191" i="3"/>
  <c r="N191" i="3"/>
  <c r="R191" i="3"/>
  <c r="J191" i="3"/>
  <c r="Q191" i="3"/>
  <c r="M191" i="3"/>
  <c r="L191" i="3"/>
  <c r="E191" i="3"/>
  <c r="H191" i="3"/>
  <c r="F191" i="3"/>
  <c r="O191" i="3"/>
  <c r="P191" i="3"/>
  <c r="G191" i="3"/>
  <c r="Y220" i="4"/>
  <c r="L13" i="4"/>
  <c r="G13" i="4"/>
  <c r="H13" i="4" s="1"/>
  <c r="K13" i="4"/>
  <c r="I13" i="4"/>
  <c r="J13" i="4"/>
  <c r="N13" i="4"/>
  <c r="M13" i="4"/>
  <c r="T13" i="4"/>
  <c r="Q13" i="4"/>
  <c r="O13" i="4"/>
  <c r="U13" i="4"/>
  <c r="P13" i="4"/>
  <c r="X294" i="4"/>
  <c r="W268" i="4"/>
  <c r="O107" i="3"/>
  <c r="Q107" i="3"/>
  <c r="J107" i="3"/>
  <c r="R107" i="3"/>
  <c r="K107" i="3"/>
  <c r="P107" i="3"/>
  <c r="T107" i="3"/>
  <c r="N107" i="3"/>
  <c r="S107" i="3"/>
  <c r="I107" i="3"/>
  <c r="F107" i="3"/>
  <c r="E107" i="3"/>
  <c r="L107" i="3"/>
  <c r="M107" i="3"/>
  <c r="G107" i="3"/>
  <c r="H107" i="3"/>
  <c r="W172" i="4"/>
  <c r="I54" i="4"/>
  <c r="I150" i="4"/>
  <c r="X270" i="4"/>
  <c r="Y103" i="4"/>
  <c r="I151" i="4"/>
  <c r="T199" i="4"/>
  <c r="Q223" i="4"/>
  <c r="U271" i="4"/>
  <c r="S281" i="3"/>
  <c r="N281" i="3"/>
  <c r="H281" i="3"/>
  <c r="K281" i="3"/>
  <c r="J281" i="3"/>
  <c r="L281" i="3"/>
  <c r="M281" i="3"/>
  <c r="E281" i="3"/>
  <c r="I281" i="3"/>
  <c r="T281" i="3"/>
  <c r="O281" i="3"/>
  <c r="F281" i="3"/>
  <c r="P281" i="3"/>
  <c r="Q281" i="3"/>
  <c r="G281" i="3"/>
  <c r="R281" i="3"/>
  <c r="P283" i="4"/>
  <c r="K283" i="4"/>
  <c r="R283" i="4"/>
  <c r="L283" i="4"/>
  <c r="G283" i="4"/>
  <c r="H283" i="4" s="1"/>
  <c r="G83" i="4"/>
  <c r="H83" i="4" s="1"/>
  <c r="S83" i="4" s="1"/>
  <c r="W284" i="4"/>
  <c r="G87" i="4"/>
  <c r="H87" i="4" s="1"/>
  <c r="O87" i="4" s="1"/>
  <c r="I87" i="4"/>
  <c r="K87" i="4"/>
  <c r="U87" i="4"/>
  <c r="P120" i="3"/>
  <c r="K120" i="3"/>
  <c r="T120" i="3"/>
  <c r="L120" i="3"/>
  <c r="M120" i="3"/>
  <c r="E120" i="3"/>
  <c r="O120" i="3"/>
  <c r="Q120" i="3"/>
  <c r="S120" i="3"/>
  <c r="H120" i="3"/>
  <c r="J120" i="3"/>
  <c r="R120" i="3"/>
  <c r="G120" i="3"/>
  <c r="I120" i="3"/>
  <c r="N120" i="3"/>
  <c r="F120" i="3"/>
  <c r="K241" i="3"/>
  <c r="O241" i="3"/>
  <c r="R241" i="3"/>
  <c r="S241" i="3"/>
  <c r="F241" i="3"/>
  <c r="H241" i="3"/>
  <c r="G241" i="3"/>
  <c r="E241" i="3"/>
  <c r="T241" i="3"/>
  <c r="I241" i="3"/>
  <c r="Q241" i="3"/>
  <c r="L241" i="3"/>
  <c r="M241" i="3"/>
  <c r="N241" i="3"/>
  <c r="J241" i="3"/>
  <c r="P241" i="3"/>
  <c r="G163" i="4"/>
  <c r="H163" i="4" s="1"/>
  <c r="O65" i="4"/>
  <c r="X65" i="4"/>
  <c r="U163" i="4"/>
  <c r="X36" i="4"/>
  <c r="M120" i="4"/>
  <c r="L120" i="4"/>
  <c r="K120" i="4"/>
  <c r="G120" i="4"/>
  <c r="H120" i="4" s="1"/>
  <c r="J66" i="4"/>
  <c r="S258" i="4"/>
  <c r="L72" i="4"/>
  <c r="Q286" i="4"/>
  <c r="K95" i="4"/>
  <c r="L146" i="4"/>
  <c r="U260" i="4"/>
  <c r="I142" i="4"/>
  <c r="M267" i="4"/>
  <c r="R93" i="4"/>
  <c r="N117" i="4"/>
  <c r="S75" i="4"/>
  <c r="U263" i="4"/>
  <c r="J120" i="4"/>
  <c r="M264" i="4"/>
  <c r="G56" i="4"/>
  <c r="H56" i="4" s="1"/>
  <c r="X56" i="4" s="1"/>
  <c r="Y56" i="4"/>
  <c r="O74" i="4"/>
  <c r="O146" i="4"/>
  <c r="K75" i="4"/>
  <c r="G176" i="4"/>
  <c r="H176" i="4" s="1"/>
  <c r="L176" i="4" s="1"/>
  <c r="W176" i="4"/>
  <c r="V176" i="4"/>
  <c r="U176" i="4"/>
  <c r="T176" i="4"/>
  <c r="S176" i="4"/>
  <c r="J176" i="4"/>
  <c r="I176" i="4"/>
  <c r="O176" i="4"/>
  <c r="N219" i="4"/>
  <c r="S49" i="4"/>
  <c r="W291" i="4"/>
  <c r="Y144" i="4"/>
  <c r="W288" i="4"/>
  <c r="Q8" i="3"/>
  <c r="S8" i="3"/>
  <c r="O8" i="3"/>
  <c r="G8" i="3"/>
  <c r="F8" i="3"/>
  <c r="M8" i="3"/>
  <c r="I8" i="3"/>
  <c r="N8" i="3"/>
  <c r="E8" i="3"/>
  <c r="K8" i="3"/>
  <c r="L8" i="3"/>
  <c r="H8" i="3"/>
  <c r="P8" i="3"/>
  <c r="R8" i="3"/>
  <c r="J8" i="3"/>
  <c r="K267" i="4"/>
  <c r="W220" i="4"/>
  <c r="L292" i="4"/>
  <c r="Y294" i="4"/>
  <c r="G35" i="4"/>
  <c r="H35" i="4" s="1"/>
  <c r="X35" i="4"/>
  <c r="W35" i="4"/>
  <c r="V35" i="4"/>
  <c r="K35" i="4"/>
  <c r="S148" i="4"/>
  <c r="T260" i="3"/>
  <c r="K260" i="3"/>
  <c r="O260" i="3"/>
  <c r="P260" i="3"/>
  <c r="Q260" i="3"/>
  <c r="R260" i="3"/>
  <c r="S260" i="3"/>
  <c r="E260" i="3"/>
  <c r="L260" i="3"/>
  <c r="M260" i="3"/>
  <c r="F260" i="3"/>
  <c r="G260" i="3"/>
  <c r="N260" i="3"/>
  <c r="H260" i="3"/>
  <c r="I260" i="3"/>
  <c r="J260" i="3"/>
  <c r="G179" i="4"/>
  <c r="H179" i="4" s="1"/>
  <c r="T179" i="4"/>
  <c r="Y268" i="4"/>
  <c r="G203" i="4"/>
  <c r="H203" i="4" s="1"/>
  <c r="O203" i="4"/>
  <c r="N203" i="4"/>
  <c r="X172" i="4"/>
  <c r="J54" i="4"/>
  <c r="J150" i="4"/>
  <c r="Y222" i="4"/>
  <c r="Y270" i="4"/>
  <c r="L103" i="4"/>
  <c r="J151" i="4"/>
  <c r="W199" i="4"/>
  <c r="N223" i="4"/>
  <c r="X271" i="4"/>
  <c r="G39" i="4"/>
  <c r="H39" i="4" s="1"/>
  <c r="S39" i="4" s="1"/>
  <c r="Y39" i="4"/>
  <c r="Y35" i="4"/>
  <c r="K236" i="3"/>
  <c r="T236" i="3"/>
  <c r="L236" i="3"/>
  <c r="M236" i="3"/>
  <c r="N236" i="3"/>
  <c r="P236" i="3"/>
  <c r="F236" i="3"/>
  <c r="H236" i="3"/>
  <c r="O236" i="3"/>
  <c r="E236" i="3"/>
  <c r="Q236" i="3"/>
  <c r="R236" i="3"/>
  <c r="G236" i="3"/>
  <c r="S236" i="3"/>
  <c r="J236" i="3"/>
  <c r="I236" i="3"/>
  <c r="R33" i="4"/>
  <c r="O283" i="3"/>
  <c r="P283" i="3"/>
  <c r="S283" i="3"/>
  <c r="K283" i="3"/>
  <c r="J283" i="3"/>
  <c r="L283" i="3"/>
  <c r="R283" i="3"/>
  <c r="H283" i="3"/>
  <c r="T283" i="3"/>
  <c r="G283" i="3"/>
  <c r="N283" i="3"/>
  <c r="F283" i="3"/>
  <c r="M283" i="3"/>
  <c r="I283" i="3"/>
  <c r="Q283" i="3"/>
  <c r="E283" i="3"/>
  <c r="T188" i="4"/>
  <c r="G188" i="4"/>
  <c r="H188" i="4" s="1"/>
  <c r="G52" i="4"/>
  <c r="H52" i="4" s="1"/>
  <c r="R52" i="4"/>
  <c r="Y52" i="4"/>
  <c r="X52" i="4"/>
  <c r="W52" i="4"/>
  <c r="J52" i="4"/>
  <c r="M142" i="4"/>
  <c r="G19" i="4"/>
  <c r="H19" i="4" s="1"/>
  <c r="X19" i="4" s="1"/>
  <c r="Q19" i="4"/>
  <c r="I19" i="4"/>
  <c r="P19" i="4"/>
  <c r="O19" i="4"/>
  <c r="N19" i="4"/>
  <c r="M19" i="4"/>
  <c r="L19" i="4"/>
  <c r="J19" i="4"/>
  <c r="K19" i="4"/>
  <c r="T19" i="4"/>
  <c r="S19" i="4"/>
  <c r="O117" i="4"/>
  <c r="S294" i="3"/>
  <c r="T294" i="3"/>
  <c r="Q294" i="3"/>
  <c r="N294" i="3"/>
  <c r="R294" i="3"/>
  <c r="F294" i="3"/>
  <c r="P294" i="3"/>
  <c r="J294" i="3"/>
  <c r="H294" i="3"/>
  <c r="L294" i="3"/>
  <c r="M294" i="3"/>
  <c r="E294" i="3"/>
  <c r="O294" i="3"/>
  <c r="I294" i="3"/>
  <c r="K294" i="3"/>
  <c r="G294" i="3"/>
  <c r="T295" i="3"/>
  <c r="K295" i="3"/>
  <c r="O295" i="3"/>
  <c r="R295" i="3"/>
  <c r="S295" i="3"/>
  <c r="P295" i="3"/>
  <c r="Q295" i="3"/>
  <c r="J295" i="3"/>
  <c r="M295" i="3"/>
  <c r="N295" i="3"/>
  <c r="I295" i="3"/>
  <c r="H295" i="3"/>
  <c r="G295" i="3"/>
  <c r="F295" i="3"/>
  <c r="E295" i="3"/>
  <c r="L295" i="3"/>
  <c r="Q146" i="4"/>
  <c r="Y298" i="4"/>
  <c r="G298" i="4"/>
  <c r="H298" i="4" s="1"/>
  <c r="X298" i="4"/>
  <c r="T298" i="4"/>
  <c r="S298" i="4"/>
  <c r="L298" i="4"/>
  <c r="M298" i="4"/>
  <c r="J298" i="4"/>
  <c r="I298" i="4"/>
  <c r="U298" i="4"/>
  <c r="X219" i="4"/>
  <c r="Q201" i="3"/>
  <c r="T201" i="3"/>
  <c r="P201" i="3"/>
  <c r="R201" i="3"/>
  <c r="K201" i="3"/>
  <c r="S201" i="3"/>
  <c r="O201" i="3"/>
  <c r="G201" i="3"/>
  <c r="N201" i="3"/>
  <c r="L201" i="3"/>
  <c r="M201" i="3"/>
  <c r="H201" i="3"/>
  <c r="F201" i="3"/>
  <c r="J201" i="3"/>
  <c r="I201" i="3"/>
  <c r="E201" i="3"/>
  <c r="X291" i="4"/>
  <c r="O24" i="4"/>
  <c r="O144" i="4"/>
  <c r="N288" i="4"/>
  <c r="G104" i="4"/>
  <c r="H104" i="4" s="1"/>
  <c r="W104" i="4"/>
  <c r="V104" i="4"/>
  <c r="U104" i="4"/>
  <c r="T104" i="4"/>
  <c r="S104" i="4"/>
  <c r="J104" i="4"/>
  <c r="I104" i="4"/>
  <c r="O104" i="4"/>
  <c r="K104" i="4"/>
  <c r="N104" i="4"/>
  <c r="X104" i="4"/>
  <c r="Y104" i="4"/>
  <c r="V220" i="4"/>
  <c r="M292" i="4"/>
  <c r="J294" i="4"/>
  <c r="Q148" i="4"/>
  <c r="K12" i="3"/>
  <c r="L12" i="3"/>
  <c r="T12" i="3"/>
  <c r="R12" i="3"/>
  <c r="S12" i="3"/>
  <c r="J12" i="3"/>
  <c r="G12" i="3"/>
  <c r="I12" i="3"/>
  <c r="H12" i="3"/>
  <c r="F12" i="3"/>
  <c r="M12" i="3"/>
  <c r="N12" i="3"/>
  <c r="O12" i="3"/>
  <c r="E12" i="3"/>
  <c r="Q12" i="3"/>
  <c r="P12" i="3"/>
  <c r="T301" i="3"/>
  <c r="L301" i="3"/>
  <c r="M301" i="3"/>
  <c r="Q301" i="3"/>
  <c r="K301" i="3"/>
  <c r="G301" i="3"/>
  <c r="E301" i="3"/>
  <c r="R301" i="3"/>
  <c r="S301" i="3"/>
  <c r="N301" i="3"/>
  <c r="H301" i="3"/>
  <c r="I301" i="3"/>
  <c r="O301" i="3"/>
  <c r="P301" i="3"/>
  <c r="F301" i="3"/>
  <c r="J301" i="3"/>
  <c r="T277" i="3"/>
  <c r="O277" i="3"/>
  <c r="R277" i="3"/>
  <c r="P277" i="3"/>
  <c r="Q277" i="3"/>
  <c r="E277" i="3"/>
  <c r="I277" i="3"/>
  <c r="L277" i="3"/>
  <c r="M277" i="3"/>
  <c r="H277" i="3"/>
  <c r="N277" i="3"/>
  <c r="G277" i="3"/>
  <c r="F277" i="3"/>
  <c r="S277" i="3"/>
  <c r="J277" i="3"/>
  <c r="K277" i="3"/>
  <c r="T180" i="3"/>
  <c r="O180" i="3"/>
  <c r="P180" i="3"/>
  <c r="Q180" i="3"/>
  <c r="S180" i="3"/>
  <c r="R180" i="3"/>
  <c r="K180" i="3"/>
  <c r="N180" i="3"/>
  <c r="M180" i="3"/>
  <c r="J180" i="3"/>
  <c r="E180" i="3"/>
  <c r="F180" i="3"/>
  <c r="H180" i="3"/>
  <c r="L180" i="3"/>
  <c r="I180" i="3"/>
  <c r="G180" i="3"/>
  <c r="Y172" i="4"/>
  <c r="G47" i="4"/>
  <c r="H47" i="4" s="1"/>
  <c r="M47" i="4" s="1"/>
  <c r="K54" i="4"/>
  <c r="N150" i="4"/>
  <c r="J222" i="4"/>
  <c r="O270" i="4"/>
  <c r="U55" i="4"/>
  <c r="X103" i="4"/>
  <c r="K151" i="4"/>
  <c r="X199" i="4"/>
  <c r="O223" i="4"/>
  <c r="J271" i="4"/>
  <c r="T130" i="4"/>
  <c r="Q130" i="4"/>
  <c r="U130" i="4"/>
  <c r="O130" i="4"/>
  <c r="Y130" i="4"/>
  <c r="G130" i="4"/>
  <c r="H130" i="4" s="1"/>
  <c r="N130" i="4"/>
  <c r="M130" i="4"/>
  <c r="I130" i="4"/>
  <c r="L130" i="4"/>
  <c r="K130" i="4"/>
  <c r="J130" i="4"/>
  <c r="R188" i="3"/>
  <c r="K188" i="3"/>
  <c r="Q188" i="3"/>
  <c r="S188" i="3"/>
  <c r="T188" i="3"/>
  <c r="O188" i="3"/>
  <c r="I188" i="3"/>
  <c r="L188" i="3"/>
  <c r="H188" i="3"/>
  <c r="P188" i="3"/>
  <c r="G188" i="3"/>
  <c r="M188" i="3"/>
  <c r="N188" i="3"/>
  <c r="F188" i="3"/>
  <c r="J188" i="3"/>
  <c r="E188" i="3"/>
  <c r="R52" i="3"/>
  <c r="S52" i="3"/>
  <c r="P52" i="3"/>
  <c r="T52" i="3"/>
  <c r="G52" i="3"/>
  <c r="E52" i="3"/>
  <c r="M52" i="3"/>
  <c r="F52" i="3"/>
  <c r="N52" i="3"/>
  <c r="H52" i="3"/>
  <c r="K52" i="3"/>
  <c r="L52" i="3"/>
  <c r="I52" i="3"/>
  <c r="O52" i="3"/>
  <c r="Q52" i="3"/>
  <c r="J52" i="3"/>
  <c r="S210" i="3"/>
  <c r="R210" i="3"/>
  <c r="K210" i="3"/>
  <c r="L210" i="3"/>
  <c r="M210" i="3"/>
  <c r="T210" i="3"/>
  <c r="F210" i="3"/>
  <c r="H210" i="3"/>
  <c r="J210" i="3"/>
  <c r="I210" i="3"/>
  <c r="G210" i="3"/>
  <c r="E210" i="3"/>
  <c r="P210" i="3"/>
  <c r="Q210" i="3"/>
  <c r="N210" i="3"/>
  <c r="O210" i="3"/>
  <c r="W240" i="4"/>
  <c r="G240" i="4"/>
  <c r="H240" i="4" s="1"/>
  <c r="M214" i="3"/>
  <c r="H214" i="3"/>
  <c r="N214" i="3"/>
  <c r="O214" i="3"/>
  <c r="R214" i="3"/>
  <c r="J214" i="3"/>
  <c r="I214" i="3"/>
  <c r="S214" i="3"/>
  <c r="G214" i="3"/>
  <c r="F214" i="3"/>
  <c r="P214" i="3"/>
  <c r="K214" i="3"/>
  <c r="L214" i="3"/>
  <c r="E214" i="3"/>
  <c r="Q214" i="3"/>
  <c r="T214" i="3"/>
  <c r="G116" i="4"/>
  <c r="H116" i="4" s="1"/>
  <c r="X116" i="4" s="1"/>
  <c r="J267" i="3"/>
  <c r="I267" i="3"/>
  <c r="G267" i="3"/>
  <c r="E267" i="3"/>
  <c r="R267" i="3"/>
  <c r="S267" i="3"/>
  <c r="F267" i="3"/>
  <c r="H267" i="3"/>
  <c r="T267" i="3"/>
  <c r="L267" i="3"/>
  <c r="M267" i="3"/>
  <c r="N267" i="3"/>
  <c r="P267" i="3"/>
  <c r="Q267" i="3"/>
  <c r="K267" i="3"/>
  <c r="O267" i="3"/>
  <c r="V142" i="4"/>
  <c r="P117" i="4"/>
  <c r="K72" i="4"/>
  <c r="O263" i="3"/>
  <c r="P263" i="3"/>
  <c r="T263" i="3"/>
  <c r="M263" i="3"/>
  <c r="N263" i="3"/>
  <c r="F263" i="3"/>
  <c r="H263" i="3"/>
  <c r="Q263" i="3"/>
  <c r="R263" i="3"/>
  <c r="E263" i="3"/>
  <c r="S263" i="3"/>
  <c r="K263" i="3"/>
  <c r="L263" i="3"/>
  <c r="G263" i="3"/>
  <c r="J263" i="3"/>
  <c r="I263" i="3"/>
  <c r="T146" i="4"/>
  <c r="Y219" i="4"/>
  <c r="Y291" i="4"/>
  <c r="N24" i="4"/>
  <c r="S144" i="4"/>
  <c r="R288" i="4"/>
  <c r="G251" i="4"/>
  <c r="H251" i="4" s="1"/>
  <c r="Y251" i="4"/>
  <c r="M251" i="4"/>
  <c r="L251" i="4"/>
  <c r="X251" i="4"/>
  <c r="P251" i="4"/>
  <c r="J220" i="4"/>
  <c r="N292" i="4"/>
  <c r="K294" i="4"/>
  <c r="J35" i="3"/>
  <c r="O35" i="3"/>
  <c r="P35" i="3"/>
  <c r="R35" i="3"/>
  <c r="S35" i="3"/>
  <c r="Q35" i="3"/>
  <c r="T35" i="3"/>
  <c r="H35" i="3"/>
  <c r="K35" i="3"/>
  <c r="L35" i="3"/>
  <c r="N35" i="3"/>
  <c r="E35" i="3"/>
  <c r="G35" i="3"/>
  <c r="M35" i="3"/>
  <c r="F35" i="3"/>
  <c r="I35" i="3"/>
  <c r="R148" i="4"/>
  <c r="X301" i="4"/>
  <c r="G301" i="4"/>
  <c r="H301" i="4" s="1"/>
  <c r="W301" i="4"/>
  <c r="T301" i="4"/>
  <c r="P301" i="4"/>
  <c r="V301" i="4"/>
  <c r="U301" i="4"/>
  <c r="J301" i="4"/>
  <c r="I301" i="4"/>
  <c r="M301" i="4"/>
  <c r="O301" i="4"/>
  <c r="L270" i="4"/>
  <c r="G94" i="4"/>
  <c r="H94" i="4" s="1"/>
  <c r="T94" i="4" s="1"/>
  <c r="G180" i="4"/>
  <c r="H180" i="4" s="1"/>
  <c r="K180" i="4"/>
  <c r="J180" i="4"/>
  <c r="R203" i="3"/>
  <c r="J203" i="3"/>
  <c r="O203" i="3"/>
  <c r="M203" i="3"/>
  <c r="L203" i="3"/>
  <c r="N203" i="3"/>
  <c r="T203" i="3"/>
  <c r="S203" i="3"/>
  <c r="E203" i="3"/>
  <c r="F203" i="3"/>
  <c r="P203" i="3"/>
  <c r="K203" i="3"/>
  <c r="Q203" i="3"/>
  <c r="I203" i="3"/>
  <c r="H203" i="3"/>
  <c r="G203" i="3"/>
  <c r="I172" i="4"/>
  <c r="W54" i="4"/>
  <c r="O150" i="4"/>
  <c r="K222" i="4"/>
  <c r="R270" i="4"/>
  <c r="M103" i="4"/>
  <c r="L175" i="4"/>
  <c r="J199" i="4"/>
  <c r="R223" i="4"/>
  <c r="N271" i="4"/>
  <c r="G172" i="3"/>
  <c r="E172" i="3"/>
  <c r="K172" i="3"/>
  <c r="J172" i="3"/>
  <c r="P172" i="3"/>
  <c r="N172" i="3"/>
  <c r="Q172" i="3"/>
  <c r="F172" i="3"/>
  <c r="M172" i="3"/>
  <c r="I172" i="3"/>
  <c r="O172" i="3"/>
  <c r="S172" i="3"/>
  <c r="H172" i="3"/>
  <c r="O105" i="4"/>
  <c r="R253" i="4"/>
  <c r="G136" i="4"/>
  <c r="H136" i="4" s="1"/>
  <c r="X136" i="4" s="1"/>
  <c r="M279" i="4"/>
  <c r="G279" i="4"/>
  <c r="H279" i="4" s="1"/>
  <c r="U279" i="4"/>
  <c r="W73" i="4"/>
  <c r="T128" i="3"/>
  <c r="K128" i="3"/>
  <c r="L128" i="3"/>
  <c r="M128" i="3"/>
  <c r="N128" i="3"/>
  <c r="O128" i="3"/>
  <c r="P128" i="3"/>
  <c r="S128" i="3"/>
  <c r="Q128" i="3"/>
  <c r="R128" i="3"/>
  <c r="H128" i="3"/>
  <c r="F128" i="3"/>
  <c r="E128" i="3"/>
  <c r="G128" i="3"/>
  <c r="I128" i="3"/>
  <c r="J128" i="3"/>
  <c r="R146" i="4"/>
  <c r="O298" i="3"/>
  <c r="P298" i="3"/>
  <c r="Q298" i="3"/>
  <c r="R298" i="3"/>
  <c r="S298" i="3"/>
  <c r="I298" i="3"/>
  <c r="K298" i="3"/>
  <c r="L298" i="3"/>
  <c r="M298" i="3"/>
  <c r="N298" i="3"/>
  <c r="E298" i="3"/>
  <c r="G298" i="3"/>
  <c r="J298" i="3"/>
  <c r="H298" i="3"/>
  <c r="F298" i="3"/>
  <c r="T298" i="3"/>
  <c r="T199" i="3"/>
  <c r="S199" i="3"/>
  <c r="O199" i="3"/>
  <c r="P199" i="3"/>
  <c r="R199" i="3"/>
  <c r="E199" i="3"/>
  <c r="J199" i="3"/>
  <c r="Q199" i="3"/>
  <c r="H199" i="3"/>
  <c r="G199" i="3"/>
  <c r="F199" i="3"/>
  <c r="K199" i="3"/>
  <c r="L199" i="3"/>
  <c r="M199" i="3"/>
  <c r="N199" i="3"/>
  <c r="I199" i="3"/>
  <c r="T273" i="3"/>
  <c r="O273" i="3"/>
  <c r="P273" i="3"/>
  <c r="L273" i="3"/>
  <c r="M273" i="3"/>
  <c r="I273" i="3"/>
  <c r="N273" i="3"/>
  <c r="Q273" i="3"/>
  <c r="G273" i="3"/>
  <c r="F273" i="3"/>
  <c r="R273" i="3"/>
  <c r="S273" i="3"/>
  <c r="K273" i="3"/>
  <c r="J273" i="3"/>
  <c r="H273" i="3"/>
  <c r="E273" i="3"/>
  <c r="I291" i="4"/>
  <c r="Q24" i="4"/>
  <c r="T144" i="4"/>
  <c r="U288" i="4"/>
  <c r="T104" i="3"/>
  <c r="K104" i="3"/>
  <c r="L104" i="3"/>
  <c r="O104" i="3"/>
  <c r="P104" i="3"/>
  <c r="R104" i="3"/>
  <c r="S104" i="3"/>
  <c r="M104" i="3"/>
  <c r="N104" i="3"/>
  <c r="F104" i="3"/>
  <c r="H104" i="3"/>
  <c r="Q104" i="3"/>
  <c r="J104" i="3"/>
  <c r="G104" i="3"/>
  <c r="E104" i="3"/>
  <c r="I104" i="3"/>
  <c r="R251" i="3"/>
  <c r="J251" i="3"/>
  <c r="T251" i="3"/>
  <c r="E251" i="3"/>
  <c r="I251" i="3"/>
  <c r="O251" i="3"/>
  <c r="P251" i="3"/>
  <c r="H251" i="3"/>
  <c r="K251" i="3"/>
  <c r="L251" i="3"/>
  <c r="Q251" i="3"/>
  <c r="G251" i="3"/>
  <c r="F251" i="3"/>
  <c r="N251" i="3"/>
  <c r="M251" i="3"/>
  <c r="S251" i="3"/>
  <c r="K220" i="4"/>
  <c r="T292" i="4"/>
  <c r="G155" i="4"/>
  <c r="H155" i="4" s="1"/>
  <c r="V155" i="4"/>
  <c r="U155" i="4"/>
  <c r="L155" i="4"/>
  <c r="K155" i="4"/>
  <c r="P155" i="4"/>
  <c r="Q155" i="4"/>
  <c r="Y269" i="4"/>
  <c r="N220" i="4"/>
  <c r="G275" i="4"/>
  <c r="H275" i="4" s="1"/>
  <c r="V275" i="4"/>
  <c r="N275" i="4"/>
  <c r="U275" i="4"/>
  <c r="O275" i="4"/>
  <c r="R275" i="4"/>
  <c r="I275" i="4"/>
  <c r="M275" i="4"/>
  <c r="L172" i="4"/>
  <c r="P150" i="4"/>
  <c r="L222" i="4"/>
  <c r="S270" i="4"/>
  <c r="R31" i="4"/>
  <c r="P103" i="4"/>
  <c r="Y175" i="4"/>
  <c r="L199" i="4"/>
  <c r="S223" i="4"/>
  <c r="O271" i="4"/>
  <c r="Q177" i="4"/>
  <c r="S259" i="4"/>
  <c r="R259" i="4"/>
  <c r="P259" i="4"/>
  <c r="G259" i="4"/>
  <c r="H259" i="4" s="1"/>
  <c r="Q259" i="4"/>
  <c r="X259" i="4"/>
  <c r="V259" i="4"/>
  <c r="W259" i="4"/>
  <c r="U259" i="4"/>
  <c r="T259" i="4"/>
  <c r="F279" i="3"/>
  <c r="K279" i="3"/>
  <c r="L279" i="3"/>
  <c r="O279" i="3"/>
  <c r="P279" i="3"/>
  <c r="S279" i="3"/>
  <c r="G279" i="3"/>
  <c r="T279" i="3"/>
  <c r="M279" i="3"/>
  <c r="N279" i="3"/>
  <c r="H279" i="3"/>
  <c r="I279" i="3"/>
  <c r="R279" i="3"/>
  <c r="J279" i="3"/>
  <c r="E279" i="3"/>
  <c r="Q279" i="3"/>
  <c r="G225" i="4"/>
  <c r="H225" i="4" s="1"/>
  <c r="K225" i="4" s="1"/>
  <c r="S225" i="4"/>
  <c r="Y225" i="4"/>
  <c r="W142" i="4"/>
  <c r="X177" i="4"/>
  <c r="I257" i="4"/>
  <c r="M115" i="4"/>
  <c r="M155" i="4"/>
  <c r="V36" i="4"/>
  <c r="S277" i="4"/>
  <c r="R240" i="3"/>
  <c r="S240" i="3"/>
  <c r="K240" i="3"/>
  <c r="O240" i="3"/>
  <c r="P240" i="3"/>
  <c r="Q240" i="3"/>
  <c r="M240" i="3"/>
  <c r="H240" i="3"/>
  <c r="N240" i="3"/>
  <c r="G240" i="3"/>
  <c r="F240" i="3"/>
  <c r="T240" i="3"/>
  <c r="I240" i="3"/>
  <c r="E240" i="3"/>
  <c r="L240" i="3"/>
  <c r="J240" i="3"/>
  <c r="P66" i="4"/>
  <c r="K258" i="4"/>
  <c r="L24" i="4"/>
  <c r="J286" i="4"/>
  <c r="Q95" i="4"/>
  <c r="J142" i="4"/>
  <c r="T93" i="4"/>
  <c r="L117" i="4"/>
  <c r="K213" i="4"/>
  <c r="W261" i="4"/>
  <c r="R76" i="3"/>
  <c r="S76" i="3"/>
  <c r="O76" i="3"/>
  <c r="P76" i="3"/>
  <c r="G76" i="3"/>
  <c r="E76" i="3"/>
  <c r="K76" i="3"/>
  <c r="N76" i="3"/>
  <c r="J76" i="3"/>
  <c r="Q76" i="3"/>
  <c r="H76" i="3"/>
  <c r="L76" i="3"/>
  <c r="M76" i="3"/>
  <c r="F76" i="3"/>
  <c r="T76" i="3"/>
  <c r="I76" i="3"/>
  <c r="N191" i="4"/>
  <c r="V263" i="4"/>
  <c r="N72" i="4"/>
  <c r="W168" i="4"/>
  <c r="Q264" i="4"/>
  <c r="U73" i="4"/>
  <c r="U74" i="4"/>
  <c r="S146" i="4"/>
  <c r="J219" i="4"/>
  <c r="Q49" i="4"/>
  <c r="J291" i="4"/>
  <c r="V24" i="4"/>
  <c r="U144" i="4"/>
  <c r="V288" i="4"/>
  <c r="T200" i="3"/>
  <c r="K200" i="3"/>
  <c r="O200" i="3"/>
  <c r="P200" i="3"/>
  <c r="R200" i="3"/>
  <c r="N200" i="3"/>
  <c r="E200" i="3"/>
  <c r="G200" i="3"/>
  <c r="Q200" i="3"/>
  <c r="F200" i="3"/>
  <c r="S200" i="3"/>
  <c r="L200" i="3"/>
  <c r="M200" i="3"/>
  <c r="I200" i="3"/>
  <c r="H200" i="3"/>
  <c r="J200" i="3"/>
  <c r="Q267" i="4"/>
  <c r="L220" i="4"/>
  <c r="U292" i="4"/>
  <c r="G109" i="4"/>
  <c r="H109" i="4" s="1"/>
  <c r="O109" i="4" s="1"/>
  <c r="S155" i="3"/>
  <c r="J155" i="3"/>
  <c r="P155" i="3"/>
  <c r="T155" i="3"/>
  <c r="Q155" i="3"/>
  <c r="R155" i="3"/>
  <c r="H155" i="3"/>
  <c r="K155" i="3"/>
  <c r="I155" i="3"/>
  <c r="L155" i="3"/>
  <c r="M155" i="3"/>
  <c r="N155" i="3"/>
  <c r="G155" i="3"/>
  <c r="O155" i="3"/>
  <c r="E155" i="3"/>
  <c r="F155" i="3"/>
  <c r="L148" i="4"/>
  <c r="G132" i="4"/>
  <c r="H132" i="4" s="1"/>
  <c r="W132" i="4"/>
  <c r="L132" i="4"/>
  <c r="K132" i="4"/>
  <c r="J132" i="4"/>
  <c r="R269" i="4"/>
  <c r="T293" i="4"/>
  <c r="S281" i="4"/>
  <c r="O281" i="4"/>
  <c r="U281" i="4"/>
  <c r="V281" i="4"/>
  <c r="N281" i="4"/>
  <c r="G281" i="4"/>
  <c r="H281" i="4" s="1"/>
  <c r="M281" i="4"/>
  <c r="L281" i="4"/>
  <c r="M172" i="4"/>
  <c r="L150" i="4"/>
  <c r="S222" i="4"/>
  <c r="T270" i="4"/>
  <c r="S31" i="4"/>
  <c r="Q103" i="4"/>
  <c r="R175" i="4"/>
  <c r="O199" i="4"/>
  <c r="T223" i="4"/>
  <c r="I271" i="4"/>
  <c r="T201" i="4"/>
  <c r="N259" i="3"/>
  <c r="O259" i="3"/>
  <c r="R259" i="3"/>
  <c r="P259" i="3"/>
  <c r="S259" i="3"/>
  <c r="K259" i="3"/>
  <c r="J259" i="3"/>
  <c r="E259" i="3"/>
  <c r="Q259" i="3"/>
  <c r="T259" i="3"/>
  <c r="F259" i="3"/>
  <c r="L259" i="3"/>
  <c r="G259" i="3"/>
  <c r="M259" i="3"/>
  <c r="H259" i="3"/>
  <c r="I259" i="3"/>
  <c r="Y55" i="4"/>
  <c r="W112" i="4"/>
  <c r="K269" i="3"/>
  <c r="L269" i="3"/>
  <c r="T269" i="3"/>
  <c r="O269" i="3"/>
  <c r="P269" i="3"/>
  <c r="Q269" i="3"/>
  <c r="S269" i="3"/>
  <c r="E269" i="3"/>
  <c r="M269" i="3"/>
  <c r="G269" i="3"/>
  <c r="I269" i="3"/>
  <c r="F269" i="3"/>
  <c r="H269" i="3"/>
  <c r="R269" i="3"/>
  <c r="N269" i="3"/>
  <c r="J269" i="3"/>
  <c r="K24" i="4"/>
  <c r="G67" i="4"/>
  <c r="H67" i="4" s="1"/>
  <c r="X67" i="4" s="1"/>
  <c r="J67" i="4"/>
  <c r="I67" i="4"/>
  <c r="Y248" i="4"/>
  <c r="X81" i="4"/>
  <c r="Y81" i="4"/>
  <c r="Y177" i="4"/>
  <c r="R88" i="3"/>
  <c r="S88" i="3"/>
  <c r="H88" i="3"/>
  <c r="F88" i="3"/>
  <c r="T88" i="3"/>
  <c r="L88" i="3"/>
  <c r="E88" i="3"/>
  <c r="M88" i="3"/>
  <c r="N88" i="3"/>
  <c r="P88" i="3"/>
  <c r="J88" i="3"/>
  <c r="Q88" i="3"/>
  <c r="K88" i="3"/>
  <c r="O88" i="3"/>
  <c r="I88" i="3"/>
  <c r="G88" i="3"/>
  <c r="J257" i="4"/>
  <c r="S112" i="4"/>
  <c r="N115" i="4"/>
  <c r="N155" i="4"/>
  <c r="L253" i="4"/>
  <c r="T277" i="4"/>
  <c r="G239" i="4"/>
  <c r="H239" i="4" s="1"/>
  <c r="W239" i="4" s="1"/>
  <c r="Y138" i="4"/>
  <c r="O258" i="4"/>
  <c r="Q177" i="3"/>
  <c r="T177" i="3"/>
  <c r="O177" i="3"/>
  <c r="P177" i="3"/>
  <c r="L177" i="3"/>
  <c r="M177" i="3"/>
  <c r="N177" i="3"/>
  <c r="K177" i="3"/>
  <c r="R177" i="3"/>
  <c r="E177" i="3"/>
  <c r="G177" i="3"/>
  <c r="H177" i="3"/>
  <c r="I177" i="3"/>
  <c r="F177" i="3"/>
  <c r="J177" i="3"/>
  <c r="S177" i="3"/>
  <c r="G80" i="4"/>
  <c r="H80" i="4" s="1"/>
  <c r="Q80" i="4" s="1"/>
  <c r="O80" i="4"/>
  <c r="S80" i="4"/>
  <c r="K286" i="4"/>
  <c r="N239" i="4"/>
  <c r="J68" i="4"/>
  <c r="K142" i="4"/>
  <c r="W93" i="4"/>
  <c r="M117" i="4"/>
  <c r="P213" i="4"/>
  <c r="J261" i="4"/>
  <c r="O191" i="4"/>
  <c r="Y263" i="4"/>
  <c r="O72" i="4"/>
  <c r="M168" i="4"/>
  <c r="V264" i="4"/>
  <c r="V73" i="4"/>
  <c r="R74" i="4"/>
  <c r="V146" i="4"/>
  <c r="R219" i="4"/>
  <c r="S121" i="4"/>
  <c r="Q289" i="4"/>
  <c r="K297" i="4"/>
  <c r="U297" i="4"/>
  <c r="G297" i="4"/>
  <c r="H297" i="4" s="1"/>
  <c r="V297" i="4"/>
  <c r="Y297" i="4"/>
  <c r="K291" i="4"/>
  <c r="M24" i="4"/>
  <c r="L144" i="4"/>
  <c r="K288" i="4"/>
  <c r="R267" i="4"/>
  <c r="J76" i="4"/>
  <c r="M220" i="4"/>
  <c r="G108" i="4"/>
  <c r="H108" i="4" s="1"/>
  <c r="Y108" i="4"/>
  <c r="X108" i="4"/>
  <c r="R108" i="4"/>
  <c r="W108" i="4"/>
  <c r="S108" i="4"/>
  <c r="K108" i="4"/>
  <c r="M148" i="4"/>
  <c r="V269" i="4"/>
  <c r="J28" i="4"/>
  <c r="S293" i="4"/>
  <c r="N172" i="4"/>
  <c r="S78" i="4"/>
  <c r="M150" i="4"/>
  <c r="P31" i="4"/>
  <c r="U103" i="4"/>
  <c r="V175" i="4"/>
  <c r="P199" i="4"/>
  <c r="V271" i="4"/>
  <c r="L297" i="4"/>
  <c r="N67" i="3" l="1"/>
  <c r="N28" i="4"/>
  <c r="N202" i="3"/>
  <c r="O28" i="4"/>
  <c r="G60" i="3"/>
  <c r="K60" i="3" s="1"/>
  <c r="M28" i="4"/>
  <c r="G242" i="3"/>
  <c r="K242" i="3" s="1"/>
  <c r="N244" i="3"/>
  <c r="W152" i="4"/>
  <c r="V86" i="4"/>
  <c r="I85" i="4"/>
  <c r="I69" i="4"/>
  <c r="W86" i="4"/>
  <c r="K85" i="4"/>
  <c r="U20" i="4"/>
  <c r="U149" i="4"/>
  <c r="U152" i="4"/>
  <c r="M217" i="4"/>
  <c r="P69" i="4"/>
  <c r="W149" i="4"/>
  <c r="E149" i="3" s="1"/>
  <c r="M149" i="3" s="1"/>
  <c r="M11" i="4"/>
  <c r="Q89" i="4"/>
  <c r="V232" i="4"/>
  <c r="Q11" i="4"/>
  <c r="L53" i="4"/>
  <c r="J87" i="4"/>
  <c r="L85" i="4"/>
  <c r="X20" i="4"/>
  <c r="N113" i="4"/>
  <c r="W217" i="4"/>
  <c r="X149" i="4"/>
  <c r="V11" i="4"/>
  <c r="W53" i="4"/>
  <c r="O198" i="4"/>
  <c r="P71" i="4"/>
  <c r="X198" i="4"/>
  <c r="R198" i="4"/>
  <c r="Y239" i="4"/>
  <c r="N40" i="3"/>
  <c r="Q116" i="4"/>
  <c r="S248" i="4"/>
  <c r="T248" i="4"/>
  <c r="I20" i="4"/>
  <c r="K82" i="4"/>
  <c r="K248" i="4"/>
  <c r="V95" i="4"/>
  <c r="T20" i="4"/>
  <c r="J82" i="4"/>
  <c r="L172" i="3"/>
  <c r="U82" i="4"/>
  <c r="R119" i="4"/>
  <c r="O124" i="4"/>
  <c r="Y116" i="4"/>
  <c r="V82" i="4"/>
  <c r="X80" i="4"/>
  <c r="Y114" i="4"/>
  <c r="R172" i="3"/>
  <c r="W82" i="4"/>
  <c r="Q114" i="4"/>
  <c r="R249" i="4"/>
  <c r="S119" i="4"/>
  <c r="K15" i="4"/>
  <c r="M20" i="4"/>
  <c r="I40" i="3"/>
  <c r="R20" i="4"/>
  <c r="K217" i="4"/>
  <c r="N217" i="4"/>
  <c r="I217" i="3" s="1"/>
  <c r="J20" i="4"/>
  <c r="N20" i="3" s="1"/>
  <c r="T172" i="3"/>
  <c r="I223" i="3"/>
  <c r="O217" i="4"/>
  <c r="R116" i="4"/>
  <c r="X82" i="4"/>
  <c r="G151" i="3"/>
  <c r="K151" i="3" s="1"/>
  <c r="J55" i="4"/>
  <c r="O20" i="4"/>
  <c r="T116" i="4"/>
  <c r="R69" i="4"/>
  <c r="M80" i="4"/>
  <c r="E60" i="3"/>
  <c r="M60" i="3" s="1"/>
  <c r="K89" i="4"/>
  <c r="L89" i="4"/>
  <c r="S116" i="4"/>
  <c r="L94" i="4"/>
  <c r="T82" i="4"/>
  <c r="R231" i="4"/>
  <c r="I119" i="4"/>
  <c r="K113" i="4"/>
  <c r="K99" i="4"/>
  <c r="I113" i="4"/>
  <c r="N113" i="3" s="1"/>
  <c r="J89" i="4"/>
  <c r="W43" i="4"/>
  <c r="E43" i="3" s="1"/>
  <c r="M67" i="4"/>
  <c r="J136" i="4"/>
  <c r="M113" i="4"/>
  <c r="K67" i="4"/>
  <c r="M136" i="4"/>
  <c r="P57" i="4"/>
  <c r="S231" i="4"/>
  <c r="T216" i="4"/>
  <c r="U77" i="4"/>
  <c r="V111" i="4"/>
  <c r="I63" i="4"/>
  <c r="K154" i="4"/>
  <c r="L154" i="4"/>
  <c r="L96" i="4"/>
  <c r="J96" i="4"/>
  <c r="X96" i="4"/>
  <c r="W96" i="4"/>
  <c r="V96" i="4"/>
  <c r="E96" i="3" s="1"/>
  <c r="M96" i="3" s="1"/>
  <c r="Q96" i="4"/>
  <c r="Y96" i="4"/>
  <c r="S96" i="4"/>
  <c r="R96" i="4"/>
  <c r="O96" i="4"/>
  <c r="U234" i="4"/>
  <c r="W234" i="4"/>
  <c r="Q234" i="4"/>
  <c r="R234" i="4"/>
  <c r="P234" i="4"/>
  <c r="L234" i="4"/>
  <c r="K234" i="4"/>
  <c r="J234" i="4"/>
  <c r="X234" i="4"/>
  <c r="P179" i="4"/>
  <c r="M179" i="4"/>
  <c r="I179" i="3" s="1"/>
  <c r="L179" i="3" s="1"/>
  <c r="Q179" i="3" s="1"/>
  <c r="X167" i="4"/>
  <c r="N167" i="4"/>
  <c r="O167" i="4"/>
  <c r="X14" i="4"/>
  <c r="N110" i="4"/>
  <c r="N197" i="4"/>
  <c r="Y197" i="4"/>
  <c r="G61" i="3"/>
  <c r="K61" i="3" s="1"/>
  <c r="H242" i="3"/>
  <c r="L242" i="3" s="1"/>
  <c r="W110" i="4"/>
  <c r="M140" i="4"/>
  <c r="K189" i="4"/>
  <c r="P110" i="4"/>
  <c r="G110" i="3" s="1"/>
  <c r="K110" i="3" s="1"/>
  <c r="R140" i="4"/>
  <c r="X77" i="4"/>
  <c r="M216" i="4"/>
  <c r="N255" i="4"/>
  <c r="L11" i="4"/>
  <c r="V249" i="4"/>
  <c r="O119" i="4"/>
  <c r="S140" i="4"/>
  <c r="V225" i="4"/>
  <c r="N151" i="3"/>
  <c r="M55" i="4"/>
  <c r="V77" i="4"/>
  <c r="I11" i="4"/>
  <c r="J225" i="4"/>
  <c r="T149" i="4"/>
  <c r="V216" i="4"/>
  <c r="W14" i="4"/>
  <c r="I169" i="3"/>
  <c r="W68" i="4"/>
  <c r="I225" i="4"/>
  <c r="N225" i="3" s="1"/>
  <c r="Y80" i="4"/>
  <c r="J47" i="4"/>
  <c r="T68" i="4"/>
  <c r="R147" i="4"/>
  <c r="R216" i="4"/>
  <c r="N14" i="4"/>
  <c r="P217" i="4"/>
  <c r="S11" i="4"/>
  <c r="I99" i="4"/>
  <c r="N99" i="3" s="1"/>
  <c r="W57" i="4"/>
  <c r="I80" i="4"/>
  <c r="J239" i="4"/>
  <c r="N57" i="4"/>
  <c r="K47" i="4"/>
  <c r="U68" i="4"/>
  <c r="S147" i="4"/>
  <c r="Q14" i="4"/>
  <c r="J99" i="4"/>
  <c r="K110" i="4"/>
  <c r="V239" i="4"/>
  <c r="G245" i="3"/>
  <c r="K245" i="3" s="1"/>
  <c r="O225" i="4"/>
  <c r="J149" i="4"/>
  <c r="J80" i="4"/>
  <c r="I239" i="4"/>
  <c r="O47" i="4"/>
  <c r="J197" i="4"/>
  <c r="I212" i="4"/>
  <c r="N212" i="3" s="1"/>
  <c r="J116" i="4"/>
  <c r="V114" i="4"/>
  <c r="P15" i="4"/>
  <c r="T147" i="4"/>
  <c r="K216" i="4"/>
  <c r="P14" i="4"/>
  <c r="I15" i="4"/>
  <c r="P99" i="4"/>
  <c r="G99" i="3" s="1"/>
  <c r="K99" i="3" s="1"/>
  <c r="X239" i="4"/>
  <c r="T23" i="4"/>
  <c r="P58" i="4"/>
  <c r="U255" i="4"/>
  <c r="V255" i="4"/>
  <c r="S110" i="4"/>
  <c r="L149" i="4"/>
  <c r="M15" i="4"/>
  <c r="O15" i="4"/>
  <c r="U80" i="4"/>
  <c r="J255" i="4"/>
  <c r="T53" i="4"/>
  <c r="I90" i="3"/>
  <c r="L90" i="3" s="1"/>
  <c r="Q23" i="4"/>
  <c r="L110" i="4"/>
  <c r="Q53" i="4"/>
  <c r="X23" i="4"/>
  <c r="R110" i="4"/>
  <c r="I110" i="4"/>
  <c r="N110" i="3" s="1"/>
  <c r="V140" i="4"/>
  <c r="M110" i="4"/>
  <c r="J186" i="4"/>
  <c r="N140" i="4"/>
  <c r="W23" i="4"/>
  <c r="Q140" i="4"/>
  <c r="J15" i="4"/>
  <c r="U140" i="4"/>
  <c r="Q110" i="4"/>
  <c r="L246" i="4"/>
  <c r="K55" i="4"/>
  <c r="T110" i="4"/>
  <c r="U225" i="4"/>
  <c r="W26" i="4"/>
  <c r="U110" i="4"/>
  <c r="R19" i="4"/>
  <c r="V110" i="4"/>
  <c r="U62" i="4"/>
  <c r="W225" i="4"/>
  <c r="K11" i="4"/>
  <c r="K249" i="4"/>
  <c r="S216" i="4"/>
  <c r="G216" i="3" s="1"/>
  <c r="K216" i="3" s="1"/>
  <c r="R14" i="4"/>
  <c r="L15" i="4"/>
  <c r="P140" i="4"/>
  <c r="M239" i="4"/>
  <c r="U15" i="4"/>
  <c r="K18" i="4"/>
  <c r="J243" i="4"/>
  <c r="J217" i="4"/>
  <c r="M57" i="4"/>
  <c r="U248" i="4"/>
  <c r="R57" i="4"/>
  <c r="O149" i="4"/>
  <c r="V248" i="4"/>
  <c r="N186" i="4"/>
  <c r="U197" i="4"/>
  <c r="I248" i="4"/>
  <c r="Q20" i="4"/>
  <c r="W249" i="4"/>
  <c r="I28" i="4"/>
  <c r="N28" i="3" s="1"/>
  <c r="S57" i="4"/>
  <c r="G57" i="3" s="1"/>
  <c r="K57" i="3" s="1"/>
  <c r="L248" i="4"/>
  <c r="T186" i="4"/>
  <c r="V197" i="4"/>
  <c r="E197" i="3" s="1"/>
  <c r="F197" i="3" s="1"/>
  <c r="T15" i="4"/>
  <c r="T80" i="4"/>
  <c r="H80" i="3" s="1"/>
  <c r="N60" i="3"/>
  <c r="V18" i="4"/>
  <c r="N194" i="4"/>
  <c r="X18" i="4"/>
  <c r="H247" i="3"/>
  <c r="L247" i="3" s="1"/>
  <c r="K194" i="4"/>
  <c r="T30" i="4"/>
  <c r="S30" i="4"/>
  <c r="L30" i="4"/>
  <c r="W30" i="4"/>
  <c r="R43" i="4"/>
  <c r="P43" i="4"/>
  <c r="Q43" i="4"/>
  <c r="J43" i="4"/>
  <c r="V43" i="4"/>
  <c r="I30" i="4"/>
  <c r="X165" i="4"/>
  <c r="P165" i="4"/>
  <c r="T43" i="4"/>
  <c r="R30" i="4"/>
  <c r="S68" i="4"/>
  <c r="R68" i="4"/>
  <c r="L68" i="4"/>
  <c r="K68" i="4"/>
  <c r="O55" i="4"/>
  <c r="R212" i="4"/>
  <c r="E242" i="3"/>
  <c r="M242" i="3" s="1"/>
  <c r="L22" i="4"/>
  <c r="I22" i="4"/>
  <c r="O22" i="4"/>
  <c r="J50" i="4"/>
  <c r="P50" i="4"/>
  <c r="Q50" i="4"/>
  <c r="O50" i="4"/>
  <c r="K50" i="4"/>
  <c r="I50" i="4"/>
  <c r="U50" i="4"/>
  <c r="L50" i="4"/>
  <c r="Y50" i="4"/>
  <c r="W50" i="4"/>
  <c r="N163" i="4"/>
  <c r="T163" i="4"/>
  <c r="Q163" i="4"/>
  <c r="L163" i="4"/>
  <c r="K163" i="4"/>
  <c r="J163" i="4"/>
  <c r="N43" i="4"/>
  <c r="N50" i="4"/>
  <c r="M163" i="4"/>
  <c r="S163" i="4"/>
  <c r="X166" i="4"/>
  <c r="K166" i="4"/>
  <c r="Q166" i="4"/>
  <c r="N166" i="4"/>
  <c r="O166" i="4"/>
  <c r="U166" i="4"/>
  <c r="X114" i="4"/>
  <c r="S114" i="4"/>
  <c r="L114" i="4"/>
  <c r="U114" i="4"/>
  <c r="O134" i="4"/>
  <c r="T26" i="4"/>
  <c r="J26" i="4"/>
  <c r="S26" i="4"/>
  <c r="Q26" i="4"/>
  <c r="R26" i="4"/>
  <c r="X26" i="4"/>
  <c r="O26" i="4"/>
  <c r="U231" i="4"/>
  <c r="Q231" i="4"/>
  <c r="P231" i="4"/>
  <c r="I231" i="4"/>
  <c r="N231" i="4"/>
  <c r="O231" i="4"/>
  <c r="J231" i="4"/>
  <c r="X231" i="4"/>
  <c r="M231" i="4"/>
  <c r="T231" i="4"/>
  <c r="L231" i="4"/>
  <c r="K231" i="4"/>
  <c r="M50" i="4"/>
  <c r="Q152" i="4"/>
  <c r="X152" i="4"/>
  <c r="O43" i="4"/>
  <c r="T50" i="4"/>
  <c r="O163" i="4"/>
  <c r="S55" i="4"/>
  <c r="L55" i="4"/>
  <c r="P55" i="4"/>
  <c r="T55" i="4"/>
  <c r="N55" i="4"/>
  <c r="I55" i="4"/>
  <c r="Q55" i="4"/>
  <c r="Q218" i="4"/>
  <c r="S218" i="4"/>
  <c r="K218" i="4"/>
  <c r="O218" i="4"/>
  <c r="T218" i="4"/>
  <c r="U218" i="4"/>
  <c r="P218" i="4"/>
  <c r="N218" i="4"/>
  <c r="I218" i="4"/>
  <c r="X218" i="4"/>
  <c r="Y218" i="4"/>
  <c r="M134" i="4"/>
  <c r="V231" i="4"/>
  <c r="R63" i="4"/>
  <c r="X55" i="4"/>
  <c r="Q243" i="4"/>
  <c r="M243" i="4"/>
  <c r="W243" i="4"/>
  <c r="K243" i="4"/>
  <c r="V243" i="4"/>
  <c r="E243" i="3" s="1"/>
  <c r="O243" i="4"/>
  <c r="L243" i="4"/>
  <c r="R243" i="4"/>
  <c r="U243" i="4"/>
  <c r="S243" i="4"/>
  <c r="I243" i="4"/>
  <c r="R50" i="4"/>
  <c r="Q165" i="4"/>
  <c r="J187" i="4"/>
  <c r="U187" i="4"/>
  <c r="V187" i="4"/>
  <c r="R187" i="4"/>
  <c r="X187" i="4"/>
  <c r="S187" i="4"/>
  <c r="O187" i="4"/>
  <c r="T187" i="4"/>
  <c r="L187" i="4"/>
  <c r="Q22" i="4"/>
  <c r="P163" i="4"/>
  <c r="H163" i="3" s="1"/>
  <c r="N114" i="4"/>
  <c r="V63" i="4"/>
  <c r="P212" i="4"/>
  <c r="T212" i="4"/>
  <c r="O212" i="4"/>
  <c r="I134" i="4"/>
  <c r="R22" i="4"/>
  <c r="S63" i="4"/>
  <c r="G63" i="3" s="1"/>
  <c r="K63" i="3" s="1"/>
  <c r="K69" i="4"/>
  <c r="X69" i="4"/>
  <c r="V69" i="4"/>
  <c r="L69" i="4"/>
  <c r="W67" i="4"/>
  <c r="I94" i="4"/>
  <c r="N94" i="3" s="1"/>
  <c r="S69" i="4"/>
  <c r="G69" i="3" s="1"/>
  <c r="K69" i="3" s="1"/>
  <c r="Y243" i="4"/>
  <c r="Q178" i="4"/>
  <c r="K71" i="4"/>
  <c r="L71" i="4"/>
  <c r="X71" i="4"/>
  <c r="I71" i="4"/>
  <c r="E169" i="3"/>
  <c r="M169" i="3" s="1"/>
  <c r="O46" i="4"/>
  <c r="L46" i="4"/>
  <c r="L87" i="4"/>
  <c r="T87" i="4"/>
  <c r="Y87" i="4"/>
  <c r="P87" i="4"/>
  <c r="M87" i="4"/>
  <c r="H244" i="3"/>
  <c r="L244" i="3" s="1"/>
  <c r="G244" i="3"/>
  <c r="K244" i="3" s="1"/>
  <c r="T134" i="4"/>
  <c r="X134" i="4"/>
  <c r="U134" i="4"/>
  <c r="N112" i="4"/>
  <c r="Y112" i="4"/>
  <c r="R112" i="4"/>
  <c r="M112" i="4"/>
  <c r="J112" i="4"/>
  <c r="I112" i="4"/>
  <c r="P112" i="4"/>
  <c r="G112" i="3" s="1"/>
  <c r="K112" i="3" s="1"/>
  <c r="L112" i="4"/>
  <c r="Q112" i="4"/>
  <c r="O112" i="4"/>
  <c r="K112" i="4"/>
  <c r="L189" i="4"/>
  <c r="U189" i="4"/>
  <c r="K77" i="4"/>
  <c r="S77" i="4"/>
  <c r="Q77" i="4"/>
  <c r="T77" i="4"/>
  <c r="R77" i="4"/>
  <c r="M77" i="4"/>
  <c r="Y77" i="4"/>
  <c r="W77" i="4"/>
  <c r="L77" i="4"/>
  <c r="J77" i="4"/>
  <c r="I77" i="4"/>
  <c r="N77" i="3" s="1"/>
  <c r="O194" i="4"/>
  <c r="U194" i="4"/>
  <c r="Q194" i="4"/>
  <c r="V194" i="4"/>
  <c r="R194" i="4"/>
  <c r="W194" i="4"/>
  <c r="I194" i="4"/>
  <c r="N194" i="3" s="1"/>
  <c r="U90" i="4"/>
  <c r="S90" i="4"/>
  <c r="V90" i="4"/>
  <c r="J90" i="4"/>
  <c r="N90" i="3" s="1"/>
  <c r="L90" i="4"/>
  <c r="X90" i="4"/>
  <c r="K90" i="4"/>
  <c r="R90" i="4"/>
  <c r="W90" i="4"/>
  <c r="Q90" i="4"/>
  <c r="P90" i="4"/>
  <c r="T90" i="4"/>
  <c r="E245" i="3"/>
  <c r="M245" i="3" s="1"/>
  <c r="K63" i="4"/>
  <c r="T63" i="4"/>
  <c r="J63" i="4"/>
  <c r="M63" i="4"/>
  <c r="W63" i="4"/>
  <c r="U63" i="4"/>
  <c r="Q63" i="4"/>
  <c r="T243" i="4"/>
  <c r="V55" i="4"/>
  <c r="E55" i="3" s="1"/>
  <c r="F55" i="3" s="1"/>
  <c r="J55" i="3" s="1"/>
  <c r="P22" i="4"/>
  <c r="S212" i="4"/>
  <c r="V71" i="4"/>
  <c r="H13" i="3"/>
  <c r="M183" i="4"/>
  <c r="O62" i="4"/>
  <c r="R10" i="4"/>
  <c r="I60" i="3"/>
  <c r="O216" i="4"/>
  <c r="X216" i="4"/>
  <c r="U249" i="4"/>
  <c r="N10" i="4"/>
  <c r="R11" i="4"/>
  <c r="K149" i="4"/>
  <c r="X53" i="4"/>
  <c r="N169" i="3"/>
  <c r="U119" i="4"/>
  <c r="X113" i="4"/>
  <c r="I7" i="3"/>
  <c r="H60" i="3"/>
  <c r="M246" i="4"/>
  <c r="N234" i="4"/>
  <c r="L62" i="4"/>
  <c r="Q239" i="4"/>
  <c r="N80" i="4"/>
  <c r="K239" i="4"/>
  <c r="M225" i="4"/>
  <c r="Q47" i="4"/>
  <c r="I96" i="4"/>
  <c r="N96" i="3" s="1"/>
  <c r="U96" i="4"/>
  <c r="M85" i="4"/>
  <c r="O202" i="4"/>
  <c r="I202" i="3" s="1"/>
  <c r="L202" i="3" s="1"/>
  <c r="Q202" i="3" s="1"/>
  <c r="I23" i="4"/>
  <c r="V113" i="4"/>
  <c r="S255" i="4"/>
  <c r="P154" i="4"/>
  <c r="M14" i="4"/>
  <c r="L20" i="4"/>
  <c r="W124" i="4"/>
  <c r="E7" i="3"/>
  <c r="F7" i="3" s="1"/>
  <c r="J7" i="3" s="1"/>
  <c r="V53" i="4"/>
  <c r="P20" i="4"/>
  <c r="G169" i="3"/>
  <c r="K169" i="3" s="1"/>
  <c r="I246" i="4"/>
  <c r="K61" i="4"/>
  <c r="I245" i="3"/>
  <c r="P255" i="4"/>
  <c r="U53" i="4"/>
  <c r="M10" i="4"/>
  <c r="Q62" i="4"/>
  <c r="Q216" i="4"/>
  <c r="U216" i="4"/>
  <c r="S62" i="4"/>
  <c r="W19" i="4"/>
  <c r="P47" i="4"/>
  <c r="K96" i="4"/>
  <c r="N96" i="4"/>
  <c r="H245" i="3"/>
  <c r="K14" i="4"/>
  <c r="J140" i="4"/>
  <c r="I149" i="4"/>
  <c r="O116" i="4"/>
  <c r="R47" i="4"/>
  <c r="X147" i="4"/>
  <c r="O85" i="4"/>
  <c r="K23" i="4"/>
  <c r="W113" i="4"/>
  <c r="S28" i="4"/>
  <c r="T154" i="4"/>
  <c r="O14" i="4"/>
  <c r="T217" i="4"/>
  <c r="E244" i="3"/>
  <c r="M244" i="3" s="1"/>
  <c r="P116" i="4"/>
  <c r="G116" i="3" s="1"/>
  <c r="K116" i="3" s="1"/>
  <c r="J232" i="4"/>
  <c r="X119" i="4"/>
  <c r="O246" i="4"/>
  <c r="P11" i="4"/>
  <c r="J61" i="4"/>
  <c r="N61" i="3" s="1"/>
  <c r="H40" i="3"/>
  <c r="L216" i="4"/>
  <c r="P10" i="4"/>
  <c r="X249" i="4"/>
  <c r="N242" i="3"/>
  <c r="U10" i="4"/>
  <c r="U116" i="4"/>
  <c r="J216" i="4"/>
  <c r="N216" i="3" s="1"/>
  <c r="U14" i="4"/>
  <c r="L23" i="4"/>
  <c r="K116" i="4"/>
  <c r="W216" i="4"/>
  <c r="Q225" i="4"/>
  <c r="P149" i="4"/>
  <c r="W28" i="4"/>
  <c r="V14" i="4"/>
  <c r="E14" i="3" s="1"/>
  <c r="V23" i="4"/>
  <c r="R53" i="4"/>
  <c r="T62" i="4"/>
  <c r="T61" i="4"/>
  <c r="U89" i="4"/>
  <c r="G80" i="3"/>
  <c r="K80" i="3" s="1"/>
  <c r="R217" i="4"/>
  <c r="J62" i="4"/>
  <c r="P249" i="4"/>
  <c r="Q149" i="4"/>
  <c r="N62" i="4"/>
  <c r="T14" i="4"/>
  <c r="T47" i="4"/>
  <c r="I153" i="4"/>
  <c r="Q249" i="4"/>
  <c r="R225" i="4"/>
  <c r="T225" i="4"/>
  <c r="O110" i="4"/>
  <c r="Y28" i="4"/>
  <c r="J14" i="4"/>
  <c r="N11" i="4"/>
  <c r="N7" i="3"/>
  <c r="V198" i="4"/>
  <c r="R61" i="4"/>
  <c r="I18" i="4"/>
  <c r="J53" i="4"/>
  <c r="N53" i="3" s="1"/>
  <c r="N58" i="4"/>
  <c r="N245" i="3"/>
  <c r="M53" i="4"/>
  <c r="W248" i="4"/>
  <c r="N248" i="4"/>
  <c r="S58" i="4"/>
  <c r="N18" i="4"/>
  <c r="O53" i="4"/>
  <c r="X109" i="4"/>
  <c r="I109" i="4"/>
  <c r="R135" i="4"/>
  <c r="Q135" i="4"/>
  <c r="N135" i="4"/>
  <c r="M135" i="4"/>
  <c r="Y135" i="4"/>
  <c r="S135" i="4"/>
  <c r="S109" i="4"/>
  <c r="X39" i="4"/>
  <c r="X179" i="4"/>
  <c r="U83" i="4"/>
  <c r="V252" i="4"/>
  <c r="E252" i="3" s="1"/>
  <c r="K135" i="4"/>
  <c r="X38" i="4"/>
  <c r="I183" i="4"/>
  <c r="R218" i="4"/>
  <c r="U124" i="4"/>
  <c r="N46" i="4"/>
  <c r="N152" i="4"/>
  <c r="U232" i="4"/>
  <c r="R94" i="4"/>
  <c r="Q246" i="4"/>
  <c r="M234" i="4"/>
  <c r="U186" i="4"/>
  <c r="R111" i="4"/>
  <c r="X246" i="4"/>
  <c r="U39" i="4"/>
  <c r="O179" i="4"/>
  <c r="X112" i="4"/>
  <c r="I154" i="4"/>
  <c r="Q176" i="4"/>
  <c r="R232" i="4"/>
  <c r="S18" i="4"/>
  <c r="L111" i="4"/>
  <c r="S192" i="4"/>
  <c r="O83" i="4"/>
  <c r="W179" i="4"/>
  <c r="O154" i="4"/>
  <c r="R176" i="4"/>
  <c r="U157" i="4"/>
  <c r="T157" i="4"/>
  <c r="Q157" i="4"/>
  <c r="P157" i="4"/>
  <c r="M157" i="4"/>
  <c r="L157" i="4"/>
  <c r="I157" i="4"/>
  <c r="X157" i="4"/>
  <c r="W157" i="4"/>
  <c r="O157" i="4"/>
  <c r="N157" i="4"/>
  <c r="V157" i="4"/>
  <c r="V229" i="4"/>
  <c r="J229" i="4"/>
  <c r="O229" i="4"/>
  <c r="I229" i="4"/>
  <c r="M229" i="4"/>
  <c r="K229" i="4"/>
  <c r="L83" i="4"/>
  <c r="N190" i="4"/>
  <c r="T190" i="4"/>
  <c r="J190" i="4"/>
  <c r="I190" i="4"/>
  <c r="Q190" i="4"/>
  <c r="X190" i="4"/>
  <c r="P190" i="4"/>
  <c r="M190" i="4"/>
  <c r="U111" i="4"/>
  <c r="J157" i="4"/>
  <c r="L179" i="4"/>
  <c r="R46" i="4"/>
  <c r="M154" i="4"/>
  <c r="M176" i="4"/>
  <c r="P229" i="4"/>
  <c r="K179" i="4"/>
  <c r="N154" i="4"/>
  <c r="T46" i="4"/>
  <c r="T189" i="4"/>
  <c r="K232" i="4"/>
  <c r="J165" i="4"/>
  <c r="R85" i="4"/>
  <c r="X124" i="4"/>
  <c r="M46" i="4"/>
  <c r="V109" i="4"/>
  <c r="V85" i="4"/>
  <c r="U212" i="4"/>
  <c r="T229" i="4"/>
  <c r="Y19" i="4"/>
  <c r="T153" i="4"/>
  <c r="J46" i="4"/>
  <c r="P46" i="4"/>
  <c r="K165" i="4"/>
  <c r="W83" i="4"/>
  <c r="V153" i="4"/>
  <c r="J252" i="4"/>
  <c r="W190" i="4"/>
  <c r="T239" i="4"/>
  <c r="U178" i="4"/>
  <c r="U246" i="4"/>
  <c r="K246" i="4"/>
  <c r="U46" i="4"/>
  <c r="O254" i="4"/>
  <c r="K254" i="4"/>
  <c r="W254" i="4"/>
  <c r="J254" i="4"/>
  <c r="P254" i="4"/>
  <c r="O135" i="4"/>
  <c r="G217" i="3"/>
  <c r="K217" i="3" s="1"/>
  <c r="T254" i="4"/>
  <c r="V190" i="4"/>
  <c r="Y109" i="4"/>
  <c r="M26" i="4"/>
  <c r="X217" i="4"/>
  <c r="X254" i="4"/>
  <c r="S38" i="4"/>
  <c r="Q154" i="4"/>
  <c r="P198" i="4"/>
  <c r="I192" i="4"/>
  <c r="M192" i="4"/>
  <c r="S252" i="4"/>
  <c r="T183" i="4"/>
  <c r="Y153" i="4"/>
  <c r="J38" i="4"/>
  <c r="L190" i="4"/>
  <c r="N99" i="4"/>
  <c r="I167" i="4"/>
  <c r="K167" i="4"/>
  <c r="O99" i="4"/>
  <c r="L167" i="4"/>
  <c r="R136" i="4"/>
  <c r="U23" i="4"/>
  <c r="K46" i="4"/>
  <c r="V46" i="4"/>
  <c r="T246" i="4"/>
  <c r="Y83" i="4"/>
  <c r="N143" i="3"/>
  <c r="S143" i="3" s="1"/>
  <c r="U109" i="4"/>
  <c r="Q18" i="4"/>
  <c r="R18" i="4"/>
  <c r="L18" i="4"/>
  <c r="P18" i="4"/>
  <c r="M18" i="4"/>
  <c r="Q67" i="4"/>
  <c r="O67" i="4"/>
  <c r="V67" i="4"/>
  <c r="R67" i="4"/>
  <c r="P67" i="4"/>
  <c r="S67" i="4"/>
  <c r="K178" i="4"/>
  <c r="T165" i="4"/>
  <c r="Q109" i="4"/>
  <c r="Q179" i="4"/>
  <c r="W192" i="4"/>
  <c r="R186" i="4"/>
  <c r="W183" i="4"/>
  <c r="X140" i="4"/>
  <c r="Y192" i="4"/>
  <c r="M252" i="4"/>
  <c r="M232" i="4"/>
  <c r="V47" i="4"/>
  <c r="K58" i="4"/>
  <c r="I46" i="4"/>
  <c r="N46" i="3" s="1"/>
  <c r="R82" i="4"/>
  <c r="N39" i="4"/>
  <c r="R39" i="4"/>
  <c r="Q39" i="4"/>
  <c r="T39" i="4"/>
  <c r="V39" i="4"/>
  <c r="I38" i="4"/>
  <c r="H175" i="3"/>
  <c r="O252" i="4"/>
  <c r="X192" i="4"/>
  <c r="K252" i="4"/>
  <c r="J147" i="4"/>
  <c r="P147" i="4"/>
  <c r="Y86" i="4"/>
  <c r="L186" i="4"/>
  <c r="O38" i="4"/>
  <c r="T102" i="4"/>
  <c r="L197" i="4"/>
  <c r="T197" i="4"/>
  <c r="S197" i="4"/>
  <c r="K197" i="4"/>
  <c r="R197" i="4"/>
  <c r="Q197" i="4"/>
  <c r="M197" i="4"/>
  <c r="K136" i="4"/>
  <c r="L116" i="4"/>
  <c r="O178" i="4"/>
  <c r="M86" i="4"/>
  <c r="M82" i="4"/>
  <c r="J152" i="4"/>
  <c r="W22" i="4"/>
  <c r="T38" i="4"/>
  <c r="W165" i="4"/>
  <c r="R248" i="4"/>
  <c r="R154" i="4"/>
  <c r="T112" i="4"/>
  <c r="W140" i="4"/>
  <c r="P96" i="4"/>
  <c r="G96" i="3" s="1"/>
  <c r="K96" i="3" s="1"/>
  <c r="M119" i="4"/>
  <c r="K119" i="4"/>
  <c r="J119" i="4"/>
  <c r="N119" i="3" s="1"/>
  <c r="V119" i="4"/>
  <c r="T119" i="4"/>
  <c r="N119" i="4"/>
  <c r="J246" i="4"/>
  <c r="N192" i="4"/>
  <c r="M198" i="4"/>
  <c r="Q248" i="4"/>
  <c r="I114" i="4"/>
  <c r="R229" i="4"/>
  <c r="L192" i="4"/>
  <c r="V30" i="4"/>
  <c r="N87" i="4"/>
  <c r="J183" i="4"/>
  <c r="L99" i="4"/>
  <c r="S167" i="4"/>
  <c r="O140" i="4"/>
  <c r="W11" i="4"/>
  <c r="X58" i="4"/>
  <c r="W178" i="4"/>
  <c r="U167" i="4"/>
  <c r="U43" i="4"/>
  <c r="S246" i="4"/>
  <c r="G246" i="3" s="1"/>
  <c r="K246" i="3" s="1"/>
  <c r="W109" i="4"/>
  <c r="S136" i="4"/>
  <c r="K255" i="4"/>
  <c r="M22" i="4"/>
  <c r="U94" i="4"/>
  <c r="X47" i="4"/>
  <c r="N47" i="4"/>
  <c r="U58" i="4"/>
  <c r="Q46" i="4"/>
  <c r="Q82" i="4"/>
  <c r="T192" i="4"/>
  <c r="J192" i="4"/>
  <c r="R157" i="4"/>
  <c r="I252" i="4"/>
  <c r="K157" i="4"/>
  <c r="W20" i="4"/>
  <c r="S82" i="4"/>
  <c r="G82" i="3" s="1"/>
  <c r="K82" i="3" s="1"/>
  <c r="J23" i="4"/>
  <c r="S152" i="4"/>
  <c r="J218" i="4"/>
  <c r="X22" i="4"/>
  <c r="R38" i="4"/>
  <c r="S154" i="4"/>
  <c r="I140" i="4"/>
  <c r="N140" i="3" s="1"/>
  <c r="N198" i="4"/>
  <c r="S186" i="4"/>
  <c r="M114" i="4"/>
  <c r="I114" i="3" s="1"/>
  <c r="L67" i="4"/>
  <c r="K192" i="4"/>
  <c r="S179" i="4"/>
  <c r="M30" i="4"/>
  <c r="L38" i="4"/>
  <c r="P192" i="4"/>
  <c r="Y183" i="4"/>
  <c r="T167" i="4"/>
  <c r="Y186" i="4"/>
  <c r="X11" i="4"/>
  <c r="V58" i="4"/>
  <c r="X248" i="4"/>
  <c r="W218" i="4"/>
  <c r="P167" i="4"/>
  <c r="I197" i="4"/>
  <c r="L232" i="4"/>
  <c r="W39" i="4"/>
  <c r="P26" i="4"/>
  <c r="G26" i="3" s="1"/>
  <c r="K26" i="3" s="1"/>
  <c r="L47" i="4"/>
  <c r="J58" i="4"/>
  <c r="U179" i="4"/>
  <c r="S157" i="4"/>
  <c r="E146" i="3"/>
  <c r="M146" i="3" s="1"/>
  <c r="N178" i="4"/>
  <c r="V26" i="4"/>
  <c r="X102" i="4"/>
  <c r="E102" i="3" s="1"/>
  <c r="I56" i="4"/>
  <c r="P178" i="4"/>
  <c r="G178" i="3" s="1"/>
  <c r="K178" i="3" s="1"/>
  <c r="Q192" i="4"/>
  <c r="U86" i="4"/>
  <c r="J56" i="4"/>
  <c r="J22" i="4"/>
  <c r="I86" i="4"/>
  <c r="T152" i="4"/>
  <c r="M218" i="4"/>
  <c r="W38" i="4"/>
  <c r="Q212" i="4"/>
  <c r="X46" i="4"/>
  <c r="U154" i="4"/>
  <c r="U18" i="4"/>
  <c r="M248" i="4"/>
  <c r="Q198" i="4"/>
  <c r="N30" i="4"/>
  <c r="S43" i="4"/>
  <c r="K80" i="4"/>
  <c r="N229" i="4"/>
  <c r="O30" i="4"/>
  <c r="K198" i="4"/>
  <c r="X87" i="4"/>
  <c r="V116" i="4"/>
  <c r="Y99" i="4"/>
  <c r="W167" i="4"/>
  <c r="W134" i="4"/>
  <c r="P111" i="4"/>
  <c r="J18" i="4"/>
  <c r="L109" i="4"/>
  <c r="W153" i="4"/>
  <c r="W186" i="4"/>
  <c r="P94" i="4"/>
  <c r="I47" i="4"/>
  <c r="I58" i="4"/>
  <c r="L80" i="4"/>
  <c r="N252" i="4"/>
  <c r="V167" i="4"/>
  <c r="V178" i="4"/>
  <c r="M111" i="4"/>
  <c r="Q252" i="4"/>
  <c r="L252" i="4"/>
  <c r="Q85" i="4"/>
  <c r="N94" i="4"/>
  <c r="S190" i="4"/>
  <c r="V80" i="4"/>
  <c r="X229" i="4"/>
  <c r="L124" i="4"/>
  <c r="J124" i="4"/>
  <c r="N124" i="3" s="1"/>
  <c r="Q124" i="4"/>
  <c r="N124" i="4"/>
  <c r="M124" i="4"/>
  <c r="R124" i="4"/>
  <c r="K124" i="4"/>
  <c r="X189" i="4"/>
  <c r="G119" i="3"/>
  <c r="K119" i="3" s="1"/>
  <c r="G40" i="3"/>
  <c r="K40" i="3" s="1"/>
  <c r="V154" i="4"/>
  <c r="V124" i="4"/>
  <c r="W46" i="4"/>
  <c r="M83" i="4"/>
  <c r="Y217" i="4"/>
  <c r="Q30" i="4"/>
  <c r="N56" i="4"/>
  <c r="W116" i="4"/>
  <c r="Y147" i="4"/>
  <c r="R86" i="4"/>
  <c r="I152" i="4"/>
  <c r="L218" i="4"/>
  <c r="K102" i="4"/>
  <c r="V218" i="4"/>
  <c r="I102" i="4"/>
  <c r="J69" i="4"/>
  <c r="N69" i="3" s="1"/>
  <c r="J198" i="4"/>
  <c r="N198" i="3" s="1"/>
  <c r="M212" i="4"/>
  <c r="W154" i="4"/>
  <c r="S14" i="4"/>
  <c r="U22" i="4"/>
  <c r="X15" i="4"/>
  <c r="J11" i="4"/>
  <c r="T198" i="4"/>
  <c r="N15" i="4"/>
  <c r="I15" i="3" s="1"/>
  <c r="O77" i="4"/>
  <c r="R239" i="4"/>
  <c r="V83" i="4"/>
  <c r="U95" i="4"/>
  <c r="O95" i="4"/>
  <c r="M95" i="4"/>
  <c r="I95" i="4"/>
  <c r="N95" i="4"/>
  <c r="L95" i="4"/>
  <c r="X95" i="4"/>
  <c r="P95" i="4"/>
  <c r="W95" i="4"/>
  <c r="E95" i="3" s="1"/>
  <c r="S95" i="4"/>
  <c r="R95" i="4"/>
  <c r="J95" i="4"/>
  <c r="N249" i="4"/>
  <c r="V234" i="4"/>
  <c r="E61" i="3"/>
  <c r="F61" i="3" s="1"/>
  <c r="J167" i="4"/>
  <c r="V189" i="4"/>
  <c r="S194" i="4"/>
  <c r="Q58" i="4"/>
  <c r="K38" i="4"/>
  <c r="I178" i="4"/>
  <c r="U85" i="4"/>
  <c r="J94" i="4"/>
  <c r="R99" i="4"/>
  <c r="Q254" i="4"/>
  <c r="Y252" i="4"/>
  <c r="T18" i="4"/>
  <c r="I187" i="4"/>
  <c r="L229" i="4"/>
  <c r="O94" i="4"/>
  <c r="Y71" i="4"/>
  <c r="P85" i="4"/>
  <c r="H85" i="3" s="1"/>
  <c r="X89" i="4"/>
  <c r="E89" i="3" s="1"/>
  <c r="M38" i="4"/>
  <c r="V254" i="4"/>
  <c r="L56" i="4"/>
  <c r="Q86" i="4"/>
  <c r="K56" i="4"/>
  <c r="P153" i="4"/>
  <c r="O102" i="4"/>
  <c r="I102" i="3" s="1"/>
  <c r="L102" i="3" s="1"/>
  <c r="Q102" i="3" s="1"/>
  <c r="X154" i="4"/>
  <c r="S20" i="4"/>
  <c r="S198" i="4"/>
  <c r="U165" i="4"/>
  <c r="U67" i="4"/>
  <c r="K22" i="4"/>
  <c r="U192" i="4"/>
  <c r="X225" i="4"/>
  <c r="U47" i="4"/>
  <c r="N26" i="4"/>
  <c r="O56" i="4"/>
  <c r="O153" i="4"/>
  <c r="I68" i="4"/>
  <c r="N68" i="3" s="1"/>
  <c r="X68" i="4"/>
  <c r="P68" i="4"/>
  <c r="Q68" i="4"/>
  <c r="N68" i="4"/>
  <c r="M68" i="4"/>
  <c r="O68" i="4"/>
  <c r="T86" i="4"/>
  <c r="E145" i="3"/>
  <c r="F145" i="3" s="1"/>
  <c r="Q102" i="4"/>
  <c r="L255" i="4"/>
  <c r="R55" i="4"/>
  <c r="O69" i="4"/>
  <c r="P248" i="4"/>
  <c r="U69" i="4"/>
  <c r="I249" i="4"/>
  <c r="J154" i="4"/>
  <c r="N149" i="4"/>
  <c r="R167" i="4"/>
  <c r="M165" i="4"/>
  <c r="X186" i="4"/>
  <c r="X57" i="4"/>
  <c r="K30" i="4"/>
  <c r="S165" i="4"/>
  <c r="J248" i="4"/>
  <c r="S23" i="4"/>
  <c r="W119" i="4"/>
  <c r="I186" i="4"/>
  <c r="V112" i="4"/>
  <c r="O111" i="4"/>
  <c r="V147" i="4"/>
  <c r="E147" i="3" s="1"/>
  <c r="N111" i="4"/>
  <c r="P239" i="4"/>
  <c r="W99" i="4"/>
  <c r="L194" i="4"/>
  <c r="I165" i="4"/>
  <c r="O18" i="4"/>
  <c r="O192" i="4"/>
  <c r="Q87" i="4"/>
  <c r="X85" i="4"/>
  <c r="W71" i="4"/>
  <c r="R190" i="4"/>
  <c r="W94" i="4"/>
  <c r="X63" i="4"/>
  <c r="O152" i="4"/>
  <c r="P183" i="4"/>
  <c r="R89" i="4"/>
  <c r="K83" i="4"/>
  <c r="T109" i="4"/>
  <c r="J178" i="4"/>
  <c r="S102" i="4"/>
  <c r="S86" i="4"/>
  <c r="G86" i="3" s="1"/>
  <c r="K86" i="3" s="1"/>
  <c r="P30" i="4"/>
  <c r="P189" i="4"/>
  <c r="Q99" i="4"/>
  <c r="J30" i="4"/>
  <c r="P23" i="4"/>
  <c r="L239" i="4"/>
  <c r="N165" i="4"/>
  <c r="S47" i="4"/>
  <c r="Q153" i="4"/>
  <c r="K187" i="4"/>
  <c r="J114" i="4"/>
  <c r="T114" i="4"/>
  <c r="N69" i="4"/>
  <c r="Q69" i="4"/>
  <c r="J249" i="4"/>
  <c r="W15" i="4"/>
  <c r="N22" i="4"/>
  <c r="N20" i="4"/>
  <c r="V19" i="4"/>
  <c r="L165" i="4"/>
  <c r="I217" i="4"/>
  <c r="V22" i="4"/>
  <c r="U38" i="4"/>
  <c r="U99" i="4"/>
  <c r="O147" i="4"/>
  <c r="R23" i="4"/>
  <c r="X99" i="4"/>
  <c r="K186" i="4"/>
  <c r="J109" i="4"/>
  <c r="M109" i="4"/>
  <c r="R192" i="4"/>
  <c r="P102" i="4"/>
  <c r="Q94" i="4"/>
  <c r="O63" i="4"/>
  <c r="K152" i="4"/>
  <c r="Q183" i="4"/>
  <c r="N89" i="4"/>
  <c r="S254" i="4"/>
  <c r="P232" i="4"/>
  <c r="W232" i="4"/>
  <c r="X232" i="4"/>
  <c r="S232" i="4"/>
  <c r="N232" i="4"/>
  <c r="I232" i="4"/>
  <c r="X83" i="4"/>
  <c r="N38" i="4"/>
  <c r="R109" i="4"/>
  <c r="R189" i="4"/>
  <c r="L225" i="4"/>
  <c r="W47" i="4"/>
  <c r="T56" i="4"/>
  <c r="R163" i="4"/>
  <c r="V163" i="4"/>
  <c r="W163" i="4"/>
  <c r="P197" i="4"/>
  <c r="R153" i="4"/>
  <c r="I43" i="4"/>
  <c r="N43" i="3" s="1"/>
  <c r="M116" i="4"/>
  <c r="P187" i="4"/>
  <c r="G187" i="3" s="1"/>
  <c r="K187" i="3" s="1"/>
  <c r="M96" i="4"/>
  <c r="T255" i="4"/>
  <c r="R255" i="4"/>
  <c r="O255" i="4"/>
  <c r="Q255" i="4"/>
  <c r="W255" i="4"/>
  <c r="K147" i="4"/>
  <c r="X135" i="4"/>
  <c r="W69" i="4"/>
  <c r="O249" i="4"/>
  <c r="U217" i="4"/>
  <c r="N67" i="4"/>
  <c r="K109" i="4"/>
  <c r="N23" i="4"/>
  <c r="U19" i="4"/>
  <c r="H19" i="3" s="1"/>
  <c r="Q217" i="4"/>
  <c r="S229" i="4"/>
  <c r="V94" i="4"/>
  <c r="Q111" i="4"/>
  <c r="T83" i="4"/>
  <c r="S111" i="4"/>
  <c r="L147" i="4"/>
  <c r="P194" i="4"/>
  <c r="X194" i="4"/>
  <c r="M194" i="4"/>
  <c r="N116" i="4"/>
  <c r="J57" i="4"/>
  <c r="R149" i="4"/>
  <c r="T124" i="4"/>
  <c r="S94" i="4"/>
  <c r="M152" i="4"/>
  <c r="X153" i="4"/>
  <c r="R183" i="4"/>
  <c r="O89" i="4"/>
  <c r="P38" i="4"/>
  <c r="S124" i="4"/>
  <c r="G124" i="3" s="1"/>
  <c r="K124" i="3" s="1"/>
  <c r="X30" i="4"/>
  <c r="H169" i="3"/>
  <c r="L169" i="3" s="1"/>
  <c r="P114" i="4"/>
  <c r="P109" i="4"/>
  <c r="S50" i="4"/>
  <c r="V217" i="4"/>
  <c r="S46" i="4"/>
  <c r="T11" i="4"/>
  <c r="N243" i="4"/>
  <c r="I62" i="4"/>
  <c r="K114" i="4"/>
  <c r="Q186" i="4"/>
  <c r="T194" i="4"/>
  <c r="I255" i="4"/>
  <c r="Q38" i="4"/>
  <c r="K94" i="4"/>
  <c r="L82" i="4"/>
  <c r="P243" i="4"/>
  <c r="N183" i="4"/>
  <c r="S89" i="4"/>
  <c r="G89" i="3" s="1"/>
  <c r="K89" i="3" s="1"/>
  <c r="N179" i="4"/>
  <c r="R113" i="4"/>
  <c r="P113" i="4"/>
  <c r="O113" i="4"/>
  <c r="I113" i="3" s="1"/>
  <c r="Q113" i="4"/>
  <c r="T113" i="4"/>
  <c r="S113" i="4"/>
  <c r="J189" i="4"/>
  <c r="N189" i="3" s="1"/>
  <c r="J153" i="4"/>
  <c r="O165" i="4"/>
  <c r="U102" i="4"/>
  <c r="L39" i="4"/>
  <c r="O197" i="4"/>
  <c r="X176" i="4"/>
  <c r="E176" i="3" s="1"/>
  <c r="U56" i="4"/>
  <c r="R87" i="4"/>
  <c r="S87" i="4"/>
  <c r="G87" i="3" s="1"/>
  <c r="K87" i="3" s="1"/>
  <c r="K153" i="4"/>
  <c r="L43" i="4"/>
  <c r="Q187" i="4"/>
  <c r="L140" i="4"/>
  <c r="V57" i="4"/>
  <c r="P134" i="4"/>
  <c r="G134" i="3" s="1"/>
  <c r="K134" i="3" s="1"/>
  <c r="T135" i="4"/>
  <c r="S249" i="4"/>
  <c r="P186" i="4"/>
  <c r="V50" i="4"/>
  <c r="K53" i="4"/>
  <c r="T22" i="4"/>
  <c r="Q229" i="4"/>
  <c r="P62" i="4"/>
  <c r="T96" i="4"/>
  <c r="V87" i="4"/>
  <c r="S239" i="4"/>
  <c r="R114" i="4"/>
  <c r="I111" i="4"/>
  <c r="N111" i="3" s="1"/>
  <c r="W198" i="4"/>
  <c r="N187" i="4"/>
  <c r="I83" i="4"/>
  <c r="O57" i="4"/>
  <c r="K190" i="4"/>
  <c r="X94" i="4"/>
  <c r="X183" i="4"/>
  <c r="V186" i="4"/>
  <c r="K86" i="4"/>
  <c r="N86" i="4"/>
  <c r="J86" i="4"/>
  <c r="O86" i="4"/>
  <c r="L86" i="4"/>
  <c r="M189" i="4"/>
  <c r="T136" i="4"/>
  <c r="V136" i="4"/>
  <c r="L136" i="4"/>
  <c r="N136" i="4"/>
  <c r="U136" i="4"/>
  <c r="I136" i="4"/>
  <c r="N136" i="3" s="1"/>
  <c r="O136" i="4"/>
  <c r="P136" i="4"/>
  <c r="W136" i="4"/>
  <c r="Q136" i="4"/>
  <c r="I116" i="4"/>
  <c r="S56" i="4"/>
  <c r="O189" i="4"/>
  <c r="I175" i="3"/>
  <c r="L175" i="3" s="1"/>
  <c r="W135" i="4"/>
  <c r="N193" i="4"/>
  <c r="U30" i="4"/>
  <c r="N225" i="4"/>
  <c r="M39" i="4"/>
  <c r="N176" i="4"/>
  <c r="V56" i="4"/>
  <c r="X163" i="4"/>
  <c r="L153" i="4"/>
  <c r="M69" i="4"/>
  <c r="K43" i="4"/>
  <c r="T140" i="4"/>
  <c r="R102" i="4"/>
  <c r="I57" i="4"/>
  <c r="N212" i="4"/>
  <c r="U135" i="4"/>
  <c r="G193" i="4"/>
  <c r="H193" i="4" s="1"/>
  <c r="R193" i="4" s="1"/>
  <c r="Y69" i="4"/>
  <c r="L183" i="4"/>
  <c r="T249" i="4"/>
  <c r="V165" i="4"/>
  <c r="X50" i="4"/>
  <c r="P53" i="4"/>
  <c r="S22" i="4"/>
  <c r="X255" i="4"/>
  <c r="P225" i="4"/>
  <c r="G225" i="3" s="1"/>
  <c r="K225" i="3" s="1"/>
  <c r="W246" i="4"/>
  <c r="U239" i="4"/>
  <c r="T111" i="4"/>
  <c r="V99" i="4"/>
  <c r="V246" i="4"/>
  <c r="P83" i="4"/>
  <c r="L14" i="4"/>
  <c r="T232" i="4"/>
  <c r="L63" i="4"/>
  <c r="M94" i="4"/>
  <c r="N63" i="4"/>
  <c r="O39" i="4"/>
  <c r="U183" i="4"/>
  <c r="I89" i="4"/>
  <c r="N89" i="3" s="1"/>
  <c r="I254" i="4"/>
  <c r="P135" i="4"/>
  <c r="U190" i="4"/>
  <c r="J102" i="4"/>
  <c r="M178" i="4"/>
  <c r="I234" i="4"/>
  <c r="T234" i="4"/>
  <c r="S234" i="4"/>
  <c r="Y254" i="4"/>
  <c r="I39" i="4"/>
  <c r="S85" i="4"/>
  <c r="M23" i="4"/>
  <c r="P39" i="4"/>
  <c r="G39" i="3" s="1"/>
  <c r="K39" i="3" s="1"/>
  <c r="J179" i="4"/>
  <c r="K176" i="4"/>
  <c r="W56" i="4"/>
  <c r="E56" i="3" s="1"/>
  <c r="F56" i="3" s="1"/>
  <c r="I163" i="4"/>
  <c r="R83" i="4"/>
  <c r="S189" i="4"/>
  <c r="M43" i="4"/>
  <c r="M187" i="4"/>
  <c r="O82" i="4"/>
  <c r="T252" i="4"/>
  <c r="N189" i="4"/>
  <c r="L57" i="4"/>
  <c r="Q134" i="4"/>
  <c r="V134" i="4"/>
  <c r="N134" i="4"/>
  <c r="L134" i="4"/>
  <c r="J134" i="4"/>
  <c r="K134" i="4"/>
  <c r="I147" i="4"/>
  <c r="V212" i="4"/>
  <c r="E212" i="3" s="1"/>
  <c r="V135" i="4"/>
  <c r="N103" i="3"/>
  <c r="R254" i="4"/>
  <c r="K183" i="4"/>
  <c r="T67" i="4"/>
  <c r="U11" i="4"/>
  <c r="T57" i="4"/>
  <c r="R246" i="4"/>
  <c r="W87" i="4"/>
  <c r="R62" i="4"/>
  <c r="M62" i="4"/>
  <c r="X110" i="4"/>
  <c r="W111" i="4"/>
  <c r="E111" i="3" s="1"/>
  <c r="O58" i="4"/>
  <c r="L166" i="4"/>
  <c r="V166" i="4"/>
  <c r="J166" i="4"/>
  <c r="I166" i="4"/>
  <c r="N166" i="3" s="1"/>
  <c r="P166" i="4"/>
  <c r="M166" i="4"/>
  <c r="T166" i="4"/>
  <c r="S166" i="4"/>
  <c r="R166" i="4"/>
  <c r="W166" i="4"/>
  <c r="M61" i="4"/>
  <c r="M167" i="4"/>
  <c r="P176" i="4"/>
  <c r="J83" i="4"/>
  <c r="S15" i="4"/>
  <c r="V183" i="4"/>
  <c r="T89" i="4"/>
  <c r="V179" i="4"/>
  <c r="N109" i="4"/>
  <c r="J39" i="4"/>
  <c r="I179" i="4"/>
  <c r="Q83" i="4"/>
  <c r="R178" i="4"/>
  <c r="S153" i="4"/>
  <c r="U153" i="4"/>
  <c r="U252" i="4"/>
  <c r="I135" i="4"/>
  <c r="U254" i="4"/>
  <c r="G175" i="3"/>
  <c r="K175" i="3" s="1"/>
  <c r="U112" i="4"/>
  <c r="U229" i="4"/>
  <c r="Q10" i="4"/>
  <c r="S10" i="4"/>
  <c r="J10" i="4"/>
  <c r="I10" i="4"/>
  <c r="K10" i="4"/>
  <c r="W10" i="4"/>
  <c r="X10" i="4"/>
  <c r="Y10" i="4"/>
  <c r="T10" i="4"/>
  <c r="V10" i="4"/>
  <c r="E10" i="3" s="1"/>
  <c r="M10" i="3" s="1"/>
  <c r="N246" i="4"/>
  <c r="S71" i="4"/>
  <c r="G71" i="3" s="1"/>
  <c r="K71" i="3" s="1"/>
  <c r="U71" i="4"/>
  <c r="O71" i="4"/>
  <c r="N71" i="4"/>
  <c r="M71" i="4"/>
  <c r="J71" i="4"/>
  <c r="Q71" i="4"/>
  <c r="X62" i="4"/>
  <c r="M249" i="4"/>
  <c r="Y111" i="4"/>
  <c r="O10" i="4"/>
  <c r="Q167" i="4"/>
  <c r="W85" i="4"/>
  <c r="N83" i="4"/>
  <c r="R152" i="4"/>
  <c r="N61" i="4"/>
  <c r="S183" i="4"/>
  <c r="K39" i="4"/>
  <c r="Y179" i="4"/>
  <c r="R56" i="4"/>
  <c r="Q56" i="4"/>
  <c r="P56" i="4"/>
  <c r="M56" i="4"/>
  <c r="E222" i="3"/>
  <c r="F222" i="3" s="1"/>
  <c r="J222" i="3" s="1"/>
  <c r="N153" i="4"/>
  <c r="I153" i="3" s="1"/>
  <c r="N82" i="4"/>
  <c r="P252" i="4"/>
  <c r="M147" i="4"/>
  <c r="W189" i="4"/>
  <c r="R134" i="4"/>
  <c r="S149" i="4"/>
  <c r="J135" i="4"/>
  <c r="M254" i="4"/>
  <c r="O239" i="4"/>
  <c r="L152" i="4"/>
  <c r="R179" i="4"/>
  <c r="L119" i="4"/>
  <c r="O234" i="4"/>
  <c r="W62" i="4"/>
  <c r="K62" i="4"/>
  <c r="K111" i="4"/>
  <c r="L254" i="4"/>
  <c r="X111" i="4"/>
  <c r="P152" i="4"/>
  <c r="E175" i="3"/>
  <c r="M175" i="3" s="1"/>
  <c r="I31" i="3"/>
  <c r="K28" i="4"/>
  <c r="N82" i="3"/>
  <c r="N14" i="3"/>
  <c r="X28" i="4"/>
  <c r="I103" i="3"/>
  <c r="L103" i="3" s="1"/>
  <c r="Q103" i="3" s="1"/>
  <c r="N222" i="3"/>
  <c r="P28" i="4"/>
  <c r="G28" i="3" s="1"/>
  <c r="K28" i="3" s="1"/>
  <c r="E202" i="3"/>
  <c r="M202" i="3" s="1"/>
  <c r="E31" i="3"/>
  <c r="M31" i="3" s="1"/>
  <c r="N146" i="3"/>
  <c r="E223" i="3"/>
  <c r="M223" i="3" s="1"/>
  <c r="Q28" i="4"/>
  <c r="H145" i="3"/>
  <c r="F247" i="3"/>
  <c r="J247" i="3" s="1"/>
  <c r="N13" i="3"/>
  <c r="S13" i="3" s="1"/>
  <c r="F40" i="3"/>
  <c r="J40" i="3" s="1"/>
  <c r="N19" i="3"/>
  <c r="E151" i="3"/>
  <c r="F151" i="3" s="1"/>
  <c r="J151" i="3" s="1"/>
  <c r="G31" i="3"/>
  <c r="K31" i="3" s="1"/>
  <c r="P31" i="3" s="1"/>
  <c r="N145" i="3"/>
  <c r="N176" i="3"/>
  <c r="N23" i="3"/>
  <c r="E20" i="3"/>
  <c r="I222" i="3"/>
  <c r="N223" i="3"/>
  <c r="I28" i="3"/>
  <c r="G222" i="3"/>
  <c r="K222" i="3" s="1"/>
  <c r="N26" i="3"/>
  <c r="I146" i="3"/>
  <c r="H222" i="3"/>
  <c r="E143" i="3"/>
  <c r="F143" i="3" s="1"/>
  <c r="J143" i="3" s="1"/>
  <c r="O143" i="3" s="1"/>
  <c r="H31" i="3"/>
  <c r="I13" i="3"/>
  <c r="L13" i="3" s="1"/>
  <c r="Q13" i="3" s="1"/>
  <c r="H151" i="3"/>
  <c r="E103" i="3"/>
  <c r="G146" i="3"/>
  <c r="K146" i="3" s="1"/>
  <c r="N87" i="3"/>
  <c r="I151" i="3"/>
  <c r="L151" i="3" s="1"/>
  <c r="H7" i="3"/>
  <c r="I19" i="3"/>
  <c r="N85" i="3"/>
  <c r="H103" i="3"/>
  <c r="G19" i="3"/>
  <c r="K19" i="3" s="1"/>
  <c r="H223" i="3"/>
  <c r="L223" i="3" s="1"/>
  <c r="N31" i="3"/>
  <c r="I145" i="3"/>
  <c r="G13" i="3"/>
  <c r="K13" i="3" s="1"/>
  <c r="P13" i="3" s="1"/>
  <c r="E86" i="3"/>
  <c r="H202" i="3"/>
  <c r="N175" i="3"/>
  <c r="H146" i="3"/>
  <c r="C11" i="1"/>
  <c r="D11" i="1" s="1"/>
  <c r="J145" i="3"/>
  <c r="R13" i="3"/>
  <c r="P202" i="3"/>
  <c r="G103" i="3"/>
  <c r="K103" i="3" s="1"/>
  <c r="G223" i="3"/>
  <c r="K223" i="3" s="1"/>
  <c r="B3" i="2"/>
  <c r="A6" i="2"/>
  <c r="A7" i="2" s="1"/>
  <c r="C7" i="1"/>
  <c r="F25" i="3"/>
  <c r="T25" i="3"/>
  <c r="J25" i="3"/>
  <c r="L25" i="3"/>
  <c r="K25" i="3"/>
  <c r="Q25" i="3"/>
  <c r="H25" i="3"/>
  <c r="P25" i="3"/>
  <c r="M25" i="3"/>
  <c r="N25" i="3"/>
  <c r="O25" i="3"/>
  <c r="R25" i="3"/>
  <c r="S25" i="3"/>
  <c r="I25" i="3"/>
  <c r="G25" i="3"/>
  <c r="E25" i="3"/>
  <c r="G25" i="4"/>
  <c r="H25" i="4" s="1"/>
  <c r="Y25" i="4"/>
  <c r="X25" i="4"/>
  <c r="W25" i="4"/>
  <c r="V25" i="4"/>
  <c r="U25" i="4"/>
  <c r="T25" i="4"/>
  <c r="P25" i="4"/>
  <c r="O25" i="4"/>
  <c r="S25" i="4"/>
  <c r="Q25" i="4"/>
  <c r="L25" i="4"/>
  <c r="M25" i="4"/>
  <c r="R25" i="4"/>
  <c r="K25" i="4"/>
  <c r="J25" i="4"/>
  <c r="N25" i="4"/>
  <c r="I25" i="4"/>
  <c r="G122" i="4"/>
  <c r="H122" i="4" s="1"/>
  <c r="W122" i="4" s="1"/>
  <c r="R98" i="3"/>
  <c r="E98" i="3"/>
  <c r="T98" i="3"/>
  <c r="F98" i="3"/>
  <c r="P98" i="3"/>
  <c r="S98" i="3"/>
  <c r="G98" i="3"/>
  <c r="H98" i="3"/>
  <c r="J98" i="3"/>
  <c r="M98" i="3"/>
  <c r="O98" i="3"/>
  <c r="K98" i="3"/>
  <c r="L98" i="3"/>
  <c r="Q98" i="3"/>
  <c r="I98" i="3"/>
  <c r="N98" i="3"/>
  <c r="C8" i="1"/>
  <c r="D8" i="1" s="1"/>
  <c r="G98" i="4"/>
  <c r="H98" i="4" s="1"/>
  <c r="O98" i="4"/>
  <c r="U98" i="4"/>
  <c r="Q98" i="4"/>
  <c r="N98" i="4"/>
  <c r="X98" i="4"/>
  <c r="W98" i="4"/>
  <c r="V98" i="4"/>
  <c r="S98" i="4"/>
  <c r="R98" i="4"/>
  <c r="P98" i="4"/>
  <c r="L98" i="4"/>
  <c r="T98" i="4"/>
  <c r="Y98" i="4"/>
  <c r="M98" i="4"/>
  <c r="K98" i="4"/>
  <c r="I98" i="4"/>
  <c r="J98" i="4"/>
  <c r="G123" i="4"/>
  <c r="H123" i="4" s="1"/>
  <c r="X123" i="4" s="1"/>
  <c r="Y123" i="4"/>
  <c r="K142" i="3"/>
  <c r="F142" i="3"/>
  <c r="G142" i="3"/>
  <c r="L142" i="3"/>
  <c r="M142" i="3"/>
  <c r="N142" i="3"/>
  <c r="H142" i="3"/>
  <c r="E142" i="3"/>
  <c r="R142" i="3"/>
  <c r="S142" i="3"/>
  <c r="T142" i="3"/>
  <c r="Q142" i="3"/>
  <c r="I142" i="3"/>
  <c r="J142" i="3"/>
  <c r="O142" i="3"/>
  <c r="P142" i="3"/>
  <c r="I143" i="3"/>
  <c r="L143" i="3" s="1"/>
  <c r="Q143" i="3" s="1"/>
  <c r="C9" i="1"/>
  <c r="G47" i="3"/>
  <c r="K47" i="3" s="1"/>
  <c r="G145" i="3"/>
  <c r="K145" i="3" s="1"/>
  <c r="Y184" i="4"/>
  <c r="G184" i="4"/>
  <c r="H184" i="4" s="1"/>
  <c r="S184" i="4" s="1"/>
  <c r="N184" i="4"/>
  <c r="M184" i="4"/>
  <c r="I184" i="4"/>
  <c r="G77" i="3"/>
  <c r="K77" i="3" s="1"/>
  <c r="Q90" i="3"/>
  <c r="G143" i="3"/>
  <c r="K143" i="3" s="1"/>
  <c r="P143" i="3" s="1"/>
  <c r="H143" i="3"/>
  <c r="G238" i="4"/>
  <c r="H238" i="4" s="1"/>
  <c r="P238" i="4" s="1"/>
  <c r="L238" i="4"/>
  <c r="O238" i="4"/>
  <c r="R238" i="4"/>
  <c r="Q238" i="4"/>
  <c r="U238" i="4"/>
  <c r="V238" i="4"/>
  <c r="I186" i="3"/>
  <c r="G64" i="4"/>
  <c r="H64" i="4" s="1"/>
  <c r="S64" i="4" s="1"/>
  <c r="Y64" i="4"/>
  <c r="M64" i="4"/>
  <c r="S193" i="4"/>
  <c r="T193" i="4"/>
  <c r="U193" i="4"/>
  <c r="M193" i="4"/>
  <c r="V193" i="4"/>
  <c r="G196" i="4"/>
  <c r="H196" i="4" s="1"/>
  <c r="K196" i="4" s="1"/>
  <c r="V196" i="4"/>
  <c r="X196" i="4"/>
  <c r="Y196" i="4"/>
  <c r="U196" i="4"/>
  <c r="T196" i="4"/>
  <c r="O196" i="4"/>
  <c r="R196" i="4"/>
  <c r="J196" i="4"/>
  <c r="F13" i="3"/>
  <c r="J13" i="3" s="1"/>
  <c r="O13" i="3" s="1"/>
  <c r="E118" i="3"/>
  <c r="G118" i="3"/>
  <c r="N118" i="3"/>
  <c r="M118" i="3"/>
  <c r="J118" i="3"/>
  <c r="H118" i="3"/>
  <c r="T118" i="3"/>
  <c r="S118" i="3"/>
  <c r="L118" i="3"/>
  <c r="R118" i="3"/>
  <c r="P118" i="3"/>
  <c r="Q118" i="3"/>
  <c r="I118" i="3"/>
  <c r="O118" i="3"/>
  <c r="K118" i="3"/>
  <c r="F118" i="3"/>
  <c r="W118" i="4"/>
  <c r="V118" i="4"/>
  <c r="G118" i="4"/>
  <c r="H118" i="4" s="1"/>
  <c r="Q118" i="4"/>
  <c r="R118" i="4"/>
  <c r="O118" i="4"/>
  <c r="J118" i="4"/>
  <c r="L118" i="4"/>
  <c r="Y118" i="4"/>
  <c r="X118" i="4"/>
  <c r="N118" i="4"/>
  <c r="M118" i="4"/>
  <c r="I118" i="4"/>
  <c r="U118" i="4"/>
  <c r="P118" i="4"/>
  <c r="K118" i="4"/>
  <c r="S118" i="4"/>
  <c r="T118" i="4"/>
  <c r="T6" i="3"/>
  <c r="I110" i="3" l="1"/>
  <c r="F147" i="3"/>
  <c r="J147" i="3" s="1"/>
  <c r="E26" i="3"/>
  <c r="F252" i="3"/>
  <c r="J252" i="3" s="1"/>
  <c r="M167" i="3"/>
  <c r="R167" i="3" s="1"/>
  <c r="I20" i="3"/>
  <c r="L20" i="3" s="1"/>
  <c r="Q20" i="3" s="1"/>
  <c r="E178" i="3"/>
  <c r="F178" i="3" s="1"/>
  <c r="J178" i="3" s="1"/>
  <c r="H26" i="3"/>
  <c r="F146" i="3"/>
  <c r="J146" i="3" s="1"/>
  <c r="E63" i="3"/>
  <c r="N197" i="3"/>
  <c r="L40" i="3"/>
  <c r="H110" i="3"/>
  <c r="G248" i="3"/>
  <c r="K248" i="3" s="1"/>
  <c r="E82" i="3"/>
  <c r="N47" i="3"/>
  <c r="E152" i="3"/>
  <c r="M152" i="3" s="1"/>
  <c r="E165" i="3"/>
  <c r="M165" i="3" s="1"/>
  <c r="R165" i="3" s="1"/>
  <c r="N116" i="3"/>
  <c r="I243" i="3"/>
  <c r="M18" i="3"/>
  <c r="R18" i="3" s="1"/>
  <c r="G157" i="3"/>
  <c r="K157" i="3" s="1"/>
  <c r="I11" i="3"/>
  <c r="I239" i="3"/>
  <c r="E134" i="3"/>
  <c r="F134" i="3" s="1"/>
  <c r="G197" i="3"/>
  <c r="K197" i="3" s="1"/>
  <c r="E239" i="3"/>
  <c r="F239" i="3" s="1"/>
  <c r="J239" i="3" s="1"/>
  <c r="J197" i="3"/>
  <c r="N134" i="3"/>
  <c r="I254" i="3"/>
  <c r="I249" i="3"/>
  <c r="L249" i="3" s="1"/>
  <c r="H216" i="3"/>
  <c r="N218" i="3"/>
  <c r="N239" i="3"/>
  <c r="I109" i="3"/>
  <c r="H61" i="3"/>
  <c r="I140" i="3"/>
  <c r="N80" i="3"/>
  <c r="H57" i="3"/>
  <c r="N147" i="3"/>
  <c r="H86" i="3"/>
  <c r="G14" i="3"/>
  <c r="K14" i="3" s="1"/>
  <c r="G58" i="3"/>
  <c r="K58" i="3" s="1"/>
  <c r="H82" i="3"/>
  <c r="M238" i="4"/>
  <c r="I238" i="3" s="1"/>
  <c r="N71" i="3"/>
  <c r="G153" i="3"/>
  <c r="K153" i="3" s="1"/>
  <c r="I58" i="3"/>
  <c r="L58" i="3" s="1"/>
  <c r="E225" i="3"/>
  <c r="F225" i="3" s="1"/>
  <c r="J225" i="3" s="1"/>
  <c r="E234" i="3"/>
  <c r="F234" i="3" s="1"/>
  <c r="J234" i="3" s="1"/>
  <c r="L110" i="3"/>
  <c r="N238" i="4"/>
  <c r="E80" i="3"/>
  <c r="M80" i="3" s="1"/>
  <c r="I163" i="3"/>
  <c r="L163" i="3" s="1"/>
  <c r="Q163" i="3" s="1"/>
  <c r="I216" i="3"/>
  <c r="L216" i="3" s="1"/>
  <c r="J238" i="4"/>
  <c r="M95" i="3"/>
  <c r="E23" i="3"/>
  <c r="F23" i="3" s="1"/>
  <c r="J23" i="3" s="1"/>
  <c r="E18" i="3"/>
  <c r="F18" i="3" s="1"/>
  <c r="J18" i="3" s="1"/>
  <c r="O18" i="3" s="1"/>
  <c r="T238" i="4"/>
  <c r="M86" i="3"/>
  <c r="E114" i="3"/>
  <c r="M114" i="3" s="1"/>
  <c r="I14" i="3"/>
  <c r="L14" i="3" s="1"/>
  <c r="L60" i="3"/>
  <c r="F169" i="3"/>
  <c r="J169" i="3" s="1"/>
  <c r="I43" i="3"/>
  <c r="E192" i="3"/>
  <c r="M192" i="3" s="1"/>
  <c r="W196" i="4"/>
  <c r="E196" i="3" s="1"/>
  <c r="F196" i="3" s="1"/>
  <c r="J196" i="3" s="1"/>
  <c r="O196" i="3" s="1"/>
  <c r="L145" i="3"/>
  <c r="I183" i="3"/>
  <c r="E19" i="3"/>
  <c r="F19" i="3" s="1"/>
  <c r="J19" i="3" s="1"/>
  <c r="E216" i="3"/>
  <c r="F216" i="3" s="1"/>
  <c r="J216" i="3" s="1"/>
  <c r="H20" i="3"/>
  <c r="N63" i="3"/>
  <c r="H68" i="3"/>
  <c r="H89" i="3"/>
  <c r="G147" i="3"/>
  <c r="K147" i="3" s="1"/>
  <c r="I85" i="3"/>
  <c r="N55" i="3"/>
  <c r="E189" i="3"/>
  <c r="M189" i="3" s="1"/>
  <c r="I80" i="3"/>
  <c r="L80" i="3" s="1"/>
  <c r="G231" i="3"/>
  <c r="K231" i="3" s="1"/>
  <c r="I167" i="3"/>
  <c r="L167" i="3" s="1"/>
  <c r="Q167" i="3" s="1"/>
  <c r="H255" i="3"/>
  <c r="M243" i="3"/>
  <c r="U184" i="4"/>
  <c r="N39" i="3"/>
  <c r="I225" i="3"/>
  <c r="I255" i="3"/>
  <c r="L255" i="3" s="1"/>
  <c r="E15" i="3"/>
  <c r="I248" i="3"/>
  <c r="H154" i="3"/>
  <c r="E110" i="3"/>
  <c r="M110" i="3" s="1"/>
  <c r="F243" i="3"/>
  <c r="J243" i="3" s="1"/>
  <c r="H38" i="3"/>
  <c r="J184" i="4"/>
  <c r="N184" i="3" s="1"/>
  <c r="N255" i="3"/>
  <c r="H69" i="3"/>
  <c r="G90" i="3"/>
  <c r="K90" i="3" s="1"/>
  <c r="H234" i="3"/>
  <c r="K193" i="4"/>
  <c r="I149" i="3"/>
  <c r="E46" i="3"/>
  <c r="M46" i="3" s="1"/>
  <c r="R46" i="3" s="1"/>
  <c r="I69" i="3"/>
  <c r="L69" i="3" s="1"/>
  <c r="Q69" i="3" s="1"/>
  <c r="E22" i="3"/>
  <c r="F22" i="3" s="1"/>
  <c r="J22" i="3" s="1"/>
  <c r="I176" i="3"/>
  <c r="L176" i="3" s="1"/>
  <c r="F60" i="3"/>
  <c r="J60" i="3" s="1"/>
  <c r="G114" i="3"/>
  <c r="K114" i="3" s="1"/>
  <c r="M145" i="3"/>
  <c r="E11" i="3"/>
  <c r="F11" i="3" s="1"/>
  <c r="J11" i="3" s="1"/>
  <c r="H55" i="3"/>
  <c r="G194" i="3"/>
  <c r="K194" i="3" s="1"/>
  <c r="N249" i="3"/>
  <c r="E38" i="3"/>
  <c r="E248" i="3"/>
  <c r="M248" i="3" s="1"/>
  <c r="I134" i="3"/>
  <c r="I178" i="3"/>
  <c r="G56" i="3"/>
  <c r="K56" i="3" s="1"/>
  <c r="N62" i="3"/>
  <c r="N11" i="3"/>
  <c r="I87" i="3"/>
  <c r="I116" i="3"/>
  <c r="F244" i="3"/>
  <c r="J244" i="3" s="1"/>
  <c r="I218" i="3"/>
  <c r="L218" i="3" s="1"/>
  <c r="Q218" i="3" s="1"/>
  <c r="E154" i="3"/>
  <c r="M154" i="3" s="1"/>
  <c r="H218" i="3"/>
  <c r="M111" i="3"/>
  <c r="N165" i="3"/>
  <c r="E67" i="3"/>
  <c r="F67" i="3" s="1"/>
  <c r="J67" i="3" s="1"/>
  <c r="H178" i="3"/>
  <c r="E77" i="3"/>
  <c r="F77" i="3" s="1"/>
  <c r="J77" i="3" s="1"/>
  <c r="N163" i="3"/>
  <c r="E187" i="3"/>
  <c r="M187" i="3" s="1"/>
  <c r="E194" i="3"/>
  <c r="F194" i="3" s="1"/>
  <c r="J194" i="3" s="1"/>
  <c r="M11" i="3"/>
  <c r="G135" i="3"/>
  <c r="K135" i="3" s="1"/>
  <c r="N243" i="3"/>
  <c r="I165" i="3"/>
  <c r="L165" i="3" s="1"/>
  <c r="Q165" i="3" s="1"/>
  <c r="J61" i="3"/>
  <c r="H22" i="3"/>
  <c r="I55" i="3"/>
  <c r="H197" i="3"/>
  <c r="I136" i="3"/>
  <c r="I18" i="3"/>
  <c r="L18" i="3" s="1"/>
  <c r="Q18" i="3" s="1"/>
  <c r="N157" i="3"/>
  <c r="H246" i="3"/>
  <c r="H14" i="3"/>
  <c r="N149" i="3"/>
  <c r="H11" i="3"/>
  <c r="N15" i="3"/>
  <c r="N135" i="3"/>
  <c r="I112" i="3"/>
  <c r="G149" i="3"/>
  <c r="K149" i="3" s="1"/>
  <c r="G218" i="3"/>
  <c r="K218" i="3" s="1"/>
  <c r="H109" i="3"/>
  <c r="N22" i="3"/>
  <c r="H252" i="3"/>
  <c r="G255" i="3"/>
  <c r="K255" i="3" s="1"/>
  <c r="W193" i="4"/>
  <c r="G38" i="3"/>
  <c r="K38" i="3" s="1"/>
  <c r="E113" i="3"/>
  <c r="F113" i="3" s="1"/>
  <c r="J113" i="3" s="1"/>
  <c r="H212" i="3"/>
  <c r="N30" i="3"/>
  <c r="F96" i="3"/>
  <c r="J96" i="3" s="1"/>
  <c r="I166" i="3"/>
  <c r="E28" i="3"/>
  <c r="M28" i="3" s="1"/>
  <c r="N231" i="3"/>
  <c r="I26" i="3"/>
  <c r="L26" i="3" s="1"/>
  <c r="I192" i="3"/>
  <c r="G46" i="3"/>
  <c r="K46" i="3" s="1"/>
  <c r="H58" i="3"/>
  <c r="H249" i="3"/>
  <c r="I57" i="3"/>
  <c r="L57" i="3" s="1"/>
  <c r="N234" i="3"/>
  <c r="G154" i="3"/>
  <c r="K154" i="3" s="1"/>
  <c r="H189" i="3"/>
  <c r="H124" i="3"/>
  <c r="E249" i="3"/>
  <c r="M249" i="3" s="1"/>
  <c r="H77" i="3"/>
  <c r="H147" i="3"/>
  <c r="I38" i="3"/>
  <c r="H186" i="3"/>
  <c r="E112" i="3"/>
  <c r="F112" i="3" s="1"/>
  <c r="J112" i="3" s="1"/>
  <c r="E218" i="3"/>
  <c r="M218" i="3" s="1"/>
  <c r="I184" i="3"/>
  <c r="G249" i="3"/>
  <c r="K249" i="3" s="1"/>
  <c r="G152" i="3"/>
  <c r="K152" i="3" s="1"/>
  <c r="H56" i="3"/>
  <c r="G15" i="3"/>
  <c r="K15" i="3" s="1"/>
  <c r="G102" i="3"/>
  <c r="K102" i="3" s="1"/>
  <c r="N186" i="3"/>
  <c r="H95" i="3"/>
  <c r="G179" i="3"/>
  <c r="K179" i="3" s="1"/>
  <c r="I198" i="3"/>
  <c r="E198" i="3"/>
  <c r="H116" i="3"/>
  <c r="I246" i="3"/>
  <c r="L246" i="3" s="1"/>
  <c r="N102" i="3"/>
  <c r="M61" i="3"/>
  <c r="H248" i="3"/>
  <c r="X64" i="4"/>
  <c r="K184" i="4"/>
  <c r="E163" i="3"/>
  <c r="F163" i="3" s="1"/>
  <c r="J163" i="3" s="1"/>
  <c r="O163" i="3" s="1"/>
  <c r="N232" i="3"/>
  <c r="N217" i="3"/>
  <c r="G68" i="3"/>
  <c r="K68" i="3" s="1"/>
  <c r="I47" i="3"/>
  <c r="G22" i="3"/>
  <c r="K22" i="3" s="1"/>
  <c r="G140" i="3"/>
  <c r="K140" i="3" s="1"/>
  <c r="E254" i="3"/>
  <c r="M254" i="3" s="1"/>
  <c r="G30" i="3"/>
  <c r="K30" i="3" s="1"/>
  <c r="E99" i="3"/>
  <c r="M99" i="3" s="1"/>
  <c r="H134" i="3"/>
  <c r="H23" i="3"/>
  <c r="E68" i="3"/>
  <c r="M68" i="3" s="1"/>
  <c r="N152" i="3"/>
  <c r="N246" i="3"/>
  <c r="N50" i="3"/>
  <c r="E166" i="3"/>
  <c r="M166" i="3" s="1"/>
  <c r="G192" i="3"/>
  <c r="K192" i="3" s="1"/>
  <c r="O184" i="4"/>
  <c r="Q123" i="4"/>
  <c r="I23" i="3"/>
  <c r="E57" i="3"/>
  <c r="F57" i="3" s="1"/>
  <c r="J57" i="3" s="1"/>
  <c r="G243" i="3"/>
  <c r="K243" i="3" s="1"/>
  <c r="N248" i="3"/>
  <c r="G11" i="3"/>
  <c r="K11" i="3" s="1"/>
  <c r="E231" i="3"/>
  <c r="I10" i="3"/>
  <c r="H140" i="3"/>
  <c r="L140" i="3" s="1"/>
  <c r="J56" i="3"/>
  <c r="H217" i="3"/>
  <c r="L217" i="3" s="1"/>
  <c r="N56" i="3"/>
  <c r="N123" i="4"/>
  <c r="N10" i="3"/>
  <c r="I61" i="3"/>
  <c r="L61" i="3" s="1"/>
  <c r="N187" i="3"/>
  <c r="H47" i="3"/>
  <c r="M178" i="3"/>
  <c r="S123" i="4"/>
  <c r="I193" i="3"/>
  <c r="L193" i="3" s="1"/>
  <c r="Q193" i="3" s="1"/>
  <c r="I194" i="3"/>
  <c r="L194" i="3" s="1"/>
  <c r="N95" i="3"/>
  <c r="K238" i="4"/>
  <c r="P184" i="4"/>
  <c r="I62" i="3"/>
  <c r="I187" i="3"/>
  <c r="L187" i="3" s="1"/>
  <c r="G234" i="3"/>
  <c r="K234" i="3" s="1"/>
  <c r="I197" i="3"/>
  <c r="G254" i="3"/>
  <c r="K254" i="3" s="1"/>
  <c r="E116" i="3"/>
  <c r="F116" i="3" s="1"/>
  <c r="J116" i="3" s="1"/>
  <c r="H43" i="3"/>
  <c r="I252" i="3"/>
  <c r="L252" i="3" s="1"/>
  <c r="Q252" i="3" s="1"/>
  <c r="L64" i="4"/>
  <c r="S238" i="4"/>
  <c r="H238" i="3" s="1"/>
  <c r="W184" i="4"/>
  <c r="H114" i="3"/>
  <c r="L114" i="3" s="1"/>
  <c r="H152" i="3"/>
  <c r="N254" i="3"/>
  <c r="I96" i="3"/>
  <c r="I22" i="3"/>
  <c r="L22" i="3" s="1"/>
  <c r="Q22" i="3" s="1"/>
  <c r="H119" i="3"/>
  <c r="N190" i="3"/>
  <c r="E53" i="3"/>
  <c r="H231" i="3"/>
  <c r="H63" i="3"/>
  <c r="E119" i="3"/>
  <c r="M119" i="3" s="1"/>
  <c r="I53" i="3"/>
  <c r="I196" i="4"/>
  <c r="N196" i="3" s="1"/>
  <c r="S196" i="3" s="1"/>
  <c r="T64" i="4"/>
  <c r="I238" i="4"/>
  <c r="X184" i="4"/>
  <c r="M123" i="4"/>
  <c r="F175" i="3"/>
  <c r="J175" i="3" s="1"/>
  <c r="G55" i="3"/>
  <c r="K55" i="3" s="1"/>
  <c r="E87" i="3"/>
  <c r="E217" i="3"/>
  <c r="M217" i="3" s="1"/>
  <c r="G163" i="3"/>
  <c r="K163" i="3" s="1"/>
  <c r="U64" i="4"/>
  <c r="X238" i="4"/>
  <c r="V184" i="4"/>
  <c r="O123" i="4"/>
  <c r="H157" i="3"/>
  <c r="H96" i="3"/>
  <c r="N153" i="3"/>
  <c r="H50" i="3"/>
  <c r="E71" i="3"/>
  <c r="M71" i="3" s="1"/>
  <c r="E90" i="3"/>
  <c r="H165" i="3"/>
  <c r="H30" i="3"/>
  <c r="G189" i="3"/>
  <c r="K189" i="3" s="1"/>
  <c r="I89" i="3"/>
  <c r="L196" i="4"/>
  <c r="Y238" i="4"/>
  <c r="N57" i="3"/>
  <c r="H87" i="3"/>
  <c r="L87" i="3" s="1"/>
  <c r="F202" i="3"/>
  <c r="J202" i="3" s="1"/>
  <c r="G229" i="3"/>
  <c r="K229" i="3" s="1"/>
  <c r="I229" i="3"/>
  <c r="L229" i="3" s="1"/>
  <c r="Q229" i="3" s="1"/>
  <c r="G212" i="3"/>
  <c r="K212" i="3" s="1"/>
  <c r="E62" i="3"/>
  <c r="F62" i="3" s="1"/>
  <c r="J62" i="3" s="1"/>
  <c r="G186" i="3"/>
  <c r="K186" i="3" s="1"/>
  <c r="S196" i="4"/>
  <c r="V64" i="4"/>
  <c r="V123" i="4"/>
  <c r="F95" i="3"/>
  <c r="J95" i="3" s="1"/>
  <c r="H15" i="3"/>
  <c r="I234" i="3"/>
  <c r="H176" i="3"/>
  <c r="H254" i="3"/>
  <c r="L254" i="3" s="1"/>
  <c r="N179" i="3"/>
  <c r="H232" i="3"/>
  <c r="E136" i="3"/>
  <c r="L7" i="3"/>
  <c r="I147" i="3"/>
  <c r="E255" i="3"/>
  <c r="F255" i="3" s="1"/>
  <c r="J255" i="3" s="1"/>
  <c r="G95" i="3"/>
  <c r="K95" i="3" s="1"/>
  <c r="G23" i="3"/>
  <c r="K23" i="3" s="1"/>
  <c r="E232" i="3"/>
  <c r="F232" i="3" s="1"/>
  <c r="J232" i="3" s="1"/>
  <c r="H46" i="3"/>
  <c r="M147" i="3"/>
  <c r="L15" i="3"/>
  <c r="I63" i="3"/>
  <c r="I212" i="3"/>
  <c r="H153" i="3"/>
  <c r="I77" i="3"/>
  <c r="Q196" i="4"/>
  <c r="T123" i="4"/>
  <c r="H67" i="3"/>
  <c r="I94" i="3"/>
  <c r="E94" i="3"/>
  <c r="E124" i="3"/>
  <c r="M124" i="3" s="1"/>
  <c r="I50" i="3"/>
  <c r="N64" i="4"/>
  <c r="U123" i="4"/>
  <c r="M7" i="3"/>
  <c r="H102" i="3"/>
  <c r="N196" i="4"/>
  <c r="J64" i="4"/>
  <c r="W123" i="4"/>
  <c r="J122" i="4"/>
  <c r="H135" i="3"/>
  <c r="G20" i="3"/>
  <c r="K20" i="3" s="1"/>
  <c r="I99" i="3"/>
  <c r="L99" i="3" s="1"/>
  <c r="Q99" i="3" s="1"/>
  <c r="N112" i="3"/>
  <c r="M22" i="3"/>
  <c r="F242" i="3"/>
  <c r="J242" i="3" s="1"/>
  <c r="E69" i="3"/>
  <c r="F69" i="3" s="1"/>
  <c r="J69" i="3" s="1"/>
  <c r="M38" i="3"/>
  <c r="H187" i="3"/>
  <c r="R123" i="4"/>
  <c r="H179" i="3"/>
  <c r="G10" i="3"/>
  <c r="K10" i="3" s="1"/>
  <c r="H83" i="3"/>
  <c r="I189" i="3"/>
  <c r="H243" i="3"/>
  <c r="H10" i="3"/>
  <c r="G85" i="3"/>
  <c r="K85" i="3" s="1"/>
  <c r="E246" i="3"/>
  <c r="E47" i="3"/>
  <c r="N86" i="3"/>
  <c r="G67" i="3"/>
  <c r="K67" i="3" s="1"/>
  <c r="L245" i="3"/>
  <c r="I231" i="3"/>
  <c r="G252" i="3"/>
  <c r="K252" i="3" s="1"/>
  <c r="H90" i="3"/>
  <c r="I123" i="4"/>
  <c r="P123" i="4"/>
  <c r="M82" i="3"/>
  <c r="E135" i="3"/>
  <c r="M135" i="3" s="1"/>
  <c r="M196" i="4"/>
  <c r="J123" i="4"/>
  <c r="Q193" i="4"/>
  <c r="P193" i="4"/>
  <c r="G193" i="3" s="1"/>
  <c r="K193" i="3" s="1"/>
  <c r="I67" i="3"/>
  <c r="E157" i="3"/>
  <c r="K123" i="4"/>
  <c r="F192" i="3"/>
  <c r="J192" i="3" s="1"/>
  <c r="H112" i="3"/>
  <c r="F245" i="3"/>
  <c r="J245" i="3" s="1"/>
  <c r="N18" i="3"/>
  <c r="F135" i="3"/>
  <c r="J135" i="3" s="1"/>
  <c r="L153" i="3"/>
  <c r="F102" i="3"/>
  <c r="J102" i="3" s="1"/>
  <c r="M102" i="3"/>
  <c r="M63" i="3"/>
  <c r="F63" i="3"/>
  <c r="J63" i="3" s="1"/>
  <c r="L89" i="3"/>
  <c r="M176" i="3"/>
  <c r="F176" i="3"/>
  <c r="J176" i="3" s="1"/>
  <c r="F212" i="3"/>
  <c r="J212" i="3" s="1"/>
  <c r="M212" i="3"/>
  <c r="F111" i="3"/>
  <c r="J111" i="3" s="1"/>
  <c r="M198" i="3"/>
  <c r="F198" i="3"/>
  <c r="J198" i="3" s="1"/>
  <c r="K64" i="4"/>
  <c r="Q184" i="4"/>
  <c r="X122" i="4"/>
  <c r="L19" i="3"/>
  <c r="M222" i="3"/>
  <c r="M239" i="3"/>
  <c r="G136" i="3"/>
  <c r="K136" i="3" s="1"/>
  <c r="H136" i="3"/>
  <c r="G232" i="3"/>
  <c r="K232" i="3" s="1"/>
  <c r="Q122" i="4"/>
  <c r="L31" i="3"/>
  <c r="G94" i="3"/>
  <c r="K94" i="3" s="1"/>
  <c r="J134" i="3"/>
  <c r="G62" i="3"/>
  <c r="K62" i="3" s="1"/>
  <c r="H62" i="3"/>
  <c r="G183" i="3"/>
  <c r="K183" i="3" s="1"/>
  <c r="I124" i="3"/>
  <c r="H183" i="3"/>
  <c r="E179" i="3"/>
  <c r="G18" i="3"/>
  <c r="K18" i="3" s="1"/>
  <c r="H18" i="3"/>
  <c r="N229" i="3"/>
  <c r="E39" i="3"/>
  <c r="L23" i="3"/>
  <c r="M234" i="3"/>
  <c r="H111" i="3"/>
  <c r="G111" i="3"/>
  <c r="K111" i="3" s="1"/>
  <c r="I193" i="4"/>
  <c r="G109" i="3"/>
  <c r="K109" i="3" s="1"/>
  <c r="P196" i="4"/>
  <c r="W64" i="4"/>
  <c r="L146" i="3"/>
  <c r="L222" i="3"/>
  <c r="E50" i="3"/>
  <c r="I232" i="3"/>
  <c r="L232" i="3" s="1"/>
  <c r="Q232" i="3" s="1"/>
  <c r="G198" i="3"/>
  <c r="K198" i="3" s="1"/>
  <c r="E229" i="3"/>
  <c r="M134" i="3"/>
  <c r="G113" i="3"/>
  <c r="K113" i="3" s="1"/>
  <c r="H167" i="3"/>
  <c r="G167" i="3"/>
  <c r="K167" i="3" s="1"/>
  <c r="I119" i="3"/>
  <c r="L119" i="3" s="1"/>
  <c r="Q119" i="3" s="1"/>
  <c r="Y193" i="4"/>
  <c r="R64" i="4"/>
  <c r="I64" i="4"/>
  <c r="W238" i="4"/>
  <c r="L184" i="4"/>
  <c r="L123" i="4"/>
  <c r="F82" i="3"/>
  <c r="J82" i="3" s="1"/>
  <c r="H71" i="3"/>
  <c r="I95" i="3"/>
  <c r="E153" i="3"/>
  <c r="M153" i="3" s="1"/>
  <c r="H229" i="3"/>
  <c r="G83" i="3"/>
  <c r="K83" i="3" s="1"/>
  <c r="P64" i="4"/>
  <c r="G64" i="3" s="1"/>
  <c r="K64" i="3" s="1"/>
  <c r="M122" i="4"/>
  <c r="H225" i="3"/>
  <c r="F31" i="3"/>
  <c r="J31" i="3" s="1"/>
  <c r="H166" i="3"/>
  <c r="G166" i="3"/>
  <c r="K166" i="3" s="1"/>
  <c r="N154" i="3"/>
  <c r="H194" i="3"/>
  <c r="O64" i="4"/>
  <c r="T184" i="4"/>
  <c r="L122" i="4"/>
  <c r="I71" i="3"/>
  <c r="L71" i="3" s="1"/>
  <c r="Q71" i="3" s="1"/>
  <c r="I39" i="3"/>
  <c r="G165" i="3"/>
  <c r="K165" i="3" s="1"/>
  <c r="G176" i="3"/>
  <c r="K176" i="3" s="1"/>
  <c r="E58" i="3"/>
  <c r="E140" i="3"/>
  <c r="G43" i="3"/>
  <c r="K43" i="3" s="1"/>
  <c r="I154" i="3"/>
  <c r="L154" i="3" s="1"/>
  <c r="Q64" i="4"/>
  <c r="O122" i="4"/>
  <c r="E83" i="3"/>
  <c r="I56" i="3"/>
  <c r="I122" i="4"/>
  <c r="G50" i="3"/>
  <c r="K50" i="3" s="1"/>
  <c r="K122" i="4"/>
  <c r="L116" i="3"/>
  <c r="E186" i="3"/>
  <c r="J193" i="4"/>
  <c r="H94" i="3"/>
  <c r="H99" i="3"/>
  <c r="F165" i="3"/>
  <c r="J165" i="3" s="1"/>
  <c r="O165" i="3" s="1"/>
  <c r="I83" i="3"/>
  <c r="I111" i="3"/>
  <c r="I157" i="3"/>
  <c r="L157" i="3" s="1"/>
  <c r="Q157" i="3" s="1"/>
  <c r="Y122" i="4"/>
  <c r="P122" i="4"/>
  <c r="L85" i="3"/>
  <c r="G53" i="3"/>
  <c r="K53" i="3" s="1"/>
  <c r="H53" i="3"/>
  <c r="G239" i="3"/>
  <c r="K239" i="3" s="1"/>
  <c r="H239" i="3"/>
  <c r="N252" i="3"/>
  <c r="E190" i="3"/>
  <c r="I152" i="3"/>
  <c r="L152" i="3" s="1"/>
  <c r="N109" i="3"/>
  <c r="T122" i="4"/>
  <c r="H39" i="3"/>
  <c r="F10" i="3"/>
  <c r="J10" i="3" s="1"/>
  <c r="H198" i="3"/>
  <c r="L198" i="3" s="1"/>
  <c r="E167" i="3"/>
  <c r="F167" i="3" s="1"/>
  <c r="J167" i="3" s="1"/>
  <c r="O167" i="3" s="1"/>
  <c r="I190" i="3"/>
  <c r="I46" i="3"/>
  <c r="L46" i="3" s="1"/>
  <c r="Q46" i="3" s="1"/>
  <c r="N122" i="4"/>
  <c r="H149" i="3"/>
  <c r="L149" i="3" s="1"/>
  <c r="L193" i="4"/>
  <c r="N192" i="3"/>
  <c r="I82" i="3"/>
  <c r="L82" i="3" s="1"/>
  <c r="G190" i="3"/>
  <c r="K190" i="3" s="1"/>
  <c r="H190" i="3"/>
  <c r="R122" i="4"/>
  <c r="F166" i="3"/>
  <c r="J166" i="3" s="1"/>
  <c r="N83" i="3"/>
  <c r="X193" i="4"/>
  <c r="I30" i="3"/>
  <c r="H192" i="3"/>
  <c r="L192" i="3" s="1"/>
  <c r="E30" i="3"/>
  <c r="I86" i="3"/>
  <c r="L86" i="3" s="1"/>
  <c r="I135" i="3"/>
  <c r="L186" i="3"/>
  <c r="R184" i="4"/>
  <c r="U122" i="4"/>
  <c r="L38" i="3"/>
  <c r="H113" i="3"/>
  <c r="L113" i="3" s="1"/>
  <c r="N38" i="3"/>
  <c r="S122" i="4"/>
  <c r="N167" i="3"/>
  <c r="E85" i="3"/>
  <c r="N183" i="3"/>
  <c r="V122" i="4"/>
  <c r="I68" i="3"/>
  <c r="L68" i="3" s="1"/>
  <c r="N114" i="3"/>
  <c r="M197" i="3"/>
  <c r="E183" i="3"/>
  <c r="N178" i="3"/>
  <c r="N58" i="3"/>
  <c r="E109" i="3"/>
  <c r="M55" i="3"/>
  <c r="F46" i="3"/>
  <c r="J46" i="3" s="1"/>
  <c r="O46" i="3" s="1"/>
  <c r="M252" i="3"/>
  <c r="H28" i="3"/>
  <c r="L28" i="3" s="1"/>
  <c r="F38" i="3"/>
  <c r="J38" i="3" s="1"/>
  <c r="F149" i="3"/>
  <c r="J149" i="3" s="1"/>
  <c r="F223" i="3"/>
  <c r="J223" i="3" s="1"/>
  <c r="M225" i="3"/>
  <c r="M216" i="3"/>
  <c r="F86" i="3"/>
  <c r="J86" i="3" s="1"/>
  <c r="M151" i="3"/>
  <c r="M56" i="3"/>
  <c r="M103" i="3"/>
  <c r="F103" i="3"/>
  <c r="J103" i="3" s="1"/>
  <c r="M20" i="3"/>
  <c r="F20" i="3"/>
  <c r="J20" i="3" s="1"/>
  <c r="M26" i="3"/>
  <c r="F26" i="3"/>
  <c r="J26" i="3" s="1"/>
  <c r="G184" i="3"/>
  <c r="K184" i="3" s="1"/>
  <c r="M14" i="3"/>
  <c r="F14" i="3"/>
  <c r="J14" i="3" s="1"/>
  <c r="M143" i="3"/>
  <c r="R143" i="3" s="1"/>
  <c r="T143" i="3" s="1"/>
  <c r="F154" i="3"/>
  <c r="J154" i="3" s="1"/>
  <c r="M15" i="3"/>
  <c r="F15" i="3"/>
  <c r="J15" i="3" s="1"/>
  <c r="C10" i="1"/>
  <c r="D10" i="1" s="1"/>
  <c r="M43" i="3"/>
  <c r="F43" i="3"/>
  <c r="J43" i="3" s="1"/>
  <c r="M89" i="3"/>
  <c r="F89" i="3"/>
  <c r="J89" i="3" s="1"/>
  <c r="F152" i="3"/>
  <c r="J152" i="3" s="1"/>
  <c r="T13" i="3"/>
  <c r="A8" i="2"/>
  <c r="D9" i="1"/>
  <c r="M113" i="3" l="1"/>
  <c r="F248" i="3"/>
  <c r="J248" i="3" s="1"/>
  <c r="L43" i="3"/>
  <c r="L183" i="3"/>
  <c r="H123" i="3"/>
  <c r="E238" i="3"/>
  <c r="M238" i="3" s="1"/>
  <c r="N123" i="3"/>
  <c r="L109" i="3"/>
  <c r="L239" i="3"/>
  <c r="L178" i="3"/>
  <c r="F254" i="3"/>
  <c r="J254" i="3" s="1"/>
  <c r="E123" i="3"/>
  <c r="N238" i="3"/>
  <c r="L248" i="3"/>
  <c r="F110" i="3"/>
  <c r="J110" i="3" s="1"/>
  <c r="H193" i="3"/>
  <c r="L11" i="3"/>
  <c r="M19" i="3"/>
  <c r="L243" i="3"/>
  <c r="E64" i="3"/>
  <c r="F64" i="3" s="1"/>
  <c r="J64" i="3" s="1"/>
  <c r="L225" i="3"/>
  <c r="M23" i="3"/>
  <c r="L147" i="3"/>
  <c r="L10" i="3"/>
  <c r="L189" i="3"/>
  <c r="N122" i="3"/>
  <c r="M232" i="3"/>
  <c r="G123" i="3"/>
  <c r="K123" i="3" s="1"/>
  <c r="F80" i="3"/>
  <c r="J80" i="3" s="1"/>
  <c r="L234" i="3"/>
  <c r="F124" i="3"/>
  <c r="J124" i="3" s="1"/>
  <c r="L111" i="3"/>
  <c r="M163" i="3"/>
  <c r="F114" i="3"/>
  <c r="J114" i="3" s="1"/>
  <c r="L112" i="3"/>
  <c r="L47" i="3"/>
  <c r="L53" i="3"/>
  <c r="L134" i="3"/>
  <c r="L55" i="3"/>
  <c r="F189" i="3"/>
  <c r="J189" i="3" s="1"/>
  <c r="L124" i="3"/>
  <c r="L94" i="3"/>
  <c r="F249" i="3"/>
  <c r="J249" i="3" s="1"/>
  <c r="O249" i="3" s="1"/>
  <c r="M77" i="3"/>
  <c r="L62" i="3"/>
  <c r="E184" i="3"/>
  <c r="F184" i="3" s="1"/>
  <c r="J184" i="3" s="1"/>
  <c r="L197" i="3"/>
  <c r="G238" i="3"/>
  <c r="K238" i="3" s="1"/>
  <c r="L166" i="3"/>
  <c r="M112" i="3"/>
  <c r="M231" i="3"/>
  <c r="F231" i="3"/>
  <c r="J231" i="3" s="1"/>
  <c r="L238" i="3"/>
  <c r="I123" i="3"/>
  <c r="L123" i="3" s="1"/>
  <c r="L231" i="3"/>
  <c r="L56" i="3"/>
  <c r="F28" i="3"/>
  <c r="J28" i="3" s="1"/>
  <c r="N64" i="3"/>
  <c r="S197" i="3" s="1"/>
  <c r="F217" i="3"/>
  <c r="J217" i="3" s="1"/>
  <c r="I122" i="3"/>
  <c r="L122" i="3" s="1"/>
  <c r="F218" i="3"/>
  <c r="J218" i="3" s="1"/>
  <c r="F99" i="3"/>
  <c r="J99" i="3" s="1"/>
  <c r="H196" i="3"/>
  <c r="M194" i="3"/>
  <c r="F68" i="3"/>
  <c r="J68" i="3" s="1"/>
  <c r="S169" i="3"/>
  <c r="E193" i="3"/>
  <c r="M193" i="3" s="1"/>
  <c r="I196" i="3"/>
  <c r="L196" i="3" s="1"/>
  <c r="Q196" i="3" s="1"/>
  <c r="M57" i="3"/>
  <c r="L77" i="3"/>
  <c r="F187" i="3"/>
  <c r="J187" i="3" s="1"/>
  <c r="M62" i="3"/>
  <c r="L95" i="3"/>
  <c r="N193" i="3"/>
  <c r="S193" i="3" s="1"/>
  <c r="M69" i="3"/>
  <c r="L136" i="3"/>
  <c r="L212" i="3"/>
  <c r="M67" i="3"/>
  <c r="F123" i="3"/>
  <c r="J123" i="3" s="1"/>
  <c r="M123" i="3"/>
  <c r="F246" i="3"/>
  <c r="J246" i="3" s="1"/>
  <c r="M246" i="3"/>
  <c r="M157" i="3"/>
  <c r="F157" i="3"/>
  <c r="J157" i="3" s="1"/>
  <c r="O157" i="3" s="1"/>
  <c r="M136" i="3"/>
  <c r="F136" i="3"/>
  <c r="J136" i="3" s="1"/>
  <c r="F87" i="3"/>
  <c r="J87" i="3" s="1"/>
  <c r="M87" i="3"/>
  <c r="L67" i="3"/>
  <c r="F94" i="3"/>
  <c r="J94" i="3" s="1"/>
  <c r="M94" i="3"/>
  <c r="F90" i="3"/>
  <c r="J90" i="3" s="1"/>
  <c r="M90" i="3"/>
  <c r="M53" i="3"/>
  <c r="F53" i="3"/>
  <c r="J53" i="3" s="1"/>
  <c r="H184" i="3"/>
  <c r="L184" i="3" s="1"/>
  <c r="F119" i="3"/>
  <c r="J119" i="3" s="1"/>
  <c r="L96" i="3"/>
  <c r="M47" i="3"/>
  <c r="F47" i="3"/>
  <c r="J47" i="3" s="1"/>
  <c r="L135" i="3"/>
  <c r="L63" i="3"/>
  <c r="H122" i="3"/>
  <c r="L83" i="3"/>
  <c r="E122" i="3"/>
  <c r="F122" i="3" s="1"/>
  <c r="J122" i="3" s="1"/>
  <c r="L50" i="3"/>
  <c r="I64" i="3"/>
  <c r="M255" i="3"/>
  <c r="L30" i="3"/>
  <c r="M116" i="3"/>
  <c r="F71" i="3"/>
  <c r="J71" i="3" s="1"/>
  <c r="S119" i="3"/>
  <c r="S135" i="3"/>
  <c r="H64" i="3"/>
  <c r="L39" i="3"/>
  <c r="M64" i="3"/>
  <c r="S40" i="3"/>
  <c r="S10" i="3"/>
  <c r="M179" i="3"/>
  <c r="F179" i="3"/>
  <c r="J179" i="3" s="1"/>
  <c r="O179" i="3" s="1"/>
  <c r="S232" i="3"/>
  <c r="S243" i="3"/>
  <c r="S63" i="3"/>
  <c r="S154" i="3"/>
  <c r="M229" i="3"/>
  <c r="F229" i="3"/>
  <c r="J229" i="3" s="1"/>
  <c r="O229" i="3" s="1"/>
  <c r="S110" i="3"/>
  <c r="F186" i="3"/>
  <c r="J186" i="3" s="1"/>
  <c r="M186" i="3"/>
  <c r="F83" i="3"/>
  <c r="J83" i="3" s="1"/>
  <c r="M83" i="3"/>
  <c r="S225" i="3"/>
  <c r="S140" i="3"/>
  <c r="M109" i="3"/>
  <c r="F109" i="3"/>
  <c r="J109" i="3" s="1"/>
  <c r="S113" i="3"/>
  <c r="S212" i="3"/>
  <c r="S163" i="3"/>
  <c r="S89" i="3"/>
  <c r="G122" i="3"/>
  <c r="K122" i="3" s="1"/>
  <c r="P18" i="3" s="1"/>
  <c r="F50" i="3"/>
  <c r="J50" i="3" s="1"/>
  <c r="M50" i="3"/>
  <c r="G196" i="3"/>
  <c r="K196" i="3" s="1"/>
  <c r="F183" i="3"/>
  <c r="J183" i="3" s="1"/>
  <c r="M183" i="3"/>
  <c r="S96" i="3"/>
  <c r="S231" i="3"/>
  <c r="S152" i="3"/>
  <c r="M30" i="3"/>
  <c r="F30" i="3"/>
  <c r="J30" i="3" s="1"/>
  <c r="S90" i="3"/>
  <c r="S26" i="3"/>
  <c r="F140" i="3"/>
  <c r="J140" i="3" s="1"/>
  <c r="M140" i="3"/>
  <c r="M190" i="3"/>
  <c r="F190" i="3"/>
  <c r="J190" i="3" s="1"/>
  <c r="M58" i="3"/>
  <c r="F58" i="3"/>
  <c r="J58" i="3" s="1"/>
  <c r="F153" i="3"/>
  <c r="J153" i="3" s="1"/>
  <c r="S246" i="3"/>
  <c r="S187" i="3"/>
  <c r="S50" i="3"/>
  <c r="F39" i="3"/>
  <c r="J39" i="3" s="1"/>
  <c r="M39" i="3"/>
  <c r="S7" i="3"/>
  <c r="S83" i="3"/>
  <c r="F85" i="3"/>
  <c r="J85" i="3" s="1"/>
  <c r="M85" i="3"/>
  <c r="L190" i="3"/>
  <c r="M196" i="3"/>
  <c r="R196" i="3" s="1"/>
  <c r="A9" i="2"/>
  <c r="M184" i="3" l="1"/>
  <c r="F238" i="3"/>
  <c r="J238" i="3" s="1"/>
  <c r="P192" i="3"/>
  <c r="F193" i="3"/>
  <c r="J193" i="3" s="1"/>
  <c r="S189" i="3"/>
  <c r="S239" i="3"/>
  <c r="S198" i="3"/>
  <c r="S186" i="3"/>
  <c r="S28" i="3"/>
  <c r="S77" i="3"/>
  <c r="S149" i="3"/>
  <c r="S175" i="3"/>
  <c r="S123" i="3"/>
  <c r="S114" i="3"/>
  <c r="S80" i="3"/>
  <c r="S20" i="3"/>
  <c r="S62" i="3"/>
  <c r="S124" i="3"/>
  <c r="S47" i="3"/>
  <c r="S146" i="3"/>
  <c r="S216" i="3"/>
  <c r="S112" i="3"/>
  <c r="S244" i="3"/>
  <c r="S202" i="3"/>
  <c r="S238" i="3"/>
  <c r="S194" i="3"/>
  <c r="S87" i="3"/>
  <c r="S55" i="3"/>
  <c r="S95" i="3"/>
  <c r="S19" i="3"/>
  <c r="S18" i="3"/>
  <c r="S234" i="3"/>
  <c r="S165" i="3"/>
  <c r="S103" i="3"/>
  <c r="S255" i="3"/>
  <c r="P196" i="3"/>
  <c r="S31" i="3"/>
  <c r="S116" i="3"/>
  <c r="S222" i="3"/>
  <c r="S82" i="3"/>
  <c r="S136" i="3"/>
  <c r="S217" i="3"/>
  <c r="S71" i="3"/>
  <c r="S218" i="3"/>
  <c r="S166" i="3"/>
  <c r="S151" i="3"/>
  <c r="S46" i="3"/>
  <c r="S134" i="3"/>
  <c r="S99" i="3"/>
  <c r="S23" i="3"/>
  <c r="S249" i="3"/>
  <c r="S86" i="3"/>
  <c r="S64" i="3"/>
  <c r="S223" i="3"/>
  <c r="S94" i="3"/>
  <c r="T18" i="3"/>
  <c r="S229" i="3"/>
  <c r="S58" i="3"/>
  <c r="S252" i="3"/>
  <c r="S61" i="3"/>
  <c r="T196" i="3"/>
  <c r="S109" i="3"/>
  <c r="S67" i="3"/>
  <c r="S68" i="3"/>
  <c r="S184" i="3"/>
  <c r="S183" i="3"/>
  <c r="S15" i="3"/>
  <c r="S147" i="3"/>
  <c r="S190" i="3"/>
  <c r="O61" i="3"/>
  <c r="S192" i="3"/>
  <c r="S14" i="3"/>
  <c r="S122" i="3"/>
  <c r="S43" i="3"/>
  <c r="S11" i="3"/>
  <c r="S157" i="3"/>
  <c r="S85" i="3"/>
  <c r="P39" i="3"/>
  <c r="S56" i="3"/>
  <c r="S245" i="3"/>
  <c r="S30" i="3"/>
  <c r="M122" i="3"/>
  <c r="R244" i="3" s="1"/>
  <c r="S57" i="3"/>
  <c r="R169" i="3"/>
  <c r="S248" i="3"/>
  <c r="S178" i="3"/>
  <c r="S102" i="3"/>
  <c r="S145" i="3"/>
  <c r="S247" i="3"/>
  <c r="S153" i="3"/>
  <c r="S22" i="3"/>
  <c r="S69" i="3"/>
  <c r="S176" i="3"/>
  <c r="S242" i="3"/>
  <c r="S39" i="3"/>
  <c r="S167" i="3"/>
  <c r="S111" i="3"/>
  <c r="S38" i="3"/>
  <c r="S254" i="3"/>
  <c r="S179" i="3"/>
  <c r="S60" i="3"/>
  <c r="S53" i="3"/>
  <c r="P80" i="3"/>
  <c r="P239" i="3"/>
  <c r="P222" i="3"/>
  <c r="P96" i="3"/>
  <c r="P47" i="3"/>
  <c r="P58" i="3"/>
  <c r="P243" i="3"/>
  <c r="O57" i="3"/>
  <c r="P216" i="3"/>
  <c r="P146" i="3"/>
  <c r="O189" i="3"/>
  <c r="P255" i="3"/>
  <c r="P109" i="3"/>
  <c r="O95" i="3"/>
  <c r="O23" i="3"/>
  <c r="Q242" i="3"/>
  <c r="P113" i="3"/>
  <c r="P50" i="3"/>
  <c r="P111" i="3"/>
  <c r="P46" i="3"/>
  <c r="P153" i="3"/>
  <c r="O7" i="3"/>
  <c r="O197" i="3"/>
  <c r="P197" i="3"/>
  <c r="O246" i="3"/>
  <c r="O184" i="3"/>
  <c r="P43" i="3"/>
  <c r="P90" i="3"/>
  <c r="L64" i="3"/>
  <c r="Q189" i="3" s="1"/>
  <c r="O109" i="3"/>
  <c r="P57" i="3"/>
  <c r="P152" i="3"/>
  <c r="P190" i="3"/>
  <c r="O194" i="3"/>
  <c r="P147" i="3"/>
  <c r="P184" i="3"/>
  <c r="P193" i="3"/>
  <c r="P86" i="3"/>
  <c r="O242" i="3"/>
  <c r="P212" i="3"/>
  <c r="P186" i="3"/>
  <c r="O102" i="3"/>
  <c r="P232" i="3"/>
  <c r="P134" i="3"/>
  <c r="O40" i="3"/>
  <c r="P178" i="3"/>
  <c r="P187" i="3"/>
  <c r="P60" i="3"/>
  <c r="P10" i="3"/>
  <c r="O176" i="3"/>
  <c r="P63" i="3"/>
  <c r="P176" i="3"/>
  <c r="P85" i="3"/>
  <c r="P22" i="3"/>
  <c r="P229" i="3"/>
  <c r="P242" i="3"/>
  <c r="Q64" i="3"/>
  <c r="Q19" i="3"/>
  <c r="Q145" i="3"/>
  <c r="Q222" i="3"/>
  <c r="Q61" i="3"/>
  <c r="Q31" i="3"/>
  <c r="Q14" i="3"/>
  <c r="Q186" i="3"/>
  <c r="Q7" i="3"/>
  <c r="Q154" i="3"/>
  <c r="Q63" i="3"/>
  <c r="Q254" i="3"/>
  <c r="Q28" i="3"/>
  <c r="Q57" i="3"/>
  <c r="O111" i="3"/>
  <c r="O103" i="3"/>
  <c r="O153" i="3"/>
  <c r="O68" i="3"/>
  <c r="O134" i="3"/>
  <c r="O119" i="3"/>
  <c r="O225" i="3"/>
  <c r="O244" i="3"/>
  <c r="P38" i="3"/>
  <c r="O71" i="3"/>
  <c r="O10" i="3"/>
  <c r="P136" i="3"/>
  <c r="P20" i="3"/>
  <c r="P231" i="3"/>
  <c r="P157" i="3"/>
  <c r="R179" i="3"/>
  <c r="R22" i="3"/>
  <c r="P189" i="3"/>
  <c r="P249" i="3"/>
  <c r="O239" i="3"/>
  <c r="O247" i="3"/>
  <c r="O231" i="3"/>
  <c r="O252" i="3"/>
  <c r="O187" i="3"/>
  <c r="P87" i="3"/>
  <c r="O83" i="3"/>
  <c r="O56" i="3"/>
  <c r="P244" i="3"/>
  <c r="O245" i="3"/>
  <c r="O77" i="3"/>
  <c r="P183" i="3"/>
  <c r="P149" i="3"/>
  <c r="O149" i="3"/>
  <c r="O47" i="3"/>
  <c r="P154" i="3"/>
  <c r="P83" i="3"/>
  <c r="P89" i="3"/>
  <c r="O218" i="3"/>
  <c r="O19" i="3"/>
  <c r="O146" i="3"/>
  <c r="O96" i="3"/>
  <c r="O136" i="3"/>
  <c r="P140" i="3"/>
  <c r="P30" i="3"/>
  <c r="O154" i="3"/>
  <c r="O212" i="3"/>
  <c r="R58" i="3"/>
  <c r="R152" i="3"/>
  <c r="O232" i="3"/>
  <c r="R62" i="3"/>
  <c r="O116" i="3"/>
  <c r="P175" i="3"/>
  <c r="P23" i="3"/>
  <c r="P223" i="3"/>
  <c r="O80" i="3"/>
  <c r="O243" i="3"/>
  <c r="P218" i="3"/>
  <c r="O112" i="3"/>
  <c r="P198" i="3"/>
  <c r="P135" i="3"/>
  <c r="P67" i="3"/>
  <c r="P252" i="3"/>
  <c r="O193" i="3"/>
  <c r="O135" i="3"/>
  <c r="O38" i="3"/>
  <c r="O39" i="3"/>
  <c r="O87" i="3"/>
  <c r="O110" i="3"/>
  <c r="R246" i="3"/>
  <c r="P151" i="3"/>
  <c r="O55" i="3"/>
  <c r="O238" i="3"/>
  <c r="O60" i="3"/>
  <c r="O69" i="3"/>
  <c r="P95" i="3"/>
  <c r="O90" i="3"/>
  <c r="P166" i="3"/>
  <c r="O198" i="3"/>
  <c r="O63" i="3"/>
  <c r="O147" i="3"/>
  <c r="P110" i="3"/>
  <c r="O175" i="3"/>
  <c r="R114" i="3"/>
  <c r="R157" i="3"/>
  <c r="O217" i="3"/>
  <c r="O26" i="3"/>
  <c r="O14" i="3"/>
  <c r="P64" i="3"/>
  <c r="O53" i="3"/>
  <c r="P123" i="3"/>
  <c r="O82" i="3"/>
  <c r="P194" i="3"/>
  <c r="O169" i="3"/>
  <c r="P163" i="3"/>
  <c r="O123" i="3"/>
  <c r="O223" i="3"/>
  <c r="P145" i="3"/>
  <c r="P248" i="3"/>
  <c r="O64" i="3"/>
  <c r="O43" i="3"/>
  <c r="O234" i="3"/>
  <c r="O85" i="3"/>
  <c r="P165" i="3"/>
  <c r="T165" i="3" s="1"/>
  <c r="O86" i="3"/>
  <c r="O222" i="3"/>
  <c r="O15" i="3"/>
  <c r="P99" i="3"/>
  <c r="P102" i="3"/>
  <c r="O20" i="3"/>
  <c r="P116" i="3"/>
  <c r="O89" i="3"/>
  <c r="P62" i="3"/>
  <c r="P77" i="3"/>
  <c r="O186" i="3"/>
  <c r="O67" i="3"/>
  <c r="P55" i="3"/>
  <c r="Q184" i="3"/>
  <c r="O124" i="3"/>
  <c r="O28" i="3"/>
  <c r="R26" i="3"/>
  <c r="O183" i="3"/>
  <c r="O58" i="3"/>
  <c r="O62" i="3"/>
  <c r="O202" i="3"/>
  <c r="O248" i="3"/>
  <c r="O255" i="3"/>
  <c r="P234" i="3"/>
  <c r="P167" i="3"/>
  <c r="O152" i="3"/>
  <c r="P247" i="3"/>
  <c r="P11" i="3"/>
  <c r="P103" i="3"/>
  <c r="P124" i="3"/>
  <c r="P169" i="3"/>
  <c r="P53" i="3"/>
  <c r="P112" i="3"/>
  <c r="R82" i="3"/>
  <c r="R39" i="3"/>
  <c r="R218" i="3"/>
  <c r="P217" i="3"/>
  <c r="P245" i="3"/>
  <c r="P15" i="3"/>
  <c r="P71" i="3"/>
  <c r="O30" i="3"/>
  <c r="O145" i="3"/>
  <c r="O151" i="3"/>
  <c r="P114" i="3"/>
  <c r="P254" i="3"/>
  <c r="O50" i="3"/>
  <c r="P14" i="3"/>
  <c r="O114" i="3"/>
  <c r="P68" i="3"/>
  <c r="O216" i="3"/>
  <c r="R183" i="3"/>
  <c r="R202" i="3"/>
  <c r="R134" i="3"/>
  <c r="R216" i="3"/>
  <c r="O22" i="3"/>
  <c r="O140" i="3"/>
  <c r="P40" i="3"/>
  <c r="O254" i="3"/>
  <c r="O190" i="3"/>
  <c r="P26" i="3"/>
  <c r="P246" i="3"/>
  <c r="O31" i="3"/>
  <c r="P122" i="3"/>
  <c r="O178" i="3"/>
  <c r="O113" i="3"/>
  <c r="P69" i="3"/>
  <c r="P94" i="3"/>
  <c r="P56" i="3"/>
  <c r="O122" i="3"/>
  <c r="P19" i="3"/>
  <c r="O94" i="3"/>
  <c r="O99" i="3"/>
  <c r="P119" i="3"/>
  <c r="P82" i="3"/>
  <c r="P238" i="3"/>
  <c r="P225" i="3"/>
  <c r="P179" i="3"/>
  <c r="P61" i="3"/>
  <c r="O192" i="3"/>
  <c r="O166" i="3"/>
  <c r="R61" i="3"/>
  <c r="P28" i="3"/>
  <c r="R69" i="3"/>
  <c r="O11" i="3"/>
  <c r="P7" i="3"/>
  <c r="A10" i="2"/>
  <c r="T46" i="3" l="1"/>
  <c r="Q77" i="3"/>
  <c r="Q83" i="3"/>
  <c r="R163" i="3"/>
  <c r="Q151" i="3"/>
  <c r="T167" i="3"/>
  <c r="R96" i="3"/>
  <c r="R63" i="3"/>
  <c r="T63" i="3" s="1"/>
  <c r="R176" i="3"/>
  <c r="Q183" i="3"/>
  <c r="R178" i="3"/>
  <c r="R15" i="3"/>
  <c r="Q248" i="3"/>
  <c r="R109" i="3"/>
  <c r="R222" i="3"/>
  <c r="T222" i="3" s="1"/>
  <c r="R140" i="3"/>
  <c r="Q112" i="3"/>
  <c r="Q212" i="3"/>
  <c r="R123" i="3"/>
  <c r="R38" i="3"/>
  <c r="R135" i="3"/>
  <c r="Q94" i="3"/>
  <c r="Q239" i="3"/>
  <c r="Q217" i="3"/>
  <c r="T217" i="3" s="1"/>
  <c r="Q56" i="3"/>
  <c r="R154" i="3"/>
  <c r="R43" i="3"/>
  <c r="R212" i="3"/>
  <c r="R20" i="3"/>
  <c r="T20" i="3" s="1"/>
  <c r="R119" i="3"/>
  <c r="T119" i="3" s="1"/>
  <c r="R77" i="3"/>
  <c r="R217" i="3"/>
  <c r="R50" i="3"/>
  <c r="R71" i="3"/>
  <c r="R103" i="3"/>
  <c r="T103" i="3" s="1"/>
  <c r="R190" i="3"/>
  <c r="R245" i="3"/>
  <c r="R57" i="3"/>
  <c r="T57" i="3" s="1"/>
  <c r="R111" i="3"/>
  <c r="R186" i="3"/>
  <c r="T186" i="3" s="1"/>
  <c r="R225" i="3"/>
  <c r="R229" i="3"/>
  <c r="T229" i="3" s="1"/>
  <c r="R234" i="3"/>
  <c r="R110" i="3"/>
  <c r="R166" i="3"/>
  <c r="T166" i="3" s="1"/>
  <c r="R189" i="3"/>
  <c r="T189" i="3" s="1"/>
  <c r="R28" i="3"/>
  <c r="T28" i="3" s="1"/>
  <c r="R60" i="3"/>
  <c r="R23" i="3"/>
  <c r="R40" i="3"/>
  <c r="R249" i="3"/>
  <c r="R116" i="3"/>
  <c r="R80" i="3"/>
  <c r="R248" i="3"/>
  <c r="R89" i="3"/>
  <c r="R99" i="3"/>
  <c r="T99" i="3" s="1"/>
  <c r="R47" i="3"/>
  <c r="R85" i="3"/>
  <c r="R136" i="3"/>
  <c r="R31" i="3"/>
  <c r="T31" i="3" s="1"/>
  <c r="R175" i="3"/>
  <c r="Q175" i="3"/>
  <c r="T175" i="3" s="1"/>
  <c r="R247" i="3"/>
  <c r="R67" i="3"/>
  <c r="R56" i="3"/>
  <c r="R86" i="3"/>
  <c r="R95" i="3"/>
  <c r="R193" i="3"/>
  <c r="T193" i="3" s="1"/>
  <c r="R238" i="3"/>
  <c r="R184" i="3"/>
  <c r="T184" i="3" s="1"/>
  <c r="R102" i="3"/>
  <c r="T102" i="3" s="1"/>
  <c r="R122" i="3"/>
  <c r="R147" i="3"/>
  <c r="R192" i="3"/>
  <c r="R252" i="3"/>
  <c r="T252" i="3" s="1"/>
  <c r="R187" i="3"/>
  <c r="R243" i="3"/>
  <c r="Q80" i="3"/>
  <c r="R242" i="3"/>
  <c r="T242" i="3" s="1"/>
  <c r="R94" i="3"/>
  <c r="R198" i="3"/>
  <c r="R14" i="3"/>
  <c r="T14" i="3" s="1"/>
  <c r="R11" i="3"/>
  <c r="R254" i="3"/>
  <c r="T254" i="3" s="1"/>
  <c r="R30" i="3"/>
  <c r="R10" i="3"/>
  <c r="R124" i="3"/>
  <c r="R194" i="3"/>
  <c r="R239" i="3"/>
  <c r="Q140" i="3"/>
  <c r="T140" i="3" s="1"/>
  <c r="R151" i="3"/>
  <c r="T151" i="3" s="1"/>
  <c r="R197" i="3"/>
  <c r="R53" i="3"/>
  <c r="R112" i="3"/>
  <c r="T112" i="3" s="1"/>
  <c r="R68" i="3"/>
  <c r="R64" i="3"/>
  <c r="T64" i="3" s="1"/>
  <c r="Q123" i="3"/>
  <c r="Q43" i="3"/>
  <c r="R90" i="3"/>
  <c r="T90" i="3" s="1"/>
  <c r="R7" i="3"/>
  <c r="T7" i="3" s="1"/>
  <c r="R149" i="3"/>
  <c r="R87" i="3"/>
  <c r="R153" i="3"/>
  <c r="R231" i="3"/>
  <c r="R55" i="3"/>
  <c r="R19" i="3"/>
  <c r="T19" i="3" s="1"/>
  <c r="R255" i="3"/>
  <c r="R223" i="3"/>
  <c r="R232" i="3"/>
  <c r="T232" i="3" s="1"/>
  <c r="Q190" i="3"/>
  <c r="R83" i="3"/>
  <c r="T83" i="3" s="1"/>
  <c r="R113" i="3"/>
  <c r="R146" i="3"/>
  <c r="Q47" i="3"/>
  <c r="T47" i="3" s="1"/>
  <c r="R145" i="3"/>
  <c r="T145" i="3" s="1"/>
  <c r="T77" i="3"/>
  <c r="T179" i="3"/>
  <c r="Q96" i="3"/>
  <c r="T96" i="3" s="1"/>
  <c r="Q113" i="3"/>
  <c r="Q67" i="3"/>
  <c r="Q85" i="3"/>
  <c r="T157" i="3"/>
  <c r="Q60" i="3"/>
  <c r="Q50" i="3"/>
  <c r="Q178" i="3"/>
  <c r="Q10" i="3"/>
  <c r="Q122" i="3"/>
  <c r="Q244" i="3"/>
  <c r="T244" i="3" s="1"/>
  <c r="Q86" i="3"/>
  <c r="Q23" i="3"/>
  <c r="Q40" i="3"/>
  <c r="Q87" i="3"/>
  <c r="T87" i="3" s="1"/>
  <c r="Q95" i="3"/>
  <c r="Q194" i="3"/>
  <c r="Q198" i="3"/>
  <c r="T198" i="3" s="1"/>
  <c r="T61" i="3"/>
  <c r="Q192" i="3"/>
  <c r="T192" i="3" s="1"/>
  <c r="Q234" i="3"/>
  <c r="Q82" i="3"/>
  <c r="T82" i="3" s="1"/>
  <c r="Q247" i="3"/>
  <c r="Q149" i="3"/>
  <c r="Q146" i="3"/>
  <c r="Q231" i="3"/>
  <c r="Q68" i="3"/>
  <c r="Q187" i="3"/>
  <c r="Q255" i="3"/>
  <c r="Q110" i="3"/>
  <c r="T202" i="3"/>
  <c r="Q166" i="3"/>
  <c r="Q169" i="3"/>
  <c r="T169" i="3" s="1"/>
  <c r="Q15" i="3"/>
  <c r="Q249" i="3"/>
  <c r="T249" i="3" s="1"/>
  <c r="Q197" i="3"/>
  <c r="Q116" i="3"/>
  <c r="T116" i="3" s="1"/>
  <c r="Q153" i="3"/>
  <c r="Q38" i="3"/>
  <c r="Q30" i="3"/>
  <c r="Q55" i="3"/>
  <c r="Q114" i="3"/>
  <c r="T114" i="3" s="1"/>
  <c r="Q124" i="3"/>
  <c r="Q111" i="3"/>
  <c r="T111" i="3" s="1"/>
  <c r="Q243" i="3"/>
  <c r="T243" i="3" s="1"/>
  <c r="Q89" i="3"/>
  <c r="Q58" i="3"/>
  <c r="T58" i="3" s="1"/>
  <c r="Q26" i="3"/>
  <c r="T26" i="3" s="1"/>
  <c r="Q246" i="3"/>
  <c r="T246" i="3" s="1"/>
  <c r="Q152" i="3"/>
  <c r="T152" i="3" s="1"/>
  <c r="Q135" i="3"/>
  <c r="T135" i="3" s="1"/>
  <c r="Q216" i="3"/>
  <c r="T216" i="3" s="1"/>
  <c r="Q62" i="3"/>
  <c r="T62" i="3" s="1"/>
  <c r="Q109" i="3"/>
  <c r="Q225" i="3"/>
  <c r="Q39" i="3"/>
  <c r="T39" i="3" s="1"/>
  <c r="Q147" i="3"/>
  <c r="Q134" i="3"/>
  <c r="T134" i="3" s="1"/>
  <c r="Q238" i="3"/>
  <c r="Q11" i="3"/>
  <c r="T163" i="3"/>
  <c r="Q223" i="3"/>
  <c r="Q176" i="3"/>
  <c r="T176" i="3" s="1"/>
  <c r="Q136" i="3"/>
  <c r="Q245" i="3"/>
  <c r="T245" i="3" s="1"/>
  <c r="Q53" i="3"/>
  <c r="T69" i="3"/>
  <c r="T218" i="3"/>
  <c r="T212" i="3"/>
  <c r="T183" i="3"/>
  <c r="T22" i="3"/>
  <c r="T71" i="3"/>
  <c r="T43" i="3"/>
  <c r="T154" i="3"/>
  <c r="A11" i="2"/>
  <c r="T187" i="3" l="1"/>
  <c r="T123" i="3"/>
  <c r="T94" i="3"/>
  <c r="T85" i="3"/>
  <c r="T248" i="3"/>
  <c r="T56" i="3"/>
  <c r="T109" i="3"/>
  <c r="T178" i="3"/>
  <c r="T67" i="3"/>
  <c r="T194" i="3"/>
  <c r="T38" i="3"/>
  <c r="T153" i="3"/>
  <c r="T225" i="3"/>
  <c r="T50" i="3"/>
  <c r="T239" i="3"/>
  <c r="T113" i="3"/>
  <c r="T197" i="3"/>
  <c r="T15" i="3"/>
  <c r="T255" i="3"/>
  <c r="T95" i="3"/>
  <c r="T190" i="3"/>
  <c r="T80" i="3"/>
  <c r="T89" i="3"/>
  <c r="T247" i="3"/>
  <c r="T10" i="3"/>
  <c r="T40" i="3"/>
  <c r="T122" i="3"/>
  <c r="T231" i="3"/>
  <c r="T68" i="3"/>
  <c r="T60" i="3"/>
  <c r="T223" i="3"/>
  <c r="T30" i="3"/>
  <c r="T53" i="3"/>
  <c r="T136" i="3"/>
  <c r="T110" i="3"/>
  <c r="T23" i="3"/>
  <c r="T86" i="3"/>
  <c r="T124" i="3"/>
  <c r="T146" i="3"/>
  <c r="T149" i="3"/>
  <c r="T11" i="3"/>
  <c r="T55" i="3"/>
  <c r="T147" i="3"/>
  <c r="T234" i="3"/>
  <c r="T238" i="3"/>
  <c r="A12" i="2"/>
  <c r="U247" i="3" l="1"/>
  <c r="U114" i="3"/>
  <c r="U153" i="3"/>
  <c r="U239" i="3"/>
  <c r="U147" i="3"/>
  <c r="U64" i="3"/>
  <c r="U145" i="3"/>
  <c r="U55" i="3"/>
  <c r="U202" i="3"/>
  <c r="U216" i="3"/>
  <c r="U19" i="3"/>
  <c r="U229" i="3"/>
  <c r="U40" i="3"/>
  <c r="U196" i="3"/>
  <c r="U113" i="3"/>
  <c r="U31" i="3"/>
  <c r="U96" i="3"/>
  <c r="U146" i="3"/>
  <c r="U85" i="3"/>
  <c r="U112" i="3"/>
  <c r="U80" i="3"/>
  <c r="U157" i="3"/>
  <c r="U82" i="3"/>
  <c r="U154" i="3"/>
  <c r="U151" i="3"/>
  <c r="U197" i="3"/>
  <c r="U167" i="3"/>
  <c r="U68" i="3"/>
  <c r="U243" i="3"/>
  <c r="U246" i="3"/>
  <c r="U254" i="3"/>
  <c r="U193" i="3"/>
  <c r="U83" i="3"/>
  <c r="U165" i="3"/>
  <c r="U86" i="3"/>
  <c r="U110" i="3"/>
  <c r="U123" i="3"/>
  <c r="U248" i="3"/>
  <c r="U94" i="3"/>
  <c r="U189" i="3"/>
  <c r="U163" i="3"/>
  <c r="U26" i="3"/>
  <c r="U194" i="3"/>
  <c r="U186" i="3"/>
  <c r="U18" i="3"/>
  <c r="U109" i="3"/>
  <c r="U183" i="3"/>
  <c r="U140" i="3"/>
  <c r="U192" i="3"/>
  <c r="U77" i="3"/>
  <c r="U43" i="3"/>
  <c r="U179" i="3"/>
  <c r="U119" i="3"/>
  <c r="U249" i="3"/>
  <c r="U58" i="3"/>
  <c r="U53" i="3"/>
  <c r="U222" i="3"/>
  <c r="U218" i="3"/>
  <c r="U190" i="3"/>
  <c r="U175" i="3"/>
  <c r="U124" i="3"/>
  <c r="U23" i="3"/>
  <c r="U198" i="3"/>
  <c r="U103" i="3"/>
  <c r="U136" i="3"/>
  <c r="U178" i="3"/>
  <c r="U143" i="3"/>
  <c r="U61" i="3"/>
  <c r="U10" i="3"/>
  <c r="U135" i="3"/>
  <c r="U99" i="3"/>
  <c r="U38" i="3"/>
  <c r="U63" i="3"/>
  <c r="U152" i="3"/>
  <c r="U22" i="3"/>
  <c r="U57" i="3"/>
  <c r="U11" i="3"/>
  <c r="U14" i="3"/>
  <c r="U242" i="3"/>
  <c r="U47" i="3"/>
  <c r="U134" i="3"/>
  <c r="U87" i="3"/>
  <c r="U60" i="3"/>
  <c r="U30" i="3"/>
  <c r="U252" i="3"/>
  <c r="U166" i="3"/>
  <c r="U95" i="3"/>
  <c r="U232" i="3"/>
  <c r="U122" i="3"/>
  <c r="U217" i="3"/>
  <c r="U56" i="3"/>
  <c r="U89" i="3"/>
  <c r="U69" i="3"/>
  <c r="U212" i="3"/>
  <c r="U169" i="3"/>
  <c r="U116" i="3"/>
  <c r="U7" i="3"/>
  <c r="U238" i="3"/>
  <c r="U223" i="3"/>
  <c r="U231" i="3"/>
  <c r="U62" i="3"/>
  <c r="U39" i="3"/>
  <c r="U111" i="3"/>
  <c r="U225" i="3"/>
  <c r="U149" i="3"/>
  <c r="U255" i="3"/>
  <c r="U28" i="3"/>
  <c r="U184" i="3"/>
  <c r="U187" i="3"/>
  <c r="U245" i="3"/>
  <c r="U20" i="3"/>
  <c r="U176" i="3"/>
  <c r="U13" i="3"/>
  <c r="U46" i="3"/>
  <c r="U67" i="3"/>
  <c r="U15" i="3"/>
  <c r="U234" i="3"/>
  <c r="U50" i="3"/>
  <c r="U244" i="3"/>
  <c r="U71" i="3"/>
  <c r="U90" i="3"/>
  <c r="U102" i="3"/>
  <c r="A13" i="2"/>
  <c r="N6" i="2" l="1"/>
  <c r="H7" i="2"/>
  <c r="O11" i="2"/>
  <c r="N8" i="2"/>
  <c r="J8" i="2"/>
  <c r="G6" i="2"/>
  <c r="K11" i="2"/>
  <c r="I10" i="2"/>
  <c r="G8" i="2"/>
  <c r="K6" i="2"/>
  <c r="K12" i="2"/>
  <c r="M8" i="2"/>
  <c r="G7" i="2"/>
  <c r="P7" i="2"/>
  <c r="C12" i="2"/>
  <c r="J12" i="2"/>
  <c r="F10" i="2"/>
  <c r="B12" i="2"/>
  <c r="J7" i="2"/>
  <c r="B8" i="2"/>
  <c r="P6" i="2"/>
  <c r="L12" i="2"/>
  <c r="E8" i="2"/>
  <c r="F6" i="2"/>
  <c r="I6" i="2"/>
  <c r="D10" i="2"/>
  <c r="E10" i="2"/>
  <c r="D7" i="2"/>
  <c r="K8" i="2"/>
  <c r="F11" i="2"/>
  <c r="N11" i="2"/>
  <c r="G11" i="2"/>
  <c r="D11" i="2"/>
  <c r="M6" i="2"/>
  <c r="E7" i="2"/>
  <c r="M11" i="2"/>
  <c r="O8" i="2"/>
  <c r="L6" i="2"/>
  <c r="H8" i="2"/>
  <c r="C7" i="2"/>
  <c r="F7" i="2"/>
  <c r="M9" i="2"/>
  <c r="P8" i="2"/>
  <c r="C13" i="1" a="1"/>
  <c r="C13" i="1" s="1"/>
  <c r="D13" i="1" s="1"/>
  <c r="E9" i="2"/>
  <c r="O7" i="2"/>
  <c r="C10" i="2"/>
  <c r="P10" i="2"/>
  <c r="H9" i="2"/>
  <c r="B11" i="2"/>
  <c r="N9" i="2"/>
  <c r="B10" i="2"/>
  <c r="M7" i="2"/>
  <c r="M10" i="2"/>
  <c r="J10" i="2"/>
  <c r="E11" i="2"/>
  <c r="B6" i="2"/>
  <c r="H6" i="2"/>
  <c r="P12" i="2"/>
  <c r="F12" i="2"/>
  <c r="I9" i="2"/>
  <c r="D12" i="2"/>
  <c r="C8" i="2"/>
  <c r="C6" i="2"/>
  <c r="L7" i="2"/>
  <c r="N10" i="2"/>
  <c r="G10" i="2"/>
  <c r="H12" i="2"/>
  <c r="I8" i="2"/>
  <c r="C12" i="1"/>
  <c r="D12" i="1" s="1"/>
  <c r="K10" i="2"/>
  <c r="L11" i="2"/>
  <c r="J9" i="2"/>
  <c r="H11" i="2"/>
  <c r="E12" i="2"/>
  <c r="H10" i="2"/>
  <c r="D8" i="2"/>
  <c r="D9" i="2"/>
  <c r="N12" i="2"/>
  <c r="K7" i="2"/>
  <c r="I12" i="2"/>
  <c r="C11" i="2"/>
  <c r="O6" i="2"/>
  <c r="K9" i="2"/>
  <c r="G12" i="2"/>
  <c r="B7" i="2"/>
  <c r="O12" i="2"/>
  <c r="F9" i="2"/>
  <c r="M12" i="2"/>
  <c r="B9" i="2"/>
  <c r="J11" i="2"/>
  <c r="L9" i="2"/>
  <c r="L8" i="2"/>
  <c r="O10" i="2"/>
  <c r="I11" i="2"/>
  <c r="E6" i="2"/>
  <c r="J6" i="2"/>
  <c r="C9" i="2"/>
  <c r="F8" i="2"/>
  <c r="P11" i="2"/>
  <c r="P9" i="2"/>
  <c r="O9" i="2"/>
  <c r="N7" i="2"/>
  <c r="I7" i="2"/>
  <c r="D6" i="2"/>
  <c r="G9" i="2"/>
  <c r="L10" i="2"/>
  <c r="E13" i="2"/>
  <c r="C13" i="2"/>
  <c r="N13" i="2"/>
  <c r="A14" i="2"/>
  <c r="F13" i="2"/>
  <c r="B13" i="2"/>
  <c r="H13" i="2"/>
  <c r="K13" i="2"/>
  <c r="D13" i="2"/>
  <c r="G13" i="2"/>
  <c r="J13" i="2"/>
  <c r="L13" i="2"/>
  <c r="O13" i="2"/>
  <c r="P13" i="2"/>
  <c r="M13" i="2"/>
  <c r="I13" i="2"/>
  <c r="C3" i="1" l="1"/>
  <c r="B2" i="2" s="1"/>
  <c r="F14" i="2"/>
  <c r="C14" i="2"/>
  <c r="M14" i="2"/>
  <c r="A15" i="2"/>
  <c r="L14" i="2"/>
  <c r="E14" i="2"/>
  <c r="D14" i="2"/>
  <c r="B14" i="2"/>
  <c r="N14" i="2"/>
  <c r="H14" i="2"/>
  <c r="K14" i="2"/>
  <c r="G14" i="2"/>
  <c r="O14" i="2"/>
  <c r="P14" i="2"/>
  <c r="I14" i="2"/>
  <c r="J14" i="2"/>
  <c r="D15" i="2" l="1"/>
  <c r="G15" i="2"/>
  <c r="F15" i="2"/>
  <c r="B15" i="2"/>
  <c r="C15" i="2"/>
  <c r="K15" i="2"/>
  <c r="I15" i="2"/>
  <c r="A16" i="2"/>
  <c r="H15" i="2"/>
  <c r="J15" i="2"/>
  <c r="L15" i="2"/>
  <c r="P15" i="2"/>
  <c r="E15" i="2"/>
  <c r="N15" i="2"/>
  <c r="O15" i="2"/>
  <c r="M15" i="2"/>
  <c r="B16" i="2" l="1"/>
  <c r="F16" i="2"/>
  <c r="J16" i="2"/>
  <c r="A17" i="2"/>
  <c r="M16" i="2"/>
  <c r="P16" i="2"/>
  <c r="C16" i="2"/>
  <c r="E16" i="2"/>
  <c r="H16" i="2"/>
  <c r="I16" i="2"/>
  <c r="N16" i="2"/>
  <c r="D16" i="2"/>
  <c r="K16" i="2"/>
  <c r="L16" i="2"/>
  <c r="G16" i="2"/>
  <c r="O16" i="2"/>
  <c r="J17" i="2" l="1"/>
  <c r="M17" i="2"/>
  <c r="C17" i="2"/>
  <c r="E17" i="2"/>
  <c r="A18" i="2"/>
  <c r="L17" i="2"/>
  <c r="G17" i="2"/>
  <c r="I17" i="2"/>
  <c r="D17" i="2"/>
  <c r="B17" i="2"/>
  <c r="H17" i="2"/>
  <c r="F17" i="2"/>
  <c r="O17" i="2"/>
  <c r="P17" i="2"/>
  <c r="N17" i="2"/>
  <c r="K17" i="2"/>
  <c r="I18" i="2" l="1"/>
  <c r="H18" i="2"/>
  <c r="P18" i="2"/>
  <c r="L18" i="2"/>
  <c r="A19" i="2"/>
  <c r="F18" i="2"/>
  <c r="D18" i="2"/>
  <c r="C18" i="2"/>
  <c r="B18" i="2"/>
  <c r="K18" i="2"/>
  <c r="E18" i="2"/>
  <c r="N18" i="2"/>
  <c r="M18" i="2"/>
  <c r="O18" i="2"/>
  <c r="G18" i="2"/>
  <c r="J18" i="2"/>
  <c r="B19" i="2" l="1"/>
  <c r="N19" i="2"/>
  <c r="O19" i="2"/>
  <c r="F19" i="2"/>
  <c r="I19" i="2"/>
  <c r="J19" i="2"/>
  <c r="D19" i="2"/>
  <c r="A20" i="2"/>
  <c r="P19" i="2"/>
  <c r="C19" i="2"/>
  <c r="L19" i="2"/>
  <c r="G19" i="2"/>
  <c r="H19" i="2"/>
  <c r="M19" i="2"/>
  <c r="E19" i="2"/>
  <c r="K19" i="2"/>
  <c r="M20" i="2" l="1"/>
  <c r="N20" i="2"/>
  <c r="O20" i="2"/>
  <c r="P20" i="2"/>
  <c r="B20" i="2"/>
  <c r="H20" i="2"/>
  <c r="E20" i="2"/>
  <c r="K20" i="2"/>
  <c r="G20" i="2"/>
  <c r="C20" i="2"/>
  <c r="D20" i="2"/>
  <c r="L20" i="2"/>
  <c r="I20" i="2"/>
  <c r="J20" i="2"/>
  <c r="A21" i="2"/>
  <c r="F20" i="2"/>
  <c r="E21" i="2" l="1"/>
  <c r="D21" i="2"/>
  <c r="L21" i="2"/>
  <c r="B21" i="2"/>
  <c r="P21" i="2"/>
  <c r="G21" i="2"/>
  <c r="N21" i="2"/>
  <c r="C21" i="2"/>
  <c r="M21" i="2"/>
  <c r="A22" i="2"/>
  <c r="O21" i="2"/>
  <c r="F21" i="2"/>
  <c r="K21" i="2"/>
  <c r="I21" i="2"/>
  <c r="J21" i="2"/>
  <c r="H21" i="2"/>
  <c r="G22" i="2" l="1"/>
  <c r="M22" i="2"/>
  <c r="N22" i="2"/>
  <c r="O22" i="2"/>
  <c r="A23" i="2"/>
  <c r="L22" i="2"/>
  <c r="E22" i="2"/>
  <c r="K22" i="2"/>
  <c r="D22" i="2"/>
  <c r="B22" i="2"/>
  <c r="F22" i="2"/>
  <c r="C22" i="2"/>
  <c r="P22" i="2"/>
  <c r="J22" i="2"/>
  <c r="H22" i="2"/>
  <c r="I22" i="2"/>
  <c r="N23" i="2" l="1"/>
  <c r="D23" i="2"/>
  <c r="L23" i="2"/>
  <c r="E23" i="2"/>
  <c r="I23" i="2"/>
  <c r="B23" i="2"/>
  <c r="J23" i="2"/>
  <c r="P23" i="2"/>
  <c r="K23" i="2"/>
  <c r="A24" i="2"/>
  <c r="C23" i="2"/>
  <c r="M23" i="2"/>
  <c r="O23" i="2"/>
  <c r="G23" i="2"/>
  <c r="H23" i="2"/>
  <c r="F23" i="2"/>
  <c r="B24" i="2" l="1"/>
  <c r="I24" i="2"/>
  <c r="G24" i="2"/>
  <c r="J24" i="2"/>
  <c r="P24" i="2"/>
  <c r="L24" i="2"/>
  <c r="H24" i="2"/>
  <c r="F24" i="2"/>
  <c r="E24" i="2"/>
  <c r="D24" i="2"/>
  <c r="O24" i="2"/>
  <c r="C24" i="2"/>
  <c r="A25" i="2"/>
  <c r="N24" i="2"/>
  <c r="K24" i="2"/>
  <c r="M24" i="2"/>
  <c r="C25" i="2" l="1"/>
  <c r="I25" i="2"/>
  <c r="J25" i="2"/>
  <c r="P25" i="2"/>
  <c r="B25" i="2"/>
  <c r="D25" i="2"/>
  <c r="O25" i="2"/>
  <c r="K25" i="2"/>
  <c r="N25" i="2"/>
  <c r="L25" i="2"/>
  <c r="A26" i="2"/>
  <c r="E25" i="2"/>
  <c r="F25" i="2"/>
  <c r="G25" i="2"/>
  <c r="M25" i="2"/>
  <c r="H25" i="2"/>
  <c r="B26" i="2" l="1"/>
  <c r="H26" i="2"/>
  <c r="P26" i="2"/>
  <c r="G26" i="2"/>
  <c r="O26" i="2"/>
  <c r="M26" i="2"/>
  <c r="N26" i="2"/>
  <c r="I26" i="2"/>
  <c r="L26" i="2"/>
  <c r="A27" i="2"/>
  <c r="C26" i="2"/>
  <c r="E26" i="2"/>
  <c r="K26" i="2"/>
  <c r="D26" i="2"/>
  <c r="J26" i="2"/>
  <c r="F26" i="2"/>
  <c r="E27" i="2" l="1"/>
  <c r="D27" i="2"/>
  <c r="F27" i="2"/>
  <c r="K27" i="2"/>
  <c r="O27" i="2"/>
  <c r="P27" i="2"/>
  <c r="G27" i="2"/>
  <c r="A28" i="2"/>
  <c r="J27" i="2"/>
  <c r="I27" i="2"/>
  <c r="N27" i="2"/>
  <c r="M27" i="2"/>
  <c r="H27" i="2"/>
  <c r="B27" i="2"/>
  <c r="L27" i="2"/>
  <c r="C27" i="2"/>
  <c r="C28" i="2" l="1"/>
  <c r="G28" i="2"/>
  <c r="O28" i="2"/>
  <c r="K28" i="2"/>
  <c r="J28" i="2"/>
  <c r="P28" i="2"/>
  <c r="L28" i="2"/>
  <c r="N28" i="2"/>
  <c r="M28" i="2"/>
  <c r="I28" i="2"/>
  <c r="E28" i="2"/>
  <c r="B28" i="2"/>
  <c r="A29" i="2"/>
  <c r="D28" i="2"/>
  <c r="F28" i="2"/>
  <c r="H28" i="2"/>
  <c r="F29" i="2" l="1"/>
  <c r="G29" i="2"/>
  <c r="M29" i="2"/>
  <c r="I29" i="2"/>
  <c r="A30" i="2"/>
  <c r="L29" i="2"/>
  <c r="N29" i="2"/>
  <c r="P29" i="2"/>
  <c r="B29" i="2"/>
  <c r="H29" i="2"/>
  <c r="K29" i="2"/>
  <c r="J29" i="2"/>
  <c r="O29" i="2"/>
  <c r="D29" i="2"/>
  <c r="C29" i="2"/>
  <c r="E29" i="2"/>
  <c r="C30" i="2" l="1"/>
  <c r="D30" i="2"/>
  <c r="O30" i="2"/>
  <c r="B30" i="2"/>
  <c r="N30" i="2"/>
  <c r="F30" i="2"/>
  <c r="P30" i="2"/>
  <c r="I30" i="2"/>
  <c r="M30" i="2"/>
  <c r="E30" i="2"/>
  <c r="K30" i="2"/>
  <c r="L30" i="2"/>
  <c r="A31" i="2"/>
  <c r="G30" i="2"/>
  <c r="H30" i="2"/>
  <c r="J30" i="2"/>
  <c r="O31" i="2" l="1"/>
  <c r="I31" i="2"/>
  <c r="J31" i="2"/>
  <c r="N31" i="2"/>
  <c r="D31" i="2"/>
  <c r="G31" i="2"/>
  <c r="L31" i="2"/>
  <c r="F31" i="2"/>
  <c r="A32" i="2"/>
  <c r="P31" i="2"/>
  <c r="K31" i="2"/>
  <c r="M31" i="2"/>
  <c r="B31" i="2"/>
  <c r="H31" i="2"/>
  <c r="C31" i="2"/>
  <c r="E31" i="2"/>
  <c r="D32" i="2" l="1"/>
  <c r="I32" i="2"/>
  <c r="J32" i="2"/>
  <c r="O32" i="2"/>
  <c r="P32" i="2"/>
  <c r="M32" i="2"/>
  <c r="B32" i="2"/>
  <c r="E32" i="2"/>
  <c r="A33" i="2"/>
  <c r="H32" i="2"/>
  <c r="K32" i="2"/>
  <c r="L32" i="2"/>
  <c r="N32" i="2"/>
  <c r="G32" i="2"/>
  <c r="F32" i="2"/>
  <c r="C32" i="2"/>
  <c r="N33" i="2" l="1"/>
  <c r="P33" i="2"/>
  <c r="I33" i="2"/>
  <c r="B33" i="2"/>
  <c r="O33" i="2"/>
  <c r="F33" i="2"/>
  <c r="D33" i="2"/>
  <c r="A34" i="2"/>
  <c r="C33" i="2"/>
  <c r="E33" i="2"/>
  <c r="G33" i="2"/>
  <c r="K33" i="2"/>
  <c r="H33" i="2"/>
  <c r="L33" i="2"/>
  <c r="J33" i="2"/>
  <c r="M33" i="2"/>
  <c r="F34" i="2" l="1"/>
  <c r="I34" i="2"/>
  <c r="P34" i="2"/>
  <c r="H34" i="2"/>
  <c r="K34" i="2"/>
  <c r="B34" i="2"/>
  <c r="L34" i="2"/>
  <c r="D34" i="2"/>
  <c r="E34" i="2"/>
  <c r="G34" i="2"/>
  <c r="N34" i="2"/>
  <c r="O34" i="2"/>
  <c r="C34" i="2"/>
  <c r="A35" i="2"/>
  <c r="J34" i="2"/>
  <c r="M34" i="2"/>
  <c r="C35" i="2" l="1"/>
  <c r="M35" i="2"/>
  <c r="D35" i="2"/>
  <c r="A36" i="2"/>
  <c r="J35" i="2"/>
  <c r="F35" i="2"/>
  <c r="P35" i="2"/>
  <c r="H35" i="2"/>
  <c r="I35" i="2"/>
  <c r="K35" i="2"/>
  <c r="L35" i="2"/>
  <c r="O35" i="2"/>
  <c r="N35" i="2"/>
  <c r="B35" i="2"/>
  <c r="E35" i="2"/>
  <c r="G35" i="2"/>
  <c r="L36" i="2" l="1"/>
  <c r="M36" i="2"/>
  <c r="B36" i="2"/>
  <c r="J36" i="2"/>
  <c r="K36" i="2"/>
  <c r="D36" i="2"/>
  <c r="F36" i="2"/>
  <c r="H36" i="2"/>
  <c r="O36" i="2"/>
  <c r="E36" i="2"/>
  <c r="G36" i="2"/>
  <c r="I36" i="2"/>
  <c r="A37" i="2"/>
  <c r="N36" i="2"/>
  <c r="P36" i="2"/>
  <c r="C36" i="2"/>
  <c r="F37" i="2" l="1"/>
  <c r="C37" i="2"/>
  <c r="J37" i="2"/>
  <c r="L37" i="2"/>
  <c r="O37" i="2"/>
  <c r="B37" i="2"/>
  <c r="K37" i="2"/>
  <c r="M37" i="2"/>
  <c r="N37" i="2"/>
  <c r="I37" i="2"/>
  <c r="E37" i="2"/>
  <c r="D37" i="2"/>
  <c r="H37" i="2"/>
  <c r="A38" i="2"/>
  <c r="G37" i="2"/>
  <c r="P37" i="2"/>
  <c r="L38" i="2" l="1"/>
  <c r="O38" i="2"/>
  <c r="N38" i="2"/>
  <c r="E38" i="2"/>
  <c r="H38" i="2"/>
  <c r="B38" i="2"/>
  <c r="C38" i="2"/>
  <c r="P38" i="2"/>
  <c r="G38" i="2"/>
  <c r="A39" i="2"/>
  <c r="D38" i="2"/>
  <c r="F38" i="2"/>
  <c r="J38" i="2"/>
  <c r="M38" i="2"/>
  <c r="I38" i="2"/>
  <c r="K38" i="2"/>
  <c r="F39" i="2" l="1"/>
  <c r="I39" i="2"/>
  <c r="B39" i="2"/>
  <c r="G39" i="2"/>
  <c r="L39" i="2"/>
  <c r="E39" i="2"/>
  <c r="N39" i="2"/>
  <c r="O39" i="2"/>
  <c r="D39" i="2"/>
  <c r="A40" i="2"/>
  <c r="H39" i="2"/>
  <c r="J39" i="2"/>
  <c r="P39" i="2"/>
  <c r="C39" i="2"/>
  <c r="K39" i="2"/>
  <c r="M39" i="2"/>
  <c r="F40" i="2" l="1"/>
  <c r="G40" i="2"/>
  <c r="P40" i="2"/>
  <c r="M40" i="2"/>
  <c r="B40" i="2"/>
  <c r="C40" i="2"/>
  <c r="D40" i="2"/>
  <c r="H40" i="2"/>
  <c r="L40" i="2"/>
  <c r="E40" i="2"/>
  <c r="N40" i="2"/>
  <c r="A41" i="2"/>
  <c r="I40" i="2"/>
  <c r="J40" i="2"/>
  <c r="K40" i="2"/>
  <c r="O40" i="2"/>
  <c r="D41" i="2" l="1"/>
  <c r="E41" i="2"/>
  <c r="J41" i="2"/>
  <c r="G41" i="2"/>
  <c r="H41" i="2"/>
  <c r="K41" i="2"/>
  <c r="P41" i="2"/>
  <c r="M41" i="2"/>
  <c r="A42" i="2"/>
  <c r="L41" i="2"/>
  <c r="N41" i="2"/>
  <c r="F41" i="2"/>
  <c r="I41" i="2"/>
  <c r="C41" i="2"/>
  <c r="O41" i="2"/>
  <c r="B41" i="2"/>
  <c r="J42" i="2" l="1"/>
  <c r="L42" i="2"/>
  <c r="I42" i="2"/>
  <c r="G42" i="2"/>
  <c r="K42" i="2"/>
  <c r="M42" i="2"/>
  <c r="H42" i="2"/>
  <c r="O42" i="2"/>
  <c r="C42" i="2"/>
  <c r="D42" i="2"/>
  <c r="N42" i="2"/>
  <c r="B42" i="2"/>
  <c r="A43" i="2"/>
  <c r="F42" i="2"/>
  <c r="P42" i="2"/>
  <c r="E42" i="2"/>
  <c r="L43" i="2" l="1"/>
  <c r="M43" i="2"/>
  <c r="G43" i="2"/>
  <c r="N43" i="2"/>
  <c r="B43" i="2"/>
  <c r="O43" i="2"/>
  <c r="A44" i="2"/>
  <c r="P43" i="2"/>
  <c r="C43" i="2"/>
  <c r="E43" i="2"/>
  <c r="F43" i="2"/>
  <c r="I43" i="2"/>
  <c r="J43" i="2"/>
  <c r="K43" i="2"/>
  <c r="H43" i="2"/>
  <c r="D43" i="2"/>
  <c r="L44" i="2" l="1"/>
  <c r="P44" i="2"/>
  <c r="N44" i="2"/>
  <c r="C44" i="2"/>
  <c r="K44" i="2"/>
  <c r="B44" i="2"/>
  <c r="G44" i="2"/>
  <c r="O44" i="2"/>
  <c r="M44" i="2"/>
  <c r="A45" i="2"/>
  <c r="H44" i="2"/>
  <c r="D44" i="2"/>
  <c r="F44" i="2"/>
  <c r="E44" i="2"/>
  <c r="I44" i="2"/>
  <c r="J44" i="2"/>
  <c r="E45" i="2" l="1"/>
  <c r="F45" i="2"/>
  <c r="G45" i="2"/>
  <c r="P45" i="2"/>
  <c r="M45" i="2"/>
  <c r="B45" i="2"/>
  <c r="H45" i="2"/>
  <c r="I45" i="2"/>
  <c r="N45" i="2"/>
  <c r="D45" i="2"/>
  <c r="J45" i="2"/>
  <c r="O45" i="2"/>
  <c r="A46" i="2"/>
  <c r="K45" i="2"/>
  <c r="L45" i="2"/>
  <c r="C45" i="2"/>
  <c r="D46" i="2" l="1"/>
  <c r="E46" i="2"/>
  <c r="M46" i="2"/>
  <c r="G46" i="2"/>
  <c r="K46" i="2"/>
  <c r="C46" i="2"/>
  <c r="P46" i="2"/>
  <c r="O46" i="2"/>
  <c r="F46" i="2"/>
  <c r="B46" i="2"/>
  <c r="H46" i="2"/>
  <c r="A47" i="2"/>
  <c r="J46" i="2"/>
  <c r="L46" i="2"/>
  <c r="N46" i="2"/>
  <c r="I46" i="2"/>
  <c r="B47" i="2" l="1"/>
  <c r="M47" i="2"/>
  <c r="N47" i="2"/>
  <c r="H47" i="2"/>
  <c r="C47" i="2"/>
  <c r="F47" i="2"/>
  <c r="O47" i="2"/>
  <c r="P47" i="2"/>
  <c r="J47" i="2"/>
  <c r="L47" i="2"/>
  <c r="D47" i="2"/>
  <c r="I47" i="2"/>
  <c r="A48" i="2"/>
  <c r="E47" i="2"/>
  <c r="G47" i="2"/>
  <c r="K47" i="2"/>
  <c r="J48" i="2" l="1"/>
  <c r="E48" i="2"/>
  <c r="L48" i="2"/>
  <c r="A49" i="2"/>
  <c r="P48" i="2"/>
  <c r="B48" i="2"/>
  <c r="F48" i="2"/>
  <c r="G48" i="2"/>
  <c r="M48" i="2"/>
  <c r="D48" i="2"/>
  <c r="I48" i="2"/>
  <c r="K48" i="2"/>
  <c r="O48" i="2"/>
  <c r="N48" i="2"/>
  <c r="H48" i="2"/>
  <c r="C48" i="2"/>
  <c r="L49" i="2" l="1"/>
  <c r="M49" i="2"/>
  <c r="I49" i="2"/>
  <c r="A50" i="2"/>
  <c r="D49" i="2"/>
  <c r="F49" i="2"/>
  <c r="P49" i="2"/>
  <c r="N49" i="2"/>
  <c r="B49" i="2"/>
  <c r="H49" i="2"/>
  <c r="C49" i="2"/>
  <c r="J49" i="2"/>
  <c r="E49" i="2"/>
  <c r="G49" i="2"/>
  <c r="K49" i="2"/>
  <c r="O49" i="2"/>
  <c r="H50" i="2" l="1"/>
  <c r="G50" i="2"/>
  <c r="B50" i="2"/>
  <c r="L50" i="2"/>
  <c r="O50" i="2"/>
  <c r="P50" i="2"/>
  <c r="E50" i="2"/>
  <c r="C50" i="2"/>
  <c r="A51" i="2"/>
  <c r="N50" i="2"/>
  <c r="K50" i="2"/>
  <c r="J50" i="2"/>
  <c r="F50" i="2"/>
  <c r="M50" i="2"/>
  <c r="I50" i="2"/>
  <c r="D50" i="2"/>
  <c r="P51" i="2" l="1"/>
  <c r="M51" i="2"/>
  <c r="E51" i="2"/>
  <c r="J51" i="2"/>
  <c r="K51" i="2"/>
  <c r="G51" i="2"/>
  <c r="C51" i="2"/>
  <c r="I51" i="2"/>
  <c r="A52" i="2"/>
  <c r="D51" i="2"/>
  <c r="F51" i="2"/>
  <c r="N51" i="2"/>
  <c r="B51" i="2"/>
  <c r="L51" i="2"/>
  <c r="H51" i="2"/>
  <c r="O51" i="2"/>
  <c r="E52" i="2" l="1"/>
  <c r="N52" i="2"/>
  <c r="L52" i="2"/>
  <c r="I52" i="2"/>
  <c r="J52" i="2"/>
  <c r="M52" i="2"/>
  <c r="O52" i="2"/>
  <c r="P52" i="2"/>
  <c r="A53" i="2"/>
  <c r="F52" i="2"/>
  <c r="G52" i="2"/>
  <c r="B52" i="2"/>
  <c r="H52" i="2"/>
  <c r="D52" i="2"/>
  <c r="K52" i="2"/>
  <c r="C52" i="2"/>
  <c r="K53" i="2" l="1"/>
  <c r="F53" i="2"/>
  <c r="M53" i="2"/>
  <c r="O53" i="2"/>
  <c r="P53" i="2"/>
  <c r="A54" i="2"/>
  <c r="L53" i="2"/>
  <c r="C53" i="2"/>
  <c r="J53" i="2"/>
  <c r="G53" i="2"/>
  <c r="H53" i="2"/>
  <c r="B53" i="2"/>
  <c r="N53" i="2"/>
  <c r="I53" i="2"/>
  <c r="D53" i="2"/>
  <c r="E53" i="2"/>
  <c r="G54" i="2" l="1"/>
  <c r="D54" i="2"/>
  <c r="K54" i="2"/>
  <c r="N54" i="2"/>
  <c r="O54" i="2"/>
  <c r="A55" i="2"/>
  <c r="B54" i="2"/>
  <c r="M54" i="2"/>
  <c r="E54" i="2"/>
  <c r="J54" i="2"/>
  <c r="L54" i="2"/>
  <c r="P54" i="2"/>
  <c r="H54" i="2"/>
  <c r="I54" i="2"/>
  <c r="C54" i="2"/>
  <c r="F54" i="2"/>
  <c r="L55" i="2" l="1"/>
  <c r="N55" i="2"/>
  <c r="I55" i="2"/>
  <c r="M55" i="2"/>
  <c r="D55" i="2"/>
  <c r="H55" i="2"/>
  <c r="A56" i="2"/>
  <c r="O55" i="2"/>
  <c r="F55" i="2"/>
  <c r="G55" i="2"/>
  <c r="C55" i="2"/>
  <c r="B55" i="2"/>
  <c r="P55" i="2"/>
  <c r="E55" i="2"/>
  <c r="J55" i="2"/>
  <c r="K55" i="2"/>
  <c r="L56" i="2" l="1"/>
  <c r="P56" i="2"/>
  <c r="M56" i="2"/>
  <c r="N56" i="2"/>
  <c r="E56" i="2"/>
  <c r="F56" i="2"/>
  <c r="H56" i="2"/>
  <c r="B56" i="2"/>
  <c r="I56" i="2"/>
  <c r="O56" i="2"/>
  <c r="K56" i="2"/>
  <c r="G56" i="2"/>
  <c r="D56" i="2"/>
  <c r="A57" i="2"/>
  <c r="C56" i="2"/>
  <c r="J56" i="2"/>
  <c r="O57" i="2" l="1"/>
  <c r="L57" i="2"/>
  <c r="D57" i="2"/>
  <c r="I57" i="2"/>
  <c r="P57" i="2"/>
  <c r="C57" i="2"/>
  <c r="G57" i="2"/>
  <c r="J57" i="2"/>
  <c r="H57" i="2"/>
  <c r="M57" i="2"/>
  <c r="N57" i="2"/>
  <c r="A58" i="2"/>
  <c r="E57" i="2"/>
  <c r="B57" i="2"/>
  <c r="K57" i="2"/>
  <c r="F57" i="2"/>
  <c r="O58" i="2" l="1"/>
  <c r="P58" i="2"/>
  <c r="D58" i="2"/>
  <c r="H58" i="2"/>
  <c r="I58" i="2"/>
  <c r="A59" i="2"/>
  <c r="L58" i="2"/>
  <c r="F58" i="2"/>
  <c r="B58" i="2"/>
  <c r="E58" i="2"/>
  <c r="N58" i="2"/>
  <c r="C58" i="2"/>
  <c r="K58" i="2"/>
  <c r="J58" i="2"/>
  <c r="M58" i="2"/>
  <c r="G58" i="2"/>
  <c r="G59" i="2" l="1"/>
  <c r="B59" i="2"/>
  <c r="P59" i="2"/>
  <c r="J59" i="2"/>
  <c r="F59" i="2"/>
  <c r="C59" i="2"/>
  <c r="K59" i="2"/>
  <c r="E59" i="2"/>
  <c r="H59" i="2"/>
  <c r="M59" i="2"/>
  <c r="N59" i="2"/>
  <c r="I59" i="2"/>
  <c r="A60" i="2"/>
  <c r="O59" i="2"/>
  <c r="D59" i="2"/>
  <c r="L59" i="2"/>
  <c r="E60" i="2" l="1"/>
  <c r="F60" i="2"/>
  <c r="C60" i="2"/>
  <c r="N60" i="2"/>
  <c r="P60" i="2"/>
  <c r="B60" i="2"/>
  <c r="J60" i="2"/>
  <c r="K60" i="2"/>
  <c r="H60" i="2"/>
  <c r="O60" i="2"/>
  <c r="G60" i="2"/>
  <c r="I60" i="2"/>
  <c r="A61" i="2"/>
  <c r="L60" i="2"/>
  <c r="M60" i="2"/>
  <c r="D60" i="2"/>
  <c r="C61" i="2" l="1"/>
  <c r="D61" i="2"/>
  <c r="E61" i="2"/>
  <c r="O61" i="2"/>
  <c r="B61" i="2"/>
  <c r="I61" i="2"/>
  <c r="K61" i="2"/>
  <c r="M61" i="2"/>
  <c r="N61" i="2"/>
  <c r="A62" i="2"/>
  <c r="G61" i="2"/>
  <c r="J61" i="2"/>
  <c r="L61" i="2"/>
  <c r="H61" i="2"/>
  <c r="P61" i="2"/>
  <c r="F61" i="2"/>
  <c r="P62" i="2" l="1"/>
  <c r="M62" i="2"/>
  <c r="N62" i="2"/>
  <c r="L62" i="2"/>
  <c r="I62" i="2"/>
  <c r="A63" i="2"/>
  <c r="F62" i="2"/>
  <c r="O62" i="2"/>
  <c r="B62" i="2"/>
  <c r="H62" i="2"/>
  <c r="K62" i="2"/>
  <c r="C62" i="2"/>
  <c r="J62" i="2"/>
  <c r="D62" i="2"/>
  <c r="E62" i="2"/>
  <c r="G62" i="2"/>
  <c r="K63" i="2" l="1"/>
  <c r="D63" i="2"/>
  <c r="L63" i="2"/>
  <c r="E63" i="2"/>
  <c r="B63" i="2"/>
  <c r="N63" i="2"/>
  <c r="H63" i="2"/>
  <c r="G63" i="2"/>
  <c r="P63" i="2"/>
  <c r="C63" i="2"/>
  <c r="M63" i="2"/>
  <c r="F63" i="2"/>
  <c r="A64" i="2"/>
  <c r="J63" i="2"/>
  <c r="O63" i="2"/>
  <c r="I63" i="2"/>
  <c r="M64" i="2" l="1"/>
  <c r="O64" i="2"/>
  <c r="F64" i="2"/>
  <c r="G64" i="2"/>
  <c r="A65" i="2"/>
  <c r="C64" i="2"/>
  <c r="D64" i="2"/>
  <c r="I64" i="2"/>
  <c r="J64" i="2"/>
  <c r="B64" i="2"/>
  <c r="K64" i="2"/>
  <c r="L64" i="2"/>
  <c r="P64" i="2"/>
  <c r="E64" i="2"/>
  <c r="H64" i="2"/>
  <c r="N64" i="2"/>
  <c r="C65" i="2" l="1"/>
  <c r="B65" i="2"/>
  <c r="E65" i="2"/>
  <c r="L65" i="2"/>
  <c r="O65" i="2"/>
  <c r="K65" i="2"/>
  <c r="A66" i="2"/>
  <c r="N65" i="2"/>
  <c r="F65" i="2"/>
  <c r="H65" i="2"/>
  <c r="D65" i="2"/>
  <c r="J65" i="2"/>
  <c r="M65" i="2"/>
  <c r="P65" i="2"/>
  <c r="G65" i="2"/>
  <c r="I65" i="2"/>
  <c r="P66" i="2" l="1"/>
  <c r="B66" i="2"/>
  <c r="H66" i="2"/>
  <c r="D66" i="2"/>
  <c r="A67" i="2"/>
  <c r="F66" i="2"/>
  <c r="I66" i="2"/>
  <c r="C66" i="2"/>
  <c r="O66" i="2"/>
  <c r="K66" i="2"/>
  <c r="M66" i="2"/>
  <c r="N66" i="2"/>
  <c r="G66" i="2"/>
  <c r="J66" i="2"/>
  <c r="E66" i="2"/>
  <c r="L66" i="2"/>
  <c r="B67" i="2" l="1"/>
  <c r="G67" i="2"/>
  <c r="K67" i="2"/>
  <c r="A68" i="2"/>
  <c r="E67" i="2"/>
  <c r="H67" i="2"/>
  <c r="J67" i="2"/>
  <c r="L67" i="2"/>
  <c r="N67" i="2"/>
  <c r="I67" i="2"/>
  <c r="D67" i="2"/>
  <c r="F67" i="2"/>
  <c r="O67" i="2"/>
  <c r="C67" i="2"/>
  <c r="M67" i="2"/>
  <c r="P67" i="2"/>
  <c r="H68" i="2" l="1"/>
  <c r="L68" i="2"/>
  <c r="C68" i="2"/>
  <c r="D68" i="2"/>
  <c r="M68" i="2"/>
  <c r="G68" i="2"/>
  <c r="I68" i="2"/>
  <c r="F68" i="2"/>
  <c r="A69" i="2"/>
  <c r="N68" i="2"/>
  <c r="K68" i="2"/>
  <c r="J68" i="2"/>
  <c r="B68" i="2"/>
  <c r="P68" i="2"/>
  <c r="E68" i="2"/>
  <c r="O68" i="2"/>
  <c r="B69" i="2" l="1"/>
  <c r="I69" i="2"/>
  <c r="J69" i="2"/>
  <c r="L69" i="2"/>
  <c r="P69" i="2"/>
  <c r="D69" i="2"/>
  <c r="F69" i="2"/>
  <c r="H69" i="2"/>
  <c r="M69" i="2"/>
  <c r="C69" i="2"/>
  <c r="N69" i="2"/>
  <c r="O69" i="2"/>
  <c r="A70" i="2"/>
  <c r="E69" i="2"/>
  <c r="G69" i="2"/>
  <c r="K69" i="2"/>
  <c r="D70" i="2" l="1"/>
  <c r="F70" i="2"/>
  <c r="O70" i="2"/>
  <c r="C70" i="2"/>
  <c r="I70" i="2"/>
  <c r="J70" i="2"/>
  <c r="E70" i="2"/>
  <c r="N70" i="2"/>
  <c r="K70" i="2"/>
  <c r="M70" i="2"/>
  <c r="A71" i="2"/>
  <c r="B70" i="2"/>
  <c r="H70" i="2"/>
  <c r="G70" i="2"/>
  <c r="P70" i="2"/>
  <c r="L70" i="2"/>
  <c r="C71" i="2" l="1"/>
  <c r="I71" i="2"/>
  <c r="N71" i="2"/>
  <c r="O71" i="2"/>
  <c r="J71" i="2"/>
  <c r="K71" i="2"/>
  <c r="D71" i="2"/>
  <c r="F71" i="2"/>
  <c r="L71" i="2"/>
  <c r="H71" i="2"/>
  <c r="M71" i="2"/>
  <c r="P71" i="2"/>
  <c r="A72" i="2"/>
  <c r="E71" i="2"/>
  <c r="G71" i="2"/>
  <c r="B71" i="2"/>
  <c r="F72" i="2" l="1"/>
  <c r="I72" i="2"/>
  <c r="L72" i="2"/>
  <c r="K72" i="2"/>
  <c r="A73" i="2"/>
  <c r="D72" i="2"/>
  <c r="G72" i="2"/>
  <c r="J72" i="2"/>
  <c r="P72" i="2"/>
  <c r="E72" i="2"/>
  <c r="H72" i="2"/>
  <c r="O72" i="2"/>
  <c r="N72" i="2"/>
  <c r="M72" i="2"/>
  <c r="B72" i="2"/>
  <c r="C72" i="2"/>
  <c r="G73" i="2" l="1"/>
  <c r="M73" i="2"/>
  <c r="P73" i="2"/>
  <c r="B73" i="2"/>
  <c r="O73" i="2"/>
  <c r="F73" i="2"/>
  <c r="H73" i="2"/>
  <c r="A74" i="2"/>
  <c r="K73" i="2"/>
  <c r="N73" i="2"/>
  <c r="E73" i="2"/>
  <c r="I73" i="2"/>
  <c r="J73" i="2"/>
  <c r="L73" i="2"/>
  <c r="C73" i="2"/>
  <c r="D73" i="2"/>
  <c r="L74" i="2" l="1"/>
  <c r="K74" i="2"/>
  <c r="A75" i="2"/>
  <c r="F74" i="2"/>
  <c r="G74" i="2"/>
  <c r="H74" i="2"/>
  <c r="J74" i="2"/>
  <c r="E74" i="2"/>
  <c r="M74" i="2"/>
  <c r="P74" i="2"/>
  <c r="I74" i="2"/>
  <c r="D74" i="2"/>
  <c r="N74" i="2"/>
  <c r="O74" i="2"/>
  <c r="B74" i="2"/>
  <c r="C74" i="2"/>
  <c r="L75" i="2" l="1"/>
  <c r="M75" i="2"/>
  <c r="N75" i="2"/>
  <c r="F75" i="2"/>
  <c r="I75" i="2"/>
  <c r="A76" i="2"/>
  <c r="O75" i="2"/>
  <c r="P75" i="2"/>
  <c r="D75" i="2"/>
  <c r="K75" i="2"/>
  <c r="J75" i="2"/>
  <c r="H75" i="2"/>
  <c r="B75" i="2"/>
  <c r="C75" i="2"/>
  <c r="E75" i="2"/>
  <c r="G75" i="2"/>
  <c r="M76" i="2" l="1"/>
  <c r="K76" i="2"/>
  <c r="L76" i="2"/>
  <c r="O76" i="2"/>
  <c r="I76" i="2"/>
  <c r="N76" i="2"/>
  <c r="H76" i="2"/>
  <c r="C76" i="2"/>
  <c r="B76" i="2"/>
  <c r="E76" i="2"/>
  <c r="P76" i="2"/>
  <c r="J76" i="2"/>
  <c r="G76" i="2"/>
  <c r="A77" i="2"/>
  <c r="D76" i="2"/>
  <c r="F76" i="2"/>
  <c r="E77" i="2" l="1"/>
  <c r="M77" i="2"/>
  <c r="F77" i="2"/>
  <c r="O77" i="2"/>
  <c r="G77" i="2"/>
  <c r="P77" i="2"/>
  <c r="B77" i="2"/>
  <c r="D77" i="2"/>
  <c r="A78" i="2"/>
  <c r="C77" i="2"/>
  <c r="J77" i="2"/>
  <c r="L77" i="2"/>
  <c r="H77" i="2"/>
  <c r="K77" i="2"/>
  <c r="I77" i="2"/>
  <c r="N77" i="2"/>
  <c r="O78" i="2" l="1"/>
  <c r="F78" i="2"/>
  <c r="E78" i="2"/>
  <c r="J78" i="2"/>
  <c r="B78" i="2"/>
  <c r="H78" i="2"/>
  <c r="M78" i="2"/>
  <c r="C78" i="2"/>
  <c r="D78" i="2"/>
  <c r="P78" i="2"/>
  <c r="G78" i="2"/>
  <c r="N78" i="2"/>
  <c r="A79" i="2"/>
  <c r="I78" i="2"/>
  <c r="L78" i="2"/>
  <c r="K78" i="2"/>
  <c r="D79" i="2" l="1"/>
  <c r="E79" i="2"/>
  <c r="J79" i="2"/>
  <c r="K79" i="2"/>
  <c r="A80" i="2"/>
  <c r="N79" i="2"/>
  <c r="M79" i="2"/>
  <c r="C79" i="2"/>
  <c r="B79" i="2"/>
  <c r="G79" i="2"/>
  <c r="O79" i="2"/>
  <c r="P79" i="2"/>
  <c r="I79" i="2"/>
  <c r="L79" i="2"/>
  <c r="F79" i="2"/>
  <c r="H79" i="2"/>
  <c r="G80" i="2" l="1"/>
  <c r="H80" i="2"/>
  <c r="O80" i="2"/>
  <c r="B80" i="2"/>
  <c r="C80" i="2"/>
  <c r="E80" i="2"/>
  <c r="K80" i="2"/>
  <c r="L80" i="2"/>
  <c r="A81" i="2"/>
  <c r="M80" i="2"/>
  <c r="D80" i="2"/>
  <c r="N80" i="2"/>
  <c r="P80" i="2"/>
  <c r="I80" i="2"/>
  <c r="J80" i="2"/>
  <c r="F80" i="2"/>
  <c r="H81" i="2" l="1"/>
  <c r="L81" i="2"/>
  <c r="M81" i="2"/>
  <c r="O81" i="2"/>
  <c r="A82" i="2"/>
  <c r="C81" i="2"/>
  <c r="E81" i="2"/>
  <c r="D81" i="2"/>
  <c r="I81" i="2"/>
  <c r="K81" i="2"/>
  <c r="N81" i="2"/>
  <c r="G81" i="2"/>
  <c r="P81" i="2"/>
  <c r="B81" i="2"/>
  <c r="J81" i="2"/>
  <c r="F81" i="2"/>
  <c r="M82" i="2" l="1"/>
  <c r="H82" i="2"/>
  <c r="N82" i="2"/>
  <c r="D82" i="2"/>
  <c r="F82" i="2"/>
  <c r="B82" i="2"/>
  <c r="C82" i="2"/>
  <c r="J82" i="2"/>
  <c r="L82" i="2"/>
  <c r="O82" i="2"/>
  <c r="P82" i="2"/>
  <c r="K82" i="2"/>
  <c r="E82" i="2"/>
  <c r="A83" i="2"/>
  <c r="I82" i="2"/>
  <c r="G82" i="2"/>
  <c r="I83" i="2" l="1"/>
  <c r="K83" i="2"/>
  <c r="N83" i="2"/>
  <c r="C83" i="2"/>
  <c r="M83" i="2"/>
  <c r="J83" i="2"/>
  <c r="P83" i="2"/>
  <c r="G83" i="2"/>
  <c r="H83" i="2"/>
  <c r="F83" i="2"/>
  <c r="E83" i="2"/>
  <c r="D83" i="2"/>
  <c r="L83" i="2"/>
  <c r="A84" i="2"/>
  <c r="B83" i="2"/>
  <c r="O83" i="2"/>
  <c r="K84" i="2" l="1"/>
  <c r="L84" i="2"/>
  <c r="F84" i="2"/>
  <c r="B84" i="2"/>
  <c r="H84" i="2"/>
  <c r="N84" i="2"/>
  <c r="E84" i="2"/>
  <c r="M84" i="2"/>
  <c r="J84" i="2"/>
  <c r="P84" i="2"/>
  <c r="G84" i="2"/>
  <c r="A85" i="2"/>
  <c r="O84" i="2"/>
  <c r="C84" i="2"/>
  <c r="D84" i="2"/>
  <c r="I84" i="2"/>
  <c r="L85" i="2" l="1"/>
  <c r="M85" i="2"/>
  <c r="C85" i="2"/>
  <c r="D85" i="2"/>
  <c r="E85" i="2"/>
  <c r="K85" i="2"/>
  <c r="B85" i="2"/>
  <c r="J85" i="2"/>
  <c r="N85" i="2"/>
  <c r="O85" i="2"/>
  <c r="P85" i="2"/>
  <c r="H85" i="2"/>
  <c r="A86" i="2"/>
  <c r="G85" i="2"/>
  <c r="F85" i="2"/>
  <c r="I85" i="2"/>
  <c r="K86" i="2" l="1"/>
  <c r="L86" i="2"/>
  <c r="M86" i="2"/>
  <c r="F86" i="2"/>
  <c r="O86" i="2"/>
  <c r="J86" i="2"/>
  <c r="G86" i="2"/>
  <c r="I86" i="2"/>
  <c r="H86" i="2"/>
  <c r="B86" i="2"/>
  <c r="P86" i="2"/>
  <c r="E86" i="2"/>
  <c r="A87" i="2"/>
  <c r="D86" i="2"/>
  <c r="C86" i="2"/>
  <c r="N86" i="2"/>
  <c r="E87" i="2" l="1"/>
  <c r="F87" i="2"/>
  <c r="J87" i="2"/>
  <c r="G87" i="2"/>
  <c r="B87" i="2"/>
  <c r="C87" i="2"/>
  <c r="O87" i="2"/>
  <c r="P87" i="2"/>
  <c r="H87" i="2"/>
  <c r="D87" i="2"/>
  <c r="A88" i="2"/>
  <c r="I87" i="2"/>
  <c r="K87" i="2"/>
  <c r="M87" i="2"/>
  <c r="L87" i="2"/>
  <c r="N87" i="2"/>
  <c r="H88" i="2" l="1"/>
  <c r="I88" i="2"/>
  <c r="K88" i="2"/>
  <c r="M88" i="2"/>
  <c r="L88" i="2"/>
  <c r="B88" i="2"/>
  <c r="N88" i="2"/>
  <c r="E88" i="2"/>
  <c r="D88" i="2"/>
  <c r="P88" i="2"/>
  <c r="J88" i="2"/>
  <c r="O88" i="2"/>
  <c r="A89" i="2"/>
  <c r="G88" i="2"/>
  <c r="C88" i="2"/>
  <c r="F88" i="2"/>
  <c r="L89" i="2" l="1"/>
  <c r="E89" i="2"/>
  <c r="B89" i="2"/>
  <c r="D89" i="2"/>
  <c r="G89" i="2"/>
  <c r="J89" i="2"/>
  <c r="A90" i="2"/>
  <c r="M89" i="2"/>
  <c r="O89" i="2"/>
  <c r="P89" i="2"/>
  <c r="H89" i="2"/>
  <c r="F89" i="2"/>
  <c r="I89" i="2"/>
  <c r="C89" i="2"/>
  <c r="N89" i="2"/>
  <c r="K89" i="2"/>
  <c r="B90" i="2" l="1"/>
  <c r="D90" i="2"/>
  <c r="E90" i="2"/>
  <c r="L90" i="2"/>
  <c r="P90" i="2"/>
  <c r="N90" i="2"/>
  <c r="K90" i="2"/>
  <c r="J90" i="2"/>
  <c r="A91" i="2"/>
  <c r="F90" i="2"/>
  <c r="H90" i="2"/>
  <c r="C90" i="2"/>
  <c r="G90" i="2"/>
  <c r="O90" i="2"/>
  <c r="I90" i="2"/>
  <c r="M90" i="2"/>
  <c r="I91" i="2" l="1"/>
  <c r="K91" i="2"/>
  <c r="O91" i="2"/>
  <c r="P91" i="2"/>
  <c r="E91" i="2"/>
  <c r="H91" i="2"/>
  <c r="J91" i="2"/>
  <c r="L91" i="2"/>
  <c r="M91" i="2"/>
  <c r="A92" i="2"/>
  <c r="C91" i="2"/>
  <c r="D91" i="2"/>
  <c r="F91" i="2"/>
  <c r="N91" i="2"/>
  <c r="G91" i="2"/>
  <c r="B91" i="2"/>
  <c r="D92" i="2" l="1"/>
  <c r="F92" i="2"/>
  <c r="J92" i="2"/>
  <c r="K92" i="2"/>
  <c r="M92" i="2"/>
  <c r="A93" i="2"/>
  <c r="C92" i="2"/>
  <c r="B92" i="2"/>
  <c r="N92" i="2"/>
  <c r="E92" i="2"/>
  <c r="L92" i="2"/>
  <c r="I92" i="2"/>
  <c r="O92" i="2"/>
  <c r="G92" i="2"/>
  <c r="H92" i="2"/>
  <c r="P92" i="2"/>
  <c r="L93" i="2" l="1"/>
  <c r="M93" i="2"/>
  <c r="O93" i="2"/>
  <c r="F93" i="2"/>
  <c r="E93" i="2"/>
  <c r="B93" i="2"/>
  <c r="N93" i="2"/>
  <c r="C93" i="2"/>
  <c r="G93" i="2"/>
  <c r="H93" i="2"/>
  <c r="K93" i="2"/>
  <c r="P93" i="2"/>
  <c r="D93" i="2"/>
  <c r="A94" i="2"/>
  <c r="I93" i="2"/>
  <c r="J93" i="2"/>
  <c r="O94" i="2" l="1"/>
  <c r="N94" i="2"/>
  <c r="P94" i="2"/>
  <c r="M94" i="2"/>
  <c r="D94" i="2"/>
  <c r="I94" i="2"/>
  <c r="G94" i="2"/>
  <c r="B94" i="2"/>
  <c r="J94" i="2"/>
  <c r="E94" i="2"/>
  <c r="H94" i="2"/>
  <c r="L94" i="2"/>
  <c r="A95" i="2"/>
  <c r="F94" i="2"/>
  <c r="K94" i="2"/>
  <c r="C94" i="2"/>
  <c r="O95" i="2" l="1"/>
  <c r="P95" i="2"/>
  <c r="H95" i="2"/>
  <c r="L95" i="2"/>
  <c r="M95" i="2"/>
  <c r="N95" i="2"/>
  <c r="A96" i="2"/>
  <c r="E95" i="2"/>
  <c r="G95" i="2"/>
  <c r="K95" i="2"/>
  <c r="I95" i="2"/>
  <c r="C95" i="2"/>
  <c r="D95" i="2"/>
  <c r="F95" i="2"/>
  <c r="B95" i="2"/>
  <c r="J95" i="2"/>
  <c r="K96" i="2" l="1"/>
  <c r="L96" i="2"/>
  <c r="M96" i="2"/>
  <c r="A97" i="2"/>
  <c r="D96" i="2"/>
  <c r="G96" i="2"/>
  <c r="O96" i="2"/>
  <c r="E96" i="2"/>
  <c r="F96" i="2"/>
  <c r="I96" i="2"/>
  <c r="B96" i="2"/>
  <c r="P96" i="2"/>
  <c r="N96" i="2"/>
  <c r="H96" i="2"/>
  <c r="C96" i="2"/>
  <c r="J96" i="2"/>
  <c r="J97" i="2" l="1"/>
  <c r="M97" i="2"/>
  <c r="H97" i="2"/>
  <c r="O97" i="2"/>
  <c r="D97" i="2"/>
  <c r="B97" i="2"/>
  <c r="G97" i="2"/>
  <c r="L97" i="2"/>
  <c r="N97" i="2"/>
  <c r="P97" i="2"/>
  <c r="I97" i="2"/>
  <c r="K97" i="2"/>
  <c r="A98" i="2"/>
  <c r="C97" i="2"/>
  <c r="E97" i="2"/>
  <c r="F97" i="2"/>
  <c r="G98" i="2" l="1"/>
  <c r="C98" i="2"/>
  <c r="J98" i="2"/>
  <c r="M98" i="2"/>
  <c r="E98" i="2"/>
  <c r="H98" i="2"/>
  <c r="L98" i="2"/>
  <c r="A99" i="2"/>
  <c r="B98" i="2"/>
  <c r="K98" i="2"/>
  <c r="O98" i="2"/>
  <c r="N98" i="2"/>
  <c r="D98" i="2"/>
  <c r="F98" i="2"/>
  <c r="I98" i="2"/>
  <c r="P98" i="2"/>
  <c r="O99" i="2" l="1"/>
  <c r="J99" i="2"/>
  <c r="L99" i="2"/>
  <c r="H99" i="2"/>
  <c r="I99" i="2"/>
  <c r="E99" i="2"/>
  <c r="N99" i="2"/>
  <c r="C99" i="2"/>
  <c r="B99" i="2"/>
  <c r="A100" i="2"/>
  <c r="K99" i="2"/>
  <c r="D99" i="2"/>
  <c r="M99" i="2"/>
  <c r="G99" i="2"/>
  <c r="P99" i="2"/>
  <c r="F99" i="2"/>
  <c r="I100" i="2" l="1"/>
  <c r="J100" i="2"/>
  <c r="O100" i="2"/>
  <c r="B100" i="2"/>
  <c r="G100" i="2"/>
  <c r="A101" i="2"/>
  <c r="F100" i="2"/>
  <c r="L100" i="2"/>
  <c r="E100" i="2"/>
  <c r="K100" i="2"/>
  <c r="N100" i="2"/>
  <c r="C100" i="2"/>
  <c r="D100" i="2"/>
  <c r="M100" i="2"/>
  <c r="P100" i="2"/>
  <c r="H100" i="2"/>
  <c r="F101" i="2" l="1"/>
  <c r="I101" i="2"/>
  <c r="A102" i="2"/>
  <c r="E101" i="2"/>
  <c r="O101" i="2"/>
  <c r="P101" i="2"/>
  <c r="K101" i="2"/>
  <c r="L101" i="2"/>
  <c r="N101" i="2"/>
  <c r="J101" i="2"/>
  <c r="D101" i="2"/>
  <c r="H101" i="2"/>
  <c r="G101" i="2"/>
  <c r="C101" i="2"/>
  <c r="M101" i="2"/>
  <c r="B101" i="2"/>
  <c r="O102" i="2" l="1"/>
  <c r="H102" i="2"/>
  <c r="I102" i="2"/>
  <c r="A103" i="2"/>
  <c r="D102" i="2"/>
  <c r="E102" i="2"/>
  <c r="F102" i="2"/>
  <c r="C102" i="2"/>
  <c r="P102" i="2"/>
  <c r="L102" i="2"/>
  <c r="B102" i="2"/>
  <c r="N102" i="2"/>
  <c r="M102" i="2"/>
  <c r="J102" i="2"/>
  <c r="K102" i="2"/>
  <c r="G102" i="2"/>
  <c r="O103" i="2" l="1"/>
  <c r="P103" i="2"/>
  <c r="L103" i="2"/>
  <c r="A104" i="2"/>
  <c r="E103" i="2"/>
  <c r="H103" i="2"/>
  <c r="I103" i="2"/>
  <c r="K103" i="2"/>
  <c r="C103" i="2"/>
  <c r="N103" i="2"/>
  <c r="F103" i="2"/>
  <c r="G103" i="2"/>
  <c r="D103" i="2"/>
  <c r="B103" i="2"/>
  <c r="J103" i="2"/>
  <c r="M103" i="2"/>
  <c r="F104" i="2" l="1"/>
  <c r="N104" i="2"/>
  <c r="L104" i="2"/>
  <c r="H104" i="2"/>
  <c r="K104" i="2"/>
  <c r="B104" i="2"/>
  <c r="P104" i="2"/>
  <c r="G104" i="2"/>
  <c r="M104" i="2"/>
  <c r="J104" i="2"/>
  <c r="I104" i="2"/>
  <c r="C104" i="2"/>
  <c r="O104" i="2"/>
  <c r="A105" i="2"/>
  <c r="E104" i="2"/>
  <c r="D104" i="2"/>
  <c r="K105" i="2" l="1"/>
  <c r="H105" i="2"/>
  <c r="G105" i="2"/>
  <c r="O105" i="2"/>
  <c r="P105" i="2"/>
  <c r="L105" i="2"/>
  <c r="B105" i="2"/>
  <c r="F105" i="2"/>
  <c r="M105" i="2"/>
  <c r="A106" i="2"/>
  <c r="C105" i="2"/>
  <c r="E105" i="2"/>
  <c r="N105" i="2"/>
  <c r="I105" i="2"/>
  <c r="D105" i="2"/>
  <c r="J105" i="2"/>
  <c r="H106" i="2" l="1"/>
  <c r="P106" i="2"/>
  <c r="J106" i="2"/>
  <c r="O106" i="2"/>
  <c r="A107" i="2"/>
  <c r="K106" i="2"/>
  <c r="M106" i="2"/>
  <c r="D106" i="2"/>
  <c r="N106" i="2"/>
  <c r="F106" i="2"/>
  <c r="L106" i="2"/>
  <c r="I106" i="2"/>
  <c r="B106" i="2"/>
  <c r="E106" i="2"/>
  <c r="G106" i="2"/>
  <c r="C106" i="2"/>
  <c r="H107" i="2" l="1"/>
  <c r="J107" i="2"/>
  <c r="P107" i="2"/>
  <c r="A108" i="2"/>
  <c r="F107" i="2"/>
  <c r="G107" i="2"/>
  <c r="K107" i="2"/>
  <c r="N107" i="2"/>
  <c r="M107" i="2"/>
  <c r="L107" i="2"/>
  <c r="D107" i="2"/>
  <c r="C107" i="2"/>
  <c r="B107" i="2"/>
  <c r="I107" i="2"/>
  <c r="O107" i="2"/>
  <c r="E107" i="2"/>
  <c r="P108" i="2" l="1"/>
  <c r="F108" i="2"/>
  <c r="N108" i="2"/>
  <c r="M108" i="2"/>
  <c r="G108" i="2"/>
  <c r="K108" i="2"/>
  <c r="L108" i="2"/>
  <c r="A109" i="2"/>
  <c r="C108" i="2"/>
  <c r="D108" i="2"/>
  <c r="E108" i="2"/>
  <c r="B108" i="2"/>
  <c r="H108" i="2"/>
  <c r="I108" i="2"/>
  <c r="O108" i="2"/>
  <c r="J108" i="2"/>
  <c r="K109" i="2" l="1"/>
  <c r="N109" i="2"/>
  <c r="H109" i="2"/>
  <c r="C109" i="2"/>
  <c r="E109" i="2"/>
  <c r="I109" i="2"/>
  <c r="P109" i="2"/>
  <c r="G109" i="2"/>
  <c r="D109" i="2"/>
  <c r="J109" i="2"/>
  <c r="F109" i="2"/>
  <c r="M109" i="2"/>
  <c r="O109" i="2"/>
  <c r="L109" i="2"/>
  <c r="A110" i="2"/>
  <c r="B109" i="2"/>
  <c r="O110" i="2" l="1"/>
  <c r="I110" i="2"/>
  <c r="J110" i="2"/>
  <c r="K110" i="2"/>
  <c r="E110" i="2"/>
  <c r="H110" i="2"/>
  <c r="L110" i="2"/>
  <c r="M110" i="2"/>
  <c r="F110" i="2"/>
  <c r="N110" i="2"/>
  <c r="B110" i="2"/>
  <c r="C110" i="2"/>
  <c r="A111" i="2"/>
  <c r="D110" i="2"/>
  <c r="G110" i="2"/>
  <c r="P110" i="2"/>
  <c r="M111" i="2" l="1"/>
  <c r="F111" i="2"/>
  <c r="H111" i="2"/>
  <c r="J111" i="2"/>
  <c r="L111" i="2"/>
  <c r="N111" i="2"/>
  <c r="O111" i="2"/>
  <c r="A112" i="2"/>
  <c r="I111" i="2"/>
  <c r="K111" i="2"/>
  <c r="D111" i="2"/>
  <c r="P111" i="2"/>
  <c r="C111" i="2"/>
  <c r="E111" i="2"/>
  <c r="B111" i="2"/>
  <c r="G111" i="2"/>
  <c r="P112" i="2" l="1"/>
  <c r="L112" i="2"/>
  <c r="B112" i="2"/>
  <c r="F112" i="2"/>
  <c r="C112" i="2"/>
  <c r="E112" i="2"/>
  <c r="G112" i="2"/>
  <c r="M112" i="2"/>
  <c r="H112" i="2"/>
  <c r="D112" i="2"/>
  <c r="A113" i="2"/>
  <c r="I112" i="2"/>
  <c r="J112" i="2"/>
  <c r="K112" i="2"/>
  <c r="O112" i="2"/>
  <c r="N112" i="2"/>
  <c r="N113" i="2" l="1"/>
  <c r="B113" i="2"/>
  <c r="P113" i="2"/>
  <c r="F113" i="2"/>
  <c r="L113" i="2"/>
  <c r="J113" i="2"/>
  <c r="K113" i="2"/>
  <c r="G113" i="2"/>
  <c r="A114" i="2"/>
  <c r="C113" i="2"/>
  <c r="D113" i="2"/>
  <c r="E113" i="2"/>
  <c r="M113" i="2"/>
  <c r="H113" i="2"/>
  <c r="I113" i="2"/>
  <c r="O113" i="2"/>
  <c r="P114" i="2" l="1"/>
  <c r="M114" i="2"/>
  <c r="H114" i="2"/>
  <c r="J114" i="2"/>
  <c r="C114" i="2"/>
  <c r="G114" i="2"/>
  <c r="B114" i="2"/>
  <c r="K114" i="2"/>
  <c r="L114" i="2"/>
  <c r="D114" i="2"/>
  <c r="E114" i="2"/>
  <c r="A115" i="2"/>
  <c r="F114" i="2"/>
  <c r="I114" i="2"/>
  <c r="O114" i="2"/>
  <c r="N114" i="2"/>
  <c r="G115" i="2" l="1"/>
  <c r="L115" i="2"/>
  <c r="A116" i="2"/>
  <c r="C115" i="2"/>
  <c r="E115" i="2"/>
  <c r="J115" i="2"/>
  <c r="B115" i="2"/>
  <c r="M115" i="2"/>
  <c r="H115" i="2"/>
  <c r="P115" i="2"/>
  <c r="D115" i="2"/>
  <c r="I115" i="2"/>
  <c r="K115" i="2"/>
  <c r="O115" i="2"/>
  <c r="F115" i="2"/>
  <c r="N115" i="2"/>
  <c r="G116" i="2" l="1"/>
  <c r="H116" i="2"/>
  <c r="C116" i="2"/>
  <c r="L116" i="2"/>
  <c r="A117" i="2"/>
  <c r="B116" i="2"/>
  <c r="K116" i="2"/>
  <c r="F116" i="2"/>
  <c r="D116" i="2"/>
  <c r="I116" i="2"/>
  <c r="O116" i="2"/>
  <c r="M116" i="2"/>
  <c r="N116" i="2"/>
  <c r="P116" i="2"/>
  <c r="J116" i="2"/>
  <c r="E116" i="2"/>
  <c r="M117" i="2" l="1"/>
  <c r="C117" i="2"/>
  <c r="O117" i="2"/>
  <c r="A118" i="2"/>
  <c r="E117" i="2"/>
  <c r="F117" i="2"/>
  <c r="B117" i="2"/>
  <c r="N117" i="2"/>
  <c r="P117" i="2"/>
  <c r="D117" i="2"/>
  <c r="K117" i="2"/>
  <c r="H117" i="2"/>
  <c r="I117" i="2"/>
  <c r="J117" i="2"/>
  <c r="G117" i="2"/>
  <c r="L117" i="2"/>
  <c r="D118" i="2" l="1"/>
  <c r="I118" i="2"/>
  <c r="N118" i="2"/>
  <c r="M118" i="2"/>
  <c r="E118" i="2"/>
  <c r="G118" i="2"/>
  <c r="K118" i="2"/>
  <c r="P118" i="2"/>
  <c r="J118" i="2"/>
  <c r="L118" i="2"/>
  <c r="B118" i="2"/>
  <c r="H118" i="2"/>
  <c r="C118" i="2"/>
  <c r="A119" i="2"/>
  <c r="F118" i="2"/>
  <c r="O118" i="2"/>
  <c r="B119" i="2" l="1"/>
  <c r="K119" i="2"/>
  <c r="P119" i="2"/>
  <c r="H119" i="2"/>
  <c r="A120" i="2"/>
  <c r="E119" i="2"/>
  <c r="G119" i="2"/>
  <c r="J119" i="2"/>
  <c r="I119" i="2"/>
  <c r="C119" i="2"/>
  <c r="D119" i="2"/>
  <c r="F119" i="2"/>
  <c r="L119" i="2"/>
  <c r="M119" i="2"/>
  <c r="N119" i="2"/>
  <c r="O119" i="2"/>
  <c r="I120" i="2" l="1"/>
  <c r="L120" i="2"/>
  <c r="K120" i="2"/>
  <c r="M120" i="2"/>
  <c r="C120" i="2"/>
  <c r="A121" i="2"/>
  <c r="D120" i="2"/>
  <c r="F120" i="2"/>
  <c r="E120" i="2"/>
  <c r="H120" i="2"/>
  <c r="N120" i="2"/>
  <c r="O120" i="2"/>
  <c r="P120" i="2"/>
  <c r="B120" i="2"/>
  <c r="J120" i="2"/>
  <c r="G120" i="2"/>
  <c r="M121" i="2" l="1"/>
  <c r="B121" i="2"/>
  <c r="N121" i="2"/>
  <c r="P121" i="2"/>
  <c r="F121" i="2"/>
  <c r="A122" i="2"/>
  <c r="E121" i="2"/>
  <c r="G121" i="2"/>
  <c r="O121" i="2"/>
  <c r="D121" i="2"/>
  <c r="H121" i="2"/>
  <c r="C121" i="2"/>
  <c r="I121" i="2"/>
  <c r="L121" i="2"/>
  <c r="J121" i="2"/>
  <c r="K121" i="2"/>
  <c r="I122" i="2" l="1"/>
  <c r="C122" i="2"/>
  <c r="E122" i="2"/>
  <c r="F122" i="2"/>
  <c r="K122" i="2"/>
  <c r="L122" i="2"/>
  <c r="O122" i="2"/>
  <c r="P122" i="2"/>
  <c r="A123" i="2"/>
  <c r="M122" i="2"/>
  <c r="B122" i="2"/>
  <c r="J122" i="2"/>
  <c r="D122" i="2"/>
  <c r="N122" i="2"/>
  <c r="G122" i="2"/>
  <c r="H122" i="2"/>
  <c r="N123" i="2" l="1"/>
  <c r="D123" i="2"/>
  <c r="E123" i="2"/>
  <c r="H123" i="2"/>
  <c r="K123" i="2"/>
  <c r="A124" i="2"/>
  <c r="G123" i="2"/>
  <c r="I123" i="2"/>
  <c r="O123" i="2"/>
  <c r="L123" i="2"/>
  <c r="C123" i="2"/>
  <c r="B123" i="2"/>
  <c r="J123" i="2"/>
  <c r="P123" i="2"/>
  <c r="F123" i="2"/>
  <c r="M123" i="2"/>
  <c r="L124" i="2" l="1"/>
  <c r="M124" i="2"/>
  <c r="I124" i="2"/>
  <c r="C124" i="2"/>
  <c r="J124" i="2"/>
  <c r="B124" i="2"/>
  <c r="H124" i="2"/>
  <c r="O124" i="2"/>
  <c r="N124" i="2"/>
  <c r="A125" i="2"/>
  <c r="D124" i="2"/>
  <c r="F124" i="2"/>
  <c r="K124" i="2"/>
  <c r="P124" i="2"/>
  <c r="E124" i="2"/>
  <c r="G124" i="2"/>
  <c r="B125" i="2" l="1"/>
  <c r="H125" i="2"/>
  <c r="D125" i="2"/>
  <c r="E125" i="2"/>
  <c r="I125" i="2"/>
  <c r="N125" i="2"/>
  <c r="O125" i="2"/>
  <c r="P125" i="2"/>
  <c r="A126" i="2"/>
  <c r="C125" i="2"/>
  <c r="M125" i="2"/>
  <c r="G125" i="2"/>
  <c r="K125" i="2"/>
  <c r="J125" i="2"/>
  <c r="L125" i="2"/>
  <c r="F125" i="2"/>
  <c r="F126" i="2" l="1"/>
  <c r="G126" i="2"/>
  <c r="B126" i="2"/>
  <c r="A127" i="2"/>
  <c r="K126" i="2"/>
  <c r="I126" i="2"/>
  <c r="D126" i="2"/>
  <c r="N126" i="2"/>
  <c r="P126" i="2"/>
  <c r="L126" i="2"/>
  <c r="M126" i="2"/>
  <c r="C126" i="2"/>
  <c r="E126" i="2"/>
  <c r="H126" i="2"/>
  <c r="J126" i="2"/>
  <c r="O126" i="2"/>
  <c r="O127" i="2" l="1"/>
  <c r="C127" i="2"/>
  <c r="B127" i="2"/>
  <c r="H127" i="2"/>
  <c r="P127" i="2"/>
  <c r="M127" i="2"/>
  <c r="D127" i="2"/>
  <c r="G127" i="2"/>
  <c r="J127" i="2"/>
  <c r="N127" i="2"/>
  <c r="I127" i="2"/>
  <c r="A128" i="2"/>
  <c r="F127" i="2"/>
  <c r="E127" i="2"/>
  <c r="K127" i="2"/>
  <c r="L127" i="2"/>
  <c r="E128" i="2" l="1"/>
  <c r="G128" i="2"/>
  <c r="J128" i="2"/>
  <c r="K128" i="2"/>
  <c r="L128" i="2"/>
  <c r="M128" i="2"/>
  <c r="A129" i="2"/>
  <c r="C128" i="2"/>
  <c r="F128" i="2"/>
  <c r="I128" i="2"/>
  <c r="N128" i="2"/>
  <c r="H128" i="2"/>
  <c r="B128" i="2"/>
  <c r="O128" i="2"/>
  <c r="P128" i="2"/>
  <c r="D128" i="2"/>
  <c r="P129" i="2" l="1"/>
  <c r="D129" i="2"/>
  <c r="L129" i="2"/>
  <c r="N129" i="2"/>
  <c r="K129" i="2"/>
  <c r="O129" i="2"/>
  <c r="G129" i="2"/>
  <c r="J129" i="2"/>
  <c r="B129" i="2"/>
  <c r="M129" i="2"/>
  <c r="F129" i="2"/>
  <c r="I129" i="2"/>
  <c r="A130" i="2"/>
  <c r="C129" i="2"/>
  <c r="E129" i="2"/>
  <c r="H129" i="2"/>
  <c r="G130" i="2" l="1"/>
  <c r="O130" i="2"/>
  <c r="M130" i="2"/>
  <c r="B130" i="2"/>
  <c r="I130" i="2"/>
  <c r="F130" i="2"/>
  <c r="H130" i="2"/>
  <c r="A131" i="2"/>
  <c r="C130" i="2"/>
  <c r="D130" i="2"/>
  <c r="E130" i="2"/>
  <c r="J130" i="2"/>
  <c r="N130" i="2"/>
  <c r="P130" i="2"/>
  <c r="K130" i="2"/>
  <c r="L130" i="2"/>
  <c r="D131" i="2" l="1"/>
  <c r="F131" i="2"/>
  <c r="G131" i="2"/>
  <c r="M131" i="2"/>
  <c r="N131" i="2"/>
  <c r="B131" i="2"/>
  <c r="A132" i="2"/>
  <c r="J131" i="2"/>
  <c r="H131" i="2"/>
  <c r="I131" i="2"/>
  <c r="P131" i="2"/>
  <c r="L131" i="2"/>
  <c r="K131" i="2"/>
  <c r="E131" i="2"/>
  <c r="O131" i="2"/>
  <c r="C131" i="2"/>
  <c r="M132" i="2" l="1"/>
  <c r="N132" i="2"/>
  <c r="P132" i="2"/>
  <c r="D132" i="2"/>
  <c r="L132" i="2"/>
  <c r="G132" i="2"/>
  <c r="F132" i="2"/>
  <c r="K132" i="2"/>
  <c r="B132" i="2"/>
  <c r="H132" i="2"/>
  <c r="I132" i="2"/>
  <c r="J132" i="2"/>
  <c r="A133" i="2"/>
  <c r="O132" i="2"/>
  <c r="C132" i="2"/>
  <c r="E132" i="2"/>
  <c r="N133" i="2" l="1"/>
  <c r="B133" i="2"/>
  <c r="H133" i="2"/>
  <c r="D133" i="2"/>
  <c r="L133" i="2"/>
  <c r="A134" i="2"/>
  <c r="O133" i="2"/>
  <c r="P133" i="2"/>
  <c r="M133" i="2"/>
  <c r="G133" i="2"/>
  <c r="C133" i="2"/>
  <c r="J133" i="2"/>
  <c r="E133" i="2"/>
  <c r="F133" i="2"/>
  <c r="I133" i="2"/>
  <c r="K133" i="2"/>
  <c r="B134" i="2" l="1"/>
  <c r="I134" i="2"/>
  <c r="L134" i="2"/>
  <c r="E134" i="2"/>
  <c r="N134" i="2"/>
  <c r="M134" i="2"/>
  <c r="A135" i="2"/>
  <c r="H134" i="2"/>
  <c r="O134" i="2"/>
  <c r="P134" i="2"/>
  <c r="D134" i="2"/>
  <c r="C134" i="2"/>
  <c r="G134" i="2"/>
  <c r="K134" i="2"/>
  <c r="F134" i="2"/>
  <c r="J134" i="2"/>
  <c r="L135" i="2" l="1"/>
  <c r="N135" i="2"/>
  <c r="A136" i="2"/>
  <c r="E135" i="2"/>
  <c r="G135" i="2"/>
  <c r="P135" i="2"/>
  <c r="M135" i="2"/>
  <c r="B135" i="2"/>
  <c r="H135" i="2"/>
  <c r="O135" i="2"/>
  <c r="K135" i="2"/>
  <c r="D135" i="2"/>
  <c r="I135" i="2"/>
  <c r="C135" i="2"/>
  <c r="J135" i="2"/>
  <c r="F135" i="2"/>
  <c r="L136" i="2" l="1"/>
  <c r="P136" i="2"/>
  <c r="B136" i="2"/>
  <c r="M136" i="2"/>
  <c r="C136" i="2"/>
  <c r="D136" i="2"/>
  <c r="E136" i="2"/>
  <c r="J136" i="2"/>
  <c r="G136" i="2"/>
  <c r="N136" i="2"/>
  <c r="K136" i="2"/>
  <c r="O136" i="2"/>
  <c r="H136" i="2"/>
  <c r="I136" i="2"/>
  <c r="A137" i="2"/>
  <c r="F136" i="2"/>
  <c r="P137" i="2" l="1"/>
  <c r="E137" i="2"/>
  <c r="D137" i="2"/>
  <c r="F137" i="2"/>
  <c r="B137" i="2"/>
  <c r="O137" i="2"/>
  <c r="N137" i="2"/>
  <c r="H137" i="2"/>
  <c r="I137" i="2"/>
  <c r="K137" i="2"/>
  <c r="A138" i="2"/>
  <c r="M137" i="2"/>
  <c r="C137" i="2"/>
  <c r="L137" i="2"/>
  <c r="G137" i="2"/>
  <c r="J137" i="2"/>
  <c r="I138" i="2" l="1"/>
  <c r="K138" i="2"/>
  <c r="L138" i="2"/>
  <c r="N138" i="2"/>
  <c r="P138" i="2"/>
  <c r="A139" i="2"/>
  <c r="G138" i="2"/>
  <c r="D138" i="2"/>
  <c r="J138" i="2"/>
  <c r="M138" i="2"/>
  <c r="H138" i="2"/>
  <c r="O138" i="2"/>
  <c r="B138" i="2"/>
  <c r="F138" i="2"/>
  <c r="C138" i="2"/>
  <c r="E138" i="2"/>
  <c r="I139" i="2" l="1"/>
  <c r="J139" i="2"/>
  <c r="N139" i="2"/>
  <c r="P139" i="2"/>
  <c r="O139" i="2"/>
  <c r="A140" i="2"/>
  <c r="D139" i="2"/>
  <c r="M139" i="2"/>
  <c r="B139" i="2"/>
  <c r="K139" i="2"/>
  <c r="L139" i="2"/>
  <c r="E139" i="2"/>
  <c r="G139" i="2"/>
  <c r="C139" i="2"/>
  <c r="F139" i="2"/>
  <c r="H139" i="2"/>
  <c r="O140" i="2" l="1"/>
  <c r="P140" i="2"/>
  <c r="K140" i="2"/>
  <c r="L140" i="2"/>
  <c r="C140" i="2"/>
  <c r="E140" i="2"/>
  <c r="A141" i="2"/>
  <c r="F140" i="2"/>
  <c r="H140" i="2"/>
  <c r="M140" i="2"/>
  <c r="N140" i="2"/>
  <c r="B140" i="2"/>
  <c r="J140" i="2"/>
  <c r="G140" i="2"/>
  <c r="D140" i="2"/>
  <c r="I140" i="2"/>
  <c r="F141" i="2" l="1"/>
  <c r="B141" i="2"/>
  <c r="K141" i="2"/>
  <c r="L141" i="2"/>
  <c r="M141" i="2"/>
  <c r="C141" i="2"/>
  <c r="G141" i="2"/>
  <c r="N141" i="2"/>
  <c r="H141" i="2"/>
  <c r="I141" i="2"/>
  <c r="A142" i="2"/>
  <c r="E141" i="2"/>
  <c r="P141" i="2"/>
  <c r="D141" i="2"/>
  <c r="J141" i="2"/>
  <c r="O141" i="2"/>
  <c r="G142" i="2" l="1"/>
  <c r="J142" i="2"/>
  <c r="H142" i="2"/>
  <c r="N142" i="2"/>
  <c r="C142" i="2"/>
  <c r="D142" i="2"/>
  <c r="K142" i="2"/>
  <c r="L142" i="2"/>
  <c r="F142" i="2"/>
  <c r="M142" i="2"/>
  <c r="P142" i="2"/>
  <c r="I142" i="2"/>
  <c r="B142" i="2"/>
  <c r="A143" i="2"/>
  <c r="E142" i="2"/>
  <c r="O142" i="2"/>
  <c r="L143" i="2" l="1"/>
  <c r="B143" i="2"/>
  <c r="H143" i="2"/>
  <c r="I143" i="2"/>
  <c r="G143" i="2"/>
  <c r="D143" i="2"/>
  <c r="F143" i="2"/>
  <c r="C143" i="2"/>
  <c r="M143" i="2"/>
  <c r="N143" i="2"/>
  <c r="P143" i="2"/>
  <c r="A144" i="2"/>
  <c r="O143" i="2"/>
  <c r="J143" i="2"/>
  <c r="E143" i="2"/>
  <c r="K143" i="2"/>
  <c r="C144" i="2" l="1"/>
  <c r="E144" i="2"/>
  <c r="J144" i="2"/>
  <c r="F144" i="2"/>
  <c r="B144" i="2"/>
  <c r="H144" i="2"/>
  <c r="I144" i="2"/>
  <c r="K144" i="2"/>
  <c r="D144" i="2"/>
  <c r="P144" i="2"/>
  <c r="M144" i="2"/>
  <c r="O144" i="2"/>
  <c r="L144" i="2"/>
  <c r="A145" i="2"/>
  <c r="G144" i="2"/>
  <c r="N144" i="2"/>
  <c r="P145" i="2" l="1"/>
  <c r="J145" i="2"/>
  <c r="K145" i="2"/>
  <c r="M145" i="2"/>
  <c r="F145" i="2"/>
  <c r="A146" i="2"/>
  <c r="G145" i="2"/>
  <c r="I145" i="2"/>
  <c r="L145" i="2"/>
  <c r="H145" i="2"/>
  <c r="B145" i="2"/>
  <c r="E145" i="2"/>
  <c r="D145" i="2"/>
  <c r="O145" i="2"/>
  <c r="C145" i="2"/>
  <c r="N145" i="2"/>
  <c r="N146" i="2" l="1"/>
  <c r="I146" i="2"/>
  <c r="K146" i="2"/>
  <c r="P146" i="2"/>
  <c r="C146" i="2"/>
  <c r="E146" i="2"/>
  <c r="J146" i="2"/>
  <c r="O146" i="2"/>
  <c r="B146" i="2"/>
  <c r="H146" i="2"/>
  <c r="L146" i="2"/>
  <c r="D146" i="2"/>
  <c r="F146" i="2"/>
  <c r="A147" i="2"/>
  <c r="G146" i="2"/>
  <c r="M146" i="2"/>
  <c r="K147" i="2" l="1"/>
  <c r="M147" i="2"/>
  <c r="P147" i="2"/>
  <c r="H147" i="2"/>
  <c r="N147" i="2"/>
  <c r="E147" i="2"/>
  <c r="O147" i="2"/>
  <c r="A148" i="2"/>
  <c r="I147" i="2"/>
  <c r="L147" i="2"/>
  <c r="J147" i="2"/>
  <c r="B147" i="2"/>
  <c r="F147" i="2"/>
  <c r="D147" i="2"/>
  <c r="C147" i="2"/>
  <c r="G147" i="2"/>
  <c r="L148" i="2" l="1"/>
  <c r="J148" i="2"/>
  <c r="B148" i="2"/>
  <c r="A149" i="2"/>
  <c r="D148" i="2"/>
  <c r="C148" i="2"/>
  <c r="I148" i="2"/>
  <c r="M148" i="2"/>
  <c r="N148" i="2"/>
  <c r="P148" i="2"/>
  <c r="E148" i="2"/>
  <c r="O148" i="2"/>
  <c r="H148" i="2"/>
  <c r="K148" i="2"/>
  <c r="F148" i="2"/>
  <c r="G148" i="2"/>
  <c r="N149" i="2" l="1"/>
  <c r="D149" i="2"/>
  <c r="E149" i="2"/>
  <c r="B149" i="2"/>
  <c r="A150" i="2"/>
  <c r="M149" i="2"/>
  <c r="P149" i="2"/>
  <c r="L149" i="2"/>
  <c r="O149" i="2"/>
  <c r="H149" i="2"/>
  <c r="J149" i="2"/>
  <c r="I149" i="2"/>
  <c r="C149" i="2"/>
  <c r="F149" i="2"/>
  <c r="G149" i="2"/>
  <c r="K149" i="2"/>
  <c r="I150" i="2" l="1"/>
  <c r="D150" i="2"/>
  <c r="E150" i="2"/>
  <c r="G150" i="2"/>
  <c r="N150" i="2"/>
  <c r="A151" i="2"/>
  <c r="C150" i="2"/>
  <c r="M150" i="2"/>
  <c r="K150" i="2"/>
  <c r="O150" i="2"/>
  <c r="L150" i="2"/>
  <c r="B150" i="2"/>
  <c r="F150" i="2"/>
  <c r="H150" i="2"/>
  <c r="J150" i="2"/>
  <c r="P150" i="2"/>
  <c r="I151" i="2" l="1"/>
  <c r="L151" i="2"/>
  <c r="N151" i="2"/>
  <c r="P151" i="2"/>
  <c r="A152" i="2"/>
  <c r="E151" i="2"/>
  <c r="D151" i="2"/>
  <c r="K151" i="2"/>
  <c r="C151" i="2"/>
  <c r="O151" i="2"/>
  <c r="M151" i="2"/>
  <c r="G151" i="2"/>
  <c r="J151" i="2"/>
  <c r="H151" i="2"/>
  <c r="B151" i="2"/>
  <c r="F151" i="2"/>
  <c r="K152" i="2" l="1"/>
  <c r="M152" i="2"/>
  <c r="P152" i="2"/>
  <c r="I152" i="2"/>
  <c r="J152" i="2"/>
  <c r="G152" i="2"/>
  <c r="A153" i="2"/>
  <c r="B152" i="2"/>
  <c r="D152" i="2"/>
  <c r="L152" i="2"/>
  <c r="F152" i="2"/>
  <c r="C152" i="2"/>
  <c r="O152" i="2"/>
  <c r="H152" i="2"/>
  <c r="N152" i="2"/>
  <c r="E152" i="2"/>
  <c r="M153" i="2" l="1"/>
  <c r="K153" i="2"/>
  <c r="L153" i="2"/>
  <c r="N153" i="2"/>
  <c r="D153" i="2"/>
  <c r="I153" i="2"/>
  <c r="H153" i="2"/>
  <c r="G153" i="2"/>
  <c r="B153" i="2"/>
  <c r="P153" i="2"/>
  <c r="C153" i="2"/>
  <c r="E153" i="2"/>
  <c r="O153" i="2"/>
  <c r="A154" i="2"/>
  <c r="F153" i="2"/>
  <c r="J153" i="2"/>
  <c r="H154" i="2" l="1"/>
  <c r="I154" i="2"/>
  <c r="J154" i="2"/>
  <c r="K154" i="2"/>
  <c r="M154" i="2"/>
  <c r="N154" i="2"/>
  <c r="O154" i="2"/>
  <c r="A155" i="2"/>
  <c r="G154" i="2"/>
  <c r="D154" i="2"/>
  <c r="B154" i="2"/>
  <c r="P154" i="2"/>
  <c r="E154" i="2"/>
  <c r="C154" i="2"/>
  <c r="F154" i="2"/>
  <c r="L154" i="2"/>
  <c r="P155" i="2" l="1"/>
  <c r="H155" i="2"/>
  <c r="O155" i="2"/>
  <c r="C155" i="2"/>
  <c r="I155" i="2"/>
  <c r="F155" i="2"/>
  <c r="J155" i="2"/>
  <c r="L155" i="2"/>
  <c r="N155" i="2"/>
  <c r="G155" i="2"/>
  <c r="B155" i="2"/>
  <c r="A156" i="2"/>
  <c r="E155" i="2"/>
  <c r="D155" i="2"/>
  <c r="K155" i="2"/>
  <c r="M155" i="2"/>
  <c r="O156" i="2" l="1"/>
  <c r="P156" i="2"/>
  <c r="L156" i="2"/>
  <c r="D156" i="2"/>
  <c r="G156" i="2"/>
  <c r="J156" i="2"/>
  <c r="F156" i="2"/>
  <c r="H156" i="2"/>
  <c r="B156" i="2"/>
  <c r="K156" i="2"/>
  <c r="E156" i="2"/>
  <c r="M156" i="2"/>
  <c r="C156" i="2"/>
  <c r="A157" i="2"/>
  <c r="I156" i="2"/>
  <c r="N156" i="2"/>
  <c r="J157" i="2" l="1"/>
  <c r="I157" i="2"/>
  <c r="D157" i="2"/>
  <c r="N157" i="2"/>
  <c r="K157" i="2"/>
  <c r="M157" i="2"/>
  <c r="O157" i="2"/>
  <c r="B157" i="2"/>
  <c r="P157" i="2"/>
  <c r="G157" i="2"/>
  <c r="E157" i="2"/>
  <c r="H157" i="2"/>
  <c r="A158" i="2"/>
  <c r="C157" i="2"/>
  <c r="F157" i="2"/>
  <c r="L157" i="2"/>
  <c r="G158" i="2" l="1"/>
  <c r="K158" i="2"/>
  <c r="N158" i="2"/>
  <c r="E158" i="2"/>
  <c r="B158" i="2"/>
  <c r="P158" i="2"/>
  <c r="J158" i="2"/>
  <c r="H158" i="2"/>
  <c r="O158" i="2"/>
  <c r="F158" i="2"/>
  <c r="D158" i="2"/>
  <c r="M158" i="2"/>
  <c r="C158" i="2"/>
  <c r="A159" i="2"/>
  <c r="I158" i="2"/>
  <c r="L158" i="2"/>
  <c r="G159" i="2" l="1"/>
  <c r="H159" i="2"/>
  <c r="E159" i="2"/>
  <c r="N159" i="2"/>
  <c r="P159" i="2"/>
  <c r="I159" i="2"/>
  <c r="J159" i="2"/>
  <c r="B159" i="2"/>
  <c r="L159" i="2"/>
  <c r="K159" i="2"/>
  <c r="A160" i="2"/>
  <c r="C159" i="2"/>
  <c r="M159" i="2"/>
  <c r="F159" i="2"/>
  <c r="D159" i="2"/>
  <c r="O159" i="2"/>
  <c r="C160" i="2" l="1"/>
  <c r="B160" i="2"/>
  <c r="H160" i="2"/>
  <c r="K160" i="2"/>
  <c r="E160" i="2"/>
  <c r="F160" i="2"/>
  <c r="I160" i="2"/>
  <c r="N160" i="2"/>
  <c r="L160" i="2"/>
  <c r="J160" i="2"/>
  <c r="P160" i="2"/>
  <c r="D160" i="2"/>
  <c r="O160" i="2"/>
  <c r="A161" i="2"/>
  <c r="G160" i="2"/>
  <c r="M160" i="2"/>
  <c r="J161" i="2" l="1"/>
  <c r="K161" i="2"/>
  <c r="M161" i="2"/>
  <c r="G161" i="2"/>
  <c r="H161" i="2"/>
  <c r="O161" i="2"/>
  <c r="D161" i="2"/>
  <c r="F161" i="2"/>
  <c r="N161" i="2"/>
  <c r="P161" i="2"/>
  <c r="B161" i="2"/>
  <c r="C161" i="2"/>
  <c r="I161" i="2"/>
  <c r="E161" i="2"/>
  <c r="A162" i="2"/>
  <c r="L161" i="2"/>
  <c r="O162" i="2" l="1"/>
  <c r="P162" i="2"/>
  <c r="I162" i="2"/>
  <c r="J162" i="2"/>
  <c r="H162" i="2"/>
  <c r="C162" i="2"/>
  <c r="G162" i="2"/>
  <c r="K162" i="2"/>
  <c r="L162" i="2"/>
  <c r="B162" i="2"/>
  <c r="A163" i="2"/>
  <c r="D162" i="2"/>
  <c r="E162" i="2"/>
  <c r="F162" i="2"/>
  <c r="N162" i="2"/>
  <c r="M162" i="2"/>
  <c r="J163" i="2" l="1"/>
  <c r="M163" i="2"/>
  <c r="H163" i="2"/>
  <c r="N163" i="2"/>
  <c r="P163" i="2"/>
  <c r="A164" i="2"/>
  <c r="K163" i="2"/>
  <c r="G163" i="2"/>
  <c r="O163" i="2"/>
  <c r="E163" i="2"/>
  <c r="B163" i="2"/>
  <c r="F163" i="2"/>
  <c r="I163" i="2"/>
  <c r="C163" i="2"/>
  <c r="L163" i="2"/>
  <c r="D163" i="2"/>
  <c r="L164" i="2" l="1"/>
  <c r="M164" i="2"/>
  <c r="E164" i="2"/>
  <c r="J164" i="2"/>
  <c r="H164" i="2"/>
  <c r="O164" i="2"/>
  <c r="F164" i="2"/>
  <c r="G164" i="2"/>
  <c r="I164" i="2"/>
  <c r="N164" i="2"/>
  <c r="A165" i="2"/>
  <c r="C164" i="2"/>
  <c r="B164" i="2"/>
  <c r="K164" i="2"/>
  <c r="D164" i="2"/>
  <c r="P164" i="2"/>
  <c r="G165" i="2" l="1"/>
  <c r="K165" i="2"/>
  <c r="C165" i="2"/>
  <c r="E165" i="2"/>
  <c r="M165" i="2"/>
  <c r="D165" i="2"/>
  <c r="I165" i="2"/>
  <c r="P165" i="2"/>
  <c r="N165" i="2"/>
  <c r="F165" i="2"/>
  <c r="J165" i="2"/>
  <c r="L165" i="2"/>
  <c r="A166" i="2"/>
  <c r="O165" i="2"/>
  <c r="B165" i="2"/>
  <c r="H165" i="2"/>
  <c r="C166" i="2" l="1"/>
  <c r="J166" i="2"/>
  <c r="L166" i="2"/>
  <c r="A167" i="2"/>
  <c r="E166" i="2"/>
  <c r="G166" i="2"/>
  <c r="H166" i="2"/>
  <c r="K166" i="2"/>
  <c r="N166" i="2"/>
  <c r="B166" i="2"/>
  <c r="I166" i="2"/>
  <c r="M166" i="2"/>
  <c r="O166" i="2"/>
  <c r="D166" i="2"/>
  <c r="F166" i="2"/>
  <c r="P166" i="2"/>
  <c r="K167" i="2" l="1"/>
  <c r="L167" i="2"/>
  <c r="M167" i="2"/>
  <c r="O167" i="2"/>
  <c r="B167" i="2"/>
  <c r="P167" i="2"/>
  <c r="I167" i="2"/>
  <c r="J167" i="2"/>
  <c r="E167" i="2"/>
  <c r="G167" i="2"/>
  <c r="D167" i="2"/>
  <c r="F167" i="2"/>
  <c r="C167" i="2"/>
  <c r="N167" i="2"/>
  <c r="A168" i="2"/>
  <c r="H167" i="2"/>
  <c r="N168" i="2" l="1"/>
  <c r="K168" i="2"/>
  <c r="A169" i="2"/>
  <c r="E168" i="2"/>
  <c r="G168" i="2"/>
  <c r="C168" i="2"/>
  <c r="M168" i="2"/>
  <c r="O168" i="2"/>
  <c r="P168" i="2"/>
  <c r="H168" i="2"/>
  <c r="J168" i="2"/>
  <c r="B168" i="2"/>
  <c r="D168" i="2"/>
  <c r="I168" i="2"/>
  <c r="F168" i="2"/>
  <c r="L168" i="2"/>
  <c r="E169" i="2" l="1"/>
  <c r="I169" i="2"/>
  <c r="L169" i="2"/>
  <c r="A170" i="2"/>
  <c r="D169" i="2"/>
  <c r="J169" i="2"/>
  <c r="H169" i="2"/>
  <c r="K169" i="2"/>
  <c r="M169" i="2"/>
  <c r="O169" i="2"/>
  <c r="P169" i="2"/>
  <c r="F169" i="2"/>
  <c r="B169" i="2"/>
  <c r="N169" i="2"/>
  <c r="G169" i="2"/>
  <c r="C169" i="2"/>
  <c r="G170" i="2" l="1"/>
  <c r="B170" i="2"/>
  <c r="L170" i="2"/>
  <c r="N170" i="2"/>
  <c r="O170" i="2"/>
  <c r="P170" i="2"/>
  <c r="K170" i="2"/>
  <c r="M170" i="2"/>
  <c r="F170" i="2"/>
  <c r="E170" i="2"/>
  <c r="J170" i="2"/>
  <c r="A171" i="2"/>
  <c r="I170" i="2"/>
  <c r="C170" i="2"/>
  <c r="D170" i="2"/>
  <c r="H170" i="2"/>
  <c r="P171" i="2" l="1"/>
  <c r="L171" i="2"/>
  <c r="A172" i="2"/>
  <c r="H171" i="2"/>
  <c r="G171" i="2"/>
  <c r="B171" i="2"/>
  <c r="I171" i="2"/>
  <c r="N171" i="2"/>
  <c r="O171" i="2"/>
  <c r="D171" i="2"/>
  <c r="F171" i="2"/>
  <c r="J171" i="2"/>
  <c r="C171" i="2"/>
  <c r="K171" i="2"/>
  <c r="E171" i="2"/>
  <c r="M171" i="2"/>
  <c r="L172" i="2" l="1"/>
  <c r="B172" i="2"/>
  <c r="H172" i="2"/>
  <c r="G172" i="2"/>
  <c r="N172" i="2"/>
  <c r="M172" i="2"/>
  <c r="O172" i="2"/>
  <c r="P172" i="2"/>
  <c r="E172" i="2"/>
  <c r="C172" i="2"/>
  <c r="D172" i="2"/>
  <c r="I172" i="2"/>
  <c r="A173" i="2"/>
  <c r="F172" i="2"/>
  <c r="J172" i="2"/>
  <c r="K172" i="2"/>
  <c r="J173" i="2" l="1"/>
  <c r="O173" i="2"/>
  <c r="H173" i="2"/>
  <c r="I173" i="2"/>
  <c r="K173" i="2"/>
  <c r="L173" i="2"/>
  <c r="A174" i="2"/>
  <c r="C173" i="2"/>
  <c r="N173" i="2"/>
  <c r="M173" i="2"/>
  <c r="G173" i="2"/>
  <c r="E173" i="2"/>
  <c r="F173" i="2"/>
  <c r="D173" i="2"/>
  <c r="B173" i="2"/>
  <c r="P173" i="2"/>
  <c r="K174" i="2" l="1"/>
  <c r="E174" i="2"/>
  <c r="M174" i="2"/>
  <c r="N174" i="2"/>
  <c r="O174" i="2"/>
  <c r="C174" i="2"/>
  <c r="I174" i="2"/>
  <c r="P174" i="2"/>
  <c r="H174" i="2"/>
  <c r="A175" i="2"/>
  <c r="L174" i="2"/>
  <c r="D174" i="2"/>
  <c r="J174" i="2"/>
  <c r="F174" i="2"/>
  <c r="G174" i="2"/>
  <c r="B174" i="2"/>
  <c r="G175" i="2" l="1"/>
  <c r="E175" i="2"/>
  <c r="B175" i="2"/>
  <c r="M175" i="2"/>
  <c r="N175" i="2"/>
  <c r="C175" i="2"/>
  <c r="I175" i="2"/>
  <c r="L175" i="2"/>
  <c r="H175" i="2"/>
  <c r="O175" i="2"/>
  <c r="P175" i="2"/>
  <c r="K175" i="2"/>
  <c r="D175" i="2"/>
  <c r="J175" i="2"/>
  <c r="A176" i="2"/>
  <c r="F175" i="2"/>
  <c r="D176" i="2" l="1"/>
  <c r="L176" i="2"/>
  <c r="E176" i="2"/>
  <c r="M176" i="2"/>
  <c r="F176" i="2"/>
  <c r="P176" i="2"/>
  <c r="I176" i="2"/>
  <c r="C176" i="2"/>
  <c r="K176" i="2"/>
  <c r="B176" i="2"/>
  <c r="H176" i="2"/>
  <c r="G176" i="2"/>
  <c r="O176" i="2"/>
  <c r="A177" i="2"/>
  <c r="N176" i="2"/>
  <c r="J176" i="2"/>
  <c r="F177" i="2" l="1"/>
  <c r="H177" i="2"/>
  <c r="C177" i="2"/>
  <c r="B177" i="2"/>
  <c r="I177" i="2"/>
  <c r="J177" i="2"/>
  <c r="K177" i="2"/>
  <c r="L177" i="2"/>
  <c r="M177" i="2"/>
  <c r="G177" i="2"/>
  <c r="A178" i="2"/>
  <c r="O177" i="2"/>
  <c r="N177" i="2"/>
  <c r="P177" i="2"/>
  <c r="E177" i="2"/>
  <c r="D177" i="2"/>
  <c r="I178" i="2" l="1"/>
  <c r="J178" i="2"/>
  <c r="K178" i="2"/>
  <c r="E178" i="2"/>
  <c r="P178" i="2"/>
  <c r="B178" i="2"/>
  <c r="M178" i="2"/>
  <c r="H178" i="2"/>
  <c r="L178" i="2"/>
  <c r="O178" i="2"/>
  <c r="A179" i="2"/>
  <c r="C178" i="2"/>
  <c r="D178" i="2"/>
  <c r="F178" i="2"/>
  <c r="N178" i="2"/>
  <c r="G178" i="2"/>
  <c r="P179" i="2" l="1"/>
  <c r="B179" i="2"/>
  <c r="M179" i="2"/>
  <c r="N179" i="2"/>
  <c r="J179" i="2"/>
  <c r="E179" i="2"/>
  <c r="G179" i="2"/>
  <c r="H179" i="2"/>
  <c r="A180" i="2"/>
  <c r="F179" i="2"/>
  <c r="C179" i="2"/>
  <c r="D179" i="2"/>
  <c r="I179" i="2"/>
  <c r="K179" i="2"/>
  <c r="O179" i="2"/>
  <c r="L179" i="2"/>
  <c r="K180" i="2" l="1"/>
  <c r="L180" i="2"/>
  <c r="M180" i="2"/>
  <c r="P180" i="2"/>
  <c r="I180" i="2"/>
  <c r="J180" i="2"/>
  <c r="N180" i="2"/>
  <c r="O180" i="2"/>
  <c r="A181" i="2"/>
  <c r="C180" i="2"/>
  <c r="D180" i="2"/>
  <c r="E180" i="2"/>
  <c r="F180" i="2"/>
  <c r="G180" i="2"/>
  <c r="B180" i="2"/>
  <c r="H180" i="2"/>
  <c r="M181" i="2" l="1"/>
  <c r="P181" i="2"/>
  <c r="B181" i="2"/>
  <c r="I181" i="2"/>
  <c r="K181" i="2"/>
  <c r="A182" i="2"/>
  <c r="C181" i="2"/>
  <c r="E181" i="2"/>
  <c r="H181" i="2"/>
  <c r="L181" i="2"/>
  <c r="N181" i="2"/>
  <c r="O181" i="2"/>
  <c r="G181" i="2"/>
  <c r="D181" i="2"/>
  <c r="F181" i="2"/>
  <c r="J181" i="2"/>
  <c r="K182" i="2" l="1"/>
  <c r="N182" i="2"/>
  <c r="O182" i="2"/>
  <c r="C182" i="2"/>
  <c r="L182" i="2"/>
  <c r="A183" i="2"/>
  <c r="E182" i="2"/>
  <c r="F182" i="2"/>
  <c r="I182" i="2"/>
  <c r="M182" i="2"/>
  <c r="P182" i="2"/>
  <c r="B182" i="2"/>
  <c r="D182" i="2"/>
  <c r="G182" i="2"/>
  <c r="J182" i="2"/>
  <c r="H182" i="2"/>
  <c r="B183" i="2" l="1"/>
  <c r="M183" i="2"/>
  <c r="A184" i="2"/>
  <c r="E183" i="2"/>
  <c r="G183" i="2"/>
  <c r="N183" i="2"/>
  <c r="H183" i="2"/>
  <c r="I183" i="2"/>
  <c r="J183" i="2"/>
  <c r="K183" i="2"/>
  <c r="O183" i="2"/>
  <c r="P183" i="2"/>
  <c r="D183" i="2"/>
  <c r="F183" i="2"/>
  <c r="L183" i="2"/>
  <c r="C183" i="2"/>
  <c r="N184" i="2" l="1"/>
  <c r="O184" i="2"/>
  <c r="L184" i="2"/>
  <c r="M184" i="2"/>
  <c r="P184" i="2"/>
  <c r="G184" i="2"/>
  <c r="F184" i="2"/>
  <c r="E184" i="2"/>
  <c r="B184" i="2"/>
  <c r="H184" i="2"/>
  <c r="K184" i="2"/>
  <c r="D184" i="2"/>
  <c r="A185" i="2"/>
  <c r="J184" i="2"/>
  <c r="I184" i="2"/>
  <c r="C184" i="2"/>
  <c r="B185" i="2" l="1"/>
  <c r="A186" i="2"/>
  <c r="P185" i="2"/>
  <c r="H185" i="2"/>
  <c r="O185" i="2"/>
  <c r="I185" i="2"/>
  <c r="J185" i="2"/>
  <c r="L185" i="2"/>
  <c r="K185" i="2"/>
  <c r="N185" i="2"/>
  <c r="C185" i="2"/>
  <c r="F185" i="2"/>
  <c r="D185" i="2"/>
  <c r="G185" i="2"/>
  <c r="M185" i="2"/>
  <c r="E185" i="2"/>
  <c r="O186" i="2" l="1"/>
  <c r="J186" i="2"/>
  <c r="K186" i="2"/>
  <c r="L186" i="2"/>
  <c r="P186" i="2"/>
  <c r="B186" i="2"/>
  <c r="D186" i="2"/>
  <c r="I186" i="2"/>
  <c r="E186" i="2"/>
  <c r="G186" i="2"/>
  <c r="F186" i="2"/>
  <c r="C186" i="2"/>
  <c r="M186" i="2"/>
  <c r="A187" i="2"/>
  <c r="H186" i="2"/>
  <c r="N186" i="2"/>
  <c r="D187" i="2" l="1"/>
  <c r="K187" i="2"/>
  <c r="E187" i="2"/>
  <c r="J187" i="2"/>
  <c r="M187" i="2"/>
  <c r="G187" i="2"/>
  <c r="F187" i="2"/>
  <c r="P187" i="2"/>
  <c r="N187" i="2"/>
  <c r="O187" i="2"/>
  <c r="L187" i="2"/>
  <c r="A188" i="2"/>
  <c r="H187" i="2"/>
  <c r="I187" i="2"/>
  <c r="C187" i="2"/>
  <c r="B187" i="2"/>
  <c r="O188" i="2" l="1"/>
  <c r="H188" i="2"/>
  <c r="P188" i="2"/>
  <c r="E188" i="2"/>
  <c r="D188" i="2"/>
  <c r="I188" i="2"/>
  <c r="K188" i="2"/>
  <c r="M188" i="2"/>
  <c r="N188" i="2"/>
  <c r="B188" i="2"/>
  <c r="A189" i="2"/>
  <c r="F188" i="2"/>
  <c r="C188" i="2"/>
  <c r="J188" i="2"/>
  <c r="G188" i="2"/>
  <c r="L188" i="2"/>
  <c r="P189" i="2" l="1"/>
  <c r="J189" i="2"/>
  <c r="B189" i="2"/>
  <c r="D189" i="2"/>
  <c r="H189" i="2"/>
  <c r="I189" i="2"/>
  <c r="M189" i="2"/>
  <c r="N189" i="2"/>
  <c r="C189" i="2"/>
  <c r="F189" i="2"/>
  <c r="O189" i="2"/>
  <c r="L189" i="2"/>
  <c r="K189" i="2"/>
  <c r="A190" i="2"/>
  <c r="G189" i="2"/>
  <c r="E189" i="2"/>
  <c r="G190" i="2" l="1"/>
  <c r="I190" i="2"/>
  <c r="J190" i="2"/>
  <c r="K190" i="2"/>
  <c r="L190" i="2"/>
  <c r="C190" i="2"/>
  <c r="P190" i="2"/>
  <c r="H190" i="2"/>
  <c r="F190" i="2"/>
  <c r="A191" i="2"/>
  <c r="N190" i="2"/>
  <c r="E190" i="2"/>
  <c r="B190" i="2"/>
  <c r="M190" i="2"/>
  <c r="D190" i="2"/>
  <c r="O190" i="2"/>
  <c r="B191" i="2" l="1"/>
  <c r="K191" i="2"/>
  <c r="J191" i="2"/>
  <c r="A192" i="2"/>
  <c r="C191" i="2"/>
  <c r="D191" i="2"/>
  <c r="F191" i="2"/>
  <c r="H191" i="2"/>
  <c r="M191" i="2"/>
  <c r="N191" i="2"/>
  <c r="O191" i="2"/>
  <c r="P191" i="2"/>
  <c r="G191" i="2"/>
  <c r="L191" i="2"/>
  <c r="E191" i="2"/>
  <c r="I191" i="2"/>
  <c r="P192" i="2" l="1"/>
  <c r="G192" i="2"/>
  <c r="H192" i="2"/>
  <c r="L192" i="2"/>
  <c r="B192" i="2"/>
  <c r="I192" i="2"/>
  <c r="J192" i="2"/>
  <c r="K192" i="2"/>
  <c r="C192" i="2"/>
  <c r="N192" i="2"/>
  <c r="F192" i="2"/>
  <c r="A193" i="2"/>
  <c r="M192" i="2"/>
  <c r="E192" i="2"/>
  <c r="D192" i="2"/>
  <c r="O192" i="2"/>
  <c r="O193" i="2" l="1"/>
  <c r="L193" i="2"/>
  <c r="N193" i="2"/>
  <c r="A194" i="2"/>
  <c r="J193" i="2"/>
  <c r="E193" i="2"/>
  <c r="B193" i="2"/>
  <c r="I193" i="2"/>
  <c r="C193" i="2"/>
  <c r="D193" i="2"/>
  <c r="K193" i="2"/>
  <c r="F193" i="2"/>
  <c r="H193" i="2"/>
  <c r="P193" i="2"/>
  <c r="G193" i="2"/>
  <c r="M193" i="2"/>
  <c r="M194" i="2" l="1"/>
  <c r="N194" i="2"/>
  <c r="K194" i="2"/>
  <c r="I194" i="2"/>
  <c r="J194" i="2"/>
  <c r="O194" i="2"/>
  <c r="P194" i="2"/>
  <c r="C194" i="2"/>
  <c r="G194" i="2"/>
  <c r="L194" i="2"/>
  <c r="D194" i="2"/>
  <c r="E194" i="2"/>
  <c r="B194" i="2"/>
  <c r="A195" i="2"/>
  <c r="F194" i="2"/>
  <c r="H194" i="2"/>
  <c r="M195" i="2" l="1"/>
  <c r="O195" i="2"/>
  <c r="H195" i="2"/>
  <c r="B195" i="2"/>
  <c r="J195" i="2"/>
  <c r="P195" i="2"/>
  <c r="D195" i="2"/>
  <c r="L195" i="2"/>
  <c r="K195" i="2"/>
  <c r="G195" i="2"/>
  <c r="I195" i="2"/>
  <c r="A196" i="2"/>
  <c r="C195" i="2"/>
  <c r="E195" i="2"/>
  <c r="N195" i="2"/>
  <c r="F195" i="2"/>
  <c r="G196" i="2" l="1"/>
  <c r="K196" i="2"/>
  <c r="N196" i="2"/>
  <c r="O196" i="2"/>
  <c r="I196" i="2"/>
  <c r="J196" i="2"/>
  <c r="D196" i="2"/>
  <c r="C196" i="2"/>
  <c r="B196" i="2"/>
  <c r="E196" i="2"/>
  <c r="L196" i="2"/>
  <c r="H196" i="2"/>
  <c r="A197" i="2"/>
  <c r="F196" i="2"/>
  <c r="P196" i="2"/>
  <c r="M196" i="2"/>
  <c r="M197" i="2" l="1"/>
  <c r="N197" i="2"/>
  <c r="C197" i="2"/>
  <c r="J197" i="2"/>
  <c r="K197" i="2"/>
  <c r="P197" i="2"/>
  <c r="B197" i="2"/>
  <c r="O197" i="2"/>
  <c r="D197" i="2"/>
  <c r="L197" i="2"/>
  <c r="F197" i="2"/>
  <c r="E197" i="2"/>
  <c r="H197" i="2"/>
  <c r="A198" i="2"/>
  <c r="G197" i="2"/>
  <c r="I197" i="2"/>
  <c r="L198" i="2" l="1"/>
  <c r="F198" i="2"/>
  <c r="I198" i="2"/>
  <c r="A199" i="2"/>
  <c r="D198" i="2"/>
  <c r="H198" i="2"/>
  <c r="M198" i="2"/>
  <c r="N198" i="2"/>
  <c r="O198" i="2"/>
  <c r="B198" i="2"/>
  <c r="P198" i="2"/>
  <c r="C198" i="2"/>
  <c r="E198" i="2"/>
  <c r="G198" i="2"/>
  <c r="K198" i="2"/>
  <c r="J198" i="2"/>
  <c r="B199" i="2" l="1"/>
  <c r="H199" i="2"/>
  <c r="D199" i="2"/>
  <c r="F199" i="2"/>
  <c r="I199" i="2"/>
  <c r="M199" i="2"/>
  <c r="N199" i="2"/>
  <c r="O199" i="2"/>
  <c r="K199" i="2"/>
  <c r="C199" i="2"/>
  <c r="E199" i="2"/>
  <c r="L199" i="2"/>
  <c r="P199" i="2"/>
  <c r="A200" i="2"/>
  <c r="G199" i="2"/>
  <c r="J199" i="2"/>
  <c r="I200" i="2" l="1"/>
  <c r="K200" i="2"/>
  <c r="N200" i="2"/>
  <c r="J200" i="2"/>
  <c r="O200" i="2"/>
  <c r="E200" i="2"/>
  <c r="G200" i="2"/>
  <c r="D200" i="2"/>
  <c r="P200" i="2"/>
  <c r="L200" i="2"/>
  <c r="B200" i="2"/>
  <c r="H200" i="2"/>
  <c r="M200" i="2"/>
  <c r="A201" i="2"/>
  <c r="C200" i="2"/>
  <c r="F200" i="2"/>
  <c r="O201" i="2" l="1"/>
  <c r="B201" i="2"/>
  <c r="K201" i="2"/>
  <c r="L201" i="2"/>
  <c r="M201" i="2"/>
  <c r="D201" i="2"/>
  <c r="E201" i="2"/>
  <c r="H201" i="2"/>
  <c r="P201" i="2"/>
  <c r="N201" i="2"/>
  <c r="C201" i="2"/>
  <c r="G201" i="2"/>
  <c r="I201" i="2"/>
  <c r="A202" i="2"/>
  <c r="F201" i="2"/>
  <c r="J201" i="2"/>
  <c r="J202" i="2" l="1"/>
  <c r="D202" i="2"/>
  <c r="G202" i="2"/>
  <c r="P202" i="2"/>
  <c r="K202" i="2"/>
  <c r="H202" i="2"/>
  <c r="I202" i="2"/>
  <c r="L202" i="2"/>
  <c r="M202" i="2"/>
  <c r="O202" i="2"/>
  <c r="F202" i="2"/>
  <c r="C202" i="2"/>
  <c r="E202" i="2"/>
  <c r="B202" i="2"/>
  <c r="A203" i="2"/>
  <c r="N202" i="2"/>
  <c r="E203" i="2" l="1"/>
  <c r="F203" i="2"/>
  <c r="G203" i="2"/>
  <c r="B203" i="2"/>
  <c r="H203" i="2"/>
  <c r="I203" i="2"/>
  <c r="K203" i="2"/>
  <c r="N203" i="2"/>
  <c r="J203" i="2"/>
  <c r="C203" i="2"/>
  <c r="D203" i="2"/>
  <c r="A204" i="2"/>
  <c r="O203" i="2"/>
  <c r="P203" i="2"/>
  <c r="L203" i="2"/>
  <c r="M203" i="2"/>
  <c r="H204" i="2" l="1"/>
  <c r="I204" i="2"/>
  <c r="O204" i="2"/>
  <c r="A205" i="2"/>
  <c r="F204" i="2"/>
  <c r="B204" i="2"/>
  <c r="K204" i="2"/>
  <c r="J204" i="2"/>
  <c r="P204" i="2"/>
  <c r="L204" i="2"/>
  <c r="M204" i="2"/>
  <c r="D204" i="2"/>
  <c r="E204" i="2"/>
  <c r="N204" i="2"/>
  <c r="C204" i="2"/>
  <c r="G204" i="2"/>
  <c r="B205" i="2" l="1"/>
  <c r="I205" i="2"/>
  <c r="N205" i="2"/>
  <c r="K205" i="2"/>
  <c r="C205" i="2"/>
  <c r="L205" i="2"/>
  <c r="D205" i="2"/>
  <c r="E205" i="2"/>
  <c r="O205" i="2"/>
  <c r="A206" i="2"/>
  <c r="G205" i="2"/>
  <c r="J205" i="2"/>
  <c r="F205" i="2"/>
  <c r="P205" i="2"/>
  <c r="H205" i="2"/>
  <c r="M205" i="2"/>
  <c r="N206" i="2" l="1"/>
  <c r="O206" i="2"/>
  <c r="P206" i="2"/>
  <c r="H206" i="2"/>
  <c r="I206" i="2"/>
  <c r="K206" i="2"/>
  <c r="B206" i="2"/>
  <c r="J206" i="2"/>
  <c r="G206" i="2"/>
  <c r="M206" i="2"/>
  <c r="D206" i="2"/>
  <c r="L206" i="2"/>
  <c r="E206" i="2"/>
  <c r="A207" i="2"/>
  <c r="F206" i="2"/>
  <c r="C206" i="2"/>
  <c r="B207" i="2" l="1"/>
  <c r="P207" i="2"/>
  <c r="A208" i="2"/>
  <c r="N207" i="2"/>
  <c r="F207" i="2"/>
  <c r="G207" i="2"/>
  <c r="H207" i="2"/>
  <c r="J207" i="2"/>
  <c r="I207" i="2"/>
  <c r="O207" i="2"/>
  <c r="L207" i="2"/>
  <c r="D207" i="2"/>
  <c r="M207" i="2"/>
  <c r="C207" i="2"/>
  <c r="E207" i="2"/>
  <c r="K207" i="2"/>
  <c r="J208" i="2" l="1"/>
  <c r="K208" i="2"/>
  <c r="L208" i="2"/>
  <c r="M208" i="2"/>
  <c r="N208" i="2"/>
  <c r="P208" i="2"/>
  <c r="H208" i="2"/>
  <c r="D208" i="2"/>
  <c r="C208" i="2"/>
  <c r="O208" i="2"/>
  <c r="A209" i="2"/>
  <c r="E208" i="2"/>
  <c r="F208" i="2"/>
  <c r="I208" i="2"/>
  <c r="G208" i="2"/>
  <c r="B208" i="2"/>
  <c r="J209" i="2" l="1"/>
  <c r="K209" i="2"/>
  <c r="L209" i="2"/>
  <c r="M209" i="2"/>
  <c r="E209" i="2"/>
  <c r="G209" i="2"/>
  <c r="I209" i="2"/>
  <c r="H209" i="2"/>
  <c r="N209" i="2"/>
  <c r="O209" i="2"/>
  <c r="B209" i="2"/>
  <c r="A210" i="2"/>
  <c r="F209" i="2"/>
  <c r="P209" i="2"/>
  <c r="D209" i="2"/>
  <c r="C209" i="2"/>
  <c r="I210" i="2" l="1"/>
  <c r="G210" i="2"/>
  <c r="F210" i="2"/>
  <c r="K210" i="2"/>
  <c r="B210" i="2"/>
  <c r="L210" i="2"/>
  <c r="M210" i="2"/>
  <c r="N210" i="2"/>
  <c r="O210" i="2"/>
  <c r="P210" i="2"/>
  <c r="E210" i="2"/>
  <c r="A211" i="2"/>
  <c r="C210" i="2"/>
  <c r="H210" i="2"/>
  <c r="J210" i="2"/>
  <c r="D210" i="2"/>
  <c r="K211" i="2" l="1"/>
  <c r="L211" i="2"/>
  <c r="B211" i="2"/>
  <c r="G211" i="2"/>
  <c r="I211" i="2"/>
  <c r="C211" i="2"/>
  <c r="F211" i="2"/>
  <c r="P211" i="2"/>
  <c r="J211" i="2"/>
  <c r="M211" i="2"/>
  <c r="N211" i="2"/>
  <c r="O211" i="2"/>
  <c r="A212" i="2"/>
  <c r="D211" i="2"/>
  <c r="H211" i="2"/>
  <c r="E211" i="2"/>
  <c r="I212" i="2" l="1"/>
  <c r="K212" i="2"/>
  <c r="N212" i="2"/>
  <c r="P212" i="2"/>
  <c r="A213" i="2"/>
  <c r="J212" i="2"/>
  <c r="B212" i="2"/>
  <c r="E212" i="2"/>
  <c r="G212" i="2"/>
  <c r="F212" i="2"/>
  <c r="L212" i="2"/>
  <c r="H212" i="2"/>
  <c r="C212" i="2"/>
  <c r="M212" i="2"/>
  <c r="O212" i="2"/>
  <c r="D212" i="2"/>
  <c r="P213" i="2" l="1"/>
  <c r="C213" i="2"/>
  <c r="I213" i="2"/>
  <c r="A214" i="2"/>
  <c r="K213" i="2"/>
  <c r="L213" i="2"/>
  <c r="O213" i="2"/>
  <c r="D213" i="2"/>
  <c r="E213" i="2"/>
  <c r="F213" i="2"/>
  <c r="G213" i="2"/>
  <c r="B213" i="2"/>
  <c r="H213" i="2"/>
  <c r="M213" i="2"/>
  <c r="N213" i="2"/>
  <c r="J213" i="2"/>
  <c r="M214" i="2" l="1"/>
  <c r="B214" i="2"/>
  <c r="E214" i="2"/>
  <c r="C214" i="2"/>
  <c r="P214" i="2"/>
  <c r="O214" i="2"/>
  <c r="H214" i="2"/>
  <c r="L214" i="2"/>
  <c r="I214" i="2"/>
  <c r="J214" i="2"/>
  <c r="K214" i="2"/>
  <c r="A215" i="2"/>
  <c r="G214" i="2"/>
  <c r="D214" i="2"/>
  <c r="F214" i="2"/>
  <c r="N214" i="2"/>
  <c r="O215" i="2" l="1"/>
  <c r="M215" i="2"/>
  <c r="N215" i="2"/>
  <c r="P215" i="2"/>
  <c r="J215" i="2"/>
  <c r="K215" i="2"/>
  <c r="L215" i="2"/>
  <c r="E215" i="2"/>
  <c r="C215" i="2"/>
  <c r="F215" i="2"/>
  <c r="B215" i="2"/>
  <c r="H215" i="2"/>
  <c r="A216" i="2"/>
  <c r="G215" i="2"/>
  <c r="I215" i="2"/>
  <c r="D215" i="2"/>
  <c r="J216" i="2" l="1"/>
  <c r="P216" i="2"/>
  <c r="I216" i="2"/>
  <c r="A217" i="2"/>
  <c r="E216" i="2"/>
  <c r="L216" i="2"/>
  <c r="K216" i="2"/>
  <c r="F216" i="2"/>
  <c r="O216" i="2"/>
  <c r="H216" i="2"/>
  <c r="B216" i="2"/>
  <c r="C216" i="2"/>
  <c r="M216" i="2"/>
  <c r="D216" i="2"/>
  <c r="G216" i="2"/>
  <c r="N216" i="2"/>
  <c r="O217" i="2" l="1"/>
  <c r="C217" i="2"/>
  <c r="E217" i="2"/>
  <c r="B217" i="2"/>
  <c r="A218" i="2"/>
  <c r="J217" i="2"/>
  <c r="L217" i="2"/>
  <c r="G217" i="2"/>
  <c r="I217" i="2"/>
  <c r="K217" i="2"/>
  <c r="P217" i="2"/>
  <c r="D217" i="2"/>
  <c r="F217" i="2"/>
  <c r="M217" i="2"/>
  <c r="H217" i="2"/>
  <c r="N217" i="2"/>
  <c r="C218" i="2" l="1"/>
  <c r="D218" i="2"/>
  <c r="P218" i="2"/>
  <c r="A219" i="2"/>
  <c r="F218" i="2"/>
  <c r="B218" i="2"/>
  <c r="O218" i="2"/>
  <c r="I218" i="2"/>
  <c r="J218" i="2"/>
  <c r="K218" i="2"/>
  <c r="G218" i="2"/>
  <c r="H218" i="2"/>
  <c r="N218" i="2"/>
  <c r="E218" i="2"/>
  <c r="L218" i="2"/>
  <c r="M218" i="2"/>
  <c r="O219" i="2" l="1"/>
  <c r="K219" i="2"/>
  <c r="M219" i="2"/>
  <c r="J219" i="2"/>
  <c r="F219" i="2"/>
  <c r="L219" i="2"/>
  <c r="N219" i="2"/>
  <c r="P219" i="2"/>
  <c r="B219" i="2"/>
  <c r="H219" i="2"/>
  <c r="I219" i="2"/>
  <c r="G219" i="2"/>
  <c r="D219" i="2"/>
  <c r="A220" i="2"/>
  <c r="C219" i="2"/>
  <c r="E219" i="2"/>
  <c r="K220" i="2" l="1"/>
  <c r="L220" i="2"/>
  <c r="H220" i="2"/>
  <c r="P220" i="2"/>
  <c r="C220" i="2"/>
  <c r="B220" i="2"/>
  <c r="I220" i="2"/>
  <c r="N220" i="2"/>
  <c r="M220" i="2"/>
  <c r="O220" i="2"/>
  <c r="A221" i="2"/>
  <c r="D220" i="2"/>
  <c r="E220" i="2"/>
  <c r="J220" i="2"/>
  <c r="F220" i="2"/>
  <c r="G220" i="2"/>
  <c r="G221" i="2" l="1"/>
  <c r="B221" i="2"/>
  <c r="K221" i="2"/>
  <c r="N221" i="2"/>
  <c r="O221" i="2"/>
  <c r="H221" i="2"/>
  <c r="J221" i="2"/>
  <c r="A222" i="2"/>
  <c r="C221" i="2"/>
  <c r="M221" i="2"/>
  <c r="D221" i="2"/>
  <c r="P221" i="2"/>
  <c r="I221" i="2"/>
  <c r="F221" i="2"/>
  <c r="E221" i="2"/>
  <c r="L221" i="2"/>
  <c r="I222" i="2" l="1"/>
  <c r="L222" i="2"/>
  <c r="M222" i="2"/>
  <c r="B222" i="2"/>
  <c r="E222" i="2"/>
  <c r="H222" i="2"/>
  <c r="J222" i="2"/>
  <c r="N222" i="2"/>
  <c r="P222" i="2"/>
  <c r="O222" i="2"/>
  <c r="A223" i="2"/>
  <c r="D222" i="2"/>
  <c r="F222" i="2"/>
  <c r="K222" i="2"/>
  <c r="G222" i="2"/>
  <c r="C222" i="2"/>
  <c r="P223" i="2" l="1"/>
  <c r="J223" i="2"/>
  <c r="C223" i="2"/>
  <c r="L223" i="2"/>
  <c r="N223" i="2"/>
  <c r="D223" i="2"/>
  <c r="B223" i="2"/>
  <c r="H223" i="2"/>
  <c r="G223" i="2"/>
  <c r="K223" i="2"/>
  <c r="O223" i="2"/>
  <c r="M223" i="2"/>
  <c r="A224" i="2"/>
  <c r="F223" i="2"/>
  <c r="I223" i="2"/>
  <c r="E223" i="2"/>
  <c r="F224" i="2" l="1"/>
  <c r="H224" i="2"/>
  <c r="I224" i="2"/>
  <c r="K224" i="2"/>
  <c r="N224" i="2"/>
  <c r="A225" i="2"/>
  <c r="D224" i="2"/>
  <c r="B224" i="2"/>
  <c r="M224" i="2"/>
  <c r="P224" i="2"/>
  <c r="C224" i="2"/>
  <c r="E224" i="2"/>
  <c r="O224" i="2"/>
  <c r="G224" i="2"/>
  <c r="J224" i="2"/>
  <c r="L224" i="2"/>
  <c r="P225" i="2" l="1"/>
  <c r="J225" i="2"/>
  <c r="B225" i="2"/>
  <c r="H225" i="2"/>
  <c r="K225" i="2"/>
  <c r="L225" i="2"/>
  <c r="M225" i="2"/>
  <c r="C225" i="2"/>
  <c r="F225" i="2"/>
  <c r="O225" i="2"/>
  <c r="I225" i="2"/>
  <c r="A226" i="2"/>
  <c r="D225" i="2"/>
  <c r="G225" i="2"/>
  <c r="N225" i="2"/>
  <c r="E225" i="2"/>
  <c r="D226" i="2" l="1"/>
  <c r="G226" i="2"/>
  <c r="H226" i="2"/>
  <c r="I226" i="2"/>
  <c r="P226" i="2"/>
  <c r="K226" i="2"/>
  <c r="E226" i="2"/>
  <c r="F226" i="2"/>
  <c r="J226" i="2"/>
  <c r="A227" i="2"/>
  <c r="M226" i="2"/>
  <c r="L226" i="2"/>
  <c r="B226" i="2"/>
  <c r="N226" i="2"/>
  <c r="O226" i="2"/>
  <c r="C226" i="2"/>
  <c r="H227" i="2" l="1"/>
  <c r="K227" i="2"/>
  <c r="O227" i="2"/>
  <c r="P227" i="2"/>
  <c r="G227" i="2"/>
  <c r="D227" i="2"/>
  <c r="C227" i="2"/>
  <c r="J227" i="2"/>
  <c r="L227" i="2"/>
  <c r="M227" i="2"/>
  <c r="N227" i="2"/>
  <c r="I227" i="2"/>
  <c r="F227" i="2"/>
  <c r="A228" i="2"/>
  <c r="E227" i="2"/>
  <c r="B227" i="2"/>
  <c r="P228" i="2" l="1"/>
  <c r="H228" i="2"/>
  <c r="I228" i="2"/>
  <c r="E228" i="2"/>
  <c r="B228" i="2"/>
  <c r="N228" i="2"/>
  <c r="C228" i="2"/>
  <c r="J228" i="2"/>
  <c r="O228" i="2"/>
  <c r="A229" i="2"/>
  <c r="F228" i="2"/>
  <c r="D228" i="2"/>
  <c r="L228" i="2"/>
  <c r="G228" i="2"/>
  <c r="K228" i="2"/>
  <c r="M228" i="2"/>
  <c r="M229" i="2" l="1"/>
  <c r="L229" i="2"/>
  <c r="P229" i="2"/>
  <c r="O229" i="2"/>
  <c r="K229" i="2"/>
  <c r="N229" i="2"/>
  <c r="G229" i="2"/>
  <c r="E229" i="2"/>
  <c r="H229" i="2"/>
  <c r="B229" i="2"/>
  <c r="I229" i="2"/>
  <c r="D229" i="2"/>
  <c r="C229" i="2"/>
  <c r="A230" i="2"/>
  <c r="F229" i="2"/>
  <c r="J229" i="2"/>
  <c r="K230" i="2" l="1"/>
  <c r="L230" i="2"/>
  <c r="M230" i="2"/>
  <c r="N230" i="2"/>
  <c r="E230" i="2"/>
  <c r="H230" i="2"/>
  <c r="O230" i="2"/>
  <c r="C230" i="2"/>
  <c r="I230" i="2"/>
  <c r="P230" i="2"/>
  <c r="A231" i="2"/>
  <c r="D230" i="2"/>
  <c r="G230" i="2"/>
  <c r="J230" i="2"/>
  <c r="F230" i="2"/>
  <c r="B230" i="2"/>
  <c r="J231" i="2" l="1"/>
  <c r="B231" i="2"/>
  <c r="F231" i="2"/>
  <c r="G231" i="2"/>
  <c r="P231" i="2"/>
  <c r="A232" i="2"/>
  <c r="N231" i="2"/>
  <c r="E231" i="2"/>
  <c r="M231" i="2"/>
  <c r="O231" i="2"/>
  <c r="K231" i="2"/>
  <c r="C231" i="2"/>
  <c r="L231" i="2"/>
  <c r="H231" i="2"/>
  <c r="I231" i="2"/>
  <c r="D231" i="2"/>
  <c r="N232" i="2" l="1"/>
  <c r="L232" i="2"/>
  <c r="M232" i="2"/>
  <c r="H232" i="2"/>
  <c r="I232" i="2"/>
  <c r="F232" i="2"/>
  <c r="E232" i="2"/>
  <c r="O232" i="2"/>
  <c r="P232" i="2"/>
  <c r="K232" i="2"/>
  <c r="G232" i="2"/>
  <c r="C232" i="2"/>
  <c r="A233" i="2"/>
  <c r="B232" i="2"/>
  <c r="D232" i="2"/>
  <c r="J232" i="2"/>
  <c r="I233" i="2" l="1"/>
  <c r="L233" i="2"/>
  <c r="J233" i="2"/>
  <c r="K233" i="2"/>
  <c r="M233" i="2"/>
  <c r="N233" i="2"/>
  <c r="G233" i="2"/>
  <c r="C233" i="2"/>
  <c r="P233" i="2"/>
  <c r="B233" i="2"/>
  <c r="F233" i="2"/>
  <c r="O233" i="2"/>
  <c r="E233" i="2"/>
  <c r="H233" i="2"/>
  <c r="A234" i="2"/>
  <c r="D233" i="2"/>
  <c r="C234" i="2" l="1"/>
  <c r="D234" i="2"/>
  <c r="E234" i="2"/>
  <c r="M234" i="2"/>
  <c r="L234" i="2"/>
  <c r="A235" i="2"/>
  <c r="B234" i="2"/>
  <c r="J234" i="2"/>
  <c r="N234" i="2"/>
  <c r="O234" i="2"/>
  <c r="F234" i="2"/>
  <c r="K234" i="2"/>
  <c r="P234" i="2"/>
  <c r="H234" i="2"/>
  <c r="I234" i="2"/>
  <c r="G234" i="2"/>
  <c r="J235" i="2" l="1"/>
  <c r="L235" i="2"/>
  <c r="M235" i="2"/>
  <c r="O235" i="2"/>
  <c r="P235" i="2"/>
  <c r="D235" i="2"/>
  <c r="A236" i="2"/>
  <c r="B235" i="2"/>
  <c r="H235" i="2"/>
  <c r="K235" i="2"/>
  <c r="N235" i="2"/>
  <c r="F235" i="2"/>
  <c r="G235" i="2"/>
  <c r="I235" i="2"/>
  <c r="C235" i="2"/>
  <c r="E235" i="2"/>
  <c r="O236" i="2" l="1"/>
  <c r="P236" i="2"/>
  <c r="H236" i="2"/>
  <c r="I236" i="2"/>
  <c r="M236" i="2"/>
  <c r="C236" i="2"/>
  <c r="G236" i="2"/>
  <c r="L236" i="2"/>
  <c r="N236" i="2"/>
  <c r="B236" i="2"/>
  <c r="A237" i="2"/>
  <c r="E236" i="2"/>
  <c r="F236" i="2"/>
  <c r="K236" i="2"/>
  <c r="D236" i="2"/>
  <c r="J236" i="2"/>
  <c r="J237" i="2" l="1"/>
  <c r="I237" i="2"/>
  <c r="O237" i="2"/>
  <c r="F237" i="2"/>
  <c r="K237" i="2"/>
  <c r="M237" i="2"/>
  <c r="G237" i="2"/>
  <c r="P237" i="2"/>
  <c r="A238" i="2"/>
  <c r="D237" i="2"/>
  <c r="B237" i="2"/>
  <c r="L237" i="2"/>
  <c r="C237" i="2"/>
  <c r="N237" i="2"/>
  <c r="E237" i="2"/>
  <c r="H237" i="2"/>
  <c r="I238" i="2" l="1"/>
  <c r="O238" i="2"/>
  <c r="H238" i="2"/>
  <c r="M238" i="2"/>
  <c r="E238" i="2"/>
  <c r="G238" i="2"/>
  <c r="J238" i="2"/>
  <c r="K238" i="2"/>
  <c r="L238" i="2"/>
  <c r="B238" i="2"/>
  <c r="A239" i="2"/>
  <c r="N238" i="2"/>
  <c r="P238" i="2"/>
  <c r="C238" i="2"/>
  <c r="F238" i="2"/>
  <c r="D238" i="2"/>
  <c r="O239" i="2" l="1"/>
  <c r="P239" i="2"/>
  <c r="C239" i="2"/>
  <c r="D239" i="2"/>
  <c r="K239" i="2"/>
  <c r="G239" i="2"/>
  <c r="I239" i="2"/>
  <c r="B239" i="2"/>
  <c r="H239" i="2"/>
  <c r="J239" i="2"/>
  <c r="E239" i="2"/>
  <c r="L239" i="2"/>
  <c r="N239" i="2"/>
  <c r="A240" i="2"/>
  <c r="F239" i="2"/>
  <c r="M239" i="2"/>
  <c r="C240" i="2" l="1"/>
  <c r="D240" i="2"/>
  <c r="H240" i="2"/>
  <c r="I240" i="2"/>
  <c r="N240" i="2"/>
  <c r="E240" i="2"/>
  <c r="L240" i="2"/>
  <c r="J240" i="2"/>
  <c r="O240" i="2"/>
  <c r="P240" i="2"/>
  <c r="A241" i="2"/>
  <c r="G240" i="2"/>
  <c r="K240" i="2"/>
  <c r="B240" i="2"/>
  <c r="F240" i="2"/>
  <c r="M240" i="2"/>
  <c r="G241" i="2" l="1"/>
  <c r="K241" i="2"/>
  <c r="N241" i="2"/>
  <c r="O241" i="2"/>
  <c r="I241" i="2"/>
  <c r="C241" i="2"/>
  <c r="H241" i="2"/>
  <c r="B241" i="2"/>
  <c r="L241" i="2"/>
  <c r="P241" i="2"/>
  <c r="D241" i="2"/>
  <c r="E241" i="2"/>
  <c r="J241" i="2"/>
  <c r="A242" i="2"/>
  <c r="F241" i="2"/>
  <c r="M241" i="2"/>
  <c r="C242" i="2" l="1"/>
  <c r="D242" i="2"/>
  <c r="O242" i="2"/>
  <c r="H242" i="2"/>
  <c r="I242" i="2"/>
  <c r="P242" i="2"/>
  <c r="L242" i="2"/>
  <c r="M242" i="2"/>
  <c r="N242" i="2"/>
  <c r="A243" i="2"/>
  <c r="G242" i="2"/>
  <c r="J242" i="2"/>
  <c r="B242" i="2"/>
  <c r="E242" i="2"/>
  <c r="K242" i="2"/>
  <c r="F242" i="2"/>
  <c r="H243" i="2" l="1"/>
  <c r="G243" i="2"/>
  <c r="I243" i="2"/>
  <c r="O243" i="2"/>
  <c r="P243" i="2"/>
  <c r="J243" i="2"/>
  <c r="K243" i="2"/>
  <c r="M243" i="2"/>
  <c r="D243" i="2"/>
  <c r="N243" i="2"/>
  <c r="C243" i="2"/>
  <c r="F243" i="2"/>
  <c r="B243" i="2"/>
  <c r="A244" i="2"/>
  <c r="E243" i="2"/>
  <c r="L243" i="2"/>
  <c r="I244" i="2" l="1"/>
  <c r="E244" i="2"/>
  <c r="M244" i="2"/>
  <c r="O244" i="2"/>
  <c r="N244" i="2"/>
  <c r="L244" i="2"/>
  <c r="J244" i="2"/>
  <c r="K244" i="2"/>
  <c r="A245" i="2"/>
  <c r="F244" i="2"/>
  <c r="B244" i="2"/>
  <c r="H244" i="2"/>
  <c r="D244" i="2"/>
  <c r="C244" i="2"/>
  <c r="P244" i="2"/>
  <c r="G244" i="2"/>
  <c r="L245" i="2" l="1"/>
  <c r="M245" i="2"/>
  <c r="I245" i="2"/>
  <c r="J245" i="2"/>
  <c r="A246" i="2"/>
  <c r="C245" i="2"/>
  <c r="E245" i="2"/>
  <c r="N245" i="2"/>
  <c r="O245" i="2"/>
  <c r="F245" i="2"/>
  <c r="P245" i="2"/>
  <c r="D245" i="2"/>
  <c r="K245" i="2"/>
  <c r="G245" i="2"/>
  <c r="B245" i="2"/>
  <c r="H245" i="2"/>
  <c r="I246" i="2" l="1"/>
  <c r="G246" i="2"/>
  <c r="N246" i="2"/>
  <c r="L246" i="2"/>
  <c r="O246" i="2"/>
  <c r="M246" i="2"/>
  <c r="C246" i="2"/>
  <c r="D246" i="2"/>
  <c r="F246" i="2"/>
  <c r="K246" i="2"/>
  <c r="B246" i="2"/>
  <c r="J246" i="2"/>
  <c r="P246" i="2"/>
  <c r="A247" i="2"/>
  <c r="E246" i="2"/>
  <c r="H246" i="2"/>
  <c r="L247" i="2" l="1"/>
  <c r="C247" i="2"/>
  <c r="D247" i="2"/>
  <c r="B247" i="2"/>
  <c r="H247" i="2"/>
  <c r="G247" i="2"/>
  <c r="E247" i="2"/>
  <c r="I247" i="2"/>
  <c r="J247" i="2"/>
  <c r="P247" i="2"/>
  <c r="F247" i="2"/>
  <c r="M247" i="2"/>
  <c r="O247" i="2"/>
  <c r="A248" i="2"/>
  <c r="N247" i="2"/>
  <c r="K247" i="2"/>
  <c r="B248" i="2" l="1"/>
  <c r="H248" i="2"/>
  <c r="D248" i="2"/>
  <c r="J248" i="2"/>
  <c r="C248" i="2"/>
  <c r="N248" i="2"/>
  <c r="P248" i="2"/>
  <c r="K248" i="2"/>
  <c r="M248" i="2"/>
  <c r="F248" i="2"/>
  <c r="A249" i="2"/>
  <c r="G248" i="2"/>
  <c r="O248" i="2"/>
  <c r="E248" i="2"/>
  <c r="L248" i="2"/>
  <c r="I248" i="2"/>
  <c r="K249" i="2" l="1"/>
  <c r="M249" i="2"/>
  <c r="O249" i="2"/>
  <c r="L249" i="2"/>
  <c r="H249" i="2"/>
  <c r="B249" i="2"/>
  <c r="D249" i="2"/>
  <c r="F249" i="2"/>
  <c r="N249" i="2"/>
  <c r="P249" i="2"/>
  <c r="A250" i="2"/>
  <c r="E249" i="2"/>
  <c r="G249" i="2"/>
  <c r="I249" i="2"/>
  <c r="C249" i="2"/>
  <c r="J249" i="2"/>
  <c r="J250" i="2" l="1"/>
  <c r="K250" i="2"/>
  <c r="L250" i="2"/>
  <c r="M250" i="2"/>
  <c r="O250" i="2"/>
  <c r="A251" i="2"/>
  <c r="D250" i="2"/>
  <c r="E250" i="2"/>
  <c r="N250" i="2"/>
  <c r="B250" i="2"/>
  <c r="H250" i="2"/>
  <c r="I250" i="2"/>
  <c r="F250" i="2"/>
  <c r="C250" i="2"/>
  <c r="G250" i="2"/>
  <c r="P250" i="2"/>
  <c r="K251" i="2" l="1"/>
  <c r="O251" i="2"/>
  <c r="B251" i="2"/>
  <c r="H251" i="2"/>
  <c r="M251" i="2"/>
  <c r="N251" i="2"/>
  <c r="E251" i="2"/>
  <c r="I251" i="2"/>
  <c r="J251" i="2"/>
  <c r="P251" i="2"/>
  <c r="L251" i="2"/>
  <c r="D251" i="2"/>
  <c r="G251" i="2"/>
  <c r="A252" i="2"/>
  <c r="F251" i="2"/>
  <c r="C251" i="2"/>
  <c r="D252" i="2" l="1"/>
  <c r="B252" i="2"/>
  <c r="M252" i="2"/>
  <c r="N252" i="2"/>
  <c r="C252" i="2"/>
  <c r="H252" i="2"/>
  <c r="L252" i="2"/>
  <c r="O252" i="2"/>
  <c r="E252" i="2"/>
  <c r="K252" i="2"/>
  <c r="P252" i="2"/>
  <c r="A253" i="2"/>
  <c r="J252" i="2"/>
  <c r="G252" i="2"/>
  <c r="I252" i="2"/>
  <c r="F252" i="2"/>
  <c r="E253" i="2" l="1"/>
  <c r="G253" i="2"/>
  <c r="M253" i="2"/>
  <c r="F253" i="2"/>
  <c r="O253" i="2"/>
  <c r="P253" i="2"/>
  <c r="C253" i="2"/>
  <c r="L253" i="2"/>
  <c r="H253" i="2"/>
  <c r="B253" i="2"/>
  <c r="I253" i="2"/>
  <c r="D253" i="2"/>
  <c r="N253" i="2"/>
  <c r="A254" i="2"/>
  <c r="J253" i="2"/>
  <c r="K253" i="2"/>
  <c r="L254" i="2" l="1"/>
  <c r="J254" i="2"/>
  <c r="A255" i="2"/>
  <c r="G254" i="2"/>
  <c r="M254" i="2"/>
  <c r="P254" i="2"/>
  <c r="F254" i="2"/>
  <c r="H254" i="2"/>
  <c r="K254" i="2"/>
  <c r="O254" i="2"/>
  <c r="E254" i="2"/>
  <c r="B254" i="2"/>
  <c r="I254" i="2"/>
  <c r="D254" i="2"/>
  <c r="C254" i="2"/>
  <c r="N254" i="2"/>
  <c r="I255" i="2" l="1"/>
  <c r="J255" i="2"/>
  <c r="K255" i="2"/>
  <c r="H255" i="2"/>
  <c r="C255" i="2"/>
  <c r="A256" i="2"/>
  <c r="D255" i="2"/>
  <c r="P255" i="2"/>
  <c r="G255" i="2"/>
  <c r="B255" i="2"/>
  <c r="M255" i="2"/>
  <c r="N255" i="2"/>
  <c r="E255" i="2"/>
  <c r="F255" i="2"/>
  <c r="L255" i="2"/>
  <c r="O255" i="2"/>
  <c r="I256" i="2" l="1"/>
  <c r="J256" i="2"/>
  <c r="L256" i="2"/>
  <c r="O256" i="2"/>
  <c r="P256" i="2"/>
  <c r="E256" i="2"/>
  <c r="D256" i="2"/>
  <c r="K256" i="2"/>
  <c r="M256" i="2"/>
  <c r="N256" i="2"/>
  <c r="A257" i="2"/>
  <c r="F256" i="2"/>
  <c r="H256" i="2"/>
  <c r="C256" i="2"/>
  <c r="G256" i="2"/>
  <c r="B256" i="2"/>
  <c r="K257" i="2" l="1"/>
  <c r="L257" i="2"/>
  <c r="B257" i="2"/>
  <c r="M257" i="2"/>
  <c r="N257" i="2"/>
  <c r="E257" i="2"/>
  <c r="O257" i="2"/>
  <c r="G257" i="2"/>
  <c r="I257" i="2"/>
  <c r="A258" i="2"/>
  <c r="D257" i="2"/>
  <c r="F257" i="2"/>
  <c r="H257" i="2"/>
  <c r="C257" i="2"/>
  <c r="P257" i="2"/>
  <c r="J257" i="2"/>
  <c r="M258" i="2" l="1"/>
  <c r="I258" i="2"/>
  <c r="J258" i="2"/>
  <c r="P258" i="2"/>
  <c r="A259" i="2"/>
  <c r="D258" i="2"/>
  <c r="K258" i="2"/>
  <c r="N258" i="2"/>
  <c r="O258" i="2"/>
  <c r="B258" i="2"/>
  <c r="H258" i="2"/>
  <c r="F258" i="2"/>
  <c r="G258" i="2"/>
  <c r="L258" i="2"/>
  <c r="C258" i="2"/>
  <c r="E258" i="2"/>
  <c r="O259" i="2" l="1"/>
  <c r="G259" i="2"/>
  <c r="L259" i="2"/>
  <c r="D259" i="2"/>
  <c r="E259" i="2"/>
  <c r="P259" i="2"/>
  <c r="M259" i="2"/>
  <c r="I259" i="2"/>
  <c r="J259" i="2"/>
  <c r="K259" i="2"/>
  <c r="C259" i="2"/>
  <c r="H259" i="2"/>
  <c r="B259" i="2"/>
  <c r="A260" i="2"/>
  <c r="F259" i="2"/>
  <c r="N259" i="2"/>
  <c r="L260" i="2" l="1"/>
  <c r="C260" i="2"/>
  <c r="E260" i="2"/>
  <c r="G260" i="2"/>
  <c r="O260" i="2"/>
  <c r="I260" i="2"/>
  <c r="K260" i="2"/>
  <c r="F260" i="2"/>
  <c r="M260" i="2"/>
  <c r="N260" i="2"/>
  <c r="P260" i="2"/>
  <c r="J260" i="2"/>
  <c r="B260" i="2"/>
  <c r="A261" i="2"/>
  <c r="D260" i="2"/>
  <c r="H260" i="2"/>
  <c r="E261" i="2" l="1"/>
  <c r="L261" i="2"/>
  <c r="M261" i="2"/>
  <c r="O261" i="2"/>
  <c r="P261" i="2"/>
  <c r="B261" i="2"/>
  <c r="G261" i="2"/>
  <c r="J261" i="2"/>
  <c r="N261" i="2"/>
  <c r="A262" i="2"/>
  <c r="D261" i="2"/>
  <c r="I261" i="2"/>
  <c r="K261" i="2"/>
  <c r="F261" i="2"/>
  <c r="C261" i="2"/>
  <c r="H261" i="2"/>
  <c r="M262" i="2" l="1"/>
  <c r="E262" i="2"/>
  <c r="H262" i="2"/>
  <c r="L262" i="2"/>
  <c r="O262" i="2"/>
  <c r="K262" i="2"/>
  <c r="A263" i="2"/>
  <c r="F262" i="2"/>
  <c r="J262" i="2"/>
  <c r="I262" i="2"/>
  <c r="P262" i="2"/>
  <c r="C262" i="2"/>
  <c r="N262" i="2"/>
  <c r="G262" i="2"/>
  <c r="D262" i="2"/>
  <c r="B262" i="2"/>
  <c r="C263" i="2" l="1"/>
  <c r="M263" i="2"/>
  <c r="L263" i="2"/>
  <c r="J263" i="2"/>
  <c r="E263" i="2"/>
  <c r="G263" i="2"/>
  <c r="O263" i="2"/>
  <c r="D263" i="2"/>
  <c r="B263" i="2"/>
  <c r="I263" i="2"/>
  <c r="K263" i="2"/>
  <c r="H263" i="2"/>
  <c r="A264" i="2"/>
  <c r="F263" i="2"/>
  <c r="N263" i="2"/>
  <c r="P263" i="2"/>
  <c r="F264" i="2" l="1"/>
  <c r="H264" i="2"/>
  <c r="I264" i="2"/>
  <c r="J264" i="2"/>
  <c r="N264" i="2"/>
  <c r="O264" i="2"/>
  <c r="P264" i="2"/>
  <c r="B264" i="2"/>
  <c r="A265" i="2"/>
  <c r="E264" i="2"/>
  <c r="G264" i="2"/>
  <c r="C264" i="2"/>
  <c r="K264" i="2"/>
  <c r="M264" i="2"/>
  <c r="D264" i="2"/>
  <c r="L264" i="2"/>
  <c r="L265" i="2" l="1"/>
  <c r="D265" i="2"/>
  <c r="O265" i="2"/>
  <c r="E265" i="2"/>
  <c r="P265" i="2"/>
  <c r="F265" i="2"/>
  <c r="A266" i="2"/>
  <c r="C265" i="2"/>
  <c r="J265" i="2"/>
  <c r="M265" i="2"/>
  <c r="I265" i="2"/>
  <c r="G265" i="2"/>
  <c r="H265" i="2"/>
  <c r="B265" i="2"/>
  <c r="N265" i="2"/>
  <c r="K265" i="2"/>
  <c r="D266" i="2" l="1"/>
  <c r="M266" i="2"/>
  <c r="P266" i="2"/>
  <c r="B266" i="2"/>
  <c r="H266" i="2"/>
  <c r="O266" i="2"/>
  <c r="I266" i="2"/>
  <c r="N266" i="2"/>
  <c r="E266" i="2"/>
  <c r="J266" i="2"/>
  <c r="K266" i="2"/>
  <c r="A267" i="2"/>
  <c r="F266" i="2"/>
  <c r="C266" i="2"/>
  <c r="G266" i="2"/>
  <c r="L266" i="2"/>
  <c r="M267" i="2" l="1"/>
  <c r="B267" i="2"/>
  <c r="H267" i="2"/>
  <c r="I267" i="2"/>
  <c r="K267" i="2"/>
  <c r="N267" i="2"/>
  <c r="O267" i="2"/>
  <c r="P267" i="2"/>
  <c r="A268" i="2"/>
  <c r="C267" i="2"/>
  <c r="E267" i="2"/>
  <c r="G267" i="2"/>
  <c r="F267" i="2"/>
  <c r="D267" i="2"/>
  <c r="L267" i="2"/>
  <c r="J267" i="2"/>
  <c r="J268" i="2" l="1"/>
  <c r="K268" i="2"/>
  <c r="O268" i="2"/>
  <c r="M268" i="2"/>
  <c r="N268" i="2"/>
  <c r="I268" i="2"/>
  <c r="H268" i="2"/>
  <c r="A269" i="2"/>
  <c r="F268" i="2"/>
  <c r="B268" i="2"/>
  <c r="L268" i="2"/>
  <c r="D268" i="2"/>
  <c r="G268" i="2"/>
  <c r="C268" i="2"/>
  <c r="P268" i="2"/>
  <c r="E268" i="2"/>
  <c r="H269" i="2" l="1"/>
  <c r="J269" i="2"/>
  <c r="K269" i="2"/>
  <c r="L269" i="2"/>
  <c r="I269" i="2"/>
  <c r="C269" i="2"/>
  <c r="D269" i="2"/>
  <c r="E269" i="2"/>
  <c r="B269" i="2"/>
  <c r="M269" i="2"/>
  <c r="N269" i="2"/>
  <c r="O269" i="2"/>
  <c r="A270" i="2"/>
  <c r="P269" i="2"/>
  <c r="G269" i="2"/>
  <c r="F269" i="2"/>
  <c r="M270" i="2" l="1"/>
  <c r="H270" i="2"/>
  <c r="I270" i="2"/>
  <c r="P270" i="2"/>
  <c r="L270" i="2"/>
  <c r="B270" i="2"/>
  <c r="N270" i="2"/>
  <c r="O270" i="2"/>
  <c r="A271" i="2"/>
  <c r="E270" i="2"/>
  <c r="F270" i="2"/>
  <c r="J270" i="2"/>
  <c r="G270" i="2"/>
  <c r="D270" i="2"/>
  <c r="K270" i="2"/>
  <c r="C270" i="2"/>
  <c r="G271" i="2" l="1"/>
  <c r="K271" i="2"/>
  <c r="O271" i="2"/>
  <c r="B271" i="2"/>
  <c r="H271" i="2"/>
  <c r="P271" i="2"/>
  <c r="I271" i="2"/>
  <c r="E271" i="2"/>
  <c r="L271" i="2"/>
  <c r="N271" i="2"/>
  <c r="J271" i="2"/>
  <c r="A272" i="2"/>
  <c r="M271" i="2"/>
  <c r="D271" i="2"/>
  <c r="C271" i="2"/>
  <c r="F271" i="2"/>
  <c r="I272" i="2" l="1"/>
  <c r="C272" i="2"/>
  <c r="J272" i="2"/>
  <c r="P272" i="2"/>
  <c r="L272" i="2"/>
  <c r="N272" i="2"/>
  <c r="B272" i="2"/>
  <c r="K272" i="2"/>
  <c r="D272" i="2"/>
  <c r="F272" i="2"/>
  <c r="G272" i="2"/>
  <c r="M272" i="2"/>
  <c r="H272" i="2"/>
  <c r="A273" i="2"/>
  <c r="E272" i="2"/>
  <c r="O272" i="2"/>
  <c r="O273" i="2" l="1"/>
  <c r="M273" i="2"/>
  <c r="N273" i="2"/>
  <c r="P273" i="2"/>
  <c r="E273" i="2"/>
  <c r="J273" i="2"/>
  <c r="B273" i="2"/>
  <c r="K273" i="2"/>
  <c r="I273" i="2"/>
  <c r="D273" i="2"/>
  <c r="F273" i="2"/>
  <c r="C273" i="2"/>
  <c r="G273" i="2"/>
  <c r="A274" i="2"/>
  <c r="L273" i="2"/>
  <c r="H273" i="2"/>
  <c r="B274" i="2" l="1"/>
  <c r="K274" i="2"/>
  <c r="M274" i="2"/>
  <c r="O274" i="2"/>
  <c r="G274" i="2"/>
  <c r="D274" i="2"/>
  <c r="F274" i="2"/>
  <c r="E274" i="2"/>
  <c r="N274" i="2"/>
  <c r="J274" i="2"/>
  <c r="L274" i="2"/>
  <c r="A275" i="2"/>
  <c r="C274" i="2"/>
  <c r="I274" i="2"/>
  <c r="P274" i="2"/>
  <c r="H274" i="2"/>
  <c r="K275" i="2" l="1"/>
  <c r="M275" i="2"/>
  <c r="N275" i="2"/>
  <c r="C275" i="2"/>
  <c r="J275" i="2"/>
  <c r="O275" i="2"/>
  <c r="A276" i="2"/>
  <c r="F275" i="2"/>
  <c r="B275" i="2"/>
  <c r="H275" i="2"/>
  <c r="D275" i="2"/>
  <c r="P275" i="2"/>
  <c r="G275" i="2"/>
  <c r="E275" i="2"/>
  <c r="I275" i="2"/>
  <c r="L275" i="2"/>
  <c r="L276" i="2" l="1"/>
  <c r="M276" i="2"/>
  <c r="B276" i="2"/>
  <c r="H276" i="2"/>
  <c r="D276" i="2"/>
  <c r="E276" i="2"/>
  <c r="J276" i="2"/>
  <c r="C276" i="2"/>
  <c r="F276" i="2"/>
  <c r="N276" i="2"/>
  <c r="I276" i="2"/>
  <c r="A277" i="2"/>
  <c r="G276" i="2"/>
  <c r="O276" i="2"/>
  <c r="P276" i="2"/>
  <c r="K276" i="2"/>
  <c r="B277" i="2" l="1"/>
  <c r="N277" i="2"/>
  <c r="L277" i="2"/>
  <c r="O277" i="2"/>
  <c r="J277" i="2"/>
  <c r="K277" i="2"/>
  <c r="I277" i="2"/>
  <c r="A278" i="2"/>
  <c r="G277" i="2"/>
  <c r="F277" i="2"/>
  <c r="P277" i="2"/>
  <c r="D277" i="2"/>
  <c r="E277" i="2"/>
  <c r="C277" i="2"/>
  <c r="M277" i="2"/>
  <c r="H277" i="2"/>
  <c r="F278" i="2" l="1"/>
  <c r="B278" i="2"/>
  <c r="N278" i="2"/>
  <c r="P278" i="2"/>
  <c r="O278" i="2"/>
  <c r="E278" i="2"/>
  <c r="G278" i="2"/>
  <c r="I278" i="2"/>
  <c r="J278" i="2"/>
  <c r="K278" i="2"/>
  <c r="L278" i="2"/>
  <c r="A279" i="2"/>
  <c r="D278" i="2"/>
  <c r="C278" i="2"/>
  <c r="H278" i="2"/>
  <c r="M278" i="2"/>
  <c r="H279" i="2" l="1"/>
  <c r="G279" i="2"/>
  <c r="F279" i="2"/>
  <c r="O279" i="2"/>
  <c r="P279" i="2"/>
  <c r="B279" i="2"/>
  <c r="I279" i="2"/>
  <c r="L279" i="2"/>
  <c r="J279" i="2"/>
  <c r="N279" i="2"/>
  <c r="A280" i="2"/>
  <c r="E279" i="2"/>
  <c r="M279" i="2"/>
  <c r="C279" i="2"/>
  <c r="D279" i="2"/>
  <c r="K279" i="2"/>
  <c r="L280" i="2" l="1"/>
  <c r="M280" i="2"/>
  <c r="H280" i="2"/>
  <c r="I280" i="2"/>
  <c r="C280" i="2"/>
  <c r="B280" i="2"/>
  <c r="F280" i="2"/>
  <c r="J280" i="2"/>
  <c r="N280" i="2"/>
  <c r="O280" i="2"/>
  <c r="P280" i="2"/>
  <c r="A281" i="2"/>
  <c r="D280" i="2"/>
  <c r="G280" i="2"/>
  <c r="E280" i="2"/>
  <c r="K280" i="2"/>
  <c r="N281" i="2" l="1"/>
  <c r="D281" i="2"/>
  <c r="L281" i="2"/>
  <c r="M281" i="2"/>
  <c r="O281" i="2"/>
  <c r="K281" i="2"/>
  <c r="B281" i="2"/>
  <c r="P281" i="2"/>
  <c r="F281" i="2"/>
  <c r="J281" i="2"/>
  <c r="H281" i="2"/>
  <c r="A282" i="2"/>
  <c r="E281" i="2"/>
  <c r="G281" i="2"/>
  <c r="C281" i="2"/>
  <c r="I281" i="2"/>
  <c r="C282" i="2" l="1"/>
  <c r="O282" i="2"/>
  <c r="D282" i="2"/>
  <c r="K282" i="2"/>
  <c r="I282" i="2"/>
  <c r="L282" i="2"/>
  <c r="N282" i="2"/>
  <c r="J282" i="2"/>
  <c r="E282" i="2"/>
  <c r="G282" i="2"/>
  <c r="H282" i="2"/>
  <c r="M282" i="2"/>
  <c r="P282" i="2"/>
  <c r="A283" i="2"/>
  <c r="F282" i="2"/>
  <c r="B282" i="2"/>
  <c r="G283" i="2" l="1"/>
  <c r="H283" i="2"/>
  <c r="I283" i="2"/>
  <c r="K283" i="2"/>
  <c r="L283" i="2"/>
  <c r="M283" i="2"/>
  <c r="N283" i="2"/>
  <c r="C283" i="2"/>
  <c r="P283" i="2"/>
  <c r="B283" i="2"/>
  <c r="J283" i="2"/>
  <c r="A284" i="2"/>
  <c r="E283" i="2"/>
  <c r="F283" i="2"/>
  <c r="D283" i="2"/>
  <c r="O283" i="2"/>
  <c r="M284" i="2" l="1"/>
  <c r="N284" i="2"/>
  <c r="P284" i="2"/>
  <c r="K284" i="2"/>
  <c r="L284" i="2"/>
  <c r="F284" i="2"/>
  <c r="J284" i="2"/>
  <c r="B284" i="2"/>
  <c r="H284" i="2"/>
  <c r="I284" i="2"/>
  <c r="D284" i="2"/>
  <c r="G284" i="2"/>
  <c r="A285" i="2"/>
  <c r="E284" i="2"/>
  <c r="C284" i="2"/>
  <c r="O284" i="2"/>
  <c r="I285" i="2" l="1"/>
  <c r="F285" i="2"/>
  <c r="O285" i="2"/>
  <c r="P285" i="2"/>
  <c r="B285" i="2"/>
  <c r="H285" i="2"/>
  <c r="L285" i="2"/>
  <c r="D285" i="2"/>
  <c r="E285" i="2"/>
  <c r="K285" i="2"/>
  <c r="J285" i="2"/>
  <c r="N285" i="2"/>
  <c r="A286" i="2"/>
  <c r="C285" i="2"/>
  <c r="G285" i="2"/>
  <c r="M285" i="2"/>
  <c r="M286" i="2" l="1"/>
  <c r="P286" i="2"/>
  <c r="B286" i="2"/>
  <c r="H286" i="2"/>
  <c r="I286" i="2"/>
  <c r="J286" i="2"/>
  <c r="O286" i="2"/>
  <c r="K286" i="2"/>
  <c r="A287" i="2"/>
  <c r="E286" i="2"/>
  <c r="D286" i="2"/>
  <c r="F286" i="2"/>
  <c r="L286" i="2"/>
  <c r="C286" i="2"/>
  <c r="N286" i="2"/>
  <c r="G286" i="2"/>
  <c r="C287" i="2" l="1"/>
  <c r="P287" i="2"/>
  <c r="D287" i="2"/>
  <c r="N287" i="2"/>
  <c r="O287" i="2"/>
  <c r="B287" i="2"/>
  <c r="H287" i="2"/>
  <c r="A288" i="2"/>
  <c r="I287" i="2"/>
  <c r="K287" i="2"/>
  <c r="M287" i="2"/>
  <c r="E287" i="2"/>
  <c r="G287" i="2"/>
  <c r="J287" i="2"/>
  <c r="F287" i="2"/>
  <c r="L287" i="2"/>
  <c r="B288" i="2" l="1"/>
  <c r="M288" i="2"/>
  <c r="H288" i="2"/>
  <c r="P288" i="2"/>
  <c r="I288" i="2"/>
  <c r="K288" i="2"/>
  <c r="N288" i="2"/>
  <c r="O288" i="2"/>
  <c r="A289" i="2"/>
  <c r="E288" i="2"/>
  <c r="C288" i="2"/>
  <c r="F288" i="2"/>
  <c r="J288" i="2"/>
  <c r="D288" i="2"/>
  <c r="G288" i="2"/>
  <c r="L288" i="2"/>
  <c r="G289" i="2" l="1"/>
  <c r="J289" i="2"/>
  <c r="N289" i="2"/>
  <c r="O289" i="2"/>
  <c r="B289" i="2"/>
  <c r="C289" i="2"/>
  <c r="P289" i="2"/>
  <c r="I289" i="2"/>
  <c r="K289" i="2"/>
  <c r="L289" i="2"/>
  <c r="H289" i="2"/>
  <c r="F289" i="2"/>
  <c r="E289" i="2"/>
  <c r="A290" i="2"/>
  <c r="M289" i="2"/>
  <c r="D289" i="2"/>
  <c r="E290" i="2" l="1"/>
  <c r="N290" i="2"/>
  <c r="L290" i="2"/>
  <c r="I290" i="2"/>
  <c r="G290" i="2"/>
  <c r="H290" i="2"/>
  <c r="P290" i="2"/>
  <c r="M290" i="2"/>
  <c r="C290" i="2"/>
  <c r="J290" i="2"/>
  <c r="K290" i="2"/>
  <c r="A291" i="2"/>
  <c r="D290" i="2"/>
  <c r="B290" i="2"/>
  <c r="F290" i="2"/>
  <c r="O290" i="2"/>
  <c r="H291" i="2" l="1"/>
  <c r="N291" i="2"/>
  <c r="E291" i="2"/>
  <c r="D291" i="2"/>
  <c r="B291" i="2"/>
  <c r="O291" i="2"/>
  <c r="G291" i="2"/>
  <c r="J291" i="2"/>
  <c r="L291" i="2"/>
  <c r="K291" i="2"/>
  <c r="M291" i="2"/>
  <c r="P291" i="2"/>
  <c r="A292" i="2"/>
  <c r="C291" i="2"/>
  <c r="F291" i="2"/>
  <c r="I291" i="2"/>
  <c r="N292" i="2" l="1"/>
  <c r="H292" i="2"/>
  <c r="I292" i="2"/>
  <c r="J292" i="2"/>
  <c r="P292" i="2"/>
  <c r="E292" i="2"/>
  <c r="A293" i="2"/>
  <c r="F292" i="2"/>
  <c r="G292" i="2"/>
  <c r="L292" i="2"/>
  <c r="O292" i="2"/>
  <c r="K292" i="2"/>
  <c r="D292" i="2"/>
  <c r="B292" i="2"/>
  <c r="C292" i="2"/>
  <c r="M292" i="2"/>
  <c r="I293" i="2" l="1"/>
  <c r="J293" i="2"/>
  <c r="L293" i="2"/>
  <c r="C293" i="2"/>
  <c r="M293" i="2"/>
  <c r="N293" i="2"/>
  <c r="O293" i="2"/>
  <c r="D293" i="2"/>
  <c r="G293" i="2"/>
  <c r="B293" i="2"/>
  <c r="K293" i="2"/>
  <c r="E293" i="2"/>
  <c r="P293" i="2"/>
  <c r="A294" i="2"/>
  <c r="F293" i="2"/>
  <c r="H293" i="2"/>
  <c r="J294" i="2" l="1"/>
  <c r="F294" i="2"/>
  <c r="B294" i="2"/>
  <c r="H294" i="2"/>
  <c r="A295" i="2"/>
  <c r="K294" i="2"/>
  <c r="I294" i="2"/>
  <c r="M294" i="2"/>
  <c r="N294" i="2"/>
  <c r="O294" i="2"/>
  <c r="P294" i="2"/>
  <c r="C294" i="2"/>
  <c r="D294" i="2"/>
  <c r="G294" i="2"/>
  <c r="E294" i="2"/>
  <c r="L294" i="2"/>
  <c r="L295" i="2" l="1"/>
  <c r="M295" i="2"/>
  <c r="O295" i="2"/>
  <c r="G295" i="2"/>
  <c r="H295" i="2"/>
  <c r="C295" i="2"/>
  <c r="D295" i="2"/>
  <c r="B295" i="2"/>
  <c r="N295" i="2"/>
  <c r="P295" i="2"/>
  <c r="F295" i="2"/>
  <c r="K295" i="2"/>
  <c r="J295" i="2"/>
  <c r="A296" i="2"/>
  <c r="I295" i="2"/>
  <c r="E295" i="2"/>
  <c r="K296" i="2" l="1"/>
  <c r="L296" i="2"/>
  <c r="M296" i="2"/>
  <c r="P296" i="2"/>
  <c r="D296" i="2"/>
  <c r="C296" i="2"/>
  <c r="N296" i="2"/>
  <c r="F296" i="2"/>
  <c r="B296" i="2"/>
  <c r="E296" i="2"/>
  <c r="G296" i="2"/>
  <c r="O296" i="2"/>
  <c r="A297" i="2"/>
  <c r="J296" i="2"/>
  <c r="I296" i="2"/>
  <c r="H296" i="2"/>
  <c r="P297" i="2" l="1"/>
  <c r="I297" i="2"/>
  <c r="K297" i="2"/>
  <c r="M297" i="2"/>
  <c r="A298" i="2"/>
  <c r="E297" i="2"/>
  <c r="N297" i="2"/>
  <c r="H297" i="2"/>
  <c r="J297" i="2"/>
  <c r="B297" i="2"/>
  <c r="L297" i="2"/>
  <c r="C297" i="2"/>
  <c r="F297" i="2"/>
  <c r="G297" i="2"/>
  <c r="D297" i="2"/>
  <c r="O297" i="2"/>
  <c r="K298" i="2" l="1"/>
  <c r="J298" i="2"/>
  <c r="L298" i="2"/>
  <c r="M298" i="2"/>
  <c r="O298" i="2"/>
  <c r="P298" i="2"/>
  <c r="H298" i="2"/>
  <c r="I298" i="2"/>
  <c r="A299" i="2"/>
  <c r="E298" i="2"/>
  <c r="F298" i="2"/>
  <c r="G298" i="2"/>
  <c r="C298" i="2"/>
  <c r="D298" i="2"/>
  <c r="B298" i="2"/>
  <c r="N298" i="2"/>
  <c r="H299" i="2" l="1"/>
  <c r="O299" i="2"/>
  <c r="K299" i="2"/>
  <c r="M299" i="2"/>
  <c r="N299" i="2"/>
  <c r="C299" i="2"/>
  <c r="E299" i="2"/>
  <c r="B299" i="2"/>
  <c r="J299" i="2"/>
  <c r="L299" i="2"/>
  <c r="P299" i="2"/>
  <c r="A300" i="2"/>
  <c r="F299" i="2"/>
  <c r="I299" i="2"/>
  <c r="D299" i="2"/>
  <c r="G299" i="2"/>
  <c r="C300" i="2" l="1"/>
  <c r="E300" i="2"/>
  <c r="B300" i="2"/>
  <c r="I300" i="2"/>
  <c r="A301" i="2"/>
  <c r="K300" i="2"/>
  <c r="H300" i="2"/>
  <c r="F300" i="2"/>
  <c r="N300" i="2"/>
  <c r="O300" i="2"/>
  <c r="P300" i="2"/>
  <c r="D300" i="2"/>
  <c r="G300" i="2"/>
  <c r="L300" i="2"/>
  <c r="J300" i="2"/>
  <c r="M300" i="2"/>
  <c r="I301" i="2" l="1"/>
  <c r="N301" i="2"/>
  <c r="L301" i="2"/>
  <c r="C301" i="2"/>
  <c r="P301" i="2"/>
  <c r="K301" i="2"/>
  <c r="E301" i="2"/>
  <c r="M301" i="2"/>
  <c r="J301" i="2"/>
  <c r="G301" i="2"/>
  <c r="F301" i="2"/>
  <c r="D301" i="2"/>
  <c r="O301" i="2"/>
  <c r="A302" i="2"/>
  <c r="H301" i="2"/>
  <c r="B301" i="2"/>
  <c r="M302" i="2" l="1"/>
  <c r="N302" i="2"/>
  <c r="B302" i="2"/>
  <c r="H302" i="2"/>
  <c r="K302" i="2"/>
  <c r="O302" i="2"/>
  <c r="I302" i="2"/>
  <c r="J302" i="2"/>
  <c r="A303" i="2"/>
  <c r="E302" i="2"/>
  <c r="L302" i="2"/>
  <c r="C302" i="2"/>
  <c r="F302" i="2"/>
  <c r="D302" i="2"/>
  <c r="P302" i="2"/>
  <c r="G302" i="2"/>
  <c r="D303" i="2" l="1"/>
  <c r="C303" i="2"/>
  <c r="P303" i="2"/>
  <c r="K303" i="2"/>
  <c r="I303" i="2"/>
  <c r="N303" i="2"/>
  <c r="A304" i="2"/>
  <c r="H303" i="2"/>
  <c r="J303" i="2"/>
  <c r="O303" i="2"/>
  <c r="E303" i="2"/>
  <c r="G303" i="2"/>
  <c r="L303" i="2"/>
  <c r="M303" i="2"/>
  <c r="F303" i="2"/>
  <c r="B303" i="2"/>
  <c r="O304" i="2" l="1"/>
  <c r="P304" i="2"/>
  <c r="I304" i="2"/>
  <c r="M304" i="2"/>
  <c r="E304" i="2"/>
  <c r="H304" i="2"/>
  <c r="A305" i="2"/>
  <c r="D304" i="2"/>
  <c r="J304" i="2"/>
  <c r="N304" i="2"/>
  <c r="L304" i="2"/>
  <c r="C304" i="2"/>
  <c r="F304" i="2"/>
  <c r="B304" i="2"/>
  <c r="G304" i="2"/>
  <c r="K304" i="2"/>
  <c r="B305" i="2" l="1"/>
  <c r="H305" i="2"/>
  <c r="I305" i="2"/>
  <c r="J305" i="2"/>
  <c r="O305" i="2"/>
  <c r="G305" i="2"/>
  <c r="D305" i="2"/>
  <c r="C305" i="2"/>
  <c r="P305" i="2"/>
  <c r="M305" i="2"/>
  <c r="K305" i="2"/>
  <c r="F305" i="2"/>
  <c r="E305" i="2"/>
  <c r="L305" i="2"/>
  <c r="N30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tc={69D2C0A7-C696-4073-BF96-D09F96D2430B}</author>
  </authors>
  <commentList>
    <comment ref="C4" authorId="0" shapeId="0" xr:uid="{69D2C0A7-C696-4073-BF96-D09F96D243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 weighings later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<sst xmlns="http://schemas.openxmlformats.org/spreadsheetml/2006/main" count="1229" uniqueCount="914">
  <si>
    <t>Inputs</t>
  </si>
  <si>
    <t>Metric</t>
  </si>
  <si>
    <t xml:space="preserve">Weight </t>
  </si>
  <si>
    <t>Better when</t>
  </si>
  <si>
    <t>EV/EBIT</t>
  </si>
  <si>
    <t>FCF yield</t>
  </si>
  <si>
    <t>Cash Conversion</t>
  </si>
  <si>
    <t>Revenue CAGR</t>
  </si>
  <si>
    <t>Lower</t>
  </si>
  <si>
    <t>Higher</t>
  </si>
  <si>
    <t>Total</t>
  </si>
  <si>
    <t>Screen Date</t>
  </si>
  <si>
    <t>Price quoted in,</t>
  </si>
  <si>
    <t>Pounds</t>
  </si>
  <si>
    <t>Price divisor</t>
  </si>
  <si>
    <t>Currency</t>
  </si>
  <si>
    <t>GBP</t>
  </si>
  <si>
    <t>USD</t>
  </si>
  <si>
    <t>EUR</t>
  </si>
  <si>
    <t>Excluded Sectors</t>
  </si>
  <si>
    <t>Financials</t>
  </si>
  <si>
    <t>Real Estate</t>
  </si>
  <si>
    <t>Ticker</t>
  </si>
  <si>
    <t>Company</t>
  </si>
  <si>
    <t>ISIN</t>
  </si>
  <si>
    <t>Sector</t>
  </si>
  <si>
    <t>Auto status</t>
  </si>
  <si>
    <t>Override</t>
  </si>
  <si>
    <t>Final Status</t>
  </si>
  <si>
    <t>Notes</t>
  </si>
  <si>
    <t xml:space="preserve">Included: </t>
  </si>
  <si>
    <t>Industrials</t>
  </si>
  <si>
    <t>Consumer Discretionary</t>
  </si>
  <si>
    <t>Technology</t>
  </si>
  <si>
    <t>Basic Materials</t>
  </si>
  <si>
    <t>key</t>
  </si>
  <si>
    <t>isin_h</t>
  </si>
  <si>
    <t>fyear_h</t>
  </si>
  <si>
    <t>gvkey</t>
  </si>
  <si>
    <t>isin</t>
  </si>
  <si>
    <t>conm</t>
  </si>
  <si>
    <t>fyear</t>
  </si>
  <si>
    <t>datadate</t>
  </si>
  <si>
    <t>curcd</t>
  </si>
  <si>
    <t>revt</t>
  </si>
  <si>
    <t>ebit</t>
  </si>
  <si>
    <t>ebitda</t>
  </si>
  <si>
    <t>ni</t>
  </si>
  <si>
    <t>oancf</t>
  </si>
  <si>
    <t>capx</t>
  </si>
  <si>
    <t>dltt</t>
  </si>
  <si>
    <t>dlc</t>
  </si>
  <si>
    <t>che</t>
  </si>
  <si>
    <t>mib</t>
  </si>
  <si>
    <t>mcap_gbp_m</t>
  </si>
  <si>
    <t>iid</t>
  </si>
  <si>
    <t>prccd</t>
  </si>
  <si>
    <t>cshoc</t>
  </si>
  <si>
    <t>curcdd</t>
  </si>
  <si>
    <t>Status</t>
  </si>
  <si>
    <t>WRDS field</t>
  </si>
  <si>
    <t>Year offset</t>
  </si>
  <si>
    <t>Latest FY</t>
  </si>
  <si>
    <t>FX to GBP</t>
  </si>
  <si>
    <t>Revenue FY0</t>
  </si>
  <si>
    <t>Revenue FY-3</t>
  </si>
  <si>
    <t>EBIT FY0</t>
  </si>
  <si>
    <t>EBITDA FY0</t>
  </si>
  <si>
    <t>Net income FY0</t>
  </si>
  <si>
    <t>Net income FY-1</t>
  </si>
  <si>
    <t>Net income FY-2</t>
  </si>
  <si>
    <t>CFO FY0</t>
  </si>
  <si>
    <t>CFO FY-1</t>
  </si>
  <si>
    <t>CFO FY-2</t>
  </si>
  <si>
    <t>Capex FY0</t>
  </si>
  <si>
    <t>Capex FY-1</t>
  </si>
  <si>
    <t>Capex FY-2</t>
  </si>
  <si>
    <t>LT debt</t>
  </si>
  <si>
    <t>ST debt</t>
  </si>
  <si>
    <t>Cash</t>
  </si>
  <si>
    <t>Minority interest</t>
  </si>
  <si>
    <t>Market cap</t>
  </si>
  <si>
    <t>Net Debt £m</t>
  </si>
  <si>
    <t>EV £m</t>
  </si>
  <si>
    <t>FCF £m</t>
  </si>
  <si>
    <t>LT debt + ST debt - Cash</t>
  </si>
  <si>
    <t>Mkt Cap + Net debt + minority interest</t>
  </si>
  <si>
    <t>CFO FY0 - Capex FY0</t>
  </si>
  <si>
    <t>FCF 3yr £m</t>
  </si>
  <si>
    <t>Net Income 3yr £m</t>
  </si>
  <si>
    <t>FCF Yield</t>
  </si>
  <si>
    <t>Cash conversion</t>
  </si>
  <si>
    <t>Net debt/EBITDA</t>
  </si>
  <si>
    <t>Rank EV/EBIT</t>
  </si>
  <si>
    <t>Rank FCF yield</t>
  </si>
  <si>
    <t>Rank Cash Conversion</t>
  </si>
  <si>
    <t>Rank Leverage</t>
  </si>
  <si>
    <t>Rank Growth</t>
  </si>
  <si>
    <t>Composite Score</t>
  </si>
  <si>
    <t>Final Rank</t>
  </si>
  <si>
    <t>Net Debt/EBITDA</t>
  </si>
  <si>
    <t>FTSE 250 Value Screen</t>
  </si>
  <si>
    <t>Rank</t>
  </si>
  <si>
    <t>Composite score</t>
  </si>
  <si>
    <t>Rank cash conversion</t>
  </si>
  <si>
    <t>Rank leverage</t>
  </si>
  <si>
    <t>Rank growth</t>
  </si>
  <si>
    <t>Checks</t>
  </si>
  <si>
    <t>Overall</t>
  </si>
  <si>
    <t>Test</t>
  </si>
  <si>
    <t>Result</t>
  </si>
  <si>
    <t>Weights add up to 100%</t>
  </si>
  <si>
    <t>Companies included</t>
  </si>
  <si>
    <t>Included but no fundamentals</t>
  </si>
  <si>
    <t>Included but no market cap</t>
  </si>
  <si>
    <t>Market caps over £20bn (pence error?)</t>
  </si>
  <si>
    <t>Companies with a final rank</t>
  </si>
  <si>
    <t>Error cells on Metrics</t>
  </si>
  <si>
    <t>3IN</t>
  </si>
  <si>
    <t>3i Infrastructure</t>
  </si>
  <si>
    <t>JE00BF5FX167</t>
  </si>
  <si>
    <t>FOUR</t>
  </si>
  <si>
    <t>4imprint</t>
  </si>
  <si>
    <t>GB0006640972</t>
  </si>
  <si>
    <t>AAS</t>
  </si>
  <si>
    <t>Aberdeen Asia Focus</t>
  </si>
  <si>
    <t>GB00BMF19B58</t>
  </si>
  <si>
    <t>ASL</t>
  </si>
  <si>
    <t>Aberforth Smaller Companies Trust</t>
  </si>
  <si>
    <t>GB0000066554</t>
  </si>
  <si>
    <t>AEP</t>
  </si>
  <si>
    <t>AEP Plantations</t>
  </si>
  <si>
    <t>GB00BWPD4D87</t>
  </si>
  <si>
    <t>Consumer Staples</t>
  </si>
  <si>
    <t>ALFA</t>
  </si>
  <si>
    <t>Alfa Financial Software</t>
  </si>
  <si>
    <t>GB00BDHXPG30</t>
  </si>
  <si>
    <t>ATT</t>
  </si>
  <si>
    <t>Allianz Technology Trust</t>
  </si>
  <si>
    <t>GB00BNG2M159</t>
  </si>
  <si>
    <t>AMRQ</t>
  </si>
  <si>
    <t>Amaroq</t>
  </si>
  <si>
    <t>AO</t>
  </si>
  <si>
    <t>AO World</t>
  </si>
  <si>
    <t>GB00BJTNFH41</t>
  </si>
  <si>
    <t>APN</t>
  </si>
  <si>
    <t>Applied Nutrition</t>
  </si>
  <si>
    <t>GB00BPVDXX64</t>
  </si>
  <si>
    <t>ASHM</t>
  </si>
  <si>
    <t>Ashmore Group</t>
  </si>
  <si>
    <t>GB00B132NW22</t>
  </si>
  <si>
    <t>AIE</t>
  </si>
  <si>
    <t>Ashoka India Equity Investment Trust</t>
  </si>
  <si>
    <t>GB00BF50VS41</t>
  </si>
  <si>
    <t>ASC</t>
  </si>
  <si>
    <t>ASOS</t>
  </si>
  <si>
    <t>GB0030927254</t>
  </si>
  <si>
    <t>ATYM</t>
  </si>
  <si>
    <t>Atalaya Mining</t>
  </si>
  <si>
    <t>CY0106002112</t>
  </si>
  <si>
    <t>ATG</t>
  </si>
  <si>
    <t>Auction Technology Group</t>
  </si>
  <si>
    <t>GB00BMVQDZ64</t>
  </si>
  <si>
    <t>AGT</t>
  </si>
  <si>
    <t>AVI Global Trust</t>
  </si>
  <si>
    <t>GB00BLH3CY60</t>
  </si>
  <si>
    <t>AVON</t>
  </si>
  <si>
    <t>Avon Technologies</t>
  </si>
  <si>
    <t>GB0000667013</t>
  </si>
  <si>
    <t>BME</t>
  </si>
  <si>
    <t>B&amp;M</t>
  </si>
  <si>
    <t>JE00BVSYJW51</t>
  </si>
  <si>
    <t>BGFD</t>
  </si>
  <si>
    <t>Baillie Gifford Japan Trust</t>
  </si>
  <si>
    <t>GB0000485838</t>
  </si>
  <si>
    <t>USA</t>
  </si>
  <si>
    <t>Baillie Gifford US Growth Trust</t>
  </si>
  <si>
    <t>GB00BDFGHW41</t>
  </si>
  <si>
    <t>BCG</t>
  </si>
  <si>
    <t>Baltic Classifieds</t>
  </si>
  <si>
    <t>GB00BN44P254</t>
  </si>
  <si>
    <t>BNKR</t>
  </si>
  <si>
    <t>Bankers Investment Trust</t>
  </si>
  <si>
    <t>GB00BN4NDR39</t>
  </si>
  <si>
    <t>BAG</t>
  </si>
  <si>
    <t>A.G. Barr</t>
  </si>
  <si>
    <t>GB00B6XZKY75</t>
  </si>
  <si>
    <t>AJB</t>
  </si>
  <si>
    <t>AJ Bell</t>
  </si>
  <si>
    <t>GB00BFZNLB60</t>
  </si>
  <si>
    <t>BWY</t>
  </si>
  <si>
    <t>Bellway</t>
  </si>
  <si>
    <t>GB0000904986</t>
  </si>
  <si>
    <t>BKG</t>
  </si>
  <si>
    <t>Berkeley Group Holdings</t>
  </si>
  <si>
    <t>GB00BP0RGD03</t>
  </si>
  <si>
    <t>BHMG</t>
  </si>
  <si>
    <t>BH Macro</t>
  </si>
  <si>
    <t>GG00BQBFY362</t>
  </si>
  <si>
    <t>BYG</t>
  </si>
  <si>
    <t>Big Yellow Group</t>
  </si>
  <si>
    <t>GB0002869419</t>
  </si>
  <si>
    <t>BPCR</t>
  </si>
  <si>
    <t>Biopharma Credit</t>
  </si>
  <si>
    <t>GB00BDGKMY29</t>
  </si>
  <si>
    <t>BRGE</t>
  </si>
  <si>
    <t>BlackRock Greater Europe Investment Trust</t>
  </si>
  <si>
    <t>GB00B01RDH75</t>
  </si>
  <si>
    <t>BRSC</t>
  </si>
  <si>
    <t>BlackRock Smaller Companies Trust</t>
  </si>
  <si>
    <t>GB00BWQGKH23</t>
  </si>
  <si>
    <t>BRWM</t>
  </si>
  <si>
    <t>BlackRock World Mining Trust</t>
  </si>
  <si>
    <t>GB0005774855</t>
  </si>
  <si>
    <t>BMY</t>
  </si>
  <si>
    <t>Bloomsbury Publishing</t>
  </si>
  <si>
    <t>GB0033147751</t>
  </si>
  <si>
    <t>BOY</t>
  </si>
  <si>
    <t>Bodycote</t>
  </si>
  <si>
    <t>GB00B3FLWH99</t>
  </si>
  <si>
    <t>BREE</t>
  </si>
  <si>
    <t>Breedon Group</t>
  </si>
  <si>
    <t>GB00BM8NFJ84</t>
  </si>
  <si>
    <t>BPT</t>
  </si>
  <si>
    <t>Bridgepoint Group</t>
  </si>
  <si>
    <t>GB00BND88V85</t>
  </si>
  <si>
    <t>BUT</t>
  </si>
  <si>
    <t>Brunner Investment Trust</t>
  </si>
  <si>
    <t>GB0001490449</t>
  </si>
  <si>
    <t>BYIT</t>
  </si>
  <si>
    <t>Bytes Technology Group</t>
  </si>
  <si>
    <t>GB00BMH18Q19</t>
  </si>
  <si>
    <t>CLDN</t>
  </si>
  <si>
    <t>Caledonia Investments</t>
  </si>
  <si>
    <t>GB00BTNQ8K38</t>
  </si>
  <si>
    <t>CGT</t>
  </si>
  <si>
    <t>Capital Gearing Trust</t>
  </si>
  <si>
    <t>GB00BT66KP92</t>
  </si>
  <si>
    <t>CWR</t>
  </si>
  <si>
    <t>Ceres Power</t>
  </si>
  <si>
    <t>GB00BG5KQW09</t>
  </si>
  <si>
    <t>Energy</t>
  </si>
  <si>
    <t>CHG</t>
  </si>
  <si>
    <t>Chemring Group</t>
  </si>
  <si>
    <t>GB00B45C9X44</t>
  </si>
  <si>
    <t>CSN</t>
  </si>
  <si>
    <t>Chesnara</t>
  </si>
  <si>
    <t>GB00B00FPT80</t>
  </si>
  <si>
    <t>CTY</t>
  </si>
  <si>
    <t>City of London Investment Trust</t>
  </si>
  <si>
    <t>GB0001990497</t>
  </si>
  <si>
    <t>CKN</t>
  </si>
  <si>
    <t>Clarkson</t>
  </si>
  <si>
    <t>GB0002018363</t>
  </si>
  <si>
    <t>CBG</t>
  </si>
  <si>
    <t>Close Brothers Group</t>
  </si>
  <si>
    <t>GB0007668071</t>
  </si>
  <si>
    <t>CMCX</t>
  </si>
  <si>
    <t>CMC Markets</t>
  </si>
  <si>
    <t>GB00B14SKR37</t>
  </si>
  <si>
    <t>COA</t>
  </si>
  <si>
    <t>Coats Group</t>
  </si>
  <si>
    <t>GB00B4YZN328</t>
  </si>
  <si>
    <t>CORD</t>
  </si>
  <si>
    <t>Cordiant Digital Infrastructure</t>
  </si>
  <si>
    <t>GG00BMC7TM77</t>
  </si>
  <si>
    <t>COST</t>
  </si>
  <si>
    <t>Costain Group</t>
  </si>
  <si>
    <t>GB00B64NSP76</t>
  </si>
  <si>
    <t>CWK</t>
  </si>
  <si>
    <t>Cranswick</t>
  </si>
  <si>
    <t>GB0002318888</t>
  </si>
  <si>
    <t>CURY</t>
  </si>
  <si>
    <t>Currys</t>
  </si>
  <si>
    <t>GB00B4Y7R145</t>
  </si>
  <si>
    <t>CVSG</t>
  </si>
  <si>
    <t>CVS Group</t>
  </si>
  <si>
    <t>GB00B2863827</t>
  </si>
  <si>
    <t>Health Care</t>
  </si>
  <si>
    <t>DLN</t>
  </si>
  <si>
    <t>Derwent London</t>
  </si>
  <si>
    <t>GB0002652740</t>
  </si>
  <si>
    <t>DSCV</t>
  </si>
  <si>
    <t>discoverIE</t>
  </si>
  <si>
    <t>GB0000055888</t>
  </si>
  <si>
    <t>DOM</t>
  </si>
  <si>
    <t>Domino's Pizza</t>
  </si>
  <si>
    <t>GB00BYN59130</t>
  </si>
  <si>
    <t>DRX</t>
  </si>
  <si>
    <t>Drax Group</t>
  </si>
  <si>
    <t>GB00B1VNSX38</t>
  </si>
  <si>
    <t>Utilities</t>
  </si>
  <si>
    <t>DOCS</t>
  </si>
  <si>
    <t>Dr. Martens</t>
  </si>
  <si>
    <t>GB00BL6NGV24</t>
  </si>
  <si>
    <t>DNLM</t>
  </si>
  <si>
    <t>Dunelm Group</t>
  </si>
  <si>
    <t>GB00B1CKQ739</t>
  </si>
  <si>
    <t>EDIN</t>
  </si>
  <si>
    <t>Edinburgh Investment Trust</t>
  </si>
  <si>
    <t>GB0003052338</t>
  </si>
  <si>
    <t>EWI</t>
  </si>
  <si>
    <t>Edinburgh Worldwide Investment Trust</t>
  </si>
  <si>
    <t>GB00BHSRZC82</t>
  </si>
  <si>
    <t>ELM</t>
  </si>
  <si>
    <t>Elementis</t>
  </si>
  <si>
    <t>GB0002418548</t>
  </si>
  <si>
    <t>ENOG</t>
  </si>
  <si>
    <t>Energean</t>
  </si>
  <si>
    <t>GB00BG12Y042</t>
  </si>
  <si>
    <t>ENT</t>
  </si>
  <si>
    <t>Entain</t>
  </si>
  <si>
    <t>IM00B5VQMV65</t>
  </si>
  <si>
    <t>ESCT</t>
  </si>
  <si>
    <t>European Smaller Companies Trust</t>
  </si>
  <si>
    <t>GB00BMCF8689</t>
  </si>
  <si>
    <t>EWG</t>
  </si>
  <si>
    <t>Eurowag</t>
  </si>
  <si>
    <t>GB00BLGXWY71</t>
  </si>
  <si>
    <t>FCSS</t>
  </si>
  <si>
    <t>Fidelity China Special Situations</t>
  </si>
  <si>
    <t>GB00B62Z3C74</t>
  </si>
  <si>
    <t>FEML</t>
  </si>
  <si>
    <t>Fidelity Emerging Markets</t>
  </si>
  <si>
    <t>GG00B4L0PD47</t>
  </si>
  <si>
    <t>FEV</t>
  </si>
  <si>
    <t>Fidelity European Trust</t>
  </si>
  <si>
    <t>GB00BK1PKQ95</t>
  </si>
  <si>
    <t>FSV</t>
  </si>
  <si>
    <t>Fidelity Special Values</t>
  </si>
  <si>
    <t>FGT</t>
  </si>
  <si>
    <t>Finsbury Growth &amp; Income Trust</t>
  </si>
  <si>
    <t>GB0007816068</t>
  </si>
  <si>
    <t>FGP</t>
  </si>
  <si>
    <t>FirstGroup</t>
  </si>
  <si>
    <t>GB0003452173</t>
  </si>
  <si>
    <t>FGEN</t>
  </si>
  <si>
    <t>Foresight Environmental Infrastructure</t>
  </si>
  <si>
    <t>GG00BJL5FH87</t>
  </si>
  <si>
    <t>FSG</t>
  </si>
  <si>
    <t>Foresight Group</t>
  </si>
  <si>
    <t>GG00BMD8MJ76</t>
  </si>
  <si>
    <t>FRAS</t>
  </si>
  <si>
    <t>Frasers Group</t>
  </si>
  <si>
    <t>GB00B1QH8P22</t>
  </si>
  <si>
    <t>FCH</t>
  </si>
  <si>
    <t>Funding Circle</t>
  </si>
  <si>
    <t>GB00BG0TPX62</t>
  </si>
  <si>
    <t>GFRD</t>
  </si>
  <si>
    <t>Galliford Try</t>
  </si>
  <si>
    <t>GB00BKY40Q38</t>
  </si>
  <si>
    <t>GAMA</t>
  </si>
  <si>
    <t>Gamma Communications</t>
  </si>
  <si>
    <t>GB00BQS10J50</t>
  </si>
  <si>
    <t>Telecommunications</t>
  </si>
  <si>
    <t>GCP</t>
  </si>
  <si>
    <t>GCP Infrastructure Investments</t>
  </si>
  <si>
    <t>JE00B6173J15</t>
  </si>
  <si>
    <t>GEN</t>
  </si>
  <si>
    <t>Genuit Group</t>
  </si>
  <si>
    <t>GB00BKRC5K31</t>
  </si>
  <si>
    <t>GNS</t>
  </si>
  <si>
    <t>Genus</t>
  </si>
  <si>
    <t>GB0002074580</t>
  </si>
  <si>
    <t>DATA</t>
  </si>
  <si>
    <t>GlobalData</t>
  </si>
  <si>
    <t>GB00BR3VDF43</t>
  </si>
  <si>
    <t>GSCT</t>
  </si>
  <si>
    <t>Global Smaller Companies Trust</t>
  </si>
  <si>
    <t>GB00BKLXD974</t>
  </si>
  <si>
    <t>GDWN</t>
  </si>
  <si>
    <t>Goodwin</t>
  </si>
  <si>
    <t>GB0003781050</t>
  </si>
  <si>
    <t>GFTU</t>
  </si>
  <si>
    <t>Grafton Group</t>
  </si>
  <si>
    <t>IE00B00MZ448</t>
  </si>
  <si>
    <t>GRI</t>
  </si>
  <si>
    <t>Grainger</t>
  </si>
  <si>
    <t>GB00B04V1276</t>
  </si>
  <si>
    <t>GPE</t>
  </si>
  <si>
    <t>Great Portland Estates</t>
  </si>
  <si>
    <t>GB00BF5H9P87</t>
  </si>
  <si>
    <t>UKW</t>
  </si>
  <si>
    <t>Greencoat UK Wind</t>
  </si>
  <si>
    <t>GB00B8SC6K54</t>
  </si>
  <si>
    <t>GNC</t>
  </si>
  <si>
    <t>Greencore</t>
  </si>
  <si>
    <t>IE0003864109</t>
  </si>
  <si>
    <t>GRG</t>
  </si>
  <si>
    <t>Greggs</t>
  </si>
  <si>
    <t>GB00B63QSB39</t>
  </si>
  <si>
    <t>HFD</t>
  </si>
  <si>
    <t>Halfords</t>
  </si>
  <si>
    <t>GB00B012TP20</t>
  </si>
  <si>
    <t>HMSO</t>
  </si>
  <si>
    <t>Hammerson</t>
  </si>
  <si>
    <t>GB00BRJQ8J25</t>
  </si>
  <si>
    <t>HANA</t>
  </si>
  <si>
    <t>Hansa Investment Company</t>
  </si>
  <si>
    <t>BMG428941162</t>
  </si>
  <si>
    <t>HBR</t>
  </si>
  <si>
    <t>Harbour Energy</t>
  </si>
  <si>
    <t>GB00BMBVGQ36</t>
  </si>
  <si>
    <t>HVPE</t>
  </si>
  <si>
    <t>HarbourVest Global Private Equity</t>
  </si>
  <si>
    <t>GG00BR30MJ80</t>
  </si>
  <si>
    <t>HWG</t>
  </si>
  <si>
    <t>Harworth Group</t>
  </si>
  <si>
    <t>GB00BYZJ7G42</t>
  </si>
  <si>
    <t>HAS</t>
  </si>
  <si>
    <t>Hays</t>
  </si>
  <si>
    <t>GB0004161021</t>
  </si>
  <si>
    <t>HTWS</t>
  </si>
  <si>
    <t>Helios Towers</t>
  </si>
  <si>
    <t>GB00BJVQC708</t>
  </si>
  <si>
    <t>HFEL</t>
  </si>
  <si>
    <t>Henderson Far East Income</t>
  </si>
  <si>
    <t>JE00B1GXH751</t>
  </si>
  <si>
    <t>HSL</t>
  </si>
  <si>
    <t>Henderson Smaller Companies Investment Trust</t>
  </si>
  <si>
    <t>GB0009065060</t>
  </si>
  <si>
    <t>HRI</t>
  </si>
  <si>
    <t>Herald Investment Trust</t>
  </si>
  <si>
    <t>GB0004228648</t>
  </si>
  <si>
    <t>HGT</t>
  </si>
  <si>
    <t>Hg Capital Trust</t>
  </si>
  <si>
    <t>GB00BJ0LT190</t>
  </si>
  <si>
    <t>HICL</t>
  </si>
  <si>
    <t>HICL Infrastructure Company</t>
  </si>
  <si>
    <t>GB00BJLP1Y77</t>
  </si>
  <si>
    <t>HIK</t>
  </si>
  <si>
    <t>Hikma Pharmaceuticals</t>
  </si>
  <si>
    <t>GB00B0LCW083</t>
  </si>
  <si>
    <t>HILS</t>
  </si>
  <si>
    <t>Hill &amp; Smith</t>
  </si>
  <si>
    <t>GB0004270301</t>
  </si>
  <si>
    <t>HFG</t>
  </si>
  <si>
    <t>Hilton Food Group</t>
  </si>
  <si>
    <t>GB00B1V9NW54</t>
  </si>
  <si>
    <t>HOC</t>
  </si>
  <si>
    <t>Hochschild Mining</t>
  </si>
  <si>
    <t>GB00B1FW5029</t>
  </si>
  <si>
    <t>BOWL</t>
  </si>
  <si>
    <t>Hollywood Bowl Group</t>
  </si>
  <si>
    <t>GB00BD0NVK62</t>
  </si>
  <si>
    <t>HTG</t>
  </si>
  <si>
    <t>Hunting</t>
  </si>
  <si>
    <t>GB0004478896</t>
  </si>
  <si>
    <t>ICGT</t>
  </si>
  <si>
    <t>ICG Enterprise Trust</t>
  </si>
  <si>
    <t>GB0003292009</t>
  </si>
  <si>
    <t>INCH</t>
  </si>
  <si>
    <t>Inchcape</t>
  </si>
  <si>
    <t>GB00B61TVQ02</t>
  </si>
  <si>
    <t>IHP</t>
  </si>
  <si>
    <t>IntegraFin Holdings</t>
  </si>
  <si>
    <t>GB00BD45SH49</t>
  </si>
  <si>
    <t>INPP</t>
  </si>
  <si>
    <t>International Public Partnerships</t>
  </si>
  <si>
    <t>GB00B188SR50</t>
  </si>
  <si>
    <t>IWG</t>
  </si>
  <si>
    <t>International Workplace Group</t>
  </si>
  <si>
    <t>JE00BYVQYS01</t>
  </si>
  <si>
    <t>IAD</t>
  </si>
  <si>
    <t>Invesco Asia Dragon Trust</t>
  </si>
  <si>
    <t>GB0004535307</t>
  </si>
  <si>
    <t>IPO</t>
  </si>
  <si>
    <t>IP Group</t>
  </si>
  <si>
    <t>ITV</t>
  </si>
  <si>
    <t>GB0033986497</t>
  </si>
  <si>
    <t>JMAT</t>
  </si>
  <si>
    <t>Johnson Matthey</t>
  </si>
  <si>
    <t>GB00BTQHVY80</t>
  </si>
  <si>
    <t>JSG</t>
  </si>
  <si>
    <t>Johnson Service Group</t>
  </si>
  <si>
    <t>GB0004762810</t>
  </si>
  <si>
    <t>JAM</t>
  </si>
  <si>
    <t>JPMorgan American Investment Trust</t>
  </si>
  <si>
    <t>GB00BKZGVH64</t>
  </si>
  <si>
    <t>JCH</t>
  </si>
  <si>
    <t>JPMorgan Claverhouse Investment Trust</t>
  </si>
  <si>
    <t>GB0003422184</t>
  </si>
  <si>
    <t>JEMI</t>
  </si>
  <si>
    <t>JPMorgan Emerging Markets Dividend Income</t>
  </si>
  <si>
    <t>GB00B5ZZY915</t>
  </si>
  <si>
    <t>JMGI</t>
  </si>
  <si>
    <t>JPMorgan Emerging Markets Growth &amp; Income</t>
  </si>
  <si>
    <t>GB00BMXWN182</t>
  </si>
  <si>
    <t>JEDT</t>
  </si>
  <si>
    <t>JPMorgan European Discovery</t>
  </si>
  <si>
    <t>GB00BMTS0Z37</t>
  </si>
  <si>
    <t>JEGI</t>
  </si>
  <si>
    <t>JPMorgan European Growth &amp; Income</t>
  </si>
  <si>
    <t>GB00BPR9Y246</t>
  </si>
  <si>
    <t>JGGI</t>
  </si>
  <si>
    <t>JPMorgan Global Growth &amp; Income</t>
  </si>
  <si>
    <t>GB00BYMKY695</t>
  </si>
  <si>
    <t>JFJ</t>
  </si>
  <si>
    <t>JPMorgan Japanese Investment Trust</t>
  </si>
  <si>
    <t>GB0001740025</t>
  </si>
  <si>
    <t>JUP</t>
  </si>
  <si>
    <t>Jupiter Fund Management</t>
  </si>
  <si>
    <t>GB00B53P2009</t>
  </si>
  <si>
    <t>KNOS</t>
  </si>
  <si>
    <t>Kainos</t>
  </si>
  <si>
    <t>GB00BZ0D6727</t>
  </si>
  <si>
    <t>KLR</t>
  </si>
  <si>
    <t>Keller Group</t>
  </si>
  <si>
    <t>GB0004866223</t>
  </si>
  <si>
    <t>KIE</t>
  </si>
  <si>
    <t>Kier Group</t>
  </si>
  <si>
    <t>GB0004915632</t>
  </si>
  <si>
    <t>LRE</t>
  </si>
  <si>
    <t>Lancashire Holdings</t>
  </si>
  <si>
    <t>BMG5361W1047</t>
  </si>
  <si>
    <t>LWDB</t>
  </si>
  <si>
    <t>Law Debenture</t>
  </si>
  <si>
    <t>GB0031429219</t>
  </si>
  <si>
    <t>EMG</t>
  </si>
  <si>
    <t>Man Group</t>
  </si>
  <si>
    <t>JE00BJ1DLW90</t>
  </si>
  <si>
    <t>MEGP</t>
  </si>
  <si>
    <t>ME Group International</t>
  </si>
  <si>
    <t>GB0008481250</t>
  </si>
  <si>
    <t>MRC</t>
  </si>
  <si>
    <t>Mercantile Investment Trust</t>
  </si>
  <si>
    <t>GB00BF4JDH58</t>
  </si>
  <si>
    <t>MRCH</t>
  </si>
  <si>
    <t>Merchants Trust</t>
  </si>
  <si>
    <t>GB0005800296</t>
  </si>
  <si>
    <t>MNO</t>
  </si>
  <si>
    <t>Meridian Mining</t>
  </si>
  <si>
    <t>GB00BVPND783</t>
  </si>
  <si>
    <t>MTRO</t>
  </si>
  <si>
    <t>Metro Bank</t>
  </si>
  <si>
    <t>GB00BMX3W479</t>
  </si>
  <si>
    <t>PAGE</t>
  </si>
  <si>
    <t>Michael Page</t>
  </si>
  <si>
    <t>GB0030232317</t>
  </si>
  <si>
    <t>MAB</t>
  </si>
  <si>
    <t>Mitchells &amp; Butlers</t>
  </si>
  <si>
    <t>GB00B1FP6H53</t>
  </si>
  <si>
    <t>MTO</t>
  </si>
  <si>
    <t>Mitie</t>
  </si>
  <si>
    <t>GB0004657408</t>
  </si>
  <si>
    <t>GROW</t>
  </si>
  <si>
    <t>Molten Ventures</t>
  </si>
  <si>
    <t>GB00BY7QYJ50</t>
  </si>
  <si>
    <t>MNDI</t>
  </si>
  <si>
    <t>Mondi</t>
  </si>
  <si>
    <t>GB00BMWC6P49</t>
  </si>
  <si>
    <t>MNKS</t>
  </si>
  <si>
    <t>Monks Investment Trust</t>
  </si>
  <si>
    <t>GB0030517261</t>
  </si>
  <si>
    <t>MONY</t>
  </si>
  <si>
    <t>MONY Group</t>
  </si>
  <si>
    <t>GB00B1ZBKY84</t>
  </si>
  <si>
    <t>MOON</t>
  </si>
  <si>
    <t>Moonpig</t>
  </si>
  <si>
    <t>GB00BMT9K014</t>
  </si>
  <si>
    <t>MGAM</t>
  </si>
  <si>
    <t>Morgan Advanced Materials</t>
  </si>
  <si>
    <t>GB0006027295</t>
  </si>
  <si>
    <t>MGNS</t>
  </si>
  <si>
    <t>Morgan Sindall Group</t>
  </si>
  <si>
    <t>GB0008085614</t>
  </si>
  <si>
    <t>MUT</t>
  </si>
  <si>
    <t>Murray Income Trust</t>
  </si>
  <si>
    <t>GB0006111123</t>
  </si>
  <si>
    <t>MYI</t>
  </si>
  <si>
    <t>Murray International Trust</t>
  </si>
  <si>
    <t>GB00BQZCCB79</t>
  </si>
  <si>
    <t>NCC</t>
  </si>
  <si>
    <t>NCC Group</t>
  </si>
  <si>
    <t>GB00B01QGK86</t>
  </si>
  <si>
    <t>NBPE</t>
  </si>
  <si>
    <t>Neuberger Private Equity Partners</t>
  </si>
  <si>
    <t>GG00B1ZBD492</t>
  </si>
  <si>
    <t>N91</t>
  </si>
  <si>
    <t>Ninety One</t>
  </si>
  <si>
    <t>GB00BJHPLV88</t>
  </si>
  <si>
    <t>NAIT</t>
  </si>
  <si>
    <t>North American Income Trust</t>
  </si>
  <si>
    <t>GB00BJ00Z303</t>
  </si>
  <si>
    <t>NAS</t>
  </si>
  <si>
    <t>North Atlantic Smaller Companies Investment Trust</t>
  </si>
  <si>
    <t>GB00BRDXZ870</t>
  </si>
  <si>
    <t>OCI</t>
  </si>
  <si>
    <t>Oakley Capital Investments</t>
  </si>
  <si>
    <t>BMG670131058</t>
  </si>
  <si>
    <t>OCDO</t>
  </si>
  <si>
    <t>Ocado Group</t>
  </si>
  <si>
    <t>GB00B3MBS747</t>
  </si>
  <si>
    <t>OSB</t>
  </si>
  <si>
    <t>OSB Group</t>
  </si>
  <si>
    <t>GB00BLDRH360</t>
  </si>
  <si>
    <t>OXB</t>
  </si>
  <si>
    <t>Oxford Biomedica</t>
  </si>
  <si>
    <t>GB00BDFBVT43</t>
  </si>
  <si>
    <t>OXIG</t>
  </si>
  <si>
    <t>Oxford Instruments</t>
  </si>
  <si>
    <t>GB0006650450</t>
  </si>
  <si>
    <t>ONT</t>
  </si>
  <si>
    <t>Oxford Nanopore Technologies</t>
  </si>
  <si>
    <t>GB00BP6S8Z30</t>
  </si>
  <si>
    <t>PHI</t>
  </si>
  <si>
    <t>Pacific Horizon Investment Trust</t>
  </si>
  <si>
    <t>GB0006667470</t>
  </si>
  <si>
    <t>PAF</t>
  </si>
  <si>
    <t>Pan African Resources</t>
  </si>
  <si>
    <t>GB0004300496</t>
  </si>
  <si>
    <t>PINT</t>
  </si>
  <si>
    <t>Pantheon Infrastructure</t>
  </si>
  <si>
    <t>GB00BLNNFL88</t>
  </si>
  <si>
    <t>PIN</t>
  </si>
  <si>
    <t>Pantheon International</t>
  </si>
  <si>
    <t>GB00BP37WF17</t>
  </si>
  <si>
    <t>PAG</t>
  </si>
  <si>
    <t>Paragon Banking Group</t>
  </si>
  <si>
    <t>GB00B2NGPM57</t>
  </si>
  <si>
    <t>PEY</t>
  </si>
  <si>
    <t>Partners Group Private Equity</t>
  </si>
  <si>
    <t>GG00B28C2R28</t>
  </si>
  <si>
    <t>PPET</t>
  </si>
  <si>
    <t>Patria Private Equity Trust</t>
  </si>
  <si>
    <t>GB0030474687</t>
  </si>
  <si>
    <t>PNN</t>
  </si>
  <si>
    <t>Pennon Group</t>
  </si>
  <si>
    <t>GB00BNNTLN49</t>
  </si>
  <si>
    <t>PSN</t>
  </si>
  <si>
    <t>Persimmon</t>
  </si>
  <si>
    <t>GB0006825383</t>
  </si>
  <si>
    <t>PNL</t>
  </si>
  <si>
    <t>Personal Assets Trust</t>
  </si>
  <si>
    <t>GB00BM8B5H06</t>
  </si>
  <si>
    <t>PETS</t>
  </si>
  <si>
    <t>Pets at Home</t>
  </si>
  <si>
    <t>GB00BJ62K685</t>
  </si>
  <si>
    <t>PTEC</t>
  </si>
  <si>
    <t>Playtech</t>
  </si>
  <si>
    <t>IM00B7S9G985</t>
  </si>
  <si>
    <t>PLUS</t>
  </si>
  <si>
    <t>Plus500</t>
  </si>
  <si>
    <t>IL0011284465</t>
  </si>
  <si>
    <t>PCGH</t>
  </si>
  <si>
    <t>Polar Capital Global Healthcare Trust</t>
  </si>
  <si>
    <t>GB00B6832P16</t>
  </si>
  <si>
    <t>POLN</t>
  </si>
  <si>
    <t>Pollen Street Group</t>
  </si>
  <si>
    <t>GG00BMHG0H12</t>
  </si>
  <si>
    <t>PPH</t>
  </si>
  <si>
    <t>PPHE Hotel Group</t>
  </si>
  <si>
    <t>GG00B1Z5FH87</t>
  </si>
  <si>
    <t>PFD</t>
  </si>
  <si>
    <t>Premier Foods</t>
  </si>
  <si>
    <t>GB00B7N0K053</t>
  </si>
  <si>
    <t>PHP</t>
  </si>
  <si>
    <t>Primary Health Properties</t>
  </si>
  <si>
    <t>GB00BYRJ5J14</t>
  </si>
  <si>
    <t>PRN</t>
  </si>
  <si>
    <t>Princes Group</t>
  </si>
  <si>
    <t>GB00BVZNY531</t>
  </si>
  <si>
    <t>QQ</t>
  </si>
  <si>
    <t>Qinetiq</t>
  </si>
  <si>
    <t>GB00B0WMWD03</t>
  </si>
  <si>
    <t>QLT</t>
  </si>
  <si>
    <t>Quilter</t>
  </si>
  <si>
    <t>GB00BNHSJN34</t>
  </si>
  <si>
    <t>RNK</t>
  </si>
  <si>
    <t>Rank Group</t>
  </si>
  <si>
    <t>GB00B1L5QH97</t>
  </si>
  <si>
    <t>RPI</t>
  </si>
  <si>
    <t>Raspberry Pi Holdings</t>
  </si>
  <si>
    <t>GB00BS3DYQ52</t>
  </si>
  <si>
    <t>RAT</t>
  </si>
  <si>
    <t>Rathbones</t>
  </si>
  <si>
    <t>GB0002148343</t>
  </si>
  <si>
    <t>RSW</t>
  </si>
  <si>
    <t>Renishaw</t>
  </si>
  <si>
    <t>GB0007323586</t>
  </si>
  <si>
    <t>RHIM</t>
  </si>
  <si>
    <t>RHI Magnesita</t>
  </si>
  <si>
    <t>NL0012650360</t>
  </si>
  <si>
    <t>RMV</t>
  </si>
  <si>
    <t>Rightmove</t>
  </si>
  <si>
    <t>GB00BGDT3G23</t>
  </si>
  <si>
    <t>RCP</t>
  </si>
  <si>
    <t>RIT Capital Partners</t>
  </si>
  <si>
    <t>GB0007366395</t>
  </si>
  <si>
    <t>ROSE</t>
  </si>
  <si>
    <t>Rosebank Industries</t>
  </si>
  <si>
    <t>JE00BSBJ5M88</t>
  </si>
  <si>
    <t>ROR</t>
  </si>
  <si>
    <t>Rotork</t>
  </si>
  <si>
    <t>GB00BVFNZH21</t>
  </si>
  <si>
    <t>RS1</t>
  </si>
  <si>
    <t>RS Group</t>
  </si>
  <si>
    <t>GB0003096442</t>
  </si>
  <si>
    <t>RTW</t>
  </si>
  <si>
    <t>RTW Biotech Opportunities</t>
  </si>
  <si>
    <t>GG00BKTRRM22</t>
  </si>
  <si>
    <t>RICA</t>
  </si>
  <si>
    <t>Ruffer Investment Company</t>
  </si>
  <si>
    <t>GB00B018CS46</t>
  </si>
  <si>
    <t>SAFE</t>
  </si>
  <si>
    <t>Safestore</t>
  </si>
  <si>
    <t>GB00B1N7Z094</t>
  </si>
  <si>
    <t>SAGA</t>
  </si>
  <si>
    <t>Saga</t>
  </si>
  <si>
    <t>GB00BMX64W89</t>
  </si>
  <si>
    <t>SVS</t>
  </si>
  <si>
    <t>Savills</t>
  </si>
  <si>
    <t>GB00B135BJ46</t>
  </si>
  <si>
    <t>MNTN</t>
  </si>
  <si>
    <t>Schiehallion Fund</t>
  </si>
  <si>
    <t>GG00BJ0CDD21</t>
  </si>
  <si>
    <t>ATR</t>
  </si>
  <si>
    <t>Schroder Asian Total Return Investment Company</t>
  </si>
  <si>
    <t>GB0008710799</t>
  </si>
  <si>
    <t>SDP</t>
  </si>
  <si>
    <t>Schroder AsiaPacific Fund</t>
  </si>
  <si>
    <t>GB0007918872</t>
  </si>
  <si>
    <t>SOI</t>
  </si>
  <si>
    <t>Schroder Oriental Income Fund</t>
  </si>
  <si>
    <t>GB00B0CRWN59</t>
  </si>
  <si>
    <t>SAIN</t>
  </si>
  <si>
    <t>Scottish American Investment Company</t>
  </si>
  <si>
    <t>GB0007873697</t>
  </si>
  <si>
    <t>SEIT</t>
  </si>
  <si>
    <t>SDCL Efficiency Income Trust</t>
  </si>
  <si>
    <t>GB00BGHVZM47</t>
  </si>
  <si>
    <t>SEQI</t>
  </si>
  <si>
    <t>Sequoia Economic Infrastructure Income Fund</t>
  </si>
  <si>
    <t>GG00BV54HY67</t>
  </si>
  <si>
    <t>SSIT</t>
  </si>
  <si>
    <t>Seraphim Space Investment Trust</t>
  </si>
  <si>
    <t>GB00BKPG0138</t>
  </si>
  <si>
    <t>SRP</t>
  </si>
  <si>
    <t>Serco</t>
  </si>
  <si>
    <t>GB0007973794</t>
  </si>
  <si>
    <t>SHC</t>
  </si>
  <si>
    <t>Shaftesbury Capital</t>
  </si>
  <si>
    <t>GB00B62G9D36</t>
  </si>
  <si>
    <t>SHAW</t>
  </si>
  <si>
    <t>Shawbrook Bank</t>
  </si>
  <si>
    <t>GB00BV9DPV21</t>
  </si>
  <si>
    <t>SRE</t>
  </si>
  <si>
    <t>Sirius Real Estate</t>
  </si>
  <si>
    <t>GG00B1W3VF54</t>
  </si>
  <si>
    <t>SCT</t>
  </si>
  <si>
    <t>Softcat</t>
  </si>
  <si>
    <t>GB00BYZDVK82</t>
  </si>
  <si>
    <t>SPI</t>
  </si>
  <si>
    <t>Spire Healthcare</t>
  </si>
  <si>
    <t>GB00BNLPYF73</t>
  </si>
  <si>
    <t>SSPG</t>
  </si>
  <si>
    <t>SSP Group</t>
  </si>
  <si>
    <t>GB00BGBN7C04</t>
  </si>
  <si>
    <t>SUPR</t>
  </si>
  <si>
    <t>Supermarket Income REIT</t>
  </si>
  <si>
    <t>GB00BF345X11</t>
  </si>
  <si>
    <t>SYNC</t>
  </si>
  <si>
    <t>Syncona</t>
  </si>
  <si>
    <t>GG00B8P59C08</t>
  </si>
  <si>
    <t>THRL</t>
  </si>
  <si>
    <t>Target Healthcare REIT</t>
  </si>
  <si>
    <t>GB00BJGTLF51</t>
  </si>
  <si>
    <t>TATE</t>
  </si>
  <si>
    <t>Tate &amp; Lyle</t>
  </si>
  <si>
    <t>GB00BP92CJ43</t>
  </si>
  <si>
    <t>TW</t>
  </si>
  <si>
    <t>Taylor Wimpey</t>
  </si>
  <si>
    <t>GB0008782301</t>
  </si>
  <si>
    <t>TBCG</t>
  </si>
  <si>
    <t>TBC Bank</t>
  </si>
  <si>
    <t>GB00BYT18307</t>
  </si>
  <si>
    <t>TEP</t>
  </si>
  <si>
    <t>Telecom Plus</t>
  </si>
  <si>
    <t>GB0008794710</t>
  </si>
  <si>
    <t>TMPL</t>
  </si>
  <si>
    <t>Temple Bar Investment Trust</t>
  </si>
  <si>
    <t>GB00BMV92D64</t>
  </si>
  <si>
    <t>TEM</t>
  </si>
  <si>
    <t>Templeton Emerging Markets Investment Trust</t>
  </si>
  <si>
    <t>GB00BKPG0S09</t>
  </si>
  <si>
    <t>TRIG</t>
  </si>
  <si>
    <t>The Renewables Infrastructure Group</t>
  </si>
  <si>
    <t>GG00BBHX2H91</t>
  </si>
  <si>
    <t>THG</t>
  </si>
  <si>
    <t>GB00BMTV7393</t>
  </si>
  <si>
    <t>TCAP</t>
  </si>
  <si>
    <t>TP ICAP</t>
  </si>
  <si>
    <t>JE00BMDZN391</t>
  </si>
  <si>
    <t>TRN</t>
  </si>
  <si>
    <t>Trainline</t>
  </si>
  <si>
    <t>GB00BKDTK925</t>
  </si>
  <si>
    <t>TPK</t>
  </si>
  <si>
    <t>Travis Perkins</t>
  </si>
  <si>
    <t>GB00BK9RKT01</t>
  </si>
  <si>
    <t>TRY</t>
  </si>
  <si>
    <t>TR Property Investment Trust</t>
  </si>
  <si>
    <t>GB0009064097</t>
  </si>
  <si>
    <t>TRST</t>
  </si>
  <si>
    <t>Trustpilot</t>
  </si>
  <si>
    <t>GB00BNK9TP58</t>
  </si>
  <si>
    <t>TFIF</t>
  </si>
  <si>
    <t>Twentyfour Income Fund</t>
  </si>
  <si>
    <t>GG00B90J5Z95</t>
  </si>
  <si>
    <t>UTG</t>
  </si>
  <si>
    <t>Unite Group</t>
  </si>
  <si>
    <t>GB0006928617</t>
  </si>
  <si>
    <t>UEM</t>
  </si>
  <si>
    <t>Utilico Emerging Markets</t>
  </si>
  <si>
    <t>GB00BD45S967</t>
  </si>
  <si>
    <t>VSVS</t>
  </si>
  <si>
    <t>Vesuvius</t>
  </si>
  <si>
    <t>GB00B82YXW83</t>
  </si>
  <si>
    <t>VCT</t>
  </si>
  <si>
    <t>Victrex</t>
  </si>
  <si>
    <t>GB0009292243</t>
  </si>
  <si>
    <t>VEIL</t>
  </si>
  <si>
    <t>Vietnam Enterprise Investments</t>
  </si>
  <si>
    <t>KYG9361H1092</t>
  </si>
  <si>
    <t>VOF</t>
  </si>
  <si>
    <t>VinaCapital Vietnam Opportunity Fund</t>
  </si>
  <si>
    <t>GG00BYXVT888</t>
  </si>
  <si>
    <t>VTY</t>
  </si>
  <si>
    <t>Vistry Group</t>
  </si>
  <si>
    <t>GB0001859296</t>
  </si>
  <si>
    <t>VLX</t>
  </si>
  <si>
    <t>Volex</t>
  </si>
  <si>
    <t>GB0009390070</t>
  </si>
  <si>
    <t>FAN</t>
  </si>
  <si>
    <t>Volution Group</t>
  </si>
  <si>
    <t>GB00BN3ZZ526</t>
  </si>
  <si>
    <t>WOSG</t>
  </si>
  <si>
    <t>Watches of Switzerland</t>
  </si>
  <si>
    <t>GB00BJDQQ870</t>
  </si>
  <si>
    <t>JDW</t>
  </si>
  <si>
    <t>Wetherspoons</t>
  </si>
  <si>
    <t>GB0001638955</t>
  </si>
  <si>
    <t>SMWH</t>
  </si>
  <si>
    <t>WHSmith</t>
  </si>
  <si>
    <t>GB00B2PDGW16</t>
  </si>
  <si>
    <t>WIX</t>
  </si>
  <si>
    <t>Wickes</t>
  </si>
  <si>
    <t>GB00BL6C2002</t>
  </si>
  <si>
    <t>WIZZ</t>
  </si>
  <si>
    <t>Wizz Air</t>
  </si>
  <si>
    <t>JE00BN574F90</t>
  </si>
  <si>
    <t>WKP</t>
  </si>
  <si>
    <t>Workspace Group</t>
  </si>
  <si>
    <t>GB00B67G5X01</t>
  </si>
  <si>
    <t>WWH</t>
  </si>
  <si>
    <t>Worldwide Healthcare Trust</t>
  </si>
  <si>
    <t>GB00BN455J50</t>
  </si>
  <si>
    <t>XPP</t>
  </si>
  <si>
    <t>XP Power</t>
  </si>
  <si>
    <t>SG9999003735</t>
  </si>
  <si>
    <t>XPS</t>
  </si>
  <si>
    <t>XPS Pensions</t>
  </si>
  <si>
    <t>GB00BDDN1T20</t>
  </si>
  <si>
    <t>YNGA</t>
  </si>
  <si>
    <t>Young's</t>
  </si>
  <si>
    <t>GB00B2NDK765</t>
  </si>
  <si>
    <t>ZIG</t>
  </si>
  <si>
    <t>Zigup</t>
  </si>
  <si>
    <t>GB00B41H7391</t>
  </si>
  <si>
    <t>Exclude</t>
  </si>
  <si>
    <t>Include</t>
  </si>
  <si>
    <t>GBP per 1 unit</t>
  </si>
  <si>
    <t>Universe</t>
  </si>
  <si>
    <t>Index Basis</t>
  </si>
  <si>
    <t>Exclusions</t>
  </si>
  <si>
    <t>Financials (banks, insurers, REITs, etc.) and Real Estate</t>
  </si>
  <si>
    <t>Overrides</t>
  </si>
  <si>
    <t>Amaroq and Meridian Mining excluded: no accounts in Compustat</t>
  </si>
  <si>
    <t>Data</t>
  </si>
  <si>
    <t>Fundamentals</t>
  </si>
  <si>
    <t>WRDS Compustat Global, Fundamentals Annual. Fiscal years 2020 to 2026</t>
  </si>
  <si>
    <t>Prices and shares</t>
  </si>
  <si>
    <t>WRDS Compustat Global, Security Daily, LSE listing, 30 September 2026</t>
  </si>
  <si>
    <t>Company matching</t>
  </si>
  <si>
    <t>ISINs matched to Compustat by Company name, done by hand</t>
  </si>
  <si>
    <t>All figures in GBP millions, non sterling financials converted at BoE spot rates on 30 Sep 2026</t>
  </si>
  <si>
    <t>Metrics</t>
  </si>
  <si>
    <t>(Operating cash flow - capex) / market cap, latest fiscal year</t>
  </si>
  <si>
    <t>(Market cap + net debt + minority interest) / EBIT, latest fiscal year</t>
  </si>
  <si>
    <t>3-year free cash flow / 3 year net income</t>
  </si>
  <si>
    <t>Net debt / EBITDA</t>
  </si>
  <si>
    <t>(Long term debt + short term debt - cash) / EBITDA, latest fiscal year</t>
  </si>
  <si>
    <t>3 year compound annual revenue growth</t>
  </si>
  <si>
    <t>Scoring</t>
  </si>
  <si>
    <t>Method</t>
  </si>
  <si>
    <t>Each metric ranked across included companies. 1 = Best Ranked. Composite = weighted average of the 5 ranks; lowest composite ranks first. Ties broken by alphabetical order, both investigated.</t>
  </si>
  <si>
    <t>Weights</t>
  </si>
  <si>
    <t>EV/EBIT 30%. FCF yield 25%, Cash Conversion 20%, Net debt/EBITDA 15%, Revenue CAGR 10%</t>
  </si>
  <si>
    <t>Missing data</t>
  </si>
  <si>
    <t>A missing or n/m metric gets the worst rank for that metric</t>
  </si>
  <si>
    <t>Not meaningful (n/m)</t>
  </si>
  <si>
    <t>Limitations</t>
  </si>
  <si>
    <t>Stale accounts</t>
  </si>
  <si>
    <t>Uses the latest published fiscal year, which could be up to 18 months old</t>
  </si>
  <si>
    <t>Single year</t>
  </si>
  <si>
    <t>EV/EBIT and FCF yield use one year, so an irregular year could affect ranking.</t>
  </si>
  <si>
    <t>Taken from Compustat's total noncontrolling interest; blank treated as 0</t>
  </si>
  <si>
    <t>Index List</t>
  </si>
  <si>
    <t>Negative EV/EBIT Values marked n/m , negative cash conversion marked n/m, leverage if EBITDA negative marked n/m</t>
  </si>
  <si>
    <t xml:space="preserve">FTSE 250 constituents </t>
  </si>
  <si>
    <t>Companies ranked</t>
  </si>
  <si>
    <t>Constituent list was not an official FTSE Russell File, Source: Wikipedia FTSE 250 Index page</t>
  </si>
  <si>
    <t>WRDS Data Removed to comply with WRDS usage policy.</t>
  </si>
  <si>
    <t>Paste needed from Compustat Global Fundamentals Annual export into Raw_fund from E1 and a Security Daily Export into Raw_Mkt from D1 to run screen</t>
  </si>
  <si>
    <t>Currencies missing from FX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</si>
</sst>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&quot;x&quot;"/>
    <numFmt numFmtId="166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9" fontId="0" fillId="0" borderId="0" xfId="0" applyNumberFormat="1"/>
    <xf numFmtId="14" fontId="0" fillId="0" borderId="0" xfId="0" applyNumberFormat="1"/>
    <xf numFmtId="0" fontId="3" fillId="0" borderId="0" xfId="0" applyFont="1"/>
    <xf numFmtId="9" fontId="3" fillId="0" borderId="0" xfId="1" applyFont="1"/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66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quotePrefix="1"/>
    <xf numFmtId="3" fontId="0" fillId="0" borderId="0" xfId="0" applyNumberFormat="1"/>
  </cellXfs>
  <cellStyles count="2">
    <cellStyle name="Normal" xfId="0" builtinId="0"/>
    <cellStyle name="Per cent" xfId="1" builtinId="5"/>
  </cellStyles>
  <dxfs count="2">
    <dxf>
      <fill>
        <patternFill>
          <bgColor rgb="FFC00000"/>
        </patternFill>
      </fill>
    </dxf>
    <dxf>
      <font>
        <b/>
        <i val="0"/>
        <strike val="0"/>
      </font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GINTON-JEFFORD, JOSUA A. (Student)" id="{5A159A35-C609-4DB2-80A3-48C1F87137FC}" userId="S::xpvr37@durham.ac.uk::70885bef-bea3-4f66-945a-79087b10b0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10-12T14:30:27.42" personId="{5A159A35-C609-4DB2-80A3-48C1F87137FC}" id="{69D2C0A7-C696-4073-BF96-D09F96D2430B}">
    <text xml:space="preserve">Change weighings later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DB943B-06E7-40E4-A5D8-A7F062265EF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0bf4a16-85ff-4f7d-821e-7a5dafb7547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D285-4ADB-4D04-AE64-85B350BF525A}">
  <dimension ref="A1:D27"/>
  <sheetViews>
    <sheetView workbookViewId="0">
      <selection activeCell="C16" sqref="C16"/>
    </sheetView>
  </sheetViews>
  <sheetFormatPr defaultRowHeight="14.6" x14ac:dyDescent="0.4"/>
  <cols>
    <col min="1" max="1" width="5.84375" bestFit="1" customWidth="1"/>
    <col min="2" max="2" width="14.53515625" bestFit="1" customWidth="1"/>
    <col min="3" max="3" width="12.15234375" bestFit="1" customWidth="1"/>
    <col min="4" max="4" width="10.4609375" bestFit="1" customWidth="1"/>
  </cols>
  <sheetData>
    <row r="1" spans="1:4" x14ac:dyDescent="0.4">
      <c r="A1" t="s">
        <v>0</v>
      </c>
    </row>
    <row r="3" spans="1:4" x14ac:dyDescent="0.4">
      <c r="B3" t="s">
        <v>1</v>
      </c>
      <c r="C3" t="s">
        <v>2</v>
      </c>
      <c r="D3" t="s">
        <v>3</v>
      </c>
    </row>
    <row r="4" spans="1:4" x14ac:dyDescent="0.4">
      <c r="B4" t="s">
        <v>4</v>
      </c>
      <c r="C4" s="4">
        <v>0.3</v>
      </c>
      <c r="D4" t="s">
        <v>8</v>
      </c>
    </row>
    <row r="5" spans="1:4" x14ac:dyDescent="0.4">
      <c r="B5" t="s">
        <v>5</v>
      </c>
      <c r="C5" s="4">
        <v>0.25</v>
      </c>
      <c r="D5" t="s">
        <v>9</v>
      </c>
    </row>
    <row r="6" spans="1:4" x14ac:dyDescent="0.4">
      <c r="B6" t="s">
        <v>6</v>
      </c>
      <c r="C6" s="4">
        <v>0.2</v>
      </c>
      <c r="D6" t="s">
        <v>9</v>
      </c>
    </row>
    <row r="7" spans="1:4" x14ac:dyDescent="0.4">
      <c r="B7" t="s">
        <v>100</v>
      </c>
      <c r="C7" s="4">
        <v>0.15</v>
      </c>
      <c r="D7" t="s">
        <v>8</v>
      </c>
    </row>
    <row r="8" spans="1:4" x14ac:dyDescent="0.4">
      <c r="B8" t="s">
        <v>7</v>
      </c>
      <c r="C8" s="4">
        <v>0.1</v>
      </c>
      <c r="D8" t="s">
        <v>9</v>
      </c>
    </row>
    <row r="9" spans="1:4" x14ac:dyDescent="0.4">
      <c r="B9" t="s">
        <v>10</v>
      </c>
      <c r="C9" s="5">
        <f>SUM(C4:C8)</f>
        <v>1</v>
      </c>
    </row>
    <row r="11" spans="1:4" x14ac:dyDescent="0.4">
      <c r="B11" s="2" t="s">
        <v>11</v>
      </c>
      <c r="C11" s="2">
        <v>46295</v>
      </c>
    </row>
    <row r="12" spans="1:4" x14ac:dyDescent="0.4">
      <c r="B12" t="s">
        <v>12</v>
      </c>
      <c r="C12" s="3" t="s">
        <v>13</v>
      </c>
    </row>
    <row r="13" spans="1:4" x14ac:dyDescent="0.4">
      <c r="B13" t="s">
        <v>14</v>
      </c>
      <c r="C13" s="3">
        <f>IF(C12="Pence",100,1)</f>
        <v>1</v>
      </c>
    </row>
    <row r="15" spans="1:4" x14ac:dyDescent="0.4">
      <c r="B15" t="s">
        <v>15</v>
      </c>
      <c r="C15" t="s">
        <v>870</v>
      </c>
    </row>
    <row r="16" spans="1:4" x14ac:dyDescent="0.4">
      <c r="B16" t="s">
        <v>16</v>
      </c>
      <c r="C16" s="3">
        <v>1</v>
      </c>
    </row>
    <row r="17" spans="2:3" x14ac:dyDescent="0.4">
      <c r="B17" t="s">
        <v>17</v>
      </c>
      <c r="C17" s="3">
        <v>0.75280000000000002</v>
      </c>
    </row>
    <row r="18" spans="2:3" x14ac:dyDescent="0.4">
      <c r="B18" t="s">
        <v>18</v>
      </c>
      <c r="C18" s="3">
        <v>0.85499999999999998</v>
      </c>
    </row>
    <row r="25" spans="2:3" x14ac:dyDescent="0.4">
      <c r="B25" t="s">
        <v>19</v>
      </c>
    </row>
    <row r="26" spans="2:3" x14ac:dyDescent="0.4">
      <c r="B26" t="s">
        <v>20</v>
      </c>
    </row>
    <row r="27" spans="2:3" x14ac:dyDescent="0.4">
      <c r="B27" t="s">
        <v>21</v>
      </c>
    </row>
  </sheetData>
  <dataValidations count="2">
    <dataValidation type="list" allowBlank="1" showInputMessage="1" showErrorMessage="1" sqref="D4:D8" xr:uid="{9A00D6B4-7307-4839-BA93-BB92F61D3DDB}">
      <formula1>"Lower, Higher"</formula1>
    </dataValidation>
    <dataValidation type="list" allowBlank="1" showInputMessage="1" showErrorMessage="1" sqref="C12" xr:uid="{9CFD1F1A-946F-49EA-9634-100B79CA8E9D}">
      <formula1>"Pounds, Pence"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B00D-A97F-446F-A16A-82FAB2DDB63F}">
  <dimension ref="A2:H305"/>
  <sheetViews>
    <sheetView workbookViewId="0">
      <pane ySplit="5" topLeftCell="A6" activePane="bottomLeft" state="frozen"/>
      <selection pane="bottomLeft" activeCell="G6" sqref="G6"/>
    </sheetView>
  </sheetViews>
  <sheetFormatPr defaultRowHeight="14.6" x14ac:dyDescent="0.4"/>
  <sheetData>
    <row r="2" spans="1:8" x14ac:dyDescent="0.4">
      <c r="F2" t="s">
        <v>30</v>
      </c>
      <c r="G2">
        <f>COUNTIF(G6:G305,"Include")</f>
        <v>119</v>
      </c>
    </row>
    <row r="5" spans="1:8" x14ac:dyDescent="0.4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</row>
    <row r="6" spans="1:8" x14ac:dyDescent="0.4">
      <c r="A6" t="s">
        <v>118</v>
      </c>
      <c r="B6" t="s">
        <v>119</v>
      </c>
      <c r="C6" t="s">
        <v>120</v>
      </c>
      <c r="D6" t="s">
        <v>20</v>
      </c>
      <c r="E6" t="str">
        <f t="shared" ref="E6:E69" si="0">IF($A6="","",IF(COUNTIF(ExclList,$D6)&gt;0,"Exclude","Include"))</f>
        <v>Exclude</v>
      </c>
      <c r="G6" t="str">
        <f>IF($A6="","",IF($F6&lt;&gt;"",$F6,$E6))</f>
        <v>Exclude</v>
      </c>
    </row>
    <row r="7" spans="1:8" x14ac:dyDescent="0.4">
      <c r="A7" t="s">
        <v>121</v>
      </c>
      <c r="B7" t="s">
        <v>122</v>
      </c>
      <c r="C7" t="s">
        <v>123</v>
      </c>
      <c r="D7" t="s">
        <v>32</v>
      </c>
      <c r="E7" t="str">
        <f t="shared" si="0"/>
        <v>Include</v>
      </c>
      <c r="G7" t="str">
        <f t="shared" ref="G7:G70" si="1">IF($A7="","",IF($F7&lt;&gt;"",$F7,$E7))</f>
        <v>Include</v>
      </c>
    </row>
    <row r="8" spans="1:8" x14ac:dyDescent="0.4">
      <c r="A8" t="s">
        <v>124</v>
      </c>
      <c r="B8" t="s">
        <v>125</v>
      </c>
      <c r="C8" t="s">
        <v>126</v>
      </c>
      <c r="D8" t="s">
        <v>20</v>
      </c>
      <c r="E8" t="str">
        <f t="shared" si="0"/>
        <v>Exclude</v>
      </c>
      <c r="G8" t="str">
        <f t="shared" si="1"/>
        <v>Exclude</v>
      </c>
    </row>
    <row r="9" spans="1:8" x14ac:dyDescent="0.4">
      <c r="A9" t="s">
        <v>127</v>
      </c>
      <c r="B9" t="s">
        <v>128</v>
      </c>
      <c r="C9" t="s">
        <v>129</v>
      </c>
      <c r="D9" t="s">
        <v>20</v>
      </c>
      <c r="E9" t="str">
        <f t="shared" si="0"/>
        <v>Exclude</v>
      </c>
      <c r="G9" t="str">
        <f t="shared" si="1"/>
        <v>Exclude</v>
      </c>
    </row>
    <row r="10" spans="1:8" x14ac:dyDescent="0.4">
      <c r="A10" t="s">
        <v>130</v>
      </c>
      <c r="B10" t="s">
        <v>131</v>
      </c>
      <c r="C10" t="s">
        <v>132</v>
      </c>
      <c r="D10" t="s">
        <v>133</v>
      </c>
      <c r="E10" t="str">
        <f t="shared" si="0"/>
        <v>Include</v>
      </c>
      <c r="G10" t="str">
        <f t="shared" si="1"/>
        <v>Include</v>
      </c>
    </row>
    <row r="11" spans="1:8" x14ac:dyDescent="0.4">
      <c r="A11" t="s">
        <v>134</v>
      </c>
      <c r="B11" t="s">
        <v>135</v>
      </c>
      <c r="C11" t="s">
        <v>136</v>
      </c>
      <c r="D11" t="s">
        <v>33</v>
      </c>
      <c r="E11" t="str">
        <f t="shared" si="0"/>
        <v>Include</v>
      </c>
      <c r="G11" t="str">
        <f t="shared" si="1"/>
        <v>Include</v>
      </c>
    </row>
    <row r="12" spans="1:8" x14ac:dyDescent="0.4">
      <c r="A12" t="s">
        <v>137</v>
      </c>
      <c r="B12" t="s">
        <v>138</v>
      </c>
      <c r="C12" t="s">
        <v>139</v>
      </c>
      <c r="D12" t="s">
        <v>20</v>
      </c>
      <c r="E12" t="str">
        <f t="shared" si="0"/>
        <v>Exclude</v>
      </c>
      <c r="G12" t="str">
        <f t="shared" si="1"/>
        <v>Exclude</v>
      </c>
    </row>
    <row r="13" spans="1:8" x14ac:dyDescent="0.4">
      <c r="A13" s="11" t="s">
        <v>140</v>
      </c>
      <c r="B13" s="11" t="s">
        <v>141</v>
      </c>
      <c r="C13" s="11"/>
      <c r="D13" s="11" t="s">
        <v>34</v>
      </c>
      <c r="E13" t="str">
        <f t="shared" si="0"/>
        <v>Include</v>
      </c>
      <c r="F13" s="11" t="s">
        <v>868</v>
      </c>
      <c r="G13" t="str">
        <f t="shared" si="1"/>
        <v>Exclude</v>
      </c>
    </row>
    <row r="14" spans="1:8" x14ac:dyDescent="0.4">
      <c r="A14" t="s">
        <v>142</v>
      </c>
      <c r="B14" t="s">
        <v>143</v>
      </c>
      <c r="C14" t="s">
        <v>144</v>
      </c>
      <c r="D14" t="s">
        <v>32</v>
      </c>
      <c r="E14" t="str">
        <f t="shared" si="0"/>
        <v>Include</v>
      </c>
      <c r="G14" t="str">
        <f t="shared" si="1"/>
        <v>Include</v>
      </c>
    </row>
    <row r="15" spans="1:8" x14ac:dyDescent="0.4">
      <c r="A15" t="s">
        <v>145</v>
      </c>
      <c r="B15" t="s">
        <v>146</v>
      </c>
      <c r="C15" t="s">
        <v>147</v>
      </c>
      <c r="D15" t="s">
        <v>133</v>
      </c>
      <c r="E15" t="str">
        <f t="shared" si="0"/>
        <v>Include</v>
      </c>
      <c r="G15" t="str">
        <f t="shared" si="1"/>
        <v>Include</v>
      </c>
    </row>
    <row r="16" spans="1:8" x14ac:dyDescent="0.4">
      <c r="A16" t="s">
        <v>148</v>
      </c>
      <c r="B16" t="s">
        <v>149</v>
      </c>
      <c r="C16" t="s">
        <v>150</v>
      </c>
      <c r="D16" t="s">
        <v>20</v>
      </c>
      <c r="E16" t="str">
        <f t="shared" si="0"/>
        <v>Exclude</v>
      </c>
      <c r="G16" t="str">
        <f t="shared" si="1"/>
        <v>Exclude</v>
      </c>
    </row>
    <row r="17" spans="1:7" x14ac:dyDescent="0.4">
      <c r="A17" t="s">
        <v>151</v>
      </c>
      <c r="B17" t="s">
        <v>152</v>
      </c>
      <c r="C17" t="s">
        <v>153</v>
      </c>
      <c r="D17" t="s">
        <v>20</v>
      </c>
      <c r="E17" t="str">
        <f t="shared" si="0"/>
        <v>Exclude</v>
      </c>
      <c r="G17" t="str">
        <f t="shared" si="1"/>
        <v>Exclude</v>
      </c>
    </row>
    <row r="18" spans="1:7" x14ac:dyDescent="0.4">
      <c r="A18" t="s">
        <v>154</v>
      </c>
      <c r="B18" t="s">
        <v>155</v>
      </c>
      <c r="C18" t="s">
        <v>156</v>
      </c>
      <c r="D18" t="s">
        <v>32</v>
      </c>
      <c r="E18" t="str">
        <f t="shared" si="0"/>
        <v>Include</v>
      </c>
      <c r="G18" t="str">
        <f t="shared" si="1"/>
        <v>Include</v>
      </c>
    </row>
    <row r="19" spans="1:7" x14ac:dyDescent="0.4">
      <c r="A19" t="s">
        <v>157</v>
      </c>
      <c r="B19" t="s">
        <v>158</v>
      </c>
      <c r="C19" t="s">
        <v>159</v>
      </c>
      <c r="D19" t="s">
        <v>34</v>
      </c>
      <c r="E19" t="str">
        <f t="shared" si="0"/>
        <v>Include</v>
      </c>
      <c r="G19" t="str">
        <f t="shared" si="1"/>
        <v>Include</v>
      </c>
    </row>
    <row r="20" spans="1:7" x14ac:dyDescent="0.4">
      <c r="A20" t="s">
        <v>160</v>
      </c>
      <c r="B20" t="s">
        <v>161</v>
      </c>
      <c r="C20" t="s">
        <v>162</v>
      </c>
      <c r="D20" t="s">
        <v>33</v>
      </c>
      <c r="E20" t="str">
        <f t="shared" si="0"/>
        <v>Include</v>
      </c>
      <c r="G20" t="str">
        <f t="shared" si="1"/>
        <v>Include</v>
      </c>
    </row>
    <row r="21" spans="1:7" x14ac:dyDescent="0.4">
      <c r="A21" t="s">
        <v>163</v>
      </c>
      <c r="B21" t="s">
        <v>164</v>
      </c>
      <c r="C21" t="s">
        <v>165</v>
      </c>
      <c r="D21" t="s">
        <v>20</v>
      </c>
      <c r="E21" t="str">
        <f t="shared" si="0"/>
        <v>Exclude</v>
      </c>
      <c r="G21" t="str">
        <f t="shared" si="1"/>
        <v>Exclude</v>
      </c>
    </row>
    <row r="22" spans="1:7" x14ac:dyDescent="0.4">
      <c r="A22" t="s">
        <v>166</v>
      </c>
      <c r="B22" t="s">
        <v>167</v>
      </c>
      <c r="C22" t="s">
        <v>168</v>
      </c>
      <c r="D22" t="s">
        <v>31</v>
      </c>
      <c r="E22" t="str">
        <f t="shared" si="0"/>
        <v>Include</v>
      </c>
      <c r="G22" t="str">
        <f t="shared" si="1"/>
        <v>Include</v>
      </c>
    </row>
    <row r="23" spans="1:7" x14ac:dyDescent="0.4">
      <c r="A23" t="s">
        <v>169</v>
      </c>
      <c r="B23" t="s">
        <v>170</v>
      </c>
      <c r="C23" t="s">
        <v>171</v>
      </c>
      <c r="D23" t="s">
        <v>32</v>
      </c>
      <c r="E23" t="str">
        <f t="shared" si="0"/>
        <v>Include</v>
      </c>
      <c r="G23" t="str">
        <f t="shared" si="1"/>
        <v>Include</v>
      </c>
    </row>
    <row r="24" spans="1:7" x14ac:dyDescent="0.4">
      <c r="A24" t="s">
        <v>172</v>
      </c>
      <c r="B24" t="s">
        <v>173</v>
      </c>
      <c r="C24" t="s">
        <v>174</v>
      </c>
      <c r="D24" t="s">
        <v>20</v>
      </c>
      <c r="E24" t="str">
        <f t="shared" si="0"/>
        <v>Exclude</v>
      </c>
      <c r="G24" t="str">
        <f t="shared" si="1"/>
        <v>Exclude</v>
      </c>
    </row>
    <row r="25" spans="1:7" x14ac:dyDescent="0.4">
      <c r="A25" t="s">
        <v>175</v>
      </c>
      <c r="B25" t="s">
        <v>176</v>
      </c>
      <c r="C25" t="s">
        <v>177</v>
      </c>
      <c r="D25" t="s">
        <v>20</v>
      </c>
      <c r="E25" t="str">
        <f t="shared" si="0"/>
        <v>Exclude</v>
      </c>
      <c r="G25" t="str">
        <f t="shared" si="1"/>
        <v>Exclude</v>
      </c>
    </row>
    <row r="26" spans="1:7" x14ac:dyDescent="0.4">
      <c r="A26" t="s">
        <v>178</v>
      </c>
      <c r="B26" t="s">
        <v>179</v>
      </c>
      <c r="C26" t="s">
        <v>180</v>
      </c>
      <c r="D26" t="s">
        <v>32</v>
      </c>
      <c r="E26" t="str">
        <f t="shared" si="0"/>
        <v>Include</v>
      </c>
      <c r="G26" t="str">
        <f t="shared" si="1"/>
        <v>Include</v>
      </c>
    </row>
    <row r="27" spans="1:7" x14ac:dyDescent="0.4">
      <c r="A27" t="s">
        <v>181</v>
      </c>
      <c r="B27" t="s">
        <v>182</v>
      </c>
      <c r="C27" t="s">
        <v>183</v>
      </c>
      <c r="D27" t="s">
        <v>20</v>
      </c>
      <c r="E27" t="str">
        <f t="shared" si="0"/>
        <v>Exclude</v>
      </c>
      <c r="G27" t="str">
        <f t="shared" si="1"/>
        <v>Exclude</v>
      </c>
    </row>
    <row r="28" spans="1:7" x14ac:dyDescent="0.4">
      <c r="A28" t="s">
        <v>184</v>
      </c>
      <c r="B28" t="s">
        <v>185</v>
      </c>
      <c r="C28" t="s">
        <v>186</v>
      </c>
      <c r="D28" t="s">
        <v>133</v>
      </c>
      <c r="E28" t="str">
        <f t="shared" si="0"/>
        <v>Include</v>
      </c>
      <c r="G28" t="str">
        <f t="shared" si="1"/>
        <v>Include</v>
      </c>
    </row>
    <row r="29" spans="1:7" x14ac:dyDescent="0.4">
      <c r="A29" s="12" t="s">
        <v>187</v>
      </c>
      <c r="B29" s="12" t="s">
        <v>188</v>
      </c>
      <c r="C29" s="12" t="s">
        <v>189</v>
      </c>
      <c r="D29" s="12" t="s">
        <v>20</v>
      </c>
      <c r="E29" t="str">
        <f t="shared" si="0"/>
        <v>Exclude</v>
      </c>
      <c r="F29" s="12" t="s">
        <v>868</v>
      </c>
      <c r="G29" t="str">
        <f t="shared" si="1"/>
        <v>Exclude</v>
      </c>
    </row>
    <row r="30" spans="1:7" x14ac:dyDescent="0.4">
      <c r="A30" t="s">
        <v>190</v>
      </c>
      <c r="B30" t="s">
        <v>191</v>
      </c>
      <c r="C30" t="s">
        <v>192</v>
      </c>
      <c r="D30" t="s">
        <v>32</v>
      </c>
      <c r="E30" t="str">
        <f t="shared" si="0"/>
        <v>Include</v>
      </c>
      <c r="G30" t="str">
        <f t="shared" si="1"/>
        <v>Include</v>
      </c>
    </row>
    <row r="31" spans="1:7" x14ac:dyDescent="0.4">
      <c r="A31" t="s">
        <v>193</v>
      </c>
      <c r="B31" t="s">
        <v>194</v>
      </c>
      <c r="C31" t="s">
        <v>195</v>
      </c>
      <c r="D31" t="s">
        <v>32</v>
      </c>
      <c r="E31" t="str">
        <f t="shared" si="0"/>
        <v>Include</v>
      </c>
      <c r="G31" t="str">
        <f t="shared" si="1"/>
        <v>Include</v>
      </c>
    </row>
    <row r="32" spans="1:7" x14ac:dyDescent="0.4">
      <c r="A32" t="s">
        <v>196</v>
      </c>
      <c r="B32" t="s">
        <v>197</v>
      </c>
      <c r="C32" t="s">
        <v>198</v>
      </c>
      <c r="D32" t="s">
        <v>20</v>
      </c>
      <c r="E32" t="str">
        <f t="shared" si="0"/>
        <v>Exclude</v>
      </c>
      <c r="G32" t="str">
        <f t="shared" si="1"/>
        <v>Exclude</v>
      </c>
    </row>
    <row r="33" spans="1:7" x14ac:dyDescent="0.4">
      <c r="A33" t="s">
        <v>199</v>
      </c>
      <c r="B33" t="s">
        <v>200</v>
      </c>
      <c r="C33" t="s">
        <v>201</v>
      </c>
      <c r="D33" t="s">
        <v>21</v>
      </c>
      <c r="E33" t="str">
        <f t="shared" si="0"/>
        <v>Exclude</v>
      </c>
      <c r="G33" t="str">
        <f t="shared" si="1"/>
        <v>Exclude</v>
      </c>
    </row>
    <row r="34" spans="1:7" x14ac:dyDescent="0.4">
      <c r="A34" t="s">
        <v>202</v>
      </c>
      <c r="B34" t="s">
        <v>203</v>
      </c>
      <c r="C34" t="s">
        <v>204</v>
      </c>
      <c r="D34" t="s">
        <v>20</v>
      </c>
      <c r="E34" t="str">
        <f t="shared" si="0"/>
        <v>Exclude</v>
      </c>
      <c r="G34" t="str">
        <f t="shared" si="1"/>
        <v>Exclude</v>
      </c>
    </row>
    <row r="35" spans="1:7" x14ac:dyDescent="0.4">
      <c r="A35" t="s">
        <v>205</v>
      </c>
      <c r="B35" t="s">
        <v>206</v>
      </c>
      <c r="C35" t="s">
        <v>207</v>
      </c>
      <c r="D35" t="s">
        <v>20</v>
      </c>
      <c r="E35" t="str">
        <f t="shared" si="0"/>
        <v>Exclude</v>
      </c>
      <c r="G35" t="str">
        <f t="shared" si="1"/>
        <v>Exclude</v>
      </c>
    </row>
    <row r="36" spans="1:7" x14ac:dyDescent="0.4">
      <c r="A36" t="s">
        <v>208</v>
      </c>
      <c r="B36" t="s">
        <v>209</v>
      </c>
      <c r="C36" t="s">
        <v>210</v>
      </c>
      <c r="D36" t="s">
        <v>20</v>
      </c>
      <c r="E36" t="str">
        <f t="shared" si="0"/>
        <v>Exclude</v>
      </c>
      <c r="G36" t="str">
        <f t="shared" si="1"/>
        <v>Exclude</v>
      </c>
    </row>
    <row r="37" spans="1:7" x14ac:dyDescent="0.4">
      <c r="A37" t="s">
        <v>211</v>
      </c>
      <c r="B37" t="s">
        <v>212</v>
      </c>
      <c r="C37" t="s">
        <v>213</v>
      </c>
      <c r="D37" t="s">
        <v>20</v>
      </c>
      <c r="E37" t="str">
        <f t="shared" si="0"/>
        <v>Exclude</v>
      </c>
      <c r="G37" t="str">
        <f t="shared" si="1"/>
        <v>Exclude</v>
      </c>
    </row>
    <row r="38" spans="1:7" x14ac:dyDescent="0.4">
      <c r="A38" t="s">
        <v>214</v>
      </c>
      <c r="B38" t="s">
        <v>215</v>
      </c>
      <c r="C38" t="s">
        <v>216</v>
      </c>
      <c r="D38" t="s">
        <v>32</v>
      </c>
      <c r="E38" t="str">
        <f t="shared" si="0"/>
        <v>Include</v>
      </c>
      <c r="G38" t="str">
        <f t="shared" si="1"/>
        <v>Include</v>
      </c>
    </row>
    <row r="39" spans="1:7" x14ac:dyDescent="0.4">
      <c r="A39" t="s">
        <v>217</v>
      </c>
      <c r="B39" t="s">
        <v>218</v>
      </c>
      <c r="C39" t="s">
        <v>219</v>
      </c>
      <c r="D39" t="s">
        <v>31</v>
      </c>
      <c r="E39" t="str">
        <f t="shared" si="0"/>
        <v>Include</v>
      </c>
      <c r="G39" t="str">
        <f t="shared" si="1"/>
        <v>Include</v>
      </c>
    </row>
    <row r="40" spans="1:7" x14ac:dyDescent="0.4">
      <c r="A40" t="s">
        <v>220</v>
      </c>
      <c r="B40" t="s">
        <v>221</v>
      </c>
      <c r="C40" t="s">
        <v>222</v>
      </c>
      <c r="D40" t="s">
        <v>31</v>
      </c>
      <c r="E40" t="str">
        <f t="shared" si="0"/>
        <v>Include</v>
      </c>
      <c r="G40" t="str">
        <f t="shared" si="1"/>
        <v>Include</v>
      </c>
    </row>
    <row r="41" spans="1:7" x14ac:dyDescent="0.4">
      <c r="A41" t="s">
        <v>223</v>
      </c>
      <c r="B41" t="s">
        <v>224</v>
      </c>
      <c r="C41" t="s">
        <v>225</v>
      </c>
      <c r="D41" t="s">
        <v>20</v>
      </c>
      <c r="E41" t="str">
        <f t="shared" si="0"/>
        <v>Exclude</v>
      </c>
      <c r="G41" t="str">
        <f t="shared" si="1"/>
        <v>Exclude</v>
      </c>
    </row>
    <row r="42" spans="1:7" x14ac:dyDescent="0.4">
      <c r="A42" t="s">
        <v>226</v>
      </c>
      <c r="B42" t="s">
        <v>227</v>
      </c>
      <c r="C42" t="s">
        <v>228</v>
      </c>
      <c r="D42" t="s">
        <v>20</v>
      </c>
      <c r="E42" t="str">
        <f t="shared" si="0"/>
        <v>Exclude</v>
      </c>
      <c r="G42" t="str">
        <f t="shared" si="1"/>
        <v>Exclude</v>
      </c>
    </row>
    <row r="43" spans="1:7" x14ac:dyDescent="0.4">
      <c r="A43" s="12" t="s">
        <v>229</v>
      </c>
      <c r="B43" s="12" t="s">
        <v>230</v>
      </c>
      <c r="C43" s="12" t="s">
        <v>231</v>
      </c>
      <c r="D43" s="12" t="s">
        <v>33</v>
      </c>
      <c r="E43" t="str">
        <f t="shared" si="0"/>
        <v>Include</v>
      </c>
      <c r="F43" s="12" t="s">
        <v>869</v>
      </c>
      <c r="G43" t="str">
        <f t="shared" si="1"/>
        <v>Include</v>
      </c>
    </row>
    <row r="44" spans="1:7" x14ac:dyDescent="0.4">
      <c r="A44" t="s">
        <v>232</v>
      </c>
      <c r="B44" t="s">
        <v>233</v>
      </c>
      <c r="C44" t="s">
        <v>234</v>
      </c>
      <c r="D44" t="s">
        <v>20</v>
      </c>
      <c r="E44" t="str">
        <f t="shared" si="0"/>
        <v>Exclude</v>
      </c>
      <c r="G44" t="str">
        <f t="shared" si="1"/>
        <v>Exclude</v>
      </c>
    </row>
    <row r="45" spans="1:7" x14ac:dyDescent="0.4">
      <c r="A45" t="s">
        <v>235</v>
      </c>
      <c r="B45" t="s">
        <v>236</v>
      </c>
      <c r="C45" t="s">
        <v>237</v>
      </c>
      <c r="D45" t="s">
        <v>20</v>
      </c>
      <c r="E45" t="str">
        <f t="shared" si="0"/>
        <v>Exclude</v>
      </c>
      <c r="G45" t="str">
        <f t="shared" si="1"/>
        <v>Exclude</v>
      </c>
    </row>
    <row r="46" spans="1:7" x14ac:dyDescent="0.4">
      <c r="A46" t="s">
        <v>238</v>
      </c>
      <c r="B46" t="s">
        <v>239</v>
      </c>
      <c r="C46" t="s">
        <v>240</v>
      </c>
      <c r="D46" t="s">
        <v>241</v>
      </c>
      <c r="E46" t="str">
        <f t="shared" si="0"/>
        <v>Include</v>
      </c>
      <c r="G46" t="str">
        <f t="shared" si="1"/>
        <v>Include</v>
      </c>
    </row>
    <row r="47" spans="1:7" x14ac:dyDescent="0.4">
      <c r="A47" t="s">
        <v>242</v>
      </c>
      <c r="B47" t="s">
        <v>243</v>
      </c>
      <c r="C47" t="s">
        <v>244</v>
      </c>
      <c r="D47" t="s">
        <v>31</v>
      </c>
      <c r="E47" t="str">
        <f t="shared" si="0"/>
        <v>Include</v>
      </c>
      <c r="G47" t="str">
        <f t="shared" si="1"/>
        <v>Include</v>
      </c>
    </row>
    <row r="48" spans="1:7" x14ac:dyDescent="0.4">
      <c r="A48" t="s">
        <v>245</v>
      </c>
      <c r="B48" t="s">
        <v>246</v>
      </c>
      <c r="C48" t="s">
        <v>247</v>
      </c>
      <c r="D48" t="s">
        <v>20</v>
      </c>
      <c r="E48" t="str">
        <f t="shared" si="0"/>
        <v>Exclude</v>
      </c>
      <c r="G48" t="str">
        <f t="shared" si="1"/>
        <v>Exclude</v>
      </c>
    </row>
    <row r="49" spans="1:7" x14ac:dyDescent="0.4">
      <c r="A49" t="s">
        <v>248</v>
      </c>
      <c r="B49" t="s">
        <v>249</v>
      </c>
      <c r="C49" t="s">
        <v>250</v>
      </c>
      <c r="D49" t="s">
        <v>20</v>
      </c>
      <c r="E49" t="str">
        <f t="shared" si="0"/>
        <v>Exclude</v>
      </c>
      <c r="G49" t="str">
        <f t="shared" si="1"/>
        <v>Exclude</v>
      </c>
    </row>
    <row r="50" spans="1:7" x14ac:dyDescent="0.4">
      <c r="A50" t="s">
        <v>251</v>
      </c>
      <c r="B50" t="s">
        <v>252</v>
      </c>
      <c r="C50" t="s">
        <v>253</v>
      </c>
      <c r="D50" t="s">
        <v>31</v>
      </c>
      <c r="E50" t="str">
        <f t="shared" si="0"/>
        <v>Include</v>
      </c>
      <c r="G50" t="str">
        <f t="shared" si="1"/>
        <v>Include</v>
      </c>
    </row>
    <row r="51" spans="1:7" x14ac:dyDescent="0.4">
      <c r="A51" t="s">
        <v>254</v>
      </c>
      <c r="B51" t="s">
        <v>255</v>
      </c>
      <c r="C51" t="s">
        <v>256</v>
      </c>
      <c r="D51" t="s">
        <v>20</v>
      </c>
      <c r="E51" t="str">
        <f t="shared" si="0"/>
        <v>Exclude</v>
      </c>
      <c r="G51" t="str">
        <f t="shared" si="1"/>
        <v>Exclude</v>
      </c>
    </row>
    <row r="52" spans="1:7" x14ac:dyDescent="0.4">
      <c r="A52" t="s">
        <v>257</v>
      </c>
      <c r="B52" t="s">
        <v>258</v>
      </c>
      <c r="C52" t="s">
        <v>259</v>
      </c>
      <c r="D52" t="s">
        <v>20</v>
      </c>
      <c r="E52" t="str">
        <f t="shared" si="0"/>
        <v>Exclude</v>
      </c>
      <c r="G52" t="str">
        <f t="shared" si="1"/>
        <v>Exclude</v>
      </c>
    </row>
    <row r="53" spans="1:7" x14ac:dyDescent="0.4">
      <c r="A53" s="12" t="s">
        <v>260</v>
      </c>
      <c r="B53" s="12" t="s">
        <v>261</v>
      </c>
      <c r="C53" s="12" t="s">
        <v>262</v>
      </c>
      <c r="D53" s="12" t="s">
        <v>31</v>
      </c>
      <c r="E53" t="str">
        <f t="shared" si="0"/>
        <v>Include</v>
      </c>
      <c r="F53" s="12" t="s">
        <v>869</v>
      </c>
      <c r="G53" t="str">
        <f t="shared" si="1"/>
        <v>Include</v>
      </c>
    </row>
    <row r="54" spans="1:7" x14ac:dyDescent="0.4">
      <c r="A54" t="s">
        <v>263</v>
      </c>
      <c r="B54" t="s">
        <v>264</v>
      </c>
      <c r="C54" t="s">
        <v>265</v>
      </c>
      <c r="D54" t="s">
        <v>20</v>
      </c>
      <c r="E54" t="str">
        <f t="shared" si="0"/>
        <v>Exclude</v>
      </c>
      <c r="G54" t="str">
        <f t="shared" si="1"/>
        <v>Exclude</v>
      </c>
    </row>
    <row r="55" spans="1:7" x14ac:dyDescent="0.4">
      <c r="A55" t="s">
        <v>266</v>
      </c>
      <c r="B55" t="s">
        <v>267</v>
      </c>
      <c r="C55" t="s">
        <v>268</v>
      </c>
      <c r="D55" t="s">
        <v>31</v>
      </c>
      <c r="E55" t="str">
        <f t="shared" si="0"/>
        <v>Include</v>
      </c>
      <c r="G55" t="str">
        <f t="shared" si="1"/>
        <v>Include</v>
      </c>
    </row>
    <row r="56" spans="1:7" x14ac:dyDescent="0.4">
      <c r="A56" t="s">
        <v>269</v>
      </c>
      <c r="B56" t="s">
        <v>270</v>
      </c>
      <c r="C56" t="s">
        <v>271</v>
      </c>
      <c r="D56" t="s">
        <v>133</v>
      </c>
      <c r="E56" t="str">
        <f t="shared" si="0"/>
        <v>Include</v>
      </c>
      <c r="G56" t="str">
        <f t="shared" si="1"/>
        <v>Include</v>
      </c>
    </row>
    <row r="57" spans="1:7" x14ac:dyDescent="0.4">
      <c r="A57" t="s">
        <v>272</v>
      </c>
      <c r="B57" t="s">
        <v>273</v>
      </c>
      <c r="C57" t="s">
        <v>274</v>
      </c>
      <c r="D57" t="s">
        <v>32</v>
      </c>
      <c r="E57" t="str">
        <f t="shared" si="0"/>
        <v>Include</v>
      </c>
      <c r="G57" t="str">
        <f t="shared" si="1"/>
        <v>Include</v>
      </c>
    </row>
    <row r="58" spans="1:7" x14ac:dyDescent="0.4">
      <c r="A58" t="s">
        <v>275</v>
      </c>
      <c r="B58" t="s">
        <v>276</v>
      </c>
      <c r="C58" t="s">
        <v>277</v>
      </c>
      <c r="D58" t="s">
        <v>278</v>
      </c>
      <c r="E58" t="str">
        <f t="shared" si="0"/>
        <v>Include</v>
      </c>
      <c r="G58" t="str">
        <f t="shared" si="1"/>
        <v>Include</v>
      </c>
    </row>
    <row r="59" spans="1:7" x14ac:dyDescent="0.4">
      <c r="A59" t="s">
        <v>279</v>
      </c>
      <c r="B59" t="s">
        <v>280</v>
      </c>
      <c r="C59" t="s">
        <v>281</v>
      </c>
      <c r="D59" t="s">
        <v>21</v>
      </c>
      <c r="E59" t="str">
        <f t="shared" si="0"/>
        <v>Exclude</v>
      </c>
      <c r="G59" t="str">
        <f t="shared" si="1"/>
        <v>Exclude</v>
      </c>
    </row>
    <row r="60" spans="1:7" x14ac:dyDescent="0.4">
      <c r="A60" t="s">
        <v>282</v>
      </c>
      <c r="B60" t="s">
        <v>283</v>
      </c>
      <c r="C60" t="s">
        <v>284</v>
      </c>
      <c r="D60" t="s">
        <v>31</v>
      </c>
      <c r="E60" t="str">
        <f t="shared" si="0"/>
        <v>Include</v>
      </c>
      <c r="G60" t="str">
        <f t="shared" si="1"/>
        <v>Include</v>
      </c>
    </row>
    <row r="61" spans="1:7" x14ac:dyDescent="0.4">
      <c r="A61" t="s">
        <v>285</v>
      </c>
      <c r="B61" t="s">
        <v>286</v>
      </c>
      <c r="C61" t="s">
        <v>287</v>
      </c>
      <c r="D61" t="s">
        <v>32</v>
      </c>
      <c r="E61" t="str">
        <f t="shared" si="0"/>
        <v>Include</v>
      </c>
      <c r="G61" t="str">
        <f t="shared" si="1"/>
        <v>Include</v>
      </c>
    </row>
    <row r="62" spans="1:7" x14ac:dyDescent="0.4">
      <c r="A62" t="s">
        <v>288</v>
      </c>
      <c r="B62" t="s">
        <v>289</v>
      </c>
      <c r="C62" t="s">
        <v>290</v>
      </c>
      <c r="D62" t="s">
        <v>291</v>
      </c>
      <c r="E62" t="str">
        <f t="shared" si="0"/>
        <v>Include</v>
      </c>
      <c r="G62" t="str">
        <f t="shared" si="1"/>
        <v>Include</v>
      </c>
    </row>
    <row r="63" spans="1:7" x14ac:dyDescent="0.4">
      <c r="A63" t="s">
        <v>292</v>
      </c>
      <c r="B63" t="s">
        <v>293</v>
      </c>
      <c r="C63" t="s">
        <v>294</v>
      </c>
      <c r="D63" t="s">
        <v>32</v>
      </c>
      <c r="E63" t="str">
        <f t="shared" si="0"/>
        <v>Include</v>
      </c>
      <c r="G63" t="str">
        <f t="shared" si="1"/>
        <v>Include</v>
      </c>
    </row>
    <row r="64" spans="1:7" x14ac:dyDescent="0.4">
      <c r="A64" t="s">
        <v>295</v>
      </c>
      <c r="B64" t="s">
        <v>296</v>
      </c>
      <c r="C64" t="s">
        <v>297</v>
      </c>
      <c r="D64" t="s">
        <v>32</v>
      </c>
      <c r="E64" t="str">
        <f t="shared" si="0"/>
        <v>Include</v>
      </c>
      <c r="G64" t="str">
        <f t="shared" si="1"/>
        <v>Include</v>
      </c>
    </row>
    <row r="65" spans="1:7" x14ac:dyDescent="0.4">
      <c r="A65" t="s">
        <v>298</v>
      </c>
      <c r="B65" t="s">
        <v>299</v>
      </c>
      <c r="C65" t="s">
        <v>300</v>
      </c>
      <c r="D65" t="s">
        <v>20</v>
      </c>
      <c r="E65" t="str">
        <f t="shared" si="0"/>
        <v>Exclude</v>
      </c>
      <c r="G65" t="str">
        <f t="shared" si="1"/>
        <v>Exclude</v>
      </c>
    </row>
    <row r="66" spans="1:7" x14ac:dyDescent="0.4">
      <c r="A66" t="s">
        <v>301</v>
      </c>
      <c r="B66" t="s">
        <v>302</v>
      </c>
      <c r="C66" t="s">
        <v>303</v>
      </c>
      <c r="D66" t="s">
        <v>20</v>
      </c>
      <c r="E66" t="str">
        <f t="shared" si="0"/>
        <v>Exclude</v>
      </c>
      <c r="G66" t="str">
        <f t="shared" si="1"/>
        <v>Exclude</v>
      </c>
    </row>
    <row r="67" spans="1:7" x14ac:dyDescent="0.4">
      <c r="A67" t="s">
        <v>304</v>
      </c>
      <c r="B67" t="s">
        <v>305</v>
      </c>
      <c r="C67" t="s">
        <v>306</v>
      </c>
      <c r="D67" t="s">
        <v>34</v>
      </c>
      <c r="E67" t="str">
        <f t="shared" si="0"/>
        <v>Include</v>
      </c>
      <c r="G67" t="str">
        <f t="shared" si="1"/>
        <v>Include</v>
      </c>
    </row>
    <row r="68" spans="1:7" x14ac:dyDescent="0.4">
      <c r="A68" t="s">
        <v>307</v>
      </c>
      <c r="B68" t="s">
        <v>308</v>
      </c>
      <c r="C68" t="s">
        <v>309</v>
      </c>
      <c r="D68" t="s">
        <v>241</v>
      </c>
      <c r="E68" t="str">
        <f t="shared" si="0"/>
        <v>Include</v>
      </c>
      <c r="G68" t="str">
        <f t="shared" si="1"/>
        <v>Include</v>
      </c>
    </row>
    <row r="69" spans="1:7" x14ac:dyDescent="0.4">
      <c r="A69" t="s">
        <v>310</v>
      </c>
      <c r="B69" t="s">
        <v>311</v>
      </c>
      <c r="C69" t="s">
        <v>312</v>
      </c>
      <c r="D69" t="s">
        <v>32</v>
      </c>
      <c r="E69" t="str">
        <f t="shared" si="0"/>
        <v>Include</v>
      </c>
      <c r="G69" t="str">
        <f t="shared" si="1"/>
        <v>Include</v>
      </c>
    </row>
    <row r="70" spans="1:7" x14ac:dyDescent="0.4">
      <c r="A70" t="s">
        <v>313</v>
      </c>
      <c r="B70" t="s">
        <v>314</v>
      </c>
      <c r="C70" t="s">
        <v>315</v>
      </c>
      <c r="D70" t="s">
        <v>20</v>
      </c>
      <c r="E70" t="str">
        <f t="shared" ref="E70:E133" si="2">IF($A70="","",IF(COUNTIF(ExclList,$D70)&gt;0,"Exclude","Include"))</f>
        <v>Exclude</v>
      </c>
      <c r="G70" t="str">
        <f t="shared" si="1"/>
        <v>Exclude</v>
      </c>
    </row>
    <row r="71" spans="1:7" x14ac:dyDescent="0.4">
      <c r="A71" s="12" t="s">
        <v>316</v>
      </c>
      <c r="B71" s="12" t="s">
        <v>317</v>
      </c>
      <c r="C71" s="12" t="s">
        <v>318</v>
      </c>
      <c r="D71" s="12" t="s">
        <v>31</v>
      </c>
      <c r="E71" t="str">
        <f t="shared" si="2"/>
        <v>Include</v>
      </c>
      <c r="F71" s="12" t="s">
        <v>869</v>
      </c>
      <c r="G71" t="str">
        <f t="shared" ref="G71:G134" si="3">IF($A71="","",IF($F71&lt;&gt;"",$F71,$E71))</f>
        <v>Include</v>
      </c>
    </row>
    <row r="72" spans="1:7" x14ac:dyDescent="0.4">
      <c r="A72" t="s">
        <v>319</v>
      </c>
      <c r="B72" t="s">
        <v>320</v>
      </c>
      <c r="C72" t="s">
        <v>321</v>
      </c>
      <c r="D72" t="s">
        <v>20</v>
      </c>
      <c r="E72" t="str">
        <f t="shared" si="2"/>
        <v>Exclude</v>
      </c>
      <c r="G72" t="str">
        <f t="shared" si="3"/>
        <v>Exclude</v>
      </c>
    </row>
    <row r="73" spans="1:7" x14ac:dyDescent="0.4">
      <c r="A73" t="s">
        <v>322</v>
      </c>
      <c r="B73" t="s">
        <v>323</v>
      </c>
      <c r="C73" t="s">
        <v>324</v>
      </c>
      <c r="D73" t="s">
        <v>20</v>
      </c>
      <c r="E73" t="str">
        <f t="shared" si="2"/>
        <v>Exclude</v>
      </c>
      <c r="G73" t="str">
        <f t="shared" si="3"/>
        <v>Exclude</v>
      </c>
    </row>
    <row r="74" spans="1:7" x14ac:dyDescent="0.4">
      <c r="A74" t="s">
        <v>325</v>
      </c>
      <c r="B74" t="s">
        <v>326</v>
      </c>
      <c r="C74" t="s">
        <v>327</v>
      </c>
      <c r="D74" t="s">
        <v>20</v>
      </c>
      <c r="E74" t="str">
        <f t="shared" si="2"/>
        <v>Exclude</v>
      </c>
      <c r="G74" t="str">
        <f t="shared" si="3"/>
        <v>Exclude</v>
      </c>
    </row>
    <row r="75" spans="1:7" x14ac:dyDescent="0.4">
      <c r="A75" s="11" t="s">
        <v>328</v>
      </c>
      <c r="B75" s="11" t="s">
        <v>329</v>
      </c>
      <c r="C75" s="11"/>
      <c r="D75" s="11" t="s">
        <v>20</v>
      </c>
      <c r="E75" t="str">
        <f t="shared" si="2"/>
        <v>Exclude</v>
      </c>
      <c r="F75" s="11" t="s">
        <v>868</v>
      </c>
      <c r="G75" t="str">
        <f t="shared" si="3"/>
        <v>Exclude</v>
      </c>
    </row>
    <row r="76" spans="1:7" x14ac:dyDescent="0.4">
      <c r="A76" t="s">
        <v>330</v>
      </c>
      <c r="B76" t="s">
        <v>331</v>
      </c>
      <c r="C76" t="s">
        <v>332</v>
      </c>
      <c r="D76" t="s">
        <v>20</v>
      </c>
      <c r="E76" t="str">
        <f t="shared" si="2"/>
        <v>Exclude</v>
      </c>
      <c r="G76" t="str">
        <f t="shared" si="3"/>
        <v>Exclude</v>
      </c>
    </row>
    <row r="77" spans="1:7" x14ac:dyDescent="0.4">
      <c r="A77" t="s">
        <v>333</v>
      </c>
      <c r="B77" t="s">
        <v>334</v>
      </c>
      <c r="C77" t="s">
        <v>335</v>
      </c>
      <c r="D77" t="s">
        <v>32</v>
      </c>
      <c r="E77" t="str">
        <f t="shared" si="2"/>
        <v>Include</v>
      </c>
      <c r="G77" t="str">
        <f t="shared" si="3"/>
        <v>Include</v>
      </c>
    </row>
    <row r="78" spans="1:7" x14ac:dyDescent="0.4">
      <c r="A78" t="s">
        <v>336</v>
      </c>
      <c r="B78" t="s">
        <v>337</v>
      </c>
      <c r="C78" t="s">
        <v>338</v>
      </c>
      <c r="D78" t="s">
        <v>20</v>
      </c>
      <c r="E78" t="str">
        <f t="shared" si="2"/>
        <v>Exclude</v>
      </c>
      <c r="G78" t="str">
        <f t="shared" si="3"/>
        <v>Exclude</v>
      </c>
    </row>
    <row r="79" spans="1:7" x14ac:dyDescent="0.4">
      <c r="A79" t="s">
        <v>339</v>
      </c>
      <c r="B79" t="s">
        <v>340</v>
      </c>
      <c r="C79" t="s">
        <v>341</v>
      </c>
      <c r="D79" t="s">
        <v>20</v>
      </c>
      <c r="E79" t="str">
        <f t="shared" si="2"/>
        <v>Exclude</v>
      </c>
      <c r="G79" t="str">
        <f t="shared" si="3"/>
        <v>Exclude</v>
      </c>
    </row>
    <row r="80" spans="1:7" x14ac:dyDescent="0.4">
      <c r="A80" t="s">
        <v>342</v>
      </c>
      <c r="B80" t="s">
        <v>343</v>
      </c>
      <c r="C80" t="s">
        <v>344</v>
      </c>
      <c r="D80" t="s">
        <v>32</v>
      </c>
      <c r="E80" t="str">
        <f t="shared" si="2"/>
        <v>Include</v>
      </c>
      <c r="G80" t="str">
        <f t="shared" si="3"/>
        <v>Include</v>
      </c>
    </row>
    <row r="81" spans="1:7" x14ac:dyDescent="0.4">
      <c r="A81" t="s">
        <v>345</v>
      </c>
      <c r="B81" t="s">
        <v>346</v>
      </c>
      <c r="C81" t="s">
        <v>347</v>
      </c>
      <c r="D81" t="s">
        <v>20</v>
      </c>
      <c r="E81" t="str">
        <f t="shared" si="2"/>
        <v>Exclude</v>
      </c>
      <c r="G81" t="str">
        <f t="shared" si="3"/>
        <v>Exclude</v>
      </c>
    </row>
    <row r="82" spans="1:7" x14ac:dyDescent="0.4">
      <c r="A82" t="s">
        <v>348</v>
      </c>
      <c r="B82" t="s">
        <v>349</v>
      </c>
      <c r="C82" t="s">
        <v>350</v>
      </c>
      <c r="D82" t="s">
        <v>31</v>
      </c>
      <c r="E82" t="str">
        <f t="shared" si="2"/>
        <v>Include</v>
      </c>
      <c r="G82" t="str">
        <f t="shared" si="3"/>
        <v>Include</v>
      </c>
    </row>
    <row r="83" spans="1:7" x14ac:dyDescent="0.4">
      <c r="A83" t="s">
        <v>351</v>
      </c>
      <c r="B83" t="s">
        <v>352</v>
      </c>
      <c r="C83" t="s">
        <v>353</v>
      </c>
      <c r="D83" t="s">
        <v>354</v>
      </c>
      <c r="E83" t="str">
        <f t="shared" si="2"/>
        <v>Include</v>
      </c>
      <c r="G83" t="str">
        <f t="shared" si="3"/>
        <v>Include</v>
      </c>
    </row>
    <row r="84" spans="1:7" x14ac:dyDescent="0.4">
      <c r="A84" t="s">
        <v>355</v>
      </c>
      <c r="B84" t="s">
        <v>356</v>
      </c>
      <c r="C84" t="s">
        <v>357</v>
      </c>
      <c r="D84" t="s">
        <v>20</v>
      </c>
      <c r="E84" t="str">
        <f t="shared" si="2"/>
        <v>Exclude</v>
      </c>
      <c r="G84" t="str">
        <f t="shared" si="3"/>
        <v>Exclude</v>
      </c>
    </row>
    <row r="85" spans="1:7" x14ac:dyDescent="0.4">
      <c r="A85" t="s">
        <v>358</v>
      </c>
      <c r="B85" t="s">
        <v>359</v>
      </c>
      <c r="C85" t="s">
        <v>360</v>
      </c>
      <c r="D85" t="s">
        <v>31</v>
      </c>
      <c r="E85" t="str">
        <f t="shared" si="2"/>
        <v>Include</v>
      </c>
      <c r="G85" t="str">
        <f t="shared" si="3"/>
        <v>Include</v>
      </c>
    </row>
    <row r="86" spans="1:7" x14ac:dyDescent="0.4">
      <c r="A86" t="s">
        <v>361</v>
      </c>
      <c r="B86" t="s">
        <v>362</v>
      </c>
      <c r="C86" t="s">
        <v>363</v>
      </c>
      <c r="D86" t="s">
        <v>278</v>
      </c>
      <c r="E86" t="str">
        <f t="shared" si="2"/>
        <v>Include</v>
      </c>
      <c r="G86" t="str">
        <f t="shared" si="3"/>
        <v>Include</v>
      </c>
    </row>
    <row r="87" spans="1:7" x14ac:dyDescent="0.4">
      <c r="A87" t="s">
        <v>364</v>
      </c>
      <c r="B87" t="s">
        <v>365</v>
      </c>
      <c r="C87" t="s">
        <v>366</v>
      </c>
      <c r="D87" t="s">
        <v>31</v>
      </c>
      <c r="E87" t="str">
        <f t="shared" si="2"/>
        <v>Include</v>
      </c>
      <c r="G87" t="str">
        <f t="shared" si="3"/>
        <v>Include</v>
      </c>
    </row>
    <row r="88" spans="1:7" x14ac:dyDescent="0.4">
      <c r="A88" t="s">
        <v>367</v>
      </c>
      <c r="B88" t="s">
        <v>368</v>
      </c>
      <c r="C88" t="s">
        <v>369</v>
      </c>
      <c r="D88" t="s">
        <v>20</v>
      </c>
      <c r="E88" t="str">
        <f t="shared" si="2"/>
        <v>Exclude</v>
      </c>
      <c r="G88" t="str">
        <f t="shared" si="3"/>
        <v>Exclude</v>
      </c>
    </row>
    <row r="89" spans="1:7" x14ac:dyDescent="0.4">
      <c r="A89" t="s">
        <v>370</v>
      </c>
      <c r="B89" t="s">
        <v>371</v>
      </c>
      <c r="C89" t="s">
        <v>372</v>
      </c>
      <c r="D89" t="s">
        <v>31</v>
      </c>
      <c r="E89" t="str">
        <f t="shared" si="2"/>
        <v>Include</v>
      </c>
      <c r="G89" t="str">
        <f t="shared" si="3"/>
        <v>Include</v>
      </c>
    </row>
    <row r="90" spans="1:7" x14ac:dyDescent="0.4">
      <c r="A90" t="s">
        <v>373</v>
      </c>
      <c r="B90" t="s">
        <v>374</v>
      </c>
      <c r="C90" t="s">
        <v>375</v>
      </c>
      <c r="D90" t="s">
        <v>31</v>
      </c>
      <c r="E90" t="str">
        <f t="shared" si="2"/>
        <v>Include</v>
      </c>
      <c r="G90" t="str">
        <f t="shared" si="3"/>
        <v>Include</v>
      </c>
    </row>
    <row r="91" spans="1:7" x14ac:dyDescent="0.4">
      <c r="A91" t="s">
        <v>376</v>
      </c>
      <c r="B91" t="s">
        <v>377</v>
      </c>
      <c r="C91" t="s">
        <v>378</v>
      </c>
      <c r="D91" t="s">
        <v>21</v>
      </c>
      <c r="E91" t="str">
        <f t="shared" si="2"/>
        <v>Exclude</v>
      </c>
      <c r="G91" t="str">
        <f t="shared" si="3"/>
        <v>Exclude</v>
      </c>
    </row>
    <row r="92" spans="1:7" x14ac:dyDescent="0.4">
      <c r="A92" t="s">
        <v>379</v>
      </c>
      <c r="B92" t="s">
        <v>380</v>
      </c>
      <c r="C92" t="s">
        <v>381</v>
      </c>
      <c r="D92" t="s">
        <v>21</v>
      </c>
      <c r="E92" t="str">
        <f t="shared" si="2"/>
        <v>Exclude</v>
      </c>
      <c r="G92" t="str">
        <f t="shared" si="3"/>
        <v>Exclude</v>
      </c>
    </row>
    <row r="93" spans="1:7" x14ac:dyDescent="0.4">
      <c r="A93" s="12" t="s">
        <v>382</v>
      </c>
      <c r="B93" s="12" t="s">
        <v>383</v>
      </c>
      <c r="C93" s="12" t="s">
        <v>384</v>
      </c>
      <c r="D93" s="12" t="s">
        <v>20</v>
      </c>
      <c r="E93" t="str">
        <f t="shared" si="2"/>
        <v>Exclude</v>
      </c>
      <c r="F93" s="12" t="s">
        <v>868</v>
      </c>
      <c r="G93" t="str">
        <f t="shared" si="3"/>
        <v>Exclude</v>
      </c>
    </row>
    <row r="94" spans="1:7" x14ac:dyDescent="0.4">
      <c r="A94" t="s">
        <v>385</v>
      </c>
      <c r="B94" t="s">
        <v>386</v>
      </c>
      <c r="C94" t="s">
        <v>387</v>
      </c>
      <c r="D94" t="s">
        <v>133</v>
      </c>
      <c r="E94" t="str">
        <f t="shared" si="2"/>
        <v>Include</v>
      </c>
      <c r="G94" t="str">
        <f t="shared" si="3"/>
        <v>Include</v>
      </c>
    </row>
    <row r="95" spans="1:7" x14ac:dyDescent="0.4">
      <c r="A95" t="s">
        <v>388</v>
      </c>
      <c r="B95" t="s">
        <v>389</v>
      </c>
      <c r="C95" t="s">
        <v>390</v>
      </c>
      <c r="D95" t="s">
        <v>32</v>
      </c>
      <c r="E95" t="str">
        <f t="shared" si="2"/>
        <v>Include</v>
      </c>
      <c r="G95" t="str">
        <f t="shared" si="3"/>
        <v>Include</v>
      </c>
    </row>
    <row r="96" spans="1:7" x14ac:dyDescent="0.4">
      <c r="A96" t="s">
        <v>391</v>
      </c>
      <c r="B96" t="s">
        <v>392</v>
      </c>
      <c r="C96" t="s">
        <v>393</v>
      </c>
      <c r="D96" t="s">
        <v>32</v>
      </c>
      <c r="E96" t="str">
        <f t="shared" si="2"/>
        <v>Include</v>
      </c>
      <c r="G96" t="str">
        <f t="shared" si="3"/>
        <v>Include</v>
      </c>
    </row>
    <row r="97" spans="1:7" x14ac:dyDescent="0.4">
      <c r="A97" t="s">
        <v>394</v>
      </c>
      <c r="B97" t="s">
        <v>395</v>
      </c>
      <c r="C97" t="s">
        <v>396</v>
      </c>
      <c r="D97" t="s">
        <v>21</v>
      </c>
      <c r="E97" t="str">
        <f t="shared" si="2"/>
        <v>Exclude</v>
      </c>
      <c r="G97" t="str">
        <f t="shared" si="3"/>
        <v>Exclude</v>
      </c>
    </row>
    <row r="98" spans="1:7" x14ac:dyDescent="0.4">
      <c r="A98" t="s">
        <v>397</v>
      </c>
      <c r="B98" t="s">
        <v>398</v>
      </c>
      <c r="C98" t="s">
        <v>399</v>
      </c>
      <c r="D98" t="s">
        <v>20</v>
      </c>
      <c r="E98" t="str">
        <f t="shared" si="2"/>
        <v>Exclude</v>
      </c>
      <c r="G98" t="str">
        <f t="shared" si="3"/>
        <v>Exclude</v>
      </c>
    </row>
    <row r="99" spans="1:7" x14ac:dyDescent="0.4">
      <c r="A99" t="s">
        <v>400</v>
      </c>
      <c r="B99" t="s">
        <v>401</v>
      </c>
      <c r="C99" t="s">
        <v>402</v>
      </c>
      <c r="D99" t="s">
        <v>241</v>
      </c>
      <c r="E99" t="str">
        <f t="shared" si="2"/>
        <v>Include</v>
      </c>
      <c r="G99" t="str">
        <f t="shared" si="3"/>
        <v>Include</v>
      </c>
    </row>
    <row r="100" spans="1:7" x14ac:dyDescent="0.4">
      <c r="A100" t="s">
        <v>403</v>
      </c>
      <c r="B100" t="s">
        <v>404</v>
      </c>
      <c r="C100" t="s">
        <v>405</v>
      </c>
      <c r="D100" t="s">
        <v>20</v>
      </c>
      <c r="E100" t="str">
        <f t="shared" si="2"/>
        <v>Exclude</v>
      </c>
      <c r="G100" t="str">
        <f t="shared" si="3"/>
        <v>Exclude</v>
      </c>
    </row>
    <row r="101" spans="1:7" x14ac:dyDescent="0.4">
      <c r="A101" t="s">
        <v>406</v>
      </c>
      <c r="B101" t="s">
        <v>407</v>
      </c>
      <c r="C101" t="s">
        <v>408</v>
      </c>
      <c r="D101" t="s">
        <v>21</v>
      </c>
      <c r="E101" t="str">
        <f t="shared" si="2"/>
        <v>Exclude</v>
      </c>
      <c r="G101" t="str">
        <f t="shared" si="3"/>
        <v>Exclude</v>
      </c>
    </row>
    <row r="102" spans="1:7" x14ac:dyDescent="0.4">
      <c r="A102" t="s">
        <v>409</v>
      </c>
      <c r="B102" t="s">
        <v>410</v>
      </c>
      <c r="C102" t="s">
        <v>411</v>
      </c>
      <c r="D102" t="s">
        <v>31</v>
      </c>
      <c r="E102" t="str">
        <f t="shared" si="2"/>
        <v>Include</v>
      </c>
      <c r="G102" t="str">
        <f t="shared" si="3"/>
        <v>Include</v>
      </c>
    </row>
    <row r="103" spans="1:7" x14ac:dyDescent="0.4">
      <c r="A103" t="s">
        <v>412</v>
      </c>
      <c r="B103" t="s">
        <v>413</v>
      </c>
      <c r="C103" t="s">
        <v>414</v>
      </c>
      <c r="D103" t="s">
        <v>354</v>
      </c>
      <c r="E103" t="str">
        <f t="shared" si="2"/>
        <v>Include</v>
      </c>
      <c r="G103" t="str">
        <f t="shared" si="3"/>
        <v>Include</v>
      </c>
    </row>
    <row r="104" spans="1:7" x14ac:dyDescent="0.4">
      <c r="A104" t="s">
        <v>415</v>
      </c>
      <c r="B104" t="s">
        <v>416</v>
      </c>
      <c r="C104" t="s">
        <v>417</v>
      </c>
      <c r="D104" t="s">
        <v>20</v>
      </c>
      <c r="E104" t="str">
        <f t="shared" si="2"/>
        <v>Exclude</v>
      </c>
      <c r="G104" t="str">
        <f t="shared" si="3"/>
        <v>Exclude</v>
      </c>
    </row>
    <row r="105" spans="1:7" x14ac:dyDescent="0.4">
      <c r="A105" t="s">
        <v>418</v>
      </c>
      <c r="B105" t="s">
        <v>419</v>
      </c>
      <c r="C105" t="s">
        <v>420</v>
      </c>
      <c r="D105" t="s">
        <v>20</v>
      </c>
      <c r="E105" t="str">
        <f t="shared" si="2"/>
        <v>Exclude</v>
      </c>
      <c r="G105" t="str">
        <f t="shared" si="3"/>
        <v>Exclude</v>
      </c>
    </row>
    <row r="106" spans="1:7" x14ac:dyDescent="0.4">
      <c r="A106" t="s">
        <v>421</v>
      </c>
      <c r="B106" t="s">
        <v>422</v>
      </c>
      <c r="C106" t="s">
        <v>423</v>
      </c>
      <c r="D106" t="s">
        <v>20</v>
      </c>
      <c r="E106" t="str">
        <f t="shared" si="2"/>
        <v>Exclude</v>
      </c>
      <c r="G106" t="str">
        <f t="shared" si="3"/>
        <v>Exclude</v>
      </c>
    </row>
    <row r="107" spans="1:7" x14ac:dyDescent="0.4">
      <c r="A107" t="s">
        <v>424</v>
      </c>
      <c r="B107" t="s">
        <v>425</v>
      </c>
      <c r="C107" t="s">
        <v>426</v>
      </c>
      <c r="D107" t="s">
        <v>20</v>
      </c>
      <c r="E107" t="str">
        <f t="shared" si="2"/>
        <v>Exclude</v>
      </c>
      <c r="G107" t="str">
        <f t="shared" si="3"/>
        <v>Exclude</v>
      </c>
    </row>
    <row r="108" spans="1:7" x14ac:dyDescent="0.4">
      <c r="A108" t="s">
        <v>427</v>
      </c>
      <c r="B108" t="s">
        <v>428</v>
      </c>
      <c r="C108" t="s">
        <v>429</v>
      </c>
      <c r="D108" t="s">
        <v>20</v>
      </c>
      <c r="E108" t="str">
        <f t="shared" si="2"/>
        <v>Exclude</v>
      </c>
      <c r="G108" t="str">
        <f t="shared" si="3"/>
        <v>Exclude</v>
      </c>
    </row>
    <row r="109" spans="1:7" x14ac:dyDescent="0.4">
      <c r="A109" t="s">
        <v>430</v>
      </c>
      <c r="B109" t="s">
        <v>431</v>
      </c>
      <c r="C109" t="s">
        <v>432</v>
      </c>
      <c r="D109" t="s">
        <v>278</v>
      </c>
      <c r="E109" t="str">
        <f t="shared" si="2"/>
        <v>Include</v>
      </c>
      <c r="G109" t="str">
        <f t="shared" si="3"/>
        <v>Include</v>
      </c>
    </row>
    <row r="110" spans="1:7" x14ac:dyDescent="0.4">
      <c r="A110" t="s">
        <v>433</v>
      </c>
      <c r="B110" t="s">
        <v>434</v>
      </c>
      <c r="C110" t="s">
        <v>435</v>
      </c>
      <c r="D110" t="s">
        <v>31</v>
      </c>
      <c r="E110" t="str">
        <f t="shared" si="2"/>
        <v>Include</v>
      </c>
      <c r="G110" t="str">
        <f t="shared" si="3"/>
        <v>Include</v>
      </c>
    </row>
    <row r="111" spans="1:7" x14ac:dyDescent="0.4">
      <c r="A111" t="s">
        <v>436</v>
      </c>
      <c r="B111" t="s">
        <v>437</v>
      </c>
      <c r="C111" t="s">
        <v>438</v>
      </c>
      <c r="D111" t="s">
        <v>133</v>
      </c>
      <c r="E111" t="str">
        <f t="shared" si="2"/>
        <v>Include</v>
      </c>
      <c r="G111" t="str">
        <f t="shared" si="3"/>
        <v>Include</v>
      </c>
    </row>
    <row r="112" spans="1:7" x14ac:dyDescent="0.4">
      <c r="A112" t="s">
        <v>439</v>
      </c>
      <c r="B112" t="s">
        <v>440</v>
      </c>
      <c r="C112" t="s">
        <v>441</v>
      </c>
      <c r="D112" t="s">
        <v>34</v>
      </c>
      <c r="E112" t="str">
        <f t="shared" si="2"/>
        <v>Include</v>
      </c>
      <c r="G112" t="str">
        <f t="shared" si="3"/>
        <v>Include</v>
      </c>
    </row>
    <row r="113" spans="1:7" x14ac:dyDescent="0.4">
      <c r="A113" t="s">
        <v>442</v>
      </c>
      <c r="B113" t="s">
        <v>443</v>
      </c>
      <c r="C113" t="s">
        <v>444</v>
      </c>
      <c r="D113" t="s">
        <v>32</v>
      </c>
      <c r="E113" t="str">
        <f t="shared" si="2"/>
        <v>Include</v>
      </c>
      <c r="G113" t="str">
        <f t="shared" si="3"/>
        <v>Include</v>
      </c>
    </row>
    <row r="114" spans="1:7" x14ac:dyDescent="0.4">
      <c r="A114" t="s">
        <v>445</v>
      </c>
      <c r="B114" t="s">
        <v>446</v>
      </c>
      <c r="C114" t="s">
        <v>447</v>
      </c>
      <c r="D114" t="s">
        <v>241</v>
      </c>
      <c r="E114" t="str">
        <f t="shared" si="2"/>
        <v>Include</v>
      </c>
      <c r="G114" t="str">
        <f t="shared" si="3"/>
        <v>Include</v>
      </c>
    </row>
    <row r="115" spans="1:7" x14ac:dyDescent="0.4">
      <c r="A115" t="s">
        <v>448</v>
      </c>
      <c r="B115" t="s">
        <v>449</v>
      </c>
      <c r="C115" t="s">
        <v>450</v>
      </c>
      <c r="D115" t="s">
        <v>20</v>
      </c>
      <c r="E115" t="str">
        <f t="shared" si="2"/>
        <v>Exclude</v>
      </c>
      <c r="G115" t="str">
        <f t="shared" si="3"/>
        <v>Exclude</v>
      </c>
    </row>
    <row r="116" spans="1:7" x14ac:dyDescent="0.4">
      <c r="A116" t="s">
        <v>451</v>
      </c>
      <c r="B116" t="s">
        <v>452</v>
      </c>
      <c r="C116" t="s">
        <v>453</v>
      </c>
      <c r="D116" t="s">
        <v>32</v>
      </c>
      <c r="E116" t="str">
        <f t="shared" si="2"/>
        <v>Include</v>
      </c>
      <c r="G116" t="str">
        <f t="shared" si="3"/>
        <v>Include</v>
      </c>
    </row>
    <row r="117" spans="1:7" x14ac:dyDescent="0.4">
      <c r="A117" s="12" t="s">
        <v>454</v>
      </c>
      <c r="B117" s="12" t="s">
        <v>455</v>
      </c>
      <c r="C117" s="12" t="s">
        <v>456</v>
      </c>
      <c r="D117" s="12" t="s">
        <v>20</v>
      </c>
      <c r="E117" t="str">
        <f t="shared" si="2"/>
        <v>Exclude</v>
      </c>
      <c r="F117" s="12" t="s">
        <v>868</v>
      </c>
      <c r="G117" t="str">
        <f t="shared" si="3"/>
        <v>Exclude</v>
      </c>
    </row>
    <row r="118" spans="1:7" x14ac:dyDescent="0.4">
      <c r="A118" t="s">
        <v>457</v>
      </c>
      <c r="B118" t="s">
        <v>458</v>
      </c>
      <c r="C118" t="s">
        <v>459</v>
      </c>
      <c r="D118" t="s">
        <v>20</v>
      </c>
      <c r="E118" t="str">
        <f t="shared" si="2"/>
        <v>Exclude</v>
      </c>
      <c r="G118" t="str">
        <f t="shared" si="3"/>
        <v>Exclude</v>
      </c>
    </row>
    <row r="119" spans="1:7" x14ac:dyDescent="0.4">
      <c r="A119" t="s">
        <v>460</v>
      </c>
      <c r="B119" t="s">
        <v>461</v>
      </c>
      <c r="C119" t="s">
        <v>462</v>
      </c>
      <c r="D119" t="s">
        <v>31</v>
      </c>
      <c r="E119" t="str">
        <f t="shared" si="2"/>
        <v>Include</v>
      </c>
      <c r="G119" t="str">
        <f t="shared" si="3"/>
        <v>Include</v>
      </c>
    </row>
    <row r="120" spans="1:7" x14ac:dyDescent="0.4">
      <c r="A120" t="s">
        <v>463</v>
      </c>
      <c r="B120" t="s">
        <v>464</v>
      </c>
      <c r="C120" t="s">
        <v>465</v>
      </c>
      <c r="D120" t="s">
        <v>20</v>
      </c>
      <c r="E120" t="str">
        <f t="shared" si="2"/>
        <v>Exclude</v>
      </c>
      <c r="G120" t="str">
        <f t="shared" si="3"/>
        <v>Exclude</v>
      </c>
    </row>
    <row r="121" spans="1:7" x14ac:dyDescent="0.4">
      <c r="A121" s="11" t="s">
        <v>466</v>
      </c>
      <c r="B121" s="11" t="s">
        <v>467</v>
      </c>
      <c r="C121" s="11"/>
      <c r="D121" s="11" t="s">
        <v>20</v>
      </c>
      <c r="E121" t="str">
        <f t="shared" si="2"/>
        <v>Exclude</v>
      </c>
      <c r="F121" s="11" t="s">
        <v>868</v>
      </c>
      <c r="G121" t="str">
        <f t="shared" si="3"/>
        <v>Exclude</v>
      </c>
    </row>
    <row r="122" spans="1:7" x14ac:dyDescent="0.4">
      <c r="A122" t="s">
        <v>468</v>
      </c>
      <c r="B122" t="s">
        <v>468</v>
      </c>
      <c r="C122" t="s">
        <v>469</v>
      </c>
      <c r="D122" t="s">
        <v>32</v>
      </c>
      <c r="E122" t="str">
        <f t="shared" si="2"/>
        <v>Include</v>
      </c>
      <c r="G122" t="str">
        <f t="shared" si="3"/>
        <v>Include</v>
      </c>
    </row>
    <row r="123" spans="1:7" x14ac:dyDescent="0.4">
      <c r="A123" t="s">
        <v>470</v>
      </c>
      <c r="B123" t="s">
        <v>471</v>
      </c>
      <c r="C123" t="s">
        <v>472</v>
      </c>
      <c r="D123" t="s">
        <v>34</v>
      </c>
      <c r="E123" t="str">
        <f t="shared" si="2"/>
        <v>Include</v>
      </c>
      <c r="G123" t="str">
        <f t="shared" si="3"/>
        <v>Include</v>
      </c>
    </row>
    <row r="124" spans="1:7" x14ac:dyDescent="0.4">
      <c r="A124" t="s">
        <v>473</v>
      </c>
      <c r="B124" t="s">
        <v>474</v>
      </c>
      <c r="C124" t="s">
        <v>475</v>
      </c>
      <c r="D124" t="s">
        <v>31</v>
      </c>
      <c r="E124" t="str">
        <f t="shared" si="2"/>
        <v>Include</v>
      </c>
      <c r="G124" t="str">
        <f t="shared" si="3"/>
        <v>Include</v>
      </c>
    </row>
    <row r="125" spans="1:7" x14ac:dyDescent="0.4">
      <c r="A125" t="s">
        <v>476</v>
      </c>
      <c r="B125" t="s">
        <v>477</v>
      </c>
      <c r="C125" t="s">
        <v>478</v>
      </c>
      <c r="D125" t="s">
        <v>20</v>
      </c>
      <c r="E125" t="str">
        <f t="shared" si="2"/>
        <v>Exclude</v>
      </c>
      <c r="G125" t="str">
        <f t="shared" si="3"/>
        <v>Exclude</v>
      </c>
    </row>
    <row r="126" spans="1:7" x14ac:dyDescent="0.4">
      <c r="A126" t="s">
        <v>479</v>
      </c>
      <c r="B126" t="s">
        <v>480</v>
      </c>
      <c r="C126" t="s">
        <v>481</v>
      </c>
      <c r="D126" t="s">
        <v>20</v>
      </c>
      <c r="E126" t="str">
        <f t="shared" si="2"/>
        <v>Exclude</v>
      </c>
      <c r="G126" t="str">
        <f t="shared" si="3"/>
        <v>Exclude</v>
      </c>
    </row>
    <row r="127" spans="1:7" x14ac:dyDescent="0.4">
      <c r="A127" s="11" t="s">
        <v>482</v>
      </c>
      <c r="B127" s="11" t="s">
        <v>483</v>
      </c>
      <c r="C127" s="11" t="s">
        <v>484</v>
      </c>
      <c r="D127" s="11" t="s">
        <v>20</v>
      </c>
      <c r="E127" t="str">
        <f t="shared" si="2"/>
        <v>Exclude</v>
      </c>
      <c r="F127" s="11" t="s">
        <v>868</v>
      </c>
      <c r="G127" t="str">
        <f t="shared" si="3"/>
        <v>Exclude</v>
      </c>
    </row>
    <row r="128" spans="1:7" x14ac:dyDescent="0.4">
      <c r="A128" s="11" t="s">
        <v>485</v>
      </c>
      <c r="B128" s="11" t="s">
        <v>486</v>
      </c>
      <c r="C128" s="11" t="s">
        <v>487</v>
      </c>
      <c r="D128" s="11" t="s">
        <v>20</v>
      </c>
      <c r="E128" t="str">
        <f t="shared" si="2"/>
        <v>Exclude</v>
      </c>
      <c r="F128" s="11" t="s">
        <v>868</v>
      </c>
      <c r="G128" t="str">
        <f t="shared" si="3"/>
        <v>Exclude</v>
      </c>
    </row>
    <row r="129" spans="1:7" x14ac:dyDescent="0.4">
      <c r="A129" t="s">
        <v>488</v>
      </c>
      <c r="B129" t="s">
        <v>489</v>
      </c>
      <c r="C129" t="s">
        <v>490</v>
      </c>
      <c r="D129" t="s">
        <v>20</v>
      </c>
      <c r="E129" t="str">
        <f t="shared" si="2"/>
        <v>Exclude</v>
      </c>
      <c r="G129" t="str">
        <f t="shared" si="3"/>
        <v>Exclude</v>
      </c>
    </row>
    <row r="130" spans="1:7" x14ac:dyDescent="0.4">
      <c r="A130" t="s">
        <v>491</v>
      </c>
      <c r="B130" t="s">
        <v>492</v>
      </c>
      <c r="C130" t="s">
        <v>493</v>
      </c>
      <c r="D130" t="s">
        <v>20</v>
      </c>
      <c r="E130" t="str">
        <f t="shared" si="2"/>
        <v>Exclude</v>
      </c>
      <c r="G130" t="str">
        <f t="shared" si="3"/>
        <v>Exclude</v>
      </c>
    </row>
    <row r="131" spans="1:7" x14ac:dyDescent="0.4">
      <c r="A131" t="s">
        <v>494</v>
      </c>
      <c r="B131" t="s">
        <v>495</v>
      </c>
      <c r="C131" t="s">
        <v>496</v>
      </c>
      <c r="D131" t="s">
        <v>20</v>
      </c>
      <c r="E131" t="str">
        <f t="shared" si="2"/>
        <v>Exclude</v>
      </c>
      <c r="G131" t="str">
        <f t="shared" si="3"/>
        <v>Exclude</v>
      </c>
    </row>
    <row r="132" spans="1:7" x14ac:dyDescent="0.4">
      <c r="A132" t="s">
        <v>497</v>
      </c>
      <c r="B132" t="s">
        <v>498</v>
      </c>
      <c r="C132" t="s">
        <v>499</v>
      </c>
      <c r="D132" t="s">
        <v>20</v>
      </c>
      <c r="E132" t="str">
        <f t="shared" si="2"/>
        <v>Exclude</v>
      </c>
      <c r="G132" t="str">
        <f t="shared" si="3"/>
        <v>Exclude</v>
      </c>
    </row>
    <row r="133" spans="1:7" x14ac:dyDescent="0.4">
      <c r="A133" t="s">
        <v>500</v>
      </c>
      <c r="B133" t="s">
        <v>501</v>
      </c>
      <c r="C133" t="s">
        <v>502</v>
      </c>
      <c r="D133" t="s">
        <v>20</v>
      </c>
      <c r="E133" t="str">
        <f t="shared" si="2"/>
        <v>Exclude</v>
      </c>
      <c r="G133" t="str">
        <f t="shared" si="3"/>
        <v>Exclude</v>
      </c>
    </row>
    <row r="134" spans="1:7" x14ac:dyDescent="0.4">
      <c r="A134" t="s">
        <v>503</v>
      </c>
      <c r="B134" t="s">
        <v>504</v>
      </c>
      <c r="C134" t="s">
        <v>505</v>
      </c>
      <c r="D134" t="s">
        <v>33</v>
      </c>
      <c r="E134" t="str">
        <f t="shared" ref="E134:E197" si="4">IF($A134="","",IF(COUNTIF(ExclList,$D134)&gt;0,"Exclude","Include"))</f>
        <v>Include</v>
      </c>
      <c r="G134" t="str">
        <f t="shared" si="3"/>
        <v>Include</v>
      </c>
    </row>
    <row r="135" spans="1:7" x14ac:dyDescent="0.4">
      <c r="A135" t="s">
        <v>506</v>
      </c>
      <c r="B135" t="s">
        <v>507</v>
      </c>
      <c r="C135" t="s">
        <v>508</v>
      </c>
      <c r="D135" t="s">
        <v>31</v>
      </c>
      <c r="E135" t="str">
        <f t="shared" si="4"/>
        <v>Include</v>
      </c>
      <c r="G135" t="str">
        <f t="shared" ref="G135:G198" si="5">IF($A135="","",IF($F135&lt;&gt;"",$F135,$E135))</f>
        <v>Include</v>
      </c>
    </row>
    <row r="136" spans="1:7" x14ac:dyDescent="0.4">
      <c r="A136" t="s">
        <v>509</v>
      </c>
      <c r="B136" t="s">
        <v>510</v>
      </c>
      <c r="C136" t="s">
        <v>511</v>
      </c>
      <c r="D136" t="s">
        <v>31</v>
      </c>
      <c r="E136" t="str">
        <f t="shared" si="4"/>
        <v>Include</v>
      </c>
      <c r="G136" t="str">
        <f t="shared" si="5"/>
        <v>Include</v>
      </c>
    </row>
    <row r="137" spans="1:7" x14ac:dyDescent="0.4">
      <c r="A137" t="s">
        <v>512</v>
      </c>
      <c r="B137" t="s">
        <v>513</v>
      </c>
      <c r="C137" t="s">
        <v>514</v>
      </c>
      <c r="D137" t="s">
        <v>20</v>
      </c>
      <c r="E137" t="str">
        <f t="shared" si="4"/>
        <v>Exclude</v>
      </c>
      <c r="G137" t="str">
        <f t="shared" si="5"/>
        <v>Exclude</v>
      </c>
    </row>
    <row r="138" spans="1:7" x14ac:dyDescent="0.4">
      <c r="A138" t="s">
        <v>515</v>
      </c>
      <c r="B138" t="s">
        <v>516</v>
      </c>
      <c r="C138" t="s">
        <v>517</v>
      </c>
      <c r="D138" t="s">
        <v>20</v>
      </c>
      <c r="E138" t="str">
        <f t="shared" si="4"/>
        <v>Exclude</v>
      </c>
      <c r="G138" t="str">
        <f t="shared" si="5"/>
        <v>Exclude</v>
      </c>
    </row>
    <row r="139" spans="1:7" x14ac:dyDescent="0.4">
      <c r="A139" s="12" t="s">
        <v>518</v>
      </c>
      <c r="B139" s="12" t="s">
        <v>519</v>
      </c>
      <c r="C139" s="12" t="s">
        <v>520</v>
      </c>
      <c r="D139" s="12" t="s">
        <v>20</v>
      </c>
      <c r="E139" t="str">
        <f t="shared" si="4"/>
        <v>Exclude</v>
      </c>
      <c r="F139" s="12" t="s">
        <v>868</v>
      </c>
      <c r="G139" t="str">
        <f t="shared" si="5"/>
        <v>Exclude</v>
      </c>
    </row>
    <row r="140" spans="1:7" x14ac:dyDescent="0.4">
      <c r="A140" t="s">
        <v>521</v>
      </c>
      <c r="B140" t="s">
        <v>522</v>
      </c>
      <c r="C140" t="s">
        <v>523</v>
      </c>
      <c r="D140" t="s">
        <v>32</v>
      </c>
      <c r="E140" t="str">
        <f t="shared" si="4"/>
        <v>Include</v>
      </c>
      <c r="G140" t="str">
        <f t="shared" si="5"/>
        <v>Include</v>
      </c>
    </row>
    <row r="141" spans="1:7" x14ac:dyDescent="0.4">
      <c r="A141" t="s">
        <v>524</v>
      </c>
      <c r="B141" t="s">
        <v>525</v>
      </c>
      <c r="C141" t="s">
        <v>526</v>
      </c>
      <c r="D141" t="s">
        <v>20</v>
      </c>
      <c r="E141" t="str">
        <f t="shared" si="4"/>
        <v>Exclude</v>
      </c>
      <c r="G141" t="str">
        <f t="shared" si="5"/>
        <v>Exclude</v>
      </c>
    </row>
    <row r="142" spans="1:7" x14ac:dyDescent="0.4">
      <c r="A142" t="s">
        <v>527</v>
      </c>
      <c r="B142" t="s">
        <v>528</v>
      </c>
      <c r="C142" t="s">
        <v>529</v>
      </c>
      <c r="D142" t="s">
        <v>20</v>
      </c>
      <c r="E142" t="str">
        <f t="shared" si="4"/>
        <v>Exclude</v>
      </c>
      <c r="G142" t="str">
        <f t="shared" si="5"/>
        <v>Exclude</v>
      </c>
    </row>
    <row r="143" spans="1:7" x14ac:dyDescent="0.4">
      <c r="A143" t="s">
        <v>530</v>
      </c>
      <c r="B143" t="s">
        <v>531</v>
      </c>
      <c r="C143" t="s">
        <v>532</v>
      </c>
      <c r="D143" t="s">
        <v>34</v>
      </c>
      <c r="E143" t="str">
        <f t="shared" si="4"/>
        <v>Include</v>
      </c>
      <c r="F143" t="s">
        <v>868</v>
      </c>
      <c r="G143" t="str">
        <f t="shared" si="5"/>
        <v>Exclude</v>
      </c>
    </row>
    <row r="144" spans="1:7" x14ac:dyDescent="0.4">
      <c r="A144" t="s">
        <v>533</v>
      </c>
      <c r="B144" t="s">
        <v>534</v>
      </c>
      <c r="C144" t="s">
        <v>535</v>
      </c>
      <c r="D144" t="s">
        <v>20</v>
      </c>
      <c r="E144" t="str">
        <f t="shared" si="4"/>
        <v>Exclude</v>
      </c>
      <c r="G144" t="str">
        <f t="shared" si="5"/>
        <v>Exclude</v>
      </c>
    </row>
    <row r="145" spans="1:7" x14ac:dyDescent="0.4">
      <c r="A145" t="s">
        <v>536</v>
      </c>
      <c r="B145" t="s">
        <v>537</v>
      </c>
      <c r="C145" t="s">
        <v>538</v>
      </c>
      <c r="D145" t="s">
        <v>31</v>
      </c>
      <c r="E145" t="str">
        <f t="shared" si="4"/>
        <v>Include</v>
      </c>
      <c r="G145" t="str">
        <f t="shared" si="5"/>
        <v>Include</v>
      </c>
    </row>
    <row r="146" spans="1:7" x14ac:dyDescent="0.4">
      <c r="A146" t="s">
        <v>539</v>
      </c>
      <c r="B146" t="s">
        <v>540</v>
      </c>
      <c r="C146" t="s">
        <v>541</v>
      </c>
      <c r="D146" t="s">
        <v>32</v>
      </c>
      <c r="E146" t="str">
        <f t="shared" si="4"/>
        <v>Include</v>
      </c>
      <c r="G146" t="str">
        <f t="shared" si="5"/>
        <v>Include</v>
      </c>
    </row>
    <row r="147" spans="1:7" x14ac:dyDescent="0.4">
      <c r="A147" t="s">
        <v>542</v>
      </c>
      <c r="B147" t="s">
        <v>543</v>
      </c>
      <c r="C147" t="s">
        <v>544</v>
      </c>
      <c r="D147" t="s">
        <v>31</v>
      </c>
      <c r="E147" t="str">
        <f t="shared" si="4"/>
        <v>Include</v>
      </c>
      <c r="G147" t="str">
        <f t="shared" si="5"/>
        <v>Include</v>
      </c>
    </row>
    <row r="148" spans="1:7" x14ac:dyDescent="0.4">
      <c r="A148" t="s">
        <v>545</v>
      </c>
      <c r="B148" t="s">
        <v>546</v>
      </c>
      <c r="C148" t="s">
        <v>547</v>
      </c>
      <c r="D148" t="s">
        <v>20</v>
      </c>
      <c r="E148" t="str">
        <f t="shared" si="4"/>
        <v>Exclude</v>
      </c>
      <c r="G148" t="str">
        <f t="shared" si="5"/>
        <v>Exclude</v>
      </c>
    </row>
    <row r="149" spans="1:7" x14ac:dyDescent="0.4">
      <c r="A149" t="s">
        <v>548</v>
      </c>
      <c r="B149" t="s">
        <v>549</v>
      </c>
      <c r="C149" t="s">
        <v>550</v>
      </c>
      <c r="D149" t="s">
        <v>31</v>
      </c>
      <c r="E149" t="str">
        <f t="shared" si="4"/>
        <v>Include</v>
      </c>
      <c r="G149" t="str">
        <f t="shared" si="5"/>
        <v>Include</v>
      </c>
    </row>
    <row r="150" spans="1:7" x14ac:dyDescent="0.4">
      <c r="A150" t="s">
        <v>551</v>
      </c>
      <c r="B150" t="s">
        <v>552</v>
      </c>
      <c r="C150" t="s">
        <v>553</v>
      </c>
      <c r="D150" t="s">
        <v>20</v>
      </c>
      <c r="E150" t="str">
        <f t="shared" si="4"/>
        <v>Exclude</v>
      </c>
      <c r="G150" t="str">
        <f t="shared" si="5"/>
        <v>Exclude</v>
      </c>
    </row>
    <row r="151" spans="1:7" x14ac:dyDescent="0.4">
      <c r="A151" t="s">
        <v>554</v>
      </c>
      <c r="B151" t="s">
        <v>555</v>
      </c>
      <c r="C151" t="s">
        <v>556</v>
      </c>
      <c r="D151" t="s">
        <v>32</v>
      </c>
      <c r="E151" t="str">
        <f t="shared" si="4"/>
        <v>Include</v>
      </c>
      <c r="G151" t="str">
        <f t="shared" si="5"/>
        <v>Include</v>
      </c>
    </row>
    <row r="152" spans="1:7" x14ac:dyDescent="0.4">
      <c r="A152" t="s">
        <v>557</v>
      </c>
      <c r="B152" t="s">
        <v>558</v>
      </c>
      <c r="C152" t="s">
        <v>559</v>
      </c>
      <c r="D152" t="s">
        <v>32</v>
      </c>
      <c r="E152" t="str">
        <f t="shared" si="4"/>
        <v>Include</v>
      </c>
      <c r="G152" t="str">
        <f t="shared" si="5"/>
        <v>Include</v>
      </c>
    </row>
    <row r="153" spans="1:7" x14ac:dyDescent="0.4">
      <c r="A153" t="s">
        <v>560</v>
      </c>
      <c r="B153" t="s">
        <v>561</v>
      </c>
      <c r="C153" t="s">
        <v>562</v>
      </c>
      <c r="D153" t="s">
        <v>31</v>
      </c>
      <c r="E153" t="str">
        <f t="shared" si="4"/>
        <v>Include</v>
      </c>
      <c r="G153" t="str">
        <f t="shared" si="5"/>
        <v>Include</v>
      </c>
    </row>
    <row r="154" spans="1:7" x14ac:dyDescent="0.4">
      <c r="A154" t="s">
        <v>563</v>
      </c>
      <c r="B154" t="s">
        <v>564</v>
      </c>
      <c r="C154" t="s">
        <v>565</v>
      </c>
      <c r="D154" t="s">
        <v>31</v>
      </c>
      <c r="E154" t="str">
        <f t="shared" si="4"/>
        <v>Include</v>
      </c>
      <c r="G154" t="str">
        <f t="shared" si="5"/>
        <v>Include</v>
      </c>
    </row>
    <row r="155" spans="1:7" x14ac:dyDescent="0.4">
      <c r="A155" t="s">
        <v>566</v>
      </c>
      <c r="B155" t="s">
        <v>567</v>
      </c>
      <c r="C155" t="s">
        <v>568</v>
      </c>
      <c r="D155" t="s">
        <v>20</v>
      </c>
      <c r="E155" t="str">
        <f t="shared" si="4"/>
        <v>Exclude</v>
      </c>
      <c r="G155" t="str">
        <f t="shared" si="5"/>
        <v>Exclude</v>
      </c>
    </row>
    <row r="156" spans="1:7" x14ac:dyDescent="0.4">
      <c r="A156" t="s">
        <v>569</v>
      </c>
      <c r="B156" t="s">
        <v>570</v>
      </c>
      <c r="C156" t="s">
        <v>571</v>
      </c>
      <c r="D156" t="s">
        <v>20</v>
      </c>
      <c r="E156" t="str">
        <f t="shared" si="4"/>
        <v>Exclude</v>
      </c>
      <c r="G156" t="str">
        <f t="shared" si="5"/>
        <v>Exclude</v>
      </c>
    </row>
    <row r="157" spans="1:7" x14ac:dyDescent="0.4">
      <c r="A157" t="s">
        <v>572</v>
      </c>
      <c r="B157" t="s">
        <v>573</v>
      </c>
      <c r="C157" t="s">
        <v>574</v>
      </c>
      <c r="D157" t="s">
        <v>33</v>
      </c>
      <c r="E157" t="str">
        <f t="shared" si="4"/>
        <v>Include</v>
      </c>
      <c r="G157" t="str">
        <f t="shared" si="5"/>
        <v>Include</v>
      </c>
    </row>
    <row r="158" spans="1:7" x14ac:dyDescent="0.4">
      <c r="A158" t="s">
        <v>575</v>
      </c>
      <c r="B158" t="s">
        <v>576</v>
      </c>
      <c r="C158" t="s">
        <v>577</v>
      </c>
      <c r="D158" t="s">
        <v>20</v>
      </c>
      <c r="E158" t="str">
        <f t="shared" si="4"/>
        <v>Exclude</v>
      </c>
      <c r="G158" t="str">
        <f t="shared" si="5"/>
        <v>Exclude</v>
      </c>
    </row>
    <row r="159" spans="1:7" x14ac:dyDescent="0.4">
      <c r="A159" t="s">
        <v>578</v>
      </c>
      <c r="B159" t="s">
        <v>579</v>
      </c>
      <c r="C159" t="s">
        <v>580</v>
      </c>
      <c r="D159" t="s">
        <v>20</v>
      </c>
      <c r="E159" t="str">
        <f t="shared" si="4"/>
        <v>Exclude</v>
      </c>
      <c r="G159" t="str">
        <f t="shared" si="5"/>
        <v>Exclude</v>
      </c>
    </row>
    <row r="160" spans="1:7" x14ac:dyDescent="0.4">
      <c r="A160" t="s">
        <v>581</v>
      </c>
      <c r="B160" t="s">
        <v>582</v>
      </c>
      <c r="C160" t="s">
        <v>583</v>
      </c>
      <c r="D160" t="s">
        <v>20</v>
      </c>
      <c r="E160" t="str">
        <f t="shared" si="4"/>
        <v>Exclude</v>
      </c>
      <c r="G160" t="str">
        <f t="shared" si="5"/>
        <v>Exclude</v>
      </c>
    </row>
    <row r="161" spans="1:7" x14ac:dyDescent="0.4">
      <c r="A161" t="s">
        <v>584</v>
      </c>
      <c r="B161" t="s">
        <v>585</v>
      </c>
      <c r="C161" t="s">
        <v>586</v>
      </c>
      <c r="D161" t="s">
        <v>20</v>
      </c>
      <c r="E161" t="str">
        <f t="shared" si="4"/>
        <v>Exclude</v>
      </c>
      <c r="G161" t="str">
        <f t="shared" si="5"/>
        <v>Exclude</v>
      </c>
    </row>
    <row r="162" spans="1:7" x14ac:dyDescent="0.4">
      <c r="A162" t="s">
        <v>587</v>
      </c>
      <c r="B162" t="s">
        <v>588</v>
      </c>
      <c r="C162" t="s">
        <v>589</v>
      </c>
      <c r="D162" t="s">
        <v>20</v>
      </c>
      <c r="E162" t="str">
        <f t="shared" si="4"/>
        <v>Exclude</v>
      </c>
      <c r="G162" t="str">
        <f t="shared" si="5"/>
        <v>Exclude</v>
      </c>
    </row>
    <row r="163" spans="1:7" x14ac:dyDescent="0.4">
      <c r="A163" t="s">
        <v>590</v>
      </c>
      <c r="B163" t="s">
        <v>591</v>
      </c>
      <c r="C163" t="s">
        <v>592</v>
      </c>
      <c r="D163" t="s">
        <v>133</v>
      </c>
      <c r="E163" t="str">
        <f t="shared" si="4"/>
        <v>Include</v>
      </c>
      <c r="G163" t="str">
        <f t="shared" si="5"/>
        <v>Include</v>
      </c>
    </row>
    <row r="164" spans="1:7" x14ac:dyDescent="0.4">
      <c r="A164" t="s">
        <v>593</v>
      </c>
      <c r="B164" t="s">
        <v>594</v>
      </c>
      <c r="C164" t="s">
        <v>595</v>
      </c>
      <c r="D164" t="s">
        <v>20</v>
      </c>
      <c r="E164" t="str">
        <f t="shared" si="4"/>
        <v>Exclude</v>
      </c>
      <c r="G164" t="str">
        <f t="shared" si="5"/>
        <v>Exclude</v>
      </c>
    </row>
    <row r="165" spans="1:7" x14ac:dyDescent="0.4">
      <c r="A165" t="s">
        <v>596</v>
      </c>
      <c r="B165" t="s">
        <v>597</v>
      </c>
      <c r="C165" t="s">
        <v>598</v>
      </c>
      <c r="D165" t="s">
        <v>278</v>
      </c>
      <c r="E165" t="str">
        <f t="shared" si="4"/>
        <v>Include</v>
      </c>
      <c r="G165" t="str">
        <f t="shared" si="5"/>
        <v>Include</v>
      </c>
    </row>
    <row r="166" spans="1:7" x14ac:dyDescent="0.4">
      <c r="A166" t="s">
        <v>599</v>
      </c>
      <c r="B166" t="s">
        <v>600</v>
      </c>
      <c r="C166" t="s">
        <v>601</v>
      </c>
      <c r="D166" t="s">
        <v>31</v>
      </c>
      <c r="E166" t="str">
        <f t="shared" si="4"/>
        <v>Include</v>
      </c>
      <c r="G166" t="str">
        <f t="shared" si="5"/>
        <v>Include</v>
      </c>
    </row>
    <row r="167" spans="1:7" x14ac:dyDescent="0.4">
      <c r="A167" t="s">
        <v>602</v>
      </c>
      <c r="B167" t="s">
        <v>603</v>
      </c>
      <c r="C167" t="s">
        <v>604</v>
      </c>
      <c r="D167" t="s">
        <v>278</v>
      </c>
      <c r="E167" t="str">
        <f t="shared" si="4"/>
        <v>Include</v>
      </c>
      <c r="G167" t="str">
        <f t="shared" si="5"/>
        <v>Include</v>
      </c>
    </row>
    <row r="168" spans="1:7" x14ac:dyDescent="0.4">
      <c r="A168" t="s">
        <v>605</v>
      </c>
      <c r="B168" t="s">
        <v>606</v>
      </c>
      <c r="C168" t="s">
        <v>607</v>
      </c>
      <c r="D168" t="s">
        <v>20</v>
      </c>
      <c r="E168" t="str">
        <f t="shared" si="4"/>
        <v>Exclude</v>
      </c>
      <c r="G168" t="str">
        <f t="shared" si="5"/>
        <v>Exclude</v>
      </c>
    </row>
    <row r="169" spans="1:7" x14ac:dyDescent="0.4">
      <c r="A169" t="s">
        <v>608</v>
      </c>
      <c r="B169" t="s">
        <v>609</v>
      </c>
      <c r="C169" t="s">
        <v>610</v>
      </c>
      <c r="D169" t="s">
        <v>34</v>
      </c>
      <c r="E169" t="str">
        <f t="shared" si="4"/>
        <v>Include</v>
      </c>
      <c r="G169" t="str">
        <f t="shared" si="5"/>
        <v>Include</v>
      </c>
    </row>
    <row r="170" spans="1:7" x14ac:dyDescent="0.4">
      <c r="A170" t="s">
        <v>611</v>
      </c>
      <c r="B170" t="s">
        <v>612</v>
      </c>
      <c r="C170" t="s">
        <v>613</v>
      </c>
      <c r="D170" t="s">
        <v>20</v>
      </c>
      <c r="E170" t="str">
        <f t="shared" si="4"/>
        <v>Exclude</v>
      </c>
      <c r="G170" t="str">
        <f t="shared" si="5"/>
        <v>Exclude</v>
      </c>
    </row>
    <row r="171" spans="1:7" x14ac:dyDescent="0.4">
      <c r="A171" t="s">
        <v>614</v>
      </c>
      <c r="B171" t="s">
        <v>615</v>
      </c>
      <c r="C171" t="s">
        <v>616</v>
      </c>
      <c r="D171" t="s">
        <v>20</v>
      </c>
      <c r="E171" t="str">
        <f t="shared" si="4"/>
        <v>Exclude</v>
      </c>
      <c r="G171" t="str">
        <f t="shared" si="5"/>
        <v>Exclude</v>
      </c>
    </row>
    <row r="172" spans="1:7" x14ac:dyDescent="0.4">
      <c r="A172" t="s">
        <v>617</v>
      </c>
      <c r="B172" t="s">
        <v>618</v>
      </c>
      <c r="C172" t="s">
        <v>619</v>
      </c>
      <c r="D172" t="s">
        <v>20</v>
      </c>
      <c r="E172" t="str">
        <f t="shared" si="4"/>
        <v>Exclude</v>
      </c>
      <c r="G172" t="str">
        <f t="shared" si="5"/>
        <v>Exclude</v>
      </c>
    </row>
    <row r="173" spans="1:7" x14ac:dyDescent="0.4">
      <c r="A173" t="s">
        <v>620</v>
      </c>
      <c r="B173" t="s">
        <v>621</v>
      </c>
      <c r="C173" t="s">
        <v>622</v>
      </c>
      <c r="D173" t="s">
        <v>20</v>
      </c>
      <c r="E173" t="str">
        <f t="shared" si="4"/>
        <v>Exclude</v>
      </c>
      <c r="G173" t="str">
        <f t="shared" si="5"/>
        <v>Exclude</v>
      </c>
    </row>
    <row r="174" spans="1:7" x14ac:dyDescent="0.4">
      <c r="A174" t="s">
        <v>623</v>
      </c>
      <c r="B174" t="s">
        <v>624</v>
      </c>
      <c r="C174" t="s">
        <v>625</v>
      </c>
      <c r="D174" t="s">
        <v>20</v>
      </c>
      <c r="E174" t="str">
        <f t="shared" si="4"/>
        <v>Exclude</v>
      </c>
      <c r="G174" t="str">
        <f t="shared" si="5"/>
        <v>Exclude</v>
      </c>
    </row>
    <row r="175" spans="1:7" x14ac:dyDescent="0.4">
      <c r="A175" t="s">
        <v>626</v>
      </c>
      <c r="B175" t="s">
        <v>627</v>
      </c>
      <c r="C175" t="s">
        <v>628</v>
      </c>
      <c r="D175" t="s">
        <v>291</v>
      </c>
      <c r="E175" t="str">
        <f t="shared" si="4"/>
        <v>Include</v>
      </c>
      <c r="G175" t="str">
        <f t="shared" si="5"/>
        <v>Include</v>
      </c>
    </row>
    <row r="176" spans="1:7" x14ac:dyDescent="0.4">
      <c r="A176" t="s">
        <v>629</v>
      </c>
      <c r="B176" t="s">
        <v>630</v>
      </c>
      <c r="C176" t="s">
        <v>631</v>
      </c>
      <c r="D176" t="s">
        <v>32</v>
      </c>
      <c r="E176" t="str">
        <f t="shared" si="4"/>
        <v>Include</v>
      </c>
      <c r="G176" t="str">
        <f t="shared" si="5"/>
        <v>Include</v>
      </c>
    </row>
    <row r="177" spans="1:7" x14ac:dyDescent="0.4">
      <c r="A177" t="s">
        <v>632</v>
      </c>
      <c r="B177" t="s">
        <v>633</v>
      </c>
      <c r="C177" t="s">
        <v>634</v>
      </c>
      <c r="D177" t="s">
        <v>20</v>
      </c>
      <c r="E177" t="str">
        <f t="shared" si="4"/>
        <v>Exclude</v>
      </c>
      <c r="G177" t="str">
        <f t="shared" si="5"/>
        <v>Exclude</v>
      </c>
    </row>
    <row r="178" spans="1:7" x14ac:dyDescent="0.4">
      <c r="A178" t="s">
        <v>635</v>
      </c>
      <c r="B178" t="s">
        <v>636</v>
      </c>
      <c r="C178" t="s">
        <v>637</v>
      </c>
      <c r="D178" t="s">
        <v>32</v>
      </c>
      <c r="E178" t="str">
        <f t="shared" si="4"/>
        <v>Include</v>
      </c>
      <c r="G178" t="str">
        <f t="shared" si="5"/>
        <v>Include</v>
      </c>
    </row>
    <row r="179" spans="1:7" x14ac:dyDescent="0.4">
      <c r="A179" s="12" t="s">
        <v>638</v>
      </c>
      <c r="B179" s="12" t="s">
        <v>639</v>
      </c>
      <c r="C179" s="12" t="s">
        <v>640</v>
      </c>
      <c r="D179" s="12" t="s">
        <v>32</v>
      </c>
      <c r="E179" t="str">
        <f t="shared" si="4"/>
        <v>Include</v>
      </c>
      <c r="F179" s="12" t="s">
        <v>868</v>
      </c>
      <c r="G179" t="str">
        <f t="shared" si="5"/>
        <v>Exclude</v>
      </c>
    </row>
    <row r="180" spans="1:7" x14ac:dyDescent="0.4">
      <c r="A180" t="s">
        <v>641</v>
      </c>
      <c r="B180" t="s">
        <v>642</v>
      </c>
      <c r="C180" t="s">
        <v>643</v>
      </c>
      <c r="D180" t="s">
        <v>20</v>
      </c>
      <c r="E180" t="str">
        <f t="shared" si="4"/>
        <v>Exclude</v>
      </c>
      <c r="G180" t="str">
        <f t="shared" si="5"/>
        <v>Exclude</v>
      </c>
    </row>
    <row r="181" spans="1:7" x14ac:dyDescent="0.4">
      <c r="A181" t="s">
        <v>644</v>
      </c>
      <c r="B181" t="s">
        <v>645</v>
      </c>
      <c r="C181" t="s">
        <v>646</v>
      </c>
      <c r="D181" t="s">
        <v>20</v>
      </c>
      <c r="E181" t="str">
        <f t="shared" si="4"/>
        <v>Exclude</v>
      </c>
      <c r="G181" t="str">
        <f t="shared" si="5"/>
        <v>Exclude</v>
      </c>
    </row>
    <row r="182" spans="1:7" x14ac:dyDescent="0.4">
      <c r="A182" t="s">
        <v>647</v>
      </c>
      <c r="B182" t="s">
        <v>648</v>
      </c>
      <c r="C182" t="s">
        <v>649</v>
      </c>
      <c r="D182" t="s">
        <v>20</v>
      </c>
      <c r="E182" t="str">
        <f t="shared" si="4"/>
        <v>Exclude</v>
      </c>
      <c r="G182" t="str">
        <f t="shared" si="5"/>
        <v>Exclude</v>
      </c>
    </row>
    <row r="183" spans="1:7" x14ac:dyDescent="0.4">
      <c r="A183" t="s">
        <v>650</v>
      </c>
      <c r="B183" t="s">
        <v>651</v>
      </c>
      <c r="C183" t="s">
        <v>652</v>
      </c>
      <c r="D183" t="s">
        <v>32</v>
      </c>
      <c r="E183" t="str">
        <f t="shared" si="4"/>
        <v>Include</v>
      </c>
      <c r="G183" t="str">
        <f t="shared" si="5"/>
        <v>Include</v>
      </c>
    </row>
    <row r="184" spans="1:7" x14ac:dyDescent="0.4">
      <c r="A184" t="s">
        <v>653</v>
      </c>
      <c r="B184" t="s">
        <v>654</v>
      </c>
      <c r="C184" t="s">
        <v>655</v>
      </c>
      <c r="D184" t="s">
        <v>133</v>
      </c>
      <c r="E184" t="str">
        <f t="shared" si="4"/>
        <v>Include</v>
      </c>
      <c r="G184" t="str">
        <f t="shared" si="5"/>
        <v>Include</v>
      </c>
    </row>
    <row r="185" spans="1:7" x14ac:dyDescent="0.4">
      <c r="A185" t="s">
        <v>656</v>
      </c>
      <c r="B185" t="s">
        <v>657</v>
      </c>
      <c r="C185" t="s">
        <v>658</v>
      </c>
      <c r="D185" t="s">
        <v>21</v>
      </c>
      <c r="E185" t="str">
        <f t="shared" si="4"/>
        <v>Exclude</v>
      </c>
      <c r="G185" t="str">
        <f t="shared" si="5"/>
        <v>Exclude</v>
      </c>
    </row>
    <row r="186" spans="1:7" x14ac:dyDescent="0.4">
      <c r="A186" t="s">
        <v>659</v>
      </c>
      <c r="B186" t="s">
        <v>660</v>
      </c>
      <c r="C186" t="s">
        <v>661</v>
      </c>
      <c r="D186" t="s">
        <v>133</v>
      </c>
      <c r="E186" t="str">
        <f t="shared" si="4"/>
        <v>Include</v>
      </c>
      <c r="G186" t="str">
        <f t="shared" si="5"/>
        <v>Include</v>
      </c>
    </row>
    <row r="187" spans="1:7" x14ac:dyDescent="0.4">
      <c r="A187" t="s">
        <v>662</v>
      </c>
      <c r="B187" t="s">
        <v>663</v>
      </c>
      <c r="C187" t="s">
        <v>664</v>
      </c>
      <c r="D187" t="s">
        <v>31</v>
      </c>
      <c r="E187" t="str">
        <f t="shared" si="4"/>
        <v>Include</v>
      </c>
      <c r="G187" t="str">
        <f t="shared" si="5"/>
        <v>Include</v>
      </c>
    </row>
    <row r="188" spans="1:7" x14ac:dyDescent="0.4">
      <c r="A188" t="s">
        <v>665</v>
      </c>
      <c r="B188" t="s">
        <v>666</v>
      </c>
      <c r="C188" t="s">
        <v>667</v>
      </c>
      <c r="D188" t="s">
        <v>20</v>
      </c>
      <c r="E188" t="str">
        <f t="shared" si="4"/>
        <v>Exclude</v>
      </c>
      <c r="G188" t="str">
        <f t="shared" si="5"/>
        <v>Exclude</v>
      </c>
    </row>
    <row r="189" spans="1:7" x14ac:dyDescent="0.4">
      <c r="A189" t="s">
        <v>668</v>
      </c>
      <c r="B189" t="s">
        <v>669</v>
      </c>
      <c r="C189" t="s">
        <v>670</v>
      </c>
      <c r="D189" t="s">
        <v>32</v>
      </c>
      <c r="E189" t="str">
        <f t="shared" si="4"/>
        <v>Include</v>
      </c>
      <c r="G189" t="str">
        <f t="shared" si="5"/>
        <v>Include</v>
      </c>
    </row>
    <row r="190" spans="1:7" x14ac:dyDescent="0.4">
      <c r="A190" t="s">
        <v>671</v>
      </c>
      <c r="B190" t="s">
        <v>672</v>
      </c>
      <c r="C190" t="s">
        <v>673</v>
      </c>
      <c r="D190" t="s">
        <v>33</v>
      </c>
      <c r="E190" t="str">
        <f t="shared" si="4"/>
        <v>Include</v>
      </c>
      <c r="G190" t="str">
        <f t="shared" si="5"/>
        <v>Include</v>
      </c>
    </row>
    <row r="191" spans="1:7" x14ac:dyDescent="0.4">
      <c r="A191" t="s">
        <v>674</v>
      </c>
      <c r="B191" t="s">
        <v>675</v>
      </c>
      <c r="C191" t="s">
        <v>676</v>
      </c>
      <c r="D191" t="s">
        <v>20</v>
      </c>
      <c r="E191" t="str">
        <f t="shared" si="4"/>
        <v>Exclude</v>
      </c>
      <c r="G191" t="str">
        <f t="shared" si="5"/>
        <v>Exclude</v>
      </c>
    </row>
    <row r="192" spans="1:7" x14ac:dyDescent="0.4">
      <c r="A192" t="s">
        <v>677</v>
      </c>
      <c r="B192" t="s">
        <v>678</v>
      </c>
      <c r="C192" t="s">
        <v>679</v>
      </c>
      <c r="D192" t="s">
        <v>31</v>
      </c>
      <c r="E192" t="str">
        <f t="shared" si="4"/>
        <v>Include</v>
      </c>
      <c r="G192" t="str">
        <f t="shared" si="5"/>
        <v>Include</v>
      </c>
    </row>
    <row r="193" spans="1:7" x14ac:dyDescent="0.4">
      <c r="A193" t="s">
        <v>680</v>
      </c>
      <c r="B193" t="s">
        <v>681</v>
      </c>
      <c r="C193" t="s">
        <v>682</v>
      </c>
      <c r="D193" t="s">
        <v>31</v>
      </c>
      <c r="E193" t="str">
        <f t="shared" si="4"/>
        <v>Include</v>
      </c>
      <c r="G193" t="str">
        <f t="shared" si="5"/>
        <v>Include</v>
      </c>
    </row>
    <row r="194" spans="1:7" x14ac:dyDescent="0.4">
      <c r="A194" t="s">
        <v>683</v>
      </c>
      <c r="B194" t="s">
        <v>684</v>
      </c>
      <c r="C194" t="s">
        <v>685</v>
      </c>
      <c r="D194" t="s">
        <v>32</v>
      </c>
      <c r="E194" t="str">
        <f t="shared" si="4"/>
        <v>Include</v>
      </c>
      <c r="G194" t="str">
        <f t="shared" si="5"/>
        <v>Include</v>
      </c>
    </row>
    <row r="195" spans="1:7" x14ac:dyDescent="0.4">
      <c r="A195" t="s">
        <v>686</v>
      </c>
      <c r="B195" t="s">
        <v>687</v>
      </c>
      <c r="C195" t="s">
        <v>688</v>
      </c>
      <c r="D195" t="s">
        <v>20</v>
      </c>
      <c r="E195" t="str">
        <f t="shared" si="4"/>
        <v>Exclude</v>
      </c>
      <c r="G195" t="str">
        <f t="shared" si="5"/>
        <v>Exclude</v>
      </c>
    </row>
    <row r="196" spans="1:7" x14ac:dyDescent="0.4">
      <c r="A196" t="s">
        <v>689</v>
      </c>
      <c r="B196" t="s">
        <v>690</v>
      </c>
      <c r="C196" t="s">
        <v>691</v>
      </c>
      <c r="D196" t="s">
        <v>31</v>
      </c>
      <c r="E196" t="str">
        <f t="shared" si="4"/>
        <v>Include</v>
      </c>
      <c r="G196" t="str">
        <f t="shared" si="5"/>
        <v>Include</v>
      </c>
    </row>
    <row r="197" spans="1:7" x14ac:dyDescent="0.4">
      <c r="A197" t="s">
        <v>692</v>
      </c>
      <c r="B197" t="s">
        <v>693</v>
      </c>
      <c r="C197" t="s">
        <v>694</v>
      </c>
      <c r="D197" t="s">
        <v>31</v>
      </c>
      <c r="E197" t="str">
        <f t="shared" si="4"/>
        <v>Include</v>
      </c>
      <c r="G197" t="str">
        <f t="shared" si="5"/>
        <v>Include</v>
      </c>
    </row>
    <row r="198" spans="1:7" x14ac:dyDescent="0.4">
      <c r="A198" t="s">
        <v>695</v>
      </c>
      <c r="B198" t="s">
        <v>696</v>
      </c>
      <c r="C198" t="s">
        <v>697</v>
      </c>
      <c r="D198" t="s">
        <v>31</v>
      </c>
      <c r="E198" t="str">
        <f t="shared" ref="E198:E261" si="6">IF($A198="","",IF(COUNTIF(ExclList,$D198)&gt;0,"Exclude","Include"))</f>
        <v>Include</v>
      </c>
      <c r="G198" t="str">
        <f t="shared" si="5"/>
        <v>Include</v>
      </c>
    </row>
    <row r="199" spans="1:7" x14ac:dyDescent="0.4">
      <c r="A199" t="s">
        <v>698</v>
      </c>
      <c r="B199" t="s">
        <v>699</v>
      </c>
      <c r="C199" t="s">
        <v>700</v>
      </c>
      <c r="D199" t="s">
        <v>20</v>
      </c>
      <c r="E199" t="str">
        <f t="shared" si="6"/>
        <v>Exclude</v>
      </c>
      <c r="G199" t="str">
        <f t="shared" ref="G199:G262" si="7">IF($A199="","",IF($F199&lt;&gt;"",$F199,$E199))</f>
        <v>Exclude</v>
      </c>
    </row>
    <row r="200" spans="1:7" x14ac:dyDescent="0.4">
      <c r="A200" t="s">
        <v>701</v>
      </c>
      <c r="B200" t="s">
        <v>702</v>
      </c>
      <c r="C200" t="s">
        <v>703</v>
      </c>
      <c r="D200" t="s">
        <v>20</v>
      </c>
      <c r="E200" t="str">
        <f t="shared" si="6"/>
        <v>Exclude</v>
      </c>
      <c r="G200" t="str">
        <f t="shared" si="7"/>
        <v>Exclude</v>
      </c>
    </row>
    <row r="201" spans="1:7" x14ac:dyDescent="0.4">
      <c r="A201" t="s">
        <v>704</v>
      </c>
      <c r="B201" t="s">
        <v>705</v>
      </c>
      <c r="C201" t="s">
        <v>706</v>
      </c>
      <c r="D201" t="s">
        <v>21</v>
      </c>
      <c r="E201" t="str">
        <f t="shared" si="6"/>
        <v>Exclude</v>
      </c>
      <c r="G201" t="str">
        <f t="shared" si="7"/>
        <v>Exclude</v>
      </c>
    </row>
    <row r="202" spans="1:7" x14ac:dyDescent="0.4">
      <c r="A202" t="s">
        <v>707</v>
      </c>
      <c r="B202" t="s">
        <v>708</v>
      </c>
      <c r="C202" t="s">
        <v>709</v>
      </c>
      <c r="D202" t="s">
        <v>32</v>
      </c>
      <c r="E202" t="str">
        <f t="shared" si="6"/>
        <v>Include</v>
      </c>
      <c r="G202" t="str">
        <f t="shared" si="7"/>
        <v>Include</v>
      </c>
    </row>
    <row r="203" spans="1:7" x14ac:dyDescent="0.4">
      <c r="A203" s="12" t="s">
        <v>710</v>
      </c>
      <c r="B203" s="12" t="s">
        <v>711</v>
      </c>
      <c r="C203" s="12" t="s">
        <v>712</v>
      </c>
      <c r="D203" s="12" t="s">
        <v>21</v>
      </c>
      <c r="E203" t="str">
        <f t="shared" si="6"/>
        <v>Exclude</v>
      </c>
      <c r="F203" s="12" t="s">
        <v>868</v>
      </c>
      <c r="G203" t="str">
        <f t="shared" si="7"/>
        <v>Exclude</v>
      </c>
    </row>
    <row r="204" spans="1:7" x14ac:dyDescent="0.4">
      <c r="A204" t="s">
        <v>713</v>
      </c>
      <c r="B204" t="s">
        <v>714</v>
      </c>
      <c r="C204" t="s">
        <v>715</v>
      </c>
      <c r="D204" t="s">
        <v>20</v>
      </c>
      <c r="E204" t="str">
        <f t="shared" si="6"/>
        <v>Exclude</v>
      </c>
      <c r="G204" t="str">
        <f t="shared" si="7"/>
        <v>Exclude</v>
      </c>
    </row>
    <row r="205" spans="1:7" x14ac:dyDescent="0.4">
      <c r="A205" t="s">
        <v>716</v>
      </c>
      <c r="B205" t="s">
        <v>717</v>
      </c>
      <c r="C205" t="s">
        <v>718</v>
      </c>
      <c r="D205" t="s">
        <v>20</v>
      </c>
      <c r="E205" t="str">
        <f t="shared" si="6"/>
        <v>Exclude</v>
      </c>
      <c r="G205" t="str">
        <f t="shared" si="7"/>
        <v>Exclude</v>
      </c>
    </row>
    <row r="206" spans="1:7" x14ac:dyDescent="0.4">
      <c r="A206" t="s">
        <v>719</v>
      </c>
      <c r="B206" t="s">
        <v>720</v>
      </c>
      <c r="C206" t="s">
        <v>721</v>
      </c>
      <c r="D206" t="s">
        <v>20</v>
      </c>
      <c r="E206" t="str">
        <f t="shared" si="6"/>
        <v>Exclude</v>
      </c>
      <c r="G206" t="str">
        <f t="shared" si="7"/>
        <v>Exclude</v>
      </c>
    </row>
    <row r="207" spans="1:7" x14ac:dyDescent="0.4">
      <c r="A207" t="s">
        <v>722</v>
      </c>
      <c r="B207" t="s">
        <v>723</v>
      </c>
      <c r="C207" t="s">
        <v>724</v>
      </c>
      <c r="D207" t="s">
        <v>20</v>
      </c>
      <c r="E207" t="str">
        <f t="shared" si="6"/>
        <v>Exclude</v>
      </c>
      <c r="G207" t="str">
        <f t="shared" si="7"/>
        <v>Exclude</v>
      </c>
    </row>
    <row r="208" spans="1:7" x14ac:dyDescent="0.4">
      <c r="A208" t="s">
        <v>725</v>
      </c>
      <c r="B208" t="s">
        <v>726</v>
      </c>
      <c r="C208" t="s">
        <v>727</v>
      </c>
      <c r="D208" t="s">
        <v>20</v>
      </c>
      <c r="E208" t="str">
        <f t="shared" si="6"/>
        <v>Exclude</v>
      </c>
      <c r="G208" t="str">
        <f t="shared" si="7"/>
        <v>Exclude</v>
      </c>
    </row>
    <row r="209" spans="1:7" x14ac:dyDescent="0.4">
      <c r="A209" s="12" t="s">
        <v>728</v>
      </c>
      <c r="B209" s="12" t="s">
        <v>729</v>
      </c>
      <c r="C209" s="12" t="s">
        <v>730</v>
      </c>
      <c r="D209" s="12" t="s">
        <v>20</v>
      </c>
      <c r="E209" t="str">
        <f t="shared" si="6"/>
        <v>Exclude</v>
      </c>
      <c r="F209" s="12" t="s">
        <v>868</v>
      </c>
      <c r="G209" t="str">
        <f t="shared" si="7"/>
        <v>Exclude</v>
      </c>
    </row>
    <row r="210" spans="1:7" x14ac:dyDescent="0.4">
      <c r="A210" t="s">
        <v>731</v>
      </c>
      <c r="B210" t="s">
        <v>732</v>
      </c>
      <c r="C210" t="s">
        <v>733</v>
      </c>
      <c r="D210" t="s">
        <v>20</v>
      </c>
      <c r="E210" t="str">
        <f t="shared" si="6"/>
        <v>Exclude</v>
      </c>
      <c r="G210" t="str">
        <f t="shared" si="7"/>
        <v>Exclude</v>
      </c>
    </row>
    <row r="211" spans="1:7" x14ac:dyDescent="0.4">
      <c r="A211" t="s">
        <v>734</v>
      </c>
      <c r="B211" t="s">
        <v>735</v>
      </c>
      <c r="C211" t="s">
        <v>736</v>
      </c>
      <c r="D211" t="s">
        <v>20</v>
      </c>
      <c r="E211" t="str">
        <f t="shared" si="6"/>
        <v>Exclude</v>
      </c>
      <c r="G211" t="str">
        <f t="shared" si="7"/>
        <v>Exclude</v>
      </c>
    </row>
    <row r="212" spans="1:7" x14ac:dyDescent="0.4">
      <c r="A212" t="s">
        <v>737</v>
      </c>
      <c r="B212" t="s">
        <v>738</v>
      </c>
      <c r="C212" t="s">
        <v>739</v>
      </c>
      <c r="D212" t="s">
        <v>31</v>
      </c>
      <c r="E212" t="str">
        <f t="shared" si="6"/>
        <v>Include</v>
      </c>
      <c r="G212" t="str">
        <f t="shared" si="7"/>
        <v>Include</v>
      </c>
    </row>
    <row r="213" spans="1:7" x14ac:dyDescent="0.4">
      <c r="A213" t="s">
        <v>740</v>
      </c>
      <c r="B213" t="s">
        <v>741</v>
      </c>
      <c r="C213" t="s">
        <v>742</v>
      </c>
      <c r="D213" t="s">
        <v>21</v>
      </c>
      <c r="E213" t="str">
        <f t="shared" si="6"/>
        <v>Exclude</v>
      </c>
      <c r="G213" t="str">
        <f t="shared" si="7"/>
        <v>Exclude</v>
      </c>
    </row>
    <row r="214" spans="1:7" x14ac:dyDescent="0.4">
      <c r="A214" t="s">
        <v>743</v>
      </c>
      <c r="B214" t="s">
        <v>744</v>
      </c>
      <c r="C214" t="s">
        <v>745</v>
      </c>
      <c r="D214" t="s">
        <v>20</v>
      </c>
      <c r="E214" t="str">
        <f t="shared" si="6"/>
        <v>Exclude</v>
      </c>
      <c r="G214" t="str">
        <f t="shared" si="7"/>
        <v>Exclude</v>
      </c>
    </row>
    <row r="215" spans="1:7" x14ac:dyDescent="0.4">
      <c r="A215" t="s">
        <v>746</v>
      </c>
      <c r="B215" t="s">
        <v>747</v>
      </c>
      <c r="C215" t="s">
        <v>748</v>
      </c>
      <c r="D215" t="s">
        <v>21</v>
      </c>
      <c r="E215" t="str">
        <f t="shared" si="6"/>
        <v>Exclude</v>
      </c>
      <c r="G215" t="str">
        <f t="shared" si="7"/>
        <v>Exclude</v>
      </c>
    </row>
    <row r="216" spans="1:7" x14ac:dyDescent="0.4">
      <c r="A216" t="s">
        <v>749</v>
      </c>
      <c r="B216" t="s">
        <v>750</v>
      </c>
      <c r="C216" t="s">
        <v>751</v>
      </c>
      <c r="D216" t="s">
        <v>33</v>
      </c>
      <c r="E216" t="str">
        <f t="shared" si="6"/>
        <v>Include</v>
      </c>
      <c r="G216" t="str">
        <f t="shared" si="7"/>
        <v>Include</v>
      </c>
    </row>
    <row r="217" spans="1:7" x14ac:dyDescent="0.4">
      <c r="A217" t="s">
        <v>752</v>
      </c>
      <c r="B217" t="s">
        <v>753</v>
      </c>
      <c r="C217" t="s">
        <v>754</v>
      </c>
      <c r="D217" t="s">
        <v>278</v>
      </c>
      <c r="E217" t="str">
        <f t="shared" si="6"/>
        <v>Include</v>
      </c>
      <c r="G217" t="str">
        <f t="shared" si="7"/>
        <v>Include</v>
      </c>
    </row>
    <row r="218" spans="1:7" x14ac:dyDescent="0.4">
      <c r="A218" t="s">
        <v>755</v>
      </c>
      <c r="B218" t="s">
        <v>756</v>
      </c>
      <c r="C218" t="s">
        <v>757</v>
      </c>
      <c r="D218" t="s">
        <v>32</v>
      </c>
      <c r="E218" t="str">
        <f t="shared" si="6"/>
        <v>Include</v>
      </c>
      <c r="G218" t="str">
        <f t="shared" si="7"/>
        <v>Include</v>
      </c>
    </row>
    <row r="219" spans="1:7" x14ac:dyDescent="0.4">
      <c r="A219" t="s">
        <v>758</v>
      </c>
      <c r="B219" t="s">
        <v>759</v>
      </c>
      <c r="C219" t="s">
        <v>760</v>
      </c>
      <c r="D219" t="s">
        <v>21</v>
      </c>
      <c r="E219" t="str">
        <f t="shared" si="6"/>
        <v>Exclude</v>
      </c>
      <c r="G219" t="str">
        <f t="shared" si="7"/>
        <v>Exclude</v>
      </c>
    </row>
    <row r="220" spans="1:7" x14ac:dyDescent="0.4">
      <c r="A220" s="12" t="s">
        <v>761</v>
      </c>
      <c r="B220" s="12" t="s">
        <v>762</v>
      </c>
      <c r="C220" s="12" t="s">
        <v>763</v>
      </c>
      <c r="D220" s="12" t="s">
        <v>20</v>
      </c>
      <c r="E220" t="str">
        <f t="shared" si="6"/>
        <v>Exclude</v>
      </c>
      <c r="F220" s="12" t="s">
        <v>868</v>
      </c>
      <c r="G220" t="str">
        <f t="shared" si="7"/>
        <v>Exclude</v>
      </c>
    </row>
    <row r="221" spans="1:7" x14ac:dyDescent="0.4">
      <c r="A221" t="s">
        <v>764</v>
      </c>
      <c r="B221" t="s">
        <v>765</v>
      </c>
      <c r="C221" t="s">
        <v>766</v>
      </c>
      <c r="D221" t="s">
        <v>21</v>
      </c>
      <c r="E221" t="str">
        <f t="shared" si="6"/>
        <v>Exclude</v>
      </c>
      <c r="G221" t="str">
        <f t="shared" si="7"/>
        <v>Exclude</v>
      </c>
    </row>
    <row r="222" spans="1:7" x14ac:dyDescent="0.4">
      <c r="A222" t="s">
        <v>767</v>
      </c>
      <c r="B222" t="s">
        <v>768</v>
      </c>
      <c r="C222" t="s">
        <v>769</v>
      </c>
      <c r="D222" t="s">
        <v>133</v>
      </c>
      <c r="E222" t="str">
        <f t="shared" si="6"/>
        <v>Include</v>
      </c>
      <c r="G222" t="str">
        <f t="shared" si="7"/>
        <v>Include</v>
      </c>
    </row>
    <row r="223" spans="1:7" x14ac:dyDescent="0.4">
      <c r="A223" t="s">
        <v>770</v>
      </c>
      <c r="B223" t="s">
        <v>771</v>
      </c>
      <c r="C223" t="s">
        <v>772</v>
      </c>
      <c r="D223" t="s">
        <v>32</v>
      </c>
      <c r="E223" t="str">
        <f t="shared" si="6"/>
        <v>Include</v>
      </c>
      <c r="G223" t="str">
        <f t="shared" si="7"/>
        <v>Include</v>
      </c>
    </row>
    <row r="224" spans="1:7" x14ac:dyDescent="0.4">
      <c r="A224" t="s">
        <v>773</v>
      </c>
      <c r="B224" t="s">
        <v>774</v>
      </c>
      <c r="C224" t="s">
        <v>775</v>
      </c>
      <c r="D224" t="s">
        <v>20</v>
      </c>
      <c r="E224" t="str">
        <f t="shared" si="6"/>
        <v>Exclude</v>
      </c>
      <c r="G224" t="str">
        <f t="shared" si="7"/>
        <v>Exclude</v>
      </c>
    </row>
    <row r="225" spans="1:7" x14ac:dyDescent="0.4">
      <c r="A225" t="s">
        <v>776</v>
      </c>
      <c r="B225" t="s">
        <v>777</v>
      </c>
      <c r="C225" t="s">
        <v>778</v>
      </c>
      <c r="D225" t="s">
        <v>354</v>
      </c>
      <c r="E225" t="str">
        <f t="shared" si="6"/>
        <v>Include</v>
      </c>
      <c r="G225" t="str">
        <f t="shared" si="7"/>
        <v>Include</v>
      </c>
    </row>
    <row r="226" spans="1:7" x14ac:dyDescent="0.4">
      <c r="A226" t="s">
        <v>779</v>
      </c>
      <c r="B226" t="s">
        <v>780</v>
      </c>
      <c r="C226" t="s">
        <v>781</v>
      </c>
      <c r="D226" t="s">
        <v>20</v>
      </c>
      <c r="E226" t="str">
        <f t="shared" si="6"/>
        <v>Exclude</v>
      </c>
      <c r="G226" t="str">
        <f t="shared" si="7"/>
        <v>Exclude</v>
      </c>
    </row>
    <row r="227" spans="1:7" x14ac:dyDescent="0.4">
      <c r="A227" t="s">
        <v>782</v>
      </c>
      <c r="B227" t="s">
        <v>783</v>
      </c>
      <c r="C227" t="s">
        <v>784</v>
      </c>
      <c r="D227" t="s">
        <v>20</v>
      </c>
      <c r="E227" t="str">
        <f t="shared" si="6"/>
        <v>Exclude</v>
      </c>
      <c r="G227" t="str">
        <f t="shared" si="7"/>
        <v>Exclude</v>
      </c>
    </row>
    <row r="228" spans="1:7" x14ac:dyDescent="0.4">
      <c r="A228" t="s">
        <v>785</v>
      </c>
      <c r="B228" t="s">
        <v>786</v>
      </c>
      <c r="C228" t="s">
        <v>787</v>
      </c>
      <c r="D228" t="s">
        <v>20</v>
      </c>
      <c r="E228" t="str">
        <f t="shared" si="6"/>
        <v>Exclude</v>
      </c>
      <c r="G228" t="str">
        <f t="shared" si="7"/>
        <v>Exclude</v>
      </c>
    </row>
    <row r="229" spans="1:7" x14ac:dyDescent="0.4">
      <c r="A229" t="s">
        <v>788</v>
      </c>
      <c r="B229" t="s">
        <v>788</v>
      </c>
      <c r="C229" t="s">
        <v>789</v>
      </c>
      <c r="D229" t="s">
        <v>32</v>
      </c>
      <c r="E229" t="str">
        <f t="shared" si="6"/>
        <v>Include</v>
      </c>
      <c r="G229" t="str">
        <f t="shared" si="7"/>
        <v>Include</v>
      </c>
    </row>
    <row r="230" spans="1:7" x14ac:dyDescent="0.4">
      <c r="A230" s="12" t="s">
        <v>790</v>
      </c>
      <c r="B230" s="12" t="s">
        <v>791</v>
      </c>
      <c r="C230" s="12" t="s">
        <v>792</v>
      </c>
      <c r="D230" s="12" t="s">
        <v>20</v>
      </c>
      <c r="E230" t="str">
        <f t="shared" si="6"/>
        <v>Exclude</v>
      </c>
      <c r="F230" s="12" t="s">
        <v>868</v>
      </c>
      <c r="G230" t="str">
        <f t="shared" si="7"/>
        <v>Exclude</v>
      </c>
    </row>
    <row r="231" spans="1:7" x14ac:dyDescent="0.4">
      <c r="A231" t="s">
        <v>793</v>
      </c>
      <c r="B231" t="s">
        <v>794</v>
      </c>
      <c r="C231" t="s">
        <v>795</v>
      </c>
      <c r="D231" t="s">
        <v>32</v>
      </c>
      <c r="E231" t="str">
        <f t="shared" si="6"/>
        <v>Include</v>
      </c>
      <c r="G231" t="str">
        <f t="shared" si="7"/>
        <v>Include</v>
      </c>
    </row>
    <row r="232" spans="1:7" x14ac:dyDescent="0.4">
      <c r="A232" t="s">
        <v>796</v>
      </c>
      <c r="B232" t="s">
        <v>797</v>
      </c>
      <c r="C232" t="s">
        <v>798</v>
      </c>
      <c r="D232" t="s">
        <v>31</v>
      </c>
      <c r="E232" t="str">
        <f t="shared" si="6"/>
        <v>Include</v>
      </c>
      <c r="G232" t="str">
        <f t="shared" si="7"/>
        <v>Include</v>
      </c>
    </row>
    <row r="233" spans="1:7" x14ac:dyDescent="0.4">
      <c r="A233" t="s">
        <v>799</v>
      </c>
      <c r="B233" t="s">
        <v>800</v>
      </c>
      <c r="C233" t="s">
        <v>801</v>
      </c>
      <c r="D233" t="s">
        <v>20</v>
      </c>
      <c r="E233" t="str">
        <f t="shared" si="6"/>
        <v>Exclude</v>
      </c>
      <c r="G233" t="str">
        <f t="shared" si="7"/>
        <v>Exclude</v>
      </c>
    </row>
    <row r="234" spans="1:7" x14ac:dyDescent="0.4">
      <c r="A234" t="s">
        <v>802</v>
      </c>
      <c r="B234" t="s">
        <v>803</v>
      </c>
      <c r="C234" t="s">
        <v>804</v>
      </c>
      <c r="D234" t="s">
        <v>33</v>
      </c>
      <c r="E234" t="str">
        <f t="shared" si="6"/>
        <v>Include</v>
      </c>
      <c r="G234" t="str">
        <f t="shared" si="7"/>
        <v>Include</v>
      </c>
    </row>
    <row r="235" spans="1:7" x14ac:dyDescent="0.4">
      <c r="A235" t="s">
        <v>805</v>
      </c>
      <c r="B235" t="s">
        <v>806</v>
      </c>
      <c r="C235" t="s">
        <v>807</v>
      </c>
      <c r="D235" t="s">
        <v>20</v>
      </c>
      <c r="E235" t="str">
        <f t="shared" si="6"/>
        <v>Exclude</v>
      </c>
      <c r="G235" t="str">
        <f t="shared" si="7"/>
        <v>Exclude</v>
      </c>
    </row>
    <row r="236" spans="1:7" x14ac:dyDescent="0.4">
      <c r="A236" t="s">
        <v>808</v>
      </c>
      <c r="B236" t="s">
        <v>809</v>
      </c>
      <c r="C236" t="s">
        <v>810</v>
      </c>
      <c r="D236" t="s">
        <v>21</v>
      </c>
      <c r="E236" t="str">
        <f t="shared" si="6"/>
        <v>Exclude</v>
      </c>
      <c r="G236" t="str">
        <f t="shared" si="7"/>
        <v>Exclude</v>
      </c>
    </row>
    <row r="237" spans="1:7" x14ac:dyDescent="0.4">
      <c r="A237" t="s">
        <v>811</v>
      </c>
      <c r="B237" t="s">
        <v>812</v>
      </c>
      <c r="C237" t="s">
        <v>813</v>
      </c>
      <c r="D237" t="s">
        <v>20</v>
      </c>
      <c r="E237" t="str">
        <f t="shared" si="6"/>
        <v>Exclude</v>
      </c>
      <c r="G237" t="str">
        <f t="shared" si="7"/>
        <v>Exclude</v>
      </c>
    </row>
    <row r="238" spans="1:7" x14ac:dyDescent="0.4">
      <c r="A238" t="s">
        <v>814</v>
      </c>
      <c r="B238" t="s">
        <v>815</v>
      </c>
      <c r="C238" t="s">
        <v>816</v>
      </c>
      <c r="D238" t="s">
        <v>31</v>
      </c>
      <c r="E238" t="str">
        <f t="shared" si="6"/>
        <v>Include</v>
      </c>
      <c r="G238" t="str">
        <f t="shared" si="7"/>
        <v>Include</v>
      </c>
    </row>
    <row r="239" spans="1:7" x14ac:dyDescent="0.4">
      <c r="A239" t="s">
        <v>817</v>
      </c>
      <c r="B239" t="s">
        <v>818</v>
      </c>
      <c r="C239" t="s">
        <v>819</v>
      </c>
      <c r="D239" t="s">
        <v>34</v>
      </c>
      <c r="E239" t="str">
        <f t="shared" si="6"/>
        <v>Include</v>
      </c>
      <c r="G239" t="str">
        <f t="shared" si="7"/>
        <v>Include</v>
      </c>
    </row>
    <row r="240" spans="1:7" x14ac:dyDescent="0.4">
      <c r="A240" t="s">
        <v>820</v>
      </c>
      <c r="B240" t="s">
        <v>821</v>
      </c>
      <c r="C240" t="s">
        <v>822</v>
      </c>
      <c r="D240" t="s">
        <v>20</v>
      </c>
      <c r="E240" t="str">
        <f t="shared" si="6"/>
        <v>Exclude</v>
      </c>
      <c r="G240" t="str">
        <f t="shared" si="7"/>
        <v>Exclude</v>
      </c>
    </row>
    <row r="241" spans="1:7" x14ac:dyDescent="0.4">
      <c r="A241" t="s">
        <v>823</v>
      </c>
      <c r="B241" t="s">
        <v>824</v>
      </c>
      <c r="C241" t="s">
        <v>825</v>
      </c>
      <c r="D241" t="s">
        <v>20</v>
      </c>
      <c r="E241" t="str">
        <f t="shared" si="6"/>
        <v>Exclude</v>
      </c>
      <c r="G241" t="str">
        <f t="shared" si="7"/>
        <v>Exclude</v>
      </c>
    </row>
    <row r="242" spans="1:7" x14ac:dyDescent="0.4">
      <c r="A242" t="s">
        <v>826</v>
      </c>
      <c r="B242" t="s">
        <v>827</v>
      </c>
      <c r="C242" t="s">
        <v>828</v>
      </c>
      <c r="D242" t="s">
        <v>32</v>
      </c>
      <c r="E242" t="str">
        <f t="shared" si="6"/>
        <v>Include</v>
      </c>
      <c r="G242" t="str">
        <f t="shared" si="7"/>
        <v>Include</v>
      </c>
    </row>
    <row r="243" spans="1:7" x14ac:dyDescent="0.4">
      <c r="A243" t="s">
        <v>829</v>
      </c>
      <c r="B243" t="s">
        <v>830</v>
      </c>
      <c r="C243" t="s">
        <v>831</v>
      </c>
      <c r="D243" t="s">
        <v>31</v>
      </c>
      <c r="E243" t="str">
        <f t="shared" si="6"/>
        <v>Include</v>
      </c>
      <c r="G243" t="str">
        <f t="shared" si="7"/>
        <v>Include</v>
      </c>
    </row>
    <row r="244" spans="1:7" x14ac:dyDescent="0.4">
      <c r="A244" t="s">
        <v>832</v>
      </c>
      <c r="B244" t="s">
        <v>833</v>
      </c>
      <c r="C244" t="s">
        <v>834</v>
      </c>
      <c r="D244" t="s">
        <v>31</v>
      </c>
      <c r="E244" t="str">
        <f t="shared" si="6"/>
        <v>Include</v>
      </c>
      <c r="G244" t="str">
        <f t="shared" si="7"/>
        <v>Include</v>
      </c>
    </row>
    <row r="245" spans="1:7" x14ac:dyDescent="0.4">
      <c r="A245" t="s">
        <v>835</v>
      </c>
      <c r="B245" t="s">
        <v>836</v>
      </c>
      <c r="C245" t="s">
        <v>837</v>
      </c>
      <c r="D245" t="s">
        <v>32</v>
      </c>
      <c r="E245" t="str">
        <f t="shared" si="6"/>
        <v>Include</v>
      </c>
      <c r="G245" t="str">
        <f t="shared" si="7"/>
        <v>Include</v>
      </c>
    </row>
    <row r="246" spans="1:7" x14ac:dyDescent="0.4">
      <c r="A246" t="s">
        <v>838</v>
      </c>
      <c r="B246" t="s">
        <v>839</v>
      </c>
      <c r="C246" t="s">
        <v>840</v>
      </c>
      <c r="D246" t="s">
        <v>32</v>
      </c>
      <c r="E246" t="str">
        <f t="shared" si="6"/>
        <v>Include</v>
      </c>
      <c r="G246" t="str">
        <f t="shared" si="7"/>
        <v>Include</v>
      </c>
    </row>
    <row r="247" spans="1:7" x14ac:dyDescent="0.4">
      <c r="A247" t="s">
        <v>841</v>
      </c>
      <c r="B247" t="s">
        <v>842</v>
      </c>
      <c r="C247" t="s">
        <v>843</v>
      </c>
      <c r="D247" t="s">
        <v>32</v>
      </c>
      <c r="E247" t="str">
        <f t="shared" si="6"/>
        <v>Include</v>
      </c>
      <c r="G247" t="str">
        <f t="shared" si="7"/>
        <v>Include</v>
      </c>
    </row>
    <row r="248" spans="1:7" x14ac:dyDescent="0.4">
      <c r="A248" t="s">
        <v>844</v>
      </c>
      <c r="B248" t="s">
        <v>845</v>
      </c>
      <c r="C248" t="s">
        <v>846</v>
      </c>
      <c r="D248" t="s">
        <v>32</v>
      </c>
      <c r="E248" t="str">
        <f t="shared" si="6"/>
        <v>Include</v>
      </c>
      <c r="G248" t="str">
        <f t="shared" si="7"/>
        <v>Include</v>
      </c>
    </row>
    <row r="249" spans="1:7" x14ac:dyDescent="0.4">
      <c r="A249" t="s">
        <v>847</v>
      </c>
      <c r="B249" t="s">
        <v>848</v>
      </c>
      <c r="C249" t="s">
        <v>849</v>
      </c>
      <c r="D249" t="s">
        <v>32</v>
      </c>
      <c r="E249" t="str">
        <f t="shared" si="6"/>
        <v>Include</v>
      </c>
      <c r="G249" t="str">
        <f t="shared" si="7"/>
        <v>Include</v>
      </c>
    </row>
    <row r="250" spans="1:7" x14ac:dyDescent="0.4">
      <c r="A250" t="s">
        <v>850</v>
      </c>
      <c r="B250" t="s">
        <v>851</v>
      </c>
      <c r="C250" t="s">
        <v>852</v>
      </c>
      <c r="D250" t="s">
        <v>21</v>
      </c>
      <c r="E250" t="str">
        <f t="shared" si="6"/>
        <v>Exclude</v>
      </c>
      <c r="G250" t="str">
        <f t="shared" si="7"/>
        <v>Exclude</v>
      </c>
    </row>
    <row r="251" spans="1:7" x14ac:dyDescent="0.4">
      <c r="A251" t="s">
        <v>853</v>
      </c>
      <c r="B251" t="s">
        <v>854</v>
      </c>
      <c r="C251" t="s">
        <v>855</v>
      </c>
      <c r="D251" t="s">
        <v>20</v>
      </c>
      <c r="E251" t="str">
        <f t="shared" si="6"/>
        <v>Exclude</v>
      </c>
      <c r="G251" t="str">
        <f t="shared" si="7"/>
        <v>Exclude</v>
      </c>
    </row>
    <row r="252" spans="1:7" x14ac:dyDescent="0.4">
      <c r="A252" t="s">
        <v>856</v>
      </c>
      <c r="B252" t="s">
        <v>857</v>
      </c>
      <c r="C252" t="s">
        <v>858</v>
      </c>
      <c r="D252" t="s">
        <v>31</v>
      </c>
      <c r="E252" t="str">
        <f t="shared" si="6"/>
        <v>Include</v>
      </c>
      <c r="G252" t="str">
        <f t="shared" si="7"/>
        <v>Include</v>
      </c>
    </row>
    <row r="253" spans="1:7" x14ac:dyDescent="0.4">
      <c r="A253" s="12" t="s">
        <v>859</v>
      </c>
      <c r="B253" s="12" t="s">
        <v>860</v>
      </c>
      <c r="C253" s="12" t="s">
        <v>861</v>
      </c>
      <c r="D253" s="12" t="s">
        <v>20</v>
      </c>
      <c r="E253" t="str">
        <f t="shared" si="6"/>
        <v>Exclude</v>
      </c>
      <c r="F253" s="12" t="s">
        <v>868</v>
      </c>
      <c r="G253" t="str">
        <f t="shared" si="7"/>
        <v>Exclude</v>
      </c>
    </row>
    <row r="254" spans="1:7" x14ac:dyDescent="0.4">
      <c r="A254" t="s">
        <v>862</v>
      </c>
      <c r="B254" t="s">
        <v>863</v>
      </c>
      <c r="C254" t="s">
        <v>864</v>
      </c>
      <c r="D254" t="s">
        <v>32</v>
      </c>
      <c r="E254" t="str">
        <f t="shared" si="6"/>
        <v>Include</v>
      </c>
      <c r="G254" t="str">
        <f t="shared" si="7"/>
        <v>Include</v>
      </c>
    </row>
    <row r="255" spans="1:7" x14ac:dyDescent="0.4">
      <c r="A255" t="s">
        <v>865</v>
      </c>
      <c r="B255" t="s">
        <v>866</v>
      </c>
      <c r="C255" t="s">
        <v>867</v>
      </c>
      <c r="D255" t="s">
        <v>31</v>
      </c>
      <c r="E255" t="str">
        <f t="shared" si="6"/>
        <v>Include</v>
      </c>
      <c r="G255" t="str">
        <f t="shared" si="7"/>
        <v>Include</v>
      </c>
    </row>
    <row r="256" spans="1:7" x14ac:dyDescent="0.4">
      <c r="E256" t="str">
        <f t="shared" si="6"/>
        <v/>
      </c>
      <c r="G256" t="str">
        <f t="shared" si="7"/>
        <v/>
      </c>
    </row>
    <row r="257" spans="5:7" x14ac:dyDescent="0.4">
      <c r="E257" t="str">
        <f t="shared" si="6"/>
        <v/>
      </c>
      <c r="G257" t="str">
        <f t="shared" si="7"/>
        <v/>
      </c>
    </row>
    <row r="258" spans="5:7" x14ac:dyDescent="0.4">
      <c r="E258" t="str">
        <f t="shared" si="6"/>
        <v/>
      </c>
      <c r="G258" t="str">
        <f t="shared" si="7"/>
        <v/>
      </c>
    </row>
    <row r="259" spans="5:7" x14ac:dyDescent="0.4">
      <c r="E259" t="str">
        <f t="shared" si="6"/>
        <v/>
      </c>
      <c r="G259" t="str">
        <f t="shared" si="7"/>
        <v/>
      </c>
    </row>
    <row r="260" spans="5:7" x14ac:dyDescent="0.4">
      <c r="E260" t="str">
        <f t="shared" si="6"/>
        <v/>
      </c>
      <c r="G260" t="str">
        <f t="shared" si="7"/>
        <v/>
      </c>
    </row>
    <row r="261" spans="5:7" x14ac:dyDescent="0.4">
      <c r="E261" t="str">
        <f t="shared" si="6"/>
        <v/>
      </c>
      <c r="G261" t="str">
        <f t="shared" si="7"/>
        <v/>
      </c>
    </row>
    <row r="262" spans="5:7" x14ac:dyDescent="0.4">
      <c r="E262" t="str">
        <f t="shared" ref="E262:E305" si="8">IF($A262="","",IF(COUNTIF(ExclList,$D262)&gt;0,"Exclude","Include"))</f>
        <v/>
      </c>
      <c r="G262" t="str">
        <f t="shared" si="7"/>
        <v/>
      </c>
    </row>
    <row r="263" spans="5:7" x14ac:dyDescent="0.4">
      <c r="E263" t="str">
        <f t="shared" si="8"/>
        <v/>
      </c>
      <c r="G263" t="str">
        <f t="shared" ref="G263:G305" si="9">IF($A263="","",IF($F263&lt;&gt;"",$F263,$E263))</f>
        <v/>
      </c>
    </row>
    <row r="264" spans="5:7" x14ac:dyDescent="0.4">
      <c r="E264" t="str">
        <f t="shared" si="8"/>
        <v/>
      </c>
      <c r="G264" t="str">
        <f t="shared" si="9"/>
        <v/>
      </c>
    </row>
    <row r="265" spans="5:7" x14ac:dyDescent="0.4">
      <c r="E265" t="str">
        <f t="shared" si="8"/>
        <v/>
      </c>
      <c r="G265" t="str">
        <f t="shared" si="9"/>
        <v/>
      </c>
    </row>
    <row r="266" spans="5:7" x14ac:dyDescent="0.4">
      <c r="E266" t="str">
        <f t="shared" si="8"/>
        <v/>
      </c>
      <c r="G266" t="str">
        <f t="shared" si="9"/>
        <v/>
      </c>
    </row>
    <row r="267" spans="5:7" x14ac:dyDescent="0.4">
      <c r="E267" t="str">
        <f t="shared" si="8"/>
        <v/>
      </c>
      <c r="G267" t="str">
        <f t="shared" si="9"/>
        <v/>
      </c>
    </row>
    <row r="268" spans="5:7" x14ac:dyDescent="0.4">
      <c r="E268" t="str">
        <f t="shared" si="8"/>
        <v/>
      </c>
      <c r="G268" t="str">
        <f t="shared" si="9"/>
        <v/>
      </c>
    </row>
    <row r="269" spans="5:7" x14ac:dyDescent="0.4">
      <c r="E269" t="str">
        <f t="shared" si="8"/>
        <v/>
      </c>
      <c r="G269" t="str">
        <f t="shared" si="9"/>
        <v/>
      </c>
    </row>
    <row r="270" spans="5:7" x14ac:dyDescent="0.4">
      <c r="E270" t="str">
        <f t="shared" si="8"/>
        <v/>
      </c>
      <c r="G270" t="str">
        <f t="shared" si="9"/>
        <v/>
      </c>
    </row>
    <row r="271" spans="5:7" x14ac:dyDescent="0.4">
      <c r="E271" t="str">
        <f t="shared" si="8"/>
        <v/>
      </c>
      <c r="G271" t="str">
        <f t="shared" si="9"/>
        <v/>
      </c>
    </row>
    <row r="272" spans="5:7" x14ac:dyDescent="0.4">
      <c r="E272" t="str">
        <f t="shared" si="8"/>
        <v/>
      </c>
      <c r="G272" t="str">
        <f t="shared" si="9"/>
        <v/>
      </c>
    </row>
    <row r="273" spans="5:7" x14ac:dyDescent="0.4">
      <c r="E273" t="str">
        <f t="shared" si="8"/>
        <v/>
      </c>
      <c r="G273" t="str">
        <f t="shared" si="9"/>
        <v/>
      </c>
    </row>
    <row r="274" spans="5:7" x14ac:dyDescent="0.4">
      <c r="E274" t="str">
        <f t="shared" si="8"/>
        <v/>
      </c>
      <c r="G274" t="str">
        <f t="shared" si="9"/>
        <v/>
      </c>
    </row>
    <row r="275" spans="5:7" x14ac:dyDescent="0.4">
      <c r="E275" t="str">
        <f t="shared" si="8"/>
        <v/>
      </c>
      <c r="G275" t="str">
        <f t="shared" si="9"/>
        <v/>
      </c>
    </row>
    <row r="276" spans="5:7" x14ac:dyDescent="0.4">
      <c r="E276" t="str">
        <f t="shared" si="8"/>
        <v/>
      </c>
      <c r="G276" t="str">
        <f t="shared" si="9"/>
        <v/>
      </c>
    </row>
    <row r="277" spans="5:7" x14ac:dyDescent="0.4">
      <c r="E277" t="str">
        <f t="shared" si="8"/>
        <v/>
      </c>
      <c r="G277" t="str">
        <f t="shared" si="9"/>
        <v/>
      </c>
    </row>
    <row r="278" spans="5:7" x14ac:dyDescent="0.4">
      <c r="E278" t="str">
        <f t="shared" si="8"/>
        <v/>
      </c>
      <c r="G278" t="str">
        <f t="shared" si="9"/>
        <v/>
      </c>
    </row>
    <row r="279" spans="5:7" x14ac:dyDescent="0.4">
      <c r="E279" t="str">
        <f t="shared" si="8"/>
        <v/>
      </c>
      <c r="G279" t="str">
        <f t="shared" si="9"/>
        <v/>
      </c>
    </row>
    <row r="280" spans="5:7" x14ac:dyDescent="0.4">
      <c r="E280" t="str">
        <f t="shared" si="8"/>
        <v/>
      </c>
      <c r="G280" t="str">
        <f t="shared" si="9"/>
        <v/>
      </c>
    </row>
    <row r="281" spans="5:7" x14ac:dyDescent="0.4">
      <c r="E281" t="str">
        <f t="shared" si="8"/>
        <v/>
      </c>
      <c r="G281" t="str">
        <f t="shared" si="9"/>
        <v/>
      </c>
    </row>
    <row r="282" spans="5:7" x14ac:dyDescent="0.4">
      <c r="E282" t="str">
        <f t="shared" si="8"/>
        <v/>
      </c>
      <c r="G282" t="str">
        <f t="shared" si="9"/>
        <v/>
      </c>
    </row>
    <row r="283" spans="5:7" x14ac:dyDescent="0.4">
      <c r="E283" t="str">
        <f t="shared" si="8"/>
        <v/>
      </c>
      <c r="G283" t="str">
        <f t="shared" si="9"/>
        <v/>
      </c>
    </row>
    <row r="284" spans="5:7" x14ac:dyDescent="0.4">
      <c r="E284" t="str">
        <f t="shared" si="8"/>
        <v/>
      </c>
      <c r="G284" t="str">
        <f t="shared" si="9"/>
        <v/>
      </c>
    </row>
    <row r="285" spans="5:7" x14ac:dyDescent="0.4">
      <c r="E285" t="str">
        <f t="shared" si="8"/>
        <v/>
      </c>
      <c r="G285" t="str">
        <f t="shared" si="9"/>
        <v/>
      </c>
    </row>
    <row r="286" spans="5:7" x14ac:dyDescent="0.4">
      <c r="E286" t="str">
        <f t="shared" si="8"/>
        <v/>
      </c>
      <c r="G286" t="str">
        <f t="shared" si="9"/>
        <v/>
      </c>
    </row>
    <row r="287" spans="5:7" x14ac:dyDescent="0.4">
      <c r="E287" t="str">
        <f t="shared" si="8"/>
        <v/>
      </c>
      <c r="G287" t="str">
        <f t="shared" si="9"/>
        <v/>
      </c>
    </row>
    <row r="288" spans="5:7" x14ac:dyDescent="0.4">
      <c r="E288" t="str">
        <f t="shared" si="8"/>
        <v/>
      </c>
      <c r="G288" t="str">
        <f t="shared" si="9"/>
        <v/>
      </c>
    </row>
    <row r="289" spans="5:7" x14ac:dyDescent="0.4">
      <c r="E289" t="str">
        <f t="shared" si="8"/>
        <v/>
      </c>
      <c r="G289" t="str">
        <f t="shared" si="9"/>
        <v/>
      </c>
    </row>
    <row r="290" spans="5:7" x14ac:dyDescent="0.4">
      <c r="E290" t="str">
        <f t="shared" si="8"/>
        <v/>
      </c>
      <c r="G290" t="str">
        <f t="shared" si="9"/>
        <v/>
      </c>
    </row>
    <row r="291" spans="5:7" x14ac:dyDescent="0.4">
      <c r="E291" t="str">
        <f t="shared" si="8"/>
        <v/>
      </c>
      <c r="G291" t="str">
        <f t="shared" si="9"/>
        <v/>
      </c>
    </row>
    <row r="292" spans="5:7" x14ac:dyDescent="0.4">
      <c r="E292" t="str">
        <f t="shared" si="8"/>
        <v/>
      </c>
      <c r="G292" t="str">
        <f t="shared" si="9"/>
        <v/>
      </c>
    </row>
    <row r="293" spans="5:7" x14ac:dyDescent="0.4">
      <c r="E293" t="str">
        <f t="shared" si="8"/>
        <v/>
      </c>
      <c r="G293" t="str">
        <f t="shared" si="9"/>
        <v/>
      </c>
    </row>
    <row r="294" spans="5:7" x14ac:dyDescent="0.4">
      <c r="E294" t="str">
        <f t="shared" si="8"/>
        <v/>
      </c>
      <c r="G294" t="str">
        <f t="shared" si="9"/>
        <v/>
      </c>
    </row>
    <row r="295" spans="5:7" x14ac:dyDescent="0.4">
      <c r="E295" t="str">
        <f t="shared" si="8"/>
        <v/>
      </c>
      <c r="G295" t="str">
        <f t="shared" si="9"/>
        <v/>
      </c>
    </row>
    <row r="296" spans="5:7" x14ac:dyDescent="0.4">
      <c r="E296" t="str">
        <f t="shared" si="8"/>
        <v/>
      </c>
      <c r="G296" t="str">
        <f t="shared" si="9"/>
        <v/>
      </c>
    </row>
    <row r="297" spans="5:7" x14ac:dyDescent="0.4">
      <c r="E297" t="str">
        <f t="shared" si="8"/>
        <v/>
      </c>
      <c r="G297" t="str">
        <f t="shared" si="9"/>
        <v/>
      </c>
    </row>
    <row r="298" spans="5:7" x14ac:dyDescent="0.4">
      <c r="E298" t="str">
        <f t="shared" si="8"/>
        <v/>
      </c>
      <c r="G298" t="str">
        <f t="shared" si="9"/>
        <v/>
      </c>
    </row>
    <row r="299" spans="5:7" x14ac:dyDescent="0.4">
      <c r="E299" t="str">
        <f t="shared" si="8"/>
        <v/>
      </c>
      <c r="G299" t="str">
        <f t="shared" si="9"/>
        <v/>
      </c>
    </row>
    <row r="300" spans="5:7" x14ac:dyDescent="0.4">
      <c r="E300" t="str">
        <f t="shared" si="8"/>
        <v/>
      </c>
      <c r="G300" t="str">
        <f t="shared" si="9"/>
        <v/>
      </c>
    </row>
    <row r="301" spans="5:7" x14ac:dyDescent="0.4">
      <c r="E301" t="str">
        <f t="shared" si="8"/>
        <v/>
      </c>
      <c r="G301" t="str">
        <f t="shared" si="9"/>
        <v/>
      </c>
    </row>
    <row r="302" spans="5:7" x14ac:dyDescent="0.4">
      <c r="E302" t="str">
        <f t="shared" si="8"/>
        <v/>
      </c>
      <c r="G302" t="str">
        <f t="shared" si="9"/>
        <v/>
      </c>
    </row>
    <row r="303" spans="5:7" x14ac:dyDescent="0.4">
      <c r="E303" t="str">
        <f t="shared" si="8"/>
        <v/>
      </c>
      <c r="G303" t="str">
        <f t="shared" si="9"/>
        <v/>
      </c>
    </row>
    <row r="304" spans="5:7" x14ac:dyDescent="0.4">
      <c r="E304" t="str">
        <f t="shared" si="8"/>
        <v/>
      </c>
      <c r="G304" t="str">
        <f t="shared" si="9"/>
        <v/>
      </c>
    </row>
    <row r="305" spans="5:7" x14ac:dyDescent="0.4">
      <c r="E305" t="str">
        <f t="shared" si="8"/>
        <v/>
      </c>
      <c r="G305" t="str">
        <f t="shared" si="9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D45E-2F31-4874-89EF-8AC2F5EA6169}">
  <dimension ref="A1:T3000"/>
  <sheetViews>
    <sheetView workbookViewId="0">
      <selection sqref="A1:XFD1048576"/>
    </sheetView>
  </sheetViews>
  <sheetFormatPr defaultRowHeight="14.6" x14ac:dyDescent="0.4"/>
  <cols>
    <col min="1" max="1" width="17.69140625" bestFit="1" customWidth="1"/>
    <col min="2" max="2" width="12.61328125" bestFit="1" customWidth="1"/>
    <col min="3" max="3" width="6.69140625" bestFit="1" customWidth="1"/>
    <col min="5" max="5" width="6.84375" bestFit="1" customWidth="1"/>
    <col min="6" max="6" width="12.61328125" bestFit="1" customWidth="1"/>
    <col min="7" max="7" width="22.07421875" bestFit="1" customWidth="1"/>
    <col min="8" max="8" width="4.84375" bestFit="1" customWidth="1"/>
    <col min="9" max="9" width="10.07421875" bestFit="1" customWidth="1"/>
    <col min="10" max="10" width="5.3046875" bestFit="1" customWidth="1"/>
    <col min="11" max="11" width="4.84375" bestFit="1" customWidth="1"/>
    <col min="12" max="12" width="3.921875" bestFit="1" customWidth="1"/>
    <col min="13" max="13" width="5.921875" bestFit="1" customWidth="1"/>
    <col min="14" max="14" width="3.4609375" bestFit="1" customWidth="1"/>
    <col min="15" max="15" width="5.3046875" bestFit="1" customWidth="1"/>
    <col min="16" max="16" width="4.61328125" bestFit="1" customWidth="1"/>
    <col min="17" max="17" width="4.84375" bestFit="1" customWidth="1"/>
    <col min="18" max="20" width="3.84375" bestFit="1" customWidth="1"/>
  </cols>
  <sheetData>
    <row r="1" spans="1:20" x14ac:dyDescent="0.4">
      <c r="A1" t="s">
        <v>35</v>
      </c>
      <c r="B1" t="s">
        <v>36</v>
      </c>
      <c r="C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</row>
    <row r="2" spans="1:20" x14ac:dyDescent="0.4">
      <c r="A2" t="str">
        <f>IF($F2="","",$F2&amp;"|"&amp;$H2)</f>
        <v/>
      </c>
      <c r="B2" t="str">
        <f>IF(F2&lt;&gt;"",F2,"")</f>
        <v/>
      </c>
      <c r="C2" t="str">
        <f>IF(H2&lt;&gt;"", H2, "")</f>
        <v/>
      </c>
      <c r="I2" s="2"/>
    </row>
    <row r="3" spans="1:20" x14ac:dyDescent="0.4">
      <c r="A3" t="str">
        <f t="shared" ref="A3:A66" si="0">IF($F3="","",$F3&amp;"|"&amp;$H3)</f>
        <v/>
      </c>
      <c r="B3" t="str">
        <f t="shared" ref="B3:B66" si="1">IF(F3&lt;&gt;"",F3,"")</f>
        <v/>
      </c>
      <c r="C3" t="str">
        <f t="shared" ref="C3:C66" si="2">IF(H3&lt;&gt;"", H3, "")</f>
        <v/>
      </c>
      <c r="I3" s="2"/>
    </row>
    <row r="4" spans="1:20" x14ac:dyDescent="0.4">
      <c r="A4" t="str">
        <f t="shared" si="0"/>
        <v/>
      </c>
      <c r="B4" t="str">
        <f t="shared" si="1"/>
        <v/>
      </c>
      <c r="C4" t="str">
        <f t="shared" si="2"/>
        <v/>
      </c>
      <c r="I4" s="2"/>
    </row>
    <row r="5" spans="1:20" x14ac:dyDescent="0.4">
      <c r="A5" t="str">
        <f t="shared" si="0"/>
        <v/>
      </c>
      <c r="B5" t="str">
        <f t="shared" si="1"/>
        <v/>
      </c>
      <c r="C5" t="str">
        <f t="shared" si="2"/>
        <v/>
      </c>
      <c r="I5" s="2"/>
    </row>
    <row r="6" spans="1:20" x14ac:dyDescent="0.4">
      <c r="A6" t="str">
        <f t="shared" si="0"/>
        <v/>
      </c>
      <c r="B6" t="str">
        <f t="shared" si="1"/>
        <v/>
      </c>
      <c r="C6" t="str">
        <f t="shared" si="2"/>
        <v/>
      </c>
      <c r="I6" s="2"/>
    </row>
    <row r="7" spans="1:20" x14ac:dyDescent="0.4">
      <c r="A7" t="str">
        <f t="shared" si="0"/>
        <v/>
      </c>
      <c r="B7" t="str">
        <f t="shared" si="1"/>
        <v/>
      </c>
      <c r="C7" t="str">
        <f t="shared" si="2"/>
        <v/>
      </c>
      <c r="I7" s="2"/>
    </row>
    <row r="8" spans="1:20" x14ac:dyDescent="0.4">
      <c r="A8" t="str">
        <f t="shared" si="0"/>
        <v/>
      </c>
      <c r="B8" t="str">
        <f t="shared" si="1"/>
        <v/>
      </c>
      <c r="C8" t="str">
        <f t="shared" si="2"/>
        <v/>
      </c>
      <c r="I8" s="2"/>
    </row>
    <row r="9" spans="1:20" x14ac:dyDescent="0.4">
      <c r="A9" t="str">
        <f t="shared" si="0"/>
        <v/>
      </c>
      <c r="B9" t="str">
        <f t="shared" si="1"/>
        <v/>
      </c>
      <c r="C9" t="str">
        <f t="shared" si="2"/>
        <v/>
      </c>
      <c r="I9" s="2"/>
    </row>
    <row r="10" spans="1:20" x14ac:dyDescent="0.4">
      <c r="A10" t="str">
        <f t="shared" si="0"/>
        <v/>
      </c>
      <c r="B10" t="str">
        <f t="shared" si="1"/>
        <v/>
      </c>
      <c r="C10" t="str">
        <f t="shared" si="2"/>
        <v/>
      </c>
      <c r="I10" s="2"/>
    </row>
    <row r="11" spans="1:20" x14ac:dyDescent="0.4">
      <c r="A11" t="str">
        <f t="shared" si="0"/>
        <v/>
      </c>
      <c r="B11" t="str">
        <f t="shared" si="1"/>
        <v/>
      </c>
      <c r="C11" t="str">
        <f t="shared" si="2"/>
        <v/>
      </c>
      <c r="I11" s="2"/>
    </row>
    <row r="12" spans="1:20" x14ac:dyDescent="0.4">
      <c r="A12" t="str">
        <f t="shared" si="0"/>
        <v/>
      </c>
      <c r="B12" t="str">
        <f t="shared" si="1"/>
        <v/>
      </c>
      <c r="C12" t="str">
        <f t="shared" si="2"/>
        <v/>
      </c>
      <c r="I12" s="2"/>
    </row>
    <row r="13" spans="1:20" x14ac:dyDescent="0.4">
      <c r="A13" t="str">
        <f t="shared" si="0"/>
        <v/>
      </c>
      <c r="B13" t="str">
        <f t="shared" si="1"/>
        <v/>
      </c>
      <c r="C13" t="str">
        <f t="shared" si="2"/>
        <v/>
      </c>
      <c r="I13" s="2"/>
    </row>
    <row r="14" spans="1:20" x14ac:dyDescent="0.4">
      <c r="A14" t="str">
        <f t="shared" si="0"/>
        <v/>
      </c>
      <c r="B14" t="str">
        <f t="shared" si="1"/>
        <v/>
      </c>
      <c r="C14" t="str">
        <f t="shared" si="2"/>
        <v/>
      </c>
      <c r="I14" s="2"/>
    </row>
    <row r="15" spans="1:20" x14ac:dyDescent="0.4">
      <c r="A15" t="str">
        <f t="shared" si="0"/>
        <v/>
      </c>
      <c r="B15" t="str">
        <f t="shared" si="1"/>
        <v/>
      </c>
      <c r="C15" t="str">
        <f t="shared" si="2"/>
        <v/>
      </c>
      <c r="I15" s="2"/>
    </row>
    <row r="16" spans="1:20" x14ac:dyDescent="0.4">
      <c r="A16" t="str">
        <f t="shared" si="0"/>
        <v/>
      </c>
      <c r="B16" t="str">
        <f t="shared" si="1"/>
        <v/>
      </c>
      <c r="C16" t="str">
        <f t="shared" si="2"/>
        <v/>
      </c>
      <c r="I16" s="2"/>
    </row>
    <row r="17" spans="1:9" x14ac:dyDescent="0.4">
      <c r="A17" t="str">
        <f t="shared" si="0"/>
        <v/>
      </c>
      <c r="B17" t="str">
        <f t="shared" si="1"/>
        <v/>
      </c>
      <c r="C17" t="str">
        <f t="shared" si="2"/>
        <v/>
      </c>
      <c r="I17" s="2"/>
    </row>
    <row r="18" spans="1:9" x14ac:dyDescent="0.4">
      <c r="A18" t="str">
        <f t="shared" si="0"/>
        <v/>
      </c>
      <c r="B18" t="str">
        <f t="shared" si="1"/>
        <v/>
      </c>
      <c r="C18" t="str">
        <f t="shared" si="2"/>
        <v/>
      </c>
      <c r="I18" s="2"/>
    </row>
    <row r="19" spans="1:9" x14ac:dyDescent="0.4">
      <c r="A19" t="str">
        <f t="shared" si="0"/>
        <v/>
      </c>
      <c r="B19" t="str">
        <f t="shared" si="1"/>
        <v/>
      </c>
      <c r="C19" t="str">
        <f t="shared" si="2"/>
        <v/>
      </c>
      <c r="I19" s="2"/>
    </row>
    <row r="20" spans="1:9" x14ac:dyDescent="0.4">
      <c r="A20" t="str">
        <f t="shared" si="0"/>
        <v/>
      </c>
      <c r="B20" t="str">
        <f t="shared" si="1"/>
        <v/>
      </c>
      <c r="C20" t="str">
        <f t="shared" si="2"/>
        <v/>
      </c>
      <c r="I20" s="2"/>
    </row>
    <row r="21" spans="1:9" x14ac:dyDescent="0.4">
      <c r="A21" t="str">
        <f t="shared" si="0"/>
        <v/>
      </c>
      <c r="B21" t="str">
        <f t="shared" si="1"/>
        <v/>
      </c>
      <c r="C21" t="str">
        <f t="shared" si="2"/>
        <v/>
      </c>
      <c r="I21" s="2"/>
    </row>
    <row r="22" spans="1:9" x14ac:dyDescent="0.4">
      <c r="A22" t="str">
        <f t="shared" si="0"/>
        <v/>
      </c>
      <c r="B22" t="str">
        <f t="shared" si="1"/>
        <v/>
      </c>
      <c r="C22" t="str">
        <f t="shared" si="2"/>
        <v/>
      </c>
      <c r="I22" s="2"/>
    </row>
    <row r="23" spans="1:9" x14ac:dyDescent="0.4">
      <c r="A23" t="str">
        <f t="shared" si="0"/>
        <v/>
      </c>
      <c r="B23" t="str">
        <f t="shared" si="1"/>
        <v/>
      </c>
      <c r="C23" t="str">
        <f t="shared" si="2"/>
        <v/>
      </c>
      <c r="I23" s="2"/>
    </row>
    <row r="24" spans="1:9" x14ac:dyDescent="0.4">
      <c r="A24" t="str">
        <f t="shared" si="0"/>
        <v/>
      </c>
      <c r="B24" t="str">
        <f t="shared" si="1"/>
        <v/>
      </c>
      <c r="C24" t="str">
        <f t="shared" si="2"/>
        <v/>
      </c>
      <c r="I24" s="2"/>
    </row>
    <row r="25" spans="1:9" x14ac:dyDescent="0.4">
      <c r="A25" t="str">
        <f t="shared" si="0"/>
        <v/>
      </c>
      <c r="B25" t="str">
        <f t="shared" si="1"/>
        <v/>
      </c>
      <c r="C25" t="str">
        <f t="shared" si="2"/>
        <v/>
      </c>
      <c r="I25" s="2"/>
    </row>
    <row r="26" spans="1:9" x14ac:dyDescent="0.4">
      <c r="A26" t="str">
        <f t="shared" si="0"/>
        <v/>
      </c>
      <c r="B26" t="str">
        <f t="shared" si="1"/>
        <v/>
      </c>
      <c r="C26" t="str">
        <f t="shared" si="2"/>
        <v/>
      </c>
      <c r="I26" s="2"/>
    </row>
    <row r="27" spans="1:9" x14ac:dyDescent="0.4">
      <c r="A27" t="str">
        <f t="shared" si="0"/>
        <v/>
      </c>
      <c r="B27" t="str">
        <f t="shared" si="1"/>
        <v/>
      </c>
      <c r="C27" t="str">
        <f t="shared" si="2"/>
        <v/>
      </c>
      <c r="I27" s="2"/>
    </row>
    <row r="28" spans="1:9" x14ac:dyDescent="0.4">
      <c r="A28" t="str">
        <f t="shared" si="0"/>
        <v/>
      </c>
      <c r="B28" t="str">
        <f t="shared" si="1"/>
        <v/>
      </c>
      <c r="C28" t="str">
        <f t="shared" si="2"/>
        <v/>
      </c>
      <c r="I28" s="2"/>
    </row>
    <row r="29" spans="1:9" x14ac:dyDescent="0.4">
      <c r="A29" t="str">
        <f t="shared" si="0"/>
        <v/>
      </c>
      <c r="B29" t="str">
        <f t="shared" si="1"/>
        <v/>
      </c>
      <c r="C29" t="str">
        <f t="shared" si="2"/>
        <v/>
      </c>
      <c r="I29" s="2"/>
    </row>
    <row r="30" spans="1:9" x14ac:dyDescent="0.4">
      <c r="A30" t="str">
        <f t="shared" si="0"/>
        <v/>
      </c>
      <c r="B30" t="str">
        <f t="shared" si="1"/>
        <v/>
      </c>
      <c r="C30" t="str">
        <f t="shared" si="2"/>
        <v/>
      </c>
      <c r="I30" s="2"/>
    </row>
    <row r="31" spans="1:9" x14ac:dyDescent="0.4">
      <c r="A31" t="str">
        <f t="shared" si="0"/>
        <v/>
      </c>
      <c r="B31" t="str">
        <f t="shared" si="1"/>
        <v/>
      </c>
      <c r="C31" t="str">
        <f t="shared" si="2"/>
        <v/>
      </c>
      <c r="I31" s="2"/>
    </row>
    <row r="32" spans="1:9" x14ac:dyDescent="0.4">
      <c r="A32" t="str">
        <f t="shared" si="0"/>
        <v/>
      </c>
      <c r="B32" t="str">
        <f t="shared" si="1"/>
        <v/>
      </c>
      <c r="C32" t="str">
        <f t="shared" si="2"/>
        <v/>
      </c>
      <c r="I32" s="2"/>
    </row>
    <row r="33" spans="1:9" x14ac:dyDescent="0.4">
      <c r="A33" t="str">
        <f t="shared" si="0"/>
        <v/>
      </c>
      <c r="B33" t="str">
        <f t="shared" si="1"/>
        <v/>
      </c>
      <c r="C33" t="str">
        <f t="shared" si="2"/>
        <v/>
      </c>
      <c r="I33" s="2"/>
    </row>
    <row r="34" spans="1:9" x14ac:dyDescent="0.4">
      <c r="A34" t="str">
        <f t="shared" si="0"/>
        <v/>
      </c>
      <c r="B34" t="str">
        <f t="shared" si="1"/>
        <v/>
      </c>
      <c r="C34" t="str">
        <f t="shared" si="2"/>
        <v/>
      </c>
      <c r="I34" s="2"/>
    </row>
    <row r="35" spans="1:9" x14ac:dyDescent="0.4">
      <c r="A35" t="str">
        <f t="shared" si="0"/>
        <v/>
      </c>
      <c r="B35" t="str">
        <f t="shared" si="1"/>
        <v/>
      </c>
      <c r="C35" t="str">
        <f t="shared" si="2"/>
        <v/>
      </c>
      <c r="I35" s="2"/>
    </row>
    <row r="36" spans="1:9" x14ac:dyDescent="0.4">
      <c r="A36" t="str">
        <f t="shared" si="0"/>
        <v/>
      </c>
      <c r="B36" t="str">
        <f t="shared" si="1"/>
        <v/>
      </c>
      <c r="C36" t="str">
        <f t="shared" si="2"/>
        <v/>
      </c>
      <c r="I36" s="2"/>
    </row>
    <row r="37" spans="1:9" x14ac:dyDescent="0.4">
      <c r="A37" t="str">
        <f t="shared" si="0"/>
        <v/>
      </c>
      <c r="B37" t="str">
        <f t="shared" si="1"/>
        <v/>
      </c>
      <c r="C37" t="str">
        <f t="shared" si="2"/>
        <v/>
      </c>
      <c r="I37" s="2"/>
    </row>
    <row r="38" spans="1:9" x14ac:dyDescent="0.4">
      <c r="A38" t="str">
        <f t="shared" si="0"/>
        <v/>
      </c>
      <c r="B38" t="str">
        <f t="shared" si="1"/>
        <v/>
      </c>
      <c r="C38" t="str">
        <f t="shared" si="2"/>
        <v/>
      </c>
      <c r="I38" s="2"/>
    </row>
    <row r="39" spans="1:9" x14ac:dyDescent="0.4">
      <c r="A39" t="str">
        <f t="shared" si="0"/>
        <v/>
      </c>
      <c r="B39" t="str">
        <f t="shared" si="1"/>
        <v/>
      </c>
      <c r="C39" t="str">
        <f t="shared" si="2"/>
        <v/>
      </c>
      <c r="I39" s="2"/>
    </row>
    <row r="40" spans="1:9" x14ac:dyDescent="0.4">
      <c r="A40" t="str">
        <f t="shared" si="0"/>
        <v/>
      </c>
      <c r="B40" t="str">
        <f t="shared" si="1"/>
        <v/>
      </c>
      <c r="C40" t="str">
        <f t="shared" si="2"/>
        <v/>
      </c>
      <c r="I40" s="2"/>
    </row>
    <row r="41" spans="1:9" x14ac:dyDescent="0.4">
      <c r="A41" t="str">
        <f t="shared" si="0"/>
        <v/>
      </c>
      <c r="B41" t="str">
        <f t="shared" si="1"/>
        <v/>
      </c>
      <c r="C41" t="str">
        <f t="shared" si="2"/>
        <v/>
      </c>
      <c r="I41" s="2"/>
    </row>
    <row r="42" spans="1:9" x14ac:dyDescent="0.4">
      <c r="A42" t="str">
        <f t="shared" si="0"/>
        <v/>
      </c>
      <c r="B42" t="str">
        <f t="shared" si="1"/>
        <v/>
      </c>
      <c r="C42" t="str">
        <f t="shared" si="2"/>
        <v/>
      </c>
      <c r="I42" s="2"/>
    </row>
    <row r="43" spans="1:9" x14ac:dyDescent="0.4">
      <c r="A43" t="str">
        <f t="shared" si="0"/>
        <v/>
      </c>
      <c r="B43" t="str">
        <f t="shared" si="1"/>
        <v/>
      </c>
      <c r="C43" t="str">
        <f t="shared" si="2"/>
        <v/>
      </c>
      <c r="I43" s="2"/>
    </row>
    <row r="44" spans="1:9" x14ac:dyDescent="0.4">
      <c r="A44" t="str">
        <f t="shared" si="0"/>
        <v/>
      </c>
      <c r="B44" t="str">
        <f t="shared" si="1"/>
        <v/>
      </c>
      <c r="C44" t="str">
        <f t="shared" si="2"/>
        <v/>
      </c>
      <c r="I44" s="2"/>
    </row>
    <row r="45" spans="1:9" x14ac:dyDescent="0.4">
      <c r="A45" t="str">
        <f t="shared" si="0"/>
        <v/>
      </c>
      <c r="B45" t="str">
        <f t="shared" si="1"/>
        <v/>
      </c>
      <c r="C45" t="str">
        <f t="shared" si="2"/>
        <v/>
      </c>
      <c r="I45" s="2"/>
    </row>
    <row r="46" spans="1:9" x14ac:dyDescent="0.4">
      <c r="A46" t="str">
        <f t="shared" si="0"/>
        <v/>
      </c>
      <c r="B46" t="str">
        <f t="shared" si="1"/>
        <v/>
      </c>
      <c r="C46" t="str">
        <f t="shared" si="2"/>
        <v/>
      </c>
      <c r="I46" s="2"/>
    </row>
    <row r="47" spans="1:9" x14ac:dyDescent="0.4">
      <c r="A47" t="str">
        <f t="shared" si="0"/>
        <v/>
      </c>
      <c r="B47" t="str">
        <f t="shared" si="1"/>
        <v/>
      </c>
      <c r="C47" t="str">
        <f t="shared" si="2"/>
        <v/>
      </c>
      <c r="I47" s="2"/>
    </row>
    <row r="48" spans="1:9" x14ac:dyDescent="0.4">
      <c r="A48" t="str">
        <f t="shared" si="0"/>
        <v/>
      </c>
      <c r="B48" t="str">
        <f t="shared" si="1"/>
        <v/>
      </c>
      <c r="C48" t="str">
        <f t="shared" si="2"/>
        <v/>
      </c>
      <c r="I48" s="2"/>
    </row>
    <row r="49" spans="1:9" x14ac:dyDescent="0.4">
      <c r="A49" t="str">
        <f t="shared" si="0"/>
        <v/>
      </c>
      <c r="B49" t="str">
        <f t="shared" si="1"/>
        <v/>
      </c>
      <c r="C49" t="str">
        <f t="shared" si="2"/>
        <v/>
      </c>
      <c r="I49" s="2"/>
    </row>
    <row r="50" spans="1:9" x14ac:dyDescent="0.4">
      <c r="A50" t="str">
        <f t="shared" si="0"/>
        <v/>
      </c>
      <c r="B50" t="str">
        <f t="shared" si="1"/>
        <v/>
      </c>
      <c r="C50" t="str">
        <f t="shared" si="2"/>
        <v/>
      </c>
      <c r="I50" s="2"/>
    </row>
    <row r="51" spans="1:9" x14ac:dyDescent="0.4">
      <c r="A51" t="str">
        <f t="shared" si="0"/>
        <v/>
      </c>
      <c r="B51" t="str">
        <f t="shared" si="1"/>
        <v/>
      </c>
      <c r="C51" t="str">
        <f t="shared" si="2"/>
        <v/>
      </c>
      <c r="I51" s="2"/>
    </row>
    <row r="52" spans="1:9" x14ac:dyDescent="0.4">
      <c r="A52" t="str">
        <f t="shared" si="0"/>
        <v/>
      </c>
      <c r="B52" t="str">
        <f t="shared" si="1"/>
        <v/>
      </c>
      <c r="C52" t="str">
        <f t="shared" si="2"/>
        <v/>
      </c>
      <c r="I52" s="2"/>
    </row>
    <row r="53" spans="1:9" x14ac:dyDescent="0.4">
      <c r="A53" t="str">
        <f t="shared" si="0"/>
        <v/>
      </c>
      <c r="B53" t="str">
        <f t="shared" si="1"/>
        <v/>
      </c>
      <c r="C53" t="str">
        <f t="shared" si="2"/>
        <v/>
      </c>
      <c r="I53" s="2"/>
    </row>
    <row r="54" spans="1:9" x14ac:dyDescent="0.4">
      <c r="A54" t="str">
        <f t="shared" si="0"/>
        <v/>
      </c>
      <c r="B54" t="str">
        <f t="shared" si="1"/>
        <v/>
      </c>
      <c r="C54" t="str">
        <f t="shared" si="2"/>
        <v/>
      </c>
      <c r="I54" s="2"/>
    </row>
    <row r="55" spans="1:9" x14ac:dyDescent="0.4">
      <c r="A55" t="str">
        <f t="shared" si="0"/>
        <v/>
      </c>
      <c r="B55" t="str">
        <f t="shared" si="1"/>
        <v/>
      </c>
      <c r="C55" t="str">
        <f t="shared" si="2"/>
        <v/>
      </c>
      <c r="I55" s="2"/>
    </row>
    <row r="56" spans="1:9" x14ac:dyDescent="0.4">
      <c r="A56" t="str">
        <f t="shared" si="0"/>
        <v/>
      </c>
      <c r="B56" t="str">
        <f t="shared" si="1"/>
        <v/>
      </c>
      <c r="C56" t="str">
        <f t="shared" si="2"/>
        <v/>
      </c>
      <c r="I56" s="2"/>
    </row>
    <row r="57" spans="1:9" x14ac:dyDescent="0.4">
      <c r="A57" t="str">
        <f t="shared" si="0"/>
        <v/>
      </c>
      <c r="B57" t="str">
        <f t="shared" si="1"/>
        <v/>
      </c>
      <c r="C57" t="str">
        <f t="shared" si="2"/>
        <v/>
      </c>
      <c r="I57" s="2"/>
    </row>
    <row r="58" spans="1:9" x14ac:dyDescent="0.4">
      <c r="A58" t="str">
        <f t="shared" si="0"/>
        <v/>
      </c>
      <c r="B58" t="str">
        <f t="shared" si="1"/>
        <v/>
      </c>
      <c r="C58" t="str">
        <f t="shared" si="2"/>
        <v/>
      </c>
      <c r="I58" s="2"/>
    </row>
    <row r="59" spans="1:9" x14ac:dyDescent="0.4">
      <c r="A59" t="str">
        <f t="shared" si="0"/>
        <v/>
      </c>
      <c r="B59" t="str">
        <f t="shared" si="1"/>
        <v/>
      </c>
      <c r="C59" t="str">
        <f t="shared" si="2"/>
        <v/>
      </c>
      <c r="I59" s="2"/>
    </row>
    <row r="60" spans="1:9" x14ac:dyDescent="0.4">
      <c r="A60" t="str">
        <f t="shared" si="0"/>
        <v/>
      </c>
      <c r="B60" t="str">
        <f t="shared" si="1"/>
        <v/>
      </c>
      <c r="C60" t="str">
        <f t="shared" si="2"/>
        <v/>
      </c>
      <c r="I60" s="2"/>
    </row>
    <row r="61" spans="1:9" x14ac:dyDescent="0.4">
      <c r="A61" t="str">
        <f t="shared" si="0"/>
        <v/>
      </c>
      <c r="B61" t="str">
        <f t="shared" si="1"/>
        <v/>
      </c>
      <c r="C61" t="str">
        <f t="shared" si="2"/>
        <v/>
      </c>
      <c r="I61" s="2"/>
    </row>
    <row r="62" spans="1:9" x14ac:dyDescent="0.4">
      <c r="A62" t="str">
        <f t="shared" si="0"/>
        <v/>
      </c>
      <c r="B62" t="str">
        <f t="shared" si="1"/>
        <v/>
      </c>
      <c r="C62" t="str">
        <f t="shared" si="2"/>
        <v/>
      </c>
      <c r="I62" s="2"/>
    </row>
    <row r="63" spans="1:9" x14ac:dyDescent="0.4">
      <c r="A63" t="str">
        <f t="shared" si="0"/>
        <v/>
      </c>
      <c r="B63" t="str">
        <f t="shared" si="1"/>
        <v/>
      </c>
      <c r="C63" t="str">
        <f t="shared" si="2"/>
        <v/>
      </c>
      <c r="I63" s="2"/>
    </row>
    <row r="64" spans="1:9" x14ac:dyDescent="0.4">
      <c r="A64" t="str">
        <f t="shared" si="0"/>
        <v/>
      </c>
      <c r="B64" t="str">
        <f t="shared" si="1"/>
        <v/>
      </c>
      <c r="C64" t="str">
        <f t="shared" si="2"/>
        <v/>
      </c>
      <c r="I64" s="2"/>
    </row>
    <row r="65" spans="1:9" x14ac:dyDescent="0.4">
      <c r="A65" t="str">
        <f t="shared" si="0"/>
        <v/>
      </c>
      <c r="B65" t="str">
        <f t="shared" si="1"/>
        <v/>
      </c>
      <c r="C65" t="str">
        <f t="shared" si="2"/>
        <v/>
      </c>
      <c r="I65" s="2"/>
    </row>
    <row r="66" spans="1:9" x14ac:dyDescent="0.4">
      <c r="A66" t="str">
        <f t="shared" si="0"/>
        <v/>
      </c>
      <c r="B66" t="str">
        <f t="shared" si="1"/>
        <v/>
      </c>
      <c r="C66" t="str">
        <f t="shared" si="2"/>
        <v/>
      </c>
      <c r="I66" s="2"/>
    </row>
    <row r="67" spans="1:9" x14ac:dyDescent="0.4">
      <c r="A67" t="str">
        <f t="shared" ref="A67:A130" si="3">IF($F67="","",$F67&amp;"|"&amp;$H67)</f>
        <v/>
      </c>
      <c r="B67" t="str">
        <f t="shared" ref="B67:B130" si="4">IF(F67&lt;&gt;"",F67,"")</f>
        <v/>
      </c>
      <c r="C67" t="str">
        <f t="shared" ref="C67:C130" si="5">IF(H67&lt;&gt;"", H67, "")</f>
        <v/>
      </c>
      <c r="I67" s="2"/>
    </row>
    <row r="68" spans="1:9" x14ac:dyDescent="0.4">
      <c r="A68" t="str">
        <f t="shared" si="3"/>
        <v/>
      </c>
      <c r="B68" t="str">
        <f t="shared" si="4"/>
        <v/>
      </c>
      <c r="C68" t="str">
        <f t="shared" si="5"/>
        <v/>
      </c>
      <c r="I68" s="2"/>
    </row>
    <row r="69" spans="1:9" x14ac:dyDescent="0.4">
      <c r="A69" t="str">
        <f t="shared" si="3"/>
        <v/>
      </c>
      <c r="B69" t="str">
        <f t="shared" si="4"/>
        <v/>
      </c>
      <c r="C69" t="str">
        <f t="shared" si="5"/>
        <v/>
      </c>
      <c r="I69" s="2"/>
    </row>
    <row r="70" spans="1:9" x14ac:dyDescent="0.4">
      <c r="A70" t="str">
        <f t="shared" si="3"/>
        <v/>
      </c>
      <c r="B70" t="str">
        <f t="shared" si="4"/>
        <v/>
      </c>
      <c r="C70" t="str">
        <f t="shared" si="5"/>
        <v/>
      </c>
      <c r="I70" s="2"/>
    </row>
    <row r="71" spans="1:9" x14ac:dyDescent="0.4">
      <c r="A71" t="str">
        <f t="shared" si="3"/>
        <v/>
      </c>
      <c r="B71" t="str">
        <f t="shared" si="4"/>
        <v/>
      </c>
      <c r="C71" t="str">
        <f t="shared" si="5"/>
        <v/>
      </c>
      <c r="I71" s="2"/>
    </row>
    <row r="72" spans="1:9" x14ac:dyDescent="0.4">
      <c r="A72" t="str">
        <f t="shared" si="3"/>
        <v/>
      </c>
      <c r="B72" t="str">
        <f t="shared" si="4"/>
        <v/>
      </c>
      <c r="C72" t="str">
        <f t="shared" si="5"/>
        <v/>
      </c>
      <c r="I72" s="2"/>
    </row>
    <row r="73" spans="1:9" x14ac:dyDescent="0.4">
      <c r="A73" t="str">
        <f t="shared" si="3"/>
        <v/>
      </c>
      <c r="B73" t="str">
        <f t="shared" si="4"/>
        <v/>
      </c>
      <c r="C73" t="str">
        <f t="shared" si="5"/>
        <v/>
      </c>
      <c r="I73" s="2"/>
    </row>
    <row r="74" spans="1:9" x14ac:dyDescent="0.4">
      <c r="A74" t="str">
        <f t="shared" si="3"/>
        <v/>
      </c>
      <c r="B74" t="str">
        <f t="shared" si="4"/>
        <v/>
      </c>
      <c r="C74" t="str">
        <f t="shared" si="5"/>
        <v/>
      </c>
      <c r="I74" s="2"/>
    </row>
    <row r="75" spans="1:9" x14ac:dyDescent="0.4">
      <c r="A75" t="str">
        <f t="shared" si="3"/>
        <v/>
      </c>
      <c r="B75" t="str">
        <f t="shared" si="4"/>
        <v/>
      </c>
      <c r="C75" t="str">
        <f t="shared" si="5"/>
        <v/>
      </c>
      <c r="I75" s="2"/>
    </row>
    <row r="76" spans="1:9" x14ac:dyDescent="0.4">
      <c r="A76" t="str">
        <f t="shared" si="3"/>
        <v/>
      </c>
      <c r="B76" t="str">
        <f t="shared" si="4"/>
        <v/>
      </c>
      <c r="C76" t="str">
        <f t="shared" si="5"/>
        <v/>
      </c>
      <c r="I76" s="2"/>
    </row>
    <row r="77" spans="1:9" x14ac:dyDescent="0.4">
      <c r="A77" t="str">
        <f t="shared" si="3"/>
        <v/>
      </c>
      <c r="B77" t="str">
        <f t="shared" si="4"/>
        <v/>
      </c>
      <c r="C77" t="str">
        <f t="shared" si="5"/>
        <v/>
      </c>
      <c r="I77" s="2"/>
    </row>
    <row r="78" spans="1:9" x14ac:dyDescent="0.4">
      <c r="A78" t="str">
        <f t="shared" si="3"/>
        <v/>
      </c>
      <c r="B78" t="str">
        <f t="shared" si="4"/>
        <v/>
      </c>
      <c r="C78" t="str">
        <f t="shared" si="5"/>
        <v/>
      </c>
      <c r="I78" s="2"/>
    </row>
    <row r="79" spans="1:9" x14ac:dyDescent="0.4">
      <c r="A79" t="str">
        <f t="shared" si="3"/>
        <v/>
      </c>
      <c r="B79" t="str">
        <f t="shared" si="4"/>
        <v/>
      </c>
      <c r="C79" t="str">
        <f t="shared" si="5"/>
        <v/>
      </c>
      <c r="I79" s="2"/>
    </row>
    <row r="80" spans="1:9" x14ac:dyDescent="0.4">
      <c r="A80" t="str">
        <f t="shared" si="3"/>
        <v/>
      </c>
      <c r="B80" t="str">
        <f t="shared" si="4"/>
        <v/>
      </c>
      <c r="C80" t="str">
        <f t="shared" si="5"/>
        <v/>
      </c>
      <c r="I80" s="2"/>
    </row>
    <row r="81" spans="1:9" x14ac:dyDescent="0.4">
      <c r="A81" t="str">
        <f t="shared" si="3"/>
        <v/>
      </c>
      <c r="B81" t="str">
        <f t="shared" si="4"/>
        <v/>
      </c>
      <c r="C81" t="str">
        <f t="shared" si="5"/>
        <v/>
      </c>
      <c r="I81" s="2"/>
    </row>
    <row r="82" spans="1:9" x14ac:dyDescent="0.4">
      <c r="A82" t="str">
        <f t="shared" si="3"/>
        <v/>
      </c>
      <c r="B82" t="str">
        <f t="shared" si="4"/>
        <v/>
      </c>
      <c r="C82" t="str">
        <f t="shared" si="5"/>
        <v/>
      </c>
      <c r="I82" s="2"/>
    </row>
    <row r="83" spans="1:9" x14ac:dyDescent="0.4">
      <c r="A83" t="str">
        <f t="shared" si="3"/>
        <v/>
      </c>
      <c r="B83" t="str">
        <f t="shared" si="4"/>
        <v/>
      </c>
      <c r="C83" t="str">
        <f t="shared" si="5"/>
        <v/>
      </c>
      <c r="I83" s="2"/>
    </row>
    <row r="84" spans="1:9" x14ac:dyDescent="0.4">
      <c r="A84" t="str">
        <f t="shared" si="3"/>
        <v/>
      </c>
      <c r="B84" t="str">
        <f t="shared" si="4"/>
        <v/>
      </c>
      <c r="C84" t="str">
        <f t="shared" si="5"/>
        <v/>
      </c>
      <c r="I84" s="2"/>
    </row>
    <row r="85" spans="1:9" x14ac:dyDescent="0.4">
      <c r="A85" t="str">
        <f t="shared" si="3"/>
        <v/>
      </c>
      <c r="B85" t="str">
        <f t="shared" si="4"/>
        <v/>
      </c>
      <c r="C85" t="str">
        <f t="shared" si="5"/>
        <v/>
      </c>
      <c r="I85" s="2"/>
    </row>
    <row r="86" spans="1:9" x14ac:dyDescent="0.4">
      <c r="A86" t="str">
        <f t="shared" si="3"/>
        <v/>
      </c>
      <c r="B86" t="str">
        <f t="shared" si="4"/>
        <v/>
      </c>
      <c r="C86" t="str">
        <f t="shared" si="5"/>
        <v/>
      </c>
      <c r="I86" s="2"/>
    </row>
    <row r="87" spans="1:9" x14ac:dyDescent="0.4">
      <c r="A87" t="str">
        <f t="shared" si="3"/>
        <v/>
      </c>
      <c r="B87" t="str">
        <f t="shared" si="4"/>
        <v/>
      </c>
      <c r="C87" t="str">
        <f t="shared" si="5"/>
        <v/>
      </c>
      <c r="I87" s="2"/>
    </row>
    <row r="88" spans="1:9" x14ac:dyDescent="0.4">
      <c r="A88" t="str">
        <f t="shared" si="3"/>
        <v/>
      </c>
      <c r="B88" t="str">
        <f t="shared" si="4"/>
        <v/>
      </c>
      <c r="C88" t="str">
        <f t="shared" si="5"/>
        <v/>
      </c>
      <c r="I88" s="2"/>
    </row>
    <row r="89" spans="1:9" x14ac:dyDescent="0.4">
      <c r="A89" t="str">
        <f t="shared" si="3"/>
        <v/>
      </c>
      <c r="B89" t="str">
        <f t="shared" si="4"/>
        <v/>
      </c>
      <c r="C89" t="str">
        <f t="shared" si="5"/>
        <v/>
      </c>
      <c r="I89" s="2"/>
    </row>
    <row r="90" spans="1:9" x14ac:dyDescent="0.4">
      <c r="A90" t="str">
        <f t="shared" si="3"/>
        <v/>
      </c>
      <c r="B90" t="str">
        <f t="shared" si="4"/>
        <v/>
      </c>
      <c r="C90" t="str">
        <f t="shared" si="5"/>
        <v/>
      </c>
      <c r="I90" s="2"/>
    </row>
    <row r="91" spans="1:9" x14ac:dyDescent="0.4">
      <c r="A91" t="str">
        <f t="shared" si="3"/>
        <v/>
      </c>
      <c r="B91" t="str">
        <f t="shared" si="4"/>
        <v/>
      </c>
      <c r="C91" t="str">
        <f t="shared" si="5"/>
        <v/>
      </c>
      <c r="I91" s="2"/>
    </row>
    <row r="92" spans="1:9" x14ac:dyDescent="0.4">
      <c r="A92" t="str">
        <f t="shared" si="3"/>
        <v/>
      </c>
      <c r="B92" t="str">
        <f t="shared" si="4"/>
        <v/>
      </c>
      <c r="C92" t="str">
        <f t="shared" si="5"/>
        <v/>
      </c>
      <c r="I92" s="2"/>
    </row>
    <row r="93" spans="1:9" x14ac:dyDescent="0.4">
      <c r="A93" t="str">
        <f t="shared" si="3"/>
        <v/>
      </c>
      <c r="B93" t="str">
        <f t="shared" si="4"/>
        <v/>
      </c>
      <c r="C93" t="str">
        <f t="shared" si="5"/>
        <v/>
      </c>
      <c r="I93" s="2"/>
    </row>
    <row r="94" spans="1:9" x14ac:dyDescent="0.4">
      <c r="A94" t="str">
        <f t="shared" si="3"/>
        <v/>
      </c>
      <c r="B94" t="str">
        <f t="shared" si="4"/>
        <v/>
      </c>
      <c r="C94" t="str">
        <f t="shared" si="5"/>
        <v/>
      </c>
      <c r="I94" s="2"/>
    </row>
    <row r="95" spans="1:9" x14ac:dyDescent="0.4">
      <c r="A95" t="str">
        <f t="shared" si="3"/>
        <v/>
      </c>
      <c r="B95" t="str">
        <f t="shared" si="4"/>
        <v/>
      </c>
      <c r="C95" t="str">
        <f t="shared" si="5"/>
        <v/>
      </c>
      <c r="I95" s="2"/>
    </row>
    <row r="96" spans="1:9" x14ac:dyDescent="0.4">
      <c r="A96" t="str">
        <f t="shared" si="3"/>
        <v/>
      </c>
      <c r="B96" t="str">
        <f t="shared" si="4"/>
        <v/>
      </c>
      <c r="C96" t="str">
        <f t="shared" si="5"/>
        <v/>
      </c>
      <c r="I96" s="2"/>
    </row>
    <row r="97" spans="1:9" x14ac:dyDescent="0.4">
      <c r="A97" t="str">
        <f t="shared" si="3"/>
        <v/>
      </c>
      <c r="B97" t="str">
        <f t="shared" si="4"/>
        <v/>
      </c>
      <c r="C97" t="str">
        <f t="shared" si="5"/>
        <v/>
      </c>
      <c r="I97" s="2"/>
    </row>
    <row r="98" spans="1:9" x14ac:dyDescent="0.4">
      <c r="A98" t="str">
        <f t="shared" si="3"/>
        <v/>
      </c>
      <c r="B98" t="str">
        <f t="shared" si="4"/>
        <v/>
      </c>
      <c r="C98" t="str">
        <f t="shared" si="5"/>
        <v/>
      </c>
      <c r="I98" s="2"/>
    </row>
    <row r="99" spans="1:9" x14ac:dyDescent="0.4">
      <c r="A99" t="str">
        <f t="shared" si="3"/>
        <v/>
      </c>
      <c r="B99" t="str">
        <f t="shared" si="4"/>
        <v/>
      </c>
      <c r="C99" t="str">
        <f t="shared" si="5"/>
        <v/>
      </c>
      <c r="I99" s="2"/>
    </row>
    <row r="100" spans="1:9" x14ac:dyDescent="0.4">
      <c r="A100" t="str">
        <f t="shared" si="3"/>
        <v/>
      </c>
      <c r="B100" t="str">
        <f t="shared" si="4"/>
        <v/>
      </c>
      <c r="C100" t="str">
        <f t="shared" si="5"/>
        <v/>
      </c>
      <c r="I100" s="2"/>
    </row>
    <row r="101" spans="1:9" x14ac:dyDescent="0.4">
      <c r="A101" t="str">
        <f t="shared" si="3"/>
        <v/>
      </c>
      <c r="B101" t="str">
        <f t="shared" si="4"/>
        <v/>
      </c>
      <c r="C101" t="str">
        <f t="shared" si="5"/>
        <v/>
      </c>
      <c r="I101" s="2"/>
    </row>
    <row r="102" spans="1:9" x14ac:dyDescent="0.4">
      <c r="A102" t="str">
        <f t="shared" si="3"/>
        <v/>
      </c>
      <c r="B102" t="str">
        <f t="shared" si="4"/>
        <v/>
      </c>
      <c r="C102" t="str">
        <f t="shared" si="5"/>
        <v/>
      </c>
      <c r="I102" s="2"/>
    </row>
    <row r="103" spans="1:9" x14ac:dyDescent="0.4">
      <c r="A103" t="str">
        <f t="shared" si="3"/>
        <v/>
      </c>
      <c r="B103" t="str">
        <f t="shared" si="4"/>
        <v/>
      </c>
      <c r="C103" t="str">
        <f t="shared" si="5"/>
        <v/>
      </c>
      <c r="I103" s="2"/>
    </row>
    <row r="104" spans="1:9" x14ac:dyDescent="0.4">
      <c r="A104" t="str">
        <f t="shared" si="3"/>
        <v/>
      </c>
      <c r="B104" t="str">
        <f t="shared" si="4"/>
        <v/>
      </c>
      <c r="C104" t="str">
        <f t="shared" si="5"/>
        <v/>
      </c>
      <c r="I104" s="2"/>
    </row>
    <row r="105" spans="1:9" x14ac:dyDescent="0.4">
      <c r="A105" t="str">
        <f t="shared" si="3"/>
        <v/>
      </c>
      <c r="B105" t="str">
        <f t="shared" si="4"/>
        <v/>
      </c>
      <c r="C105" t="str">
        <f t="shared" si="5"/>
        <v/>
      </c>
      <c r="I105" s="2"/>
    </row>
    <row r="106" spans="1:9" x14ac:dyDescent="0.4">
      <c r="A106" t="str">
        <f t="shared" si="3"/>
        <v/>
      </c>
      <c r="B106" t="str">
        <f t="shared" si="4"/>
        <v/>
      </c>
      <c r="C106" t="str">
        <f t="shared" si="5"/>
        <v/>
      </c>
      <c r="I106" s="2"/>
    </row>
    <row r="107" spans="1:9" x14ac:dyDescent="0.4">
      <c r="A107" t="str">
        <f t="shared" si="3"/>
        <v/>
      </c>
      <c r="B107" t="str">
        <f t="shared" si="4"/>
        <v/>
      </c>
      <c r="C107" t="str">
        <f t="shared" si="5"/>
        <v/>
      </c>
      <c r="I107" s="2"/>
    </row>
    <row r="108" spans="1:9" x14ac:dyDescent="0.4">
      <c r="A108" t="str">
        <f t="shared" si="3"/>
        <v/>
      </c>
      <c r="B108" t="str">
        <f t="shared" si="4"/>
        <v/>
      </c>
      <c r="C108" t="str">
        <f t="shared" si="5"/>
        <v/>
      </c>
      <c r="I108" s="2"/>
    </row>
    <row r="109" spans="1:9" x14ac:dyDescent="0.4">
      <c r="A109" t="str">
        <f t="shared" si="3"/>
        <v/>
      </c>
      <c r="B109" t="str">
        <f t="shared" si="4"/>
        <v/>
      </c>
      <c r="C109" t="str">
        <f t="shared" si="5"/>
        <v/>
      </c>
      <c r="I109" s="2"/>
    </row>
    <row r="110" spans="1:9" x14ac:dyDescent="0.4">
      <c r="A110" t="str">
        <f t="shared" si="3"/>
        <v/>
      </c>
      <c r="B110" t="str">
        <f t="shared" si="4"/>
        <v/>
      </c>
      <c r="C110" t="str">
        <f t="shared" si="5"/>
        <v/>
      </c>
      <c r="I110" s="2"/>
    </row>
    <row r="111" spans="1:9" x14ac:dyDescent="0.4">
      <c r="A111" t="str">
        <f t="shared" si="3"/>
        <v/>
      </c>
      <c r="B111" t="str">
        <f t="shared" si="4"/>
        <v/>
      </c>
      <c r="C111" t="str">
        <f t="shared" si="5"/>
        <v/>
      </c>
      <c r="I111" s="2"/>
    </row>
    <row r="112" spans="1:9" x14ac:dyDescent="0.4">
      <c r="A112" t="str">
        <f t="shared" si="3"/>
        <v/>
      </c>
      <c r="B112" t="str">
        <f t="shared" si="4"/>
        <v/>
      </c>
      <c r="C112" t="str">
        <f t="shared" si="5"/>
        <v/>
      </c>
      <c r="I112" s="2"/>
    </row>
    <row r="113" spans="1:9" x14ac:dyDescent="0.4">
      <c r="A113" t="str">
        <f t="shared" si="3"/>
        <v/>
      </c>
      <c r="B113" t="str">
        <f t="shared" si="4"/>
        <v/>
      </c>
      <c r="C113" t="str">
        <f t="shared" si="5"/>
        <v/>
      </c>
      <c r="I113" s="2"/>
    </row>
    <row r="114" spans="1:9" x14ac:dyDescent="0.4">
      <c r="A114" t="str">
        <f t="shared" si="3"/>
        <v/>
      </c>
      <c r="B114" t="str">
        <f t="shared" si="4"/>
        <v/>
      </c>
      <c r="C114" t="str">
        <f t="shared" si="5"/>
        <v/>
      </c>
      <c r="I114" s="2"/>
    </row>
    <row r="115" spans="1:9" x14ac:dyDescent="0.4">
      <c r="A115" t="str">
        <f t="shared" si="3"/>
        <v/>
      </c>
      <c r="B115" t="str">
        <f t="shared" si="4"/>
        <v/>
      </c>
      <c r="C115" t="str">
        <f t="shared" si="5"/>
        <v/>
      </c>
      <c r="I115" s="2"/>
    </row>
    <row r="116" spans="1:9" x14ac:dyDescent="0.4">
      <c r="A116" t="str">
        <f t="shared" si="3"/>
        <v/>
      </c>
      <c r="B116" t="str">
        <f t="shared" si="4"/>
        <v/>
      </c>
      <c r="C116" t="str">
        <f t="shared" si="5"/>
        <v/>
      </c>
      <c r="I116" s="2"/>
    </row>
    <row r="117" spans="1:9" x14ac:dyDescent="0.4">
      <c r="A117" t="str">
        <f t="shared" si="3"/>
        <v/>
      </c>
      <c r="B117" t="str">
        <f t="shared" si="4"/>
        <v/>
      </c>
      <c r="C117" t="str">
        <f t="shared" si="5"/>
        <v/>
      </c>
      <c r="I117" s="2"/>
    </row>
    <row r="118" spans="1:9" x14ac:dyDescent="0.4">
      <c r="A118" t="str">
        <f t="shared" si="3"/>
        <v/>
      </c>
      <c r="B118" t="str">
        <f t="shared" si="4"/>
        <v/>
      </c>
      <c r="C118" t="str">
        <f t="shared" si="5"/>
        <v/>
      </c>
      <c r="I118" s="2"/>
    </row>
    <row r="119" spans="1:9" x14ac:dyDescent="0.4">
      <c r="A119" t="str">
        <f t="shared" si="3"/>
        <v/>
      </c>
      <c r="B119" t="str">
        <f t="shared" si="4"/>
        <v/>
      </c>
      <c r="C119" t="str">
        <f t="shared" si="5"/>
        <v/>
      </c>
      <c r="I119" s="2"/>
    </row>
    <row r="120" spans="1:9" x14ac:dyDescent="0.4">
      <c r="A120" t="str">
        <f t="shared" si="3"/>
        <v/>
      </c>
      <c r="B120" t="str">
        <f t="shared" si="4"/>
        <v/>
      </c>
      <c r="C120" t="str">
        <f t="shared" si="5"/>
        <v/>
      </c>
      <c r="I120" s="2"/>
    </row>
    <row r="121" spans="1:9" x14ac:dyDescent="0.4">
      <c r="A121" t="str">
        <f t="shared" si="3"/>
        <v/>
      </c>
      <c r="B121" t="str">
        <f t="shared" si="4"/>
        <v/>
      </c>
      <c r="C121" t="str">
        <f t="shared" si="5"/>
        <v/>
      </c>
      <c r="I121" s="2"/>
    </row>
    <row r="122" spans="1:9" x14ac:dyDescent="0.4">
      <c r="A122" t="str">
        <f t="shared" si="3"/>
        <v/>
      </c>
      <c r="B122" t="str">
        <f t="shared" si="4"/>
        <v/>
      </c>
      <c r="C122" t="str">
        <f t="shared" si="5"/>
        <v/>
      </c>
      <c r="I122" s="2"/>
    </row>
    <row r="123" spans="1:9" x14ac:dyDescent="0.4">
      <c r="A123" t="str">
        <f t="shared" si="3"/>
        <v/>
      </c>
      <c r="B123" t="str">
        <f t="shared" si="4"/>
        <v/>
      </c>
      <c r="C123" t="str">
        <f t="shared" si="5"/>
        <v/>
      </c>
      <c r="I123" s="2"/>
    </row>
    <row r="124" spans="1:9" x14ac:dyDescent="0.4">
      <c r="A124" t="str">
        <f t="shared" si="3"/>
        <v/>
      </c>
      <c r="B124" t="str">
        <f t="shared" si="4"/>
        <v/>
      </c>
      <c r="C124" t="str">
        <f t="shared" si="5"/>
        <v/>
      </c>
      <c r="I124" s="2"/>
    </row>
    <row r="125" spans="1:9" x14ac:dyDescent="0.4">
      <c r="A125" t="str">
        <f t="shared" si="3"/>
        <v/>
      </c>
      <c r="B125" t="str">
        <f t="shared" si="4"/>
        <v/>
      </c>
      <c r="C125" t="str">
        <f t="shared" si="5"/>
        <v/>
      </c>
      <c r="I125" s="2"/>
    </row>
    <row r="126" spans="1:9" x14ac:dyDescent="0.4">
      <c r="A126" t="str">
        <f t="shared" si="3"/>
        <v/>
      </c>
      <c r="B126" t="str">
        <f t="shared" si="4"/>
        <v/>
      </c>
      <c r="C126" t="str">
        <f t="shared" si="5"/>
        <v/>
      </c>
      <c r="I126" s="2"/>
    </row>
    <row r="127" spans="1:9" x14ac:dyDescent="0.4">
      <c r="A127" t="str">
        <f t="shared" si="3"/>
        <v/>
      </c>
      <c r="B127" t="str">
        <f t="shared" si="4"/>
        <v/>
      </c>
      <c r="C127" t="str">
        <f t="shared" si="5"/>
        <v/>
      </c>
      <c r="I127" s="2"/>
    </row>
    <row r="128" spans="1:9" x14ac:dyDescent="0.4">
      <c r="A128" t="str">
        <f t="shared" si="3"/>
        <v/>
      </c>
      <c r="B128" t="str">
        <f t="shared" si="4"/>
        <v/>
      </c>
      <c r="C128" t="str">
        <f t="shared" si="5"/>
        <v/>
      </c>
      <c r="I128" s="2"/>
    </row>
    <row r="129" spans="1:9" x14ac:dyDescent="0.4">
      <c r="A129" t="str">
        <f t="shared" si="3"/>
        <v/>
      </c>
      <c r="B129" t="str">
        <f t="shared" si="4"/>
        <v/>
      </c>
      <c r="C129" t="str">
        <f t="shared" si="5"/>
        <v/>
      </c>
      <c r="I129" s="2"/>
    </row>
    <row r="130" spans="1:9" x14ac:dyDescent="0.4">
      <c r="A130" t="str">
        <f t="shared" si="3"/>
        <v/>
      </c>
      <c r="B130" t="str">
        <f t="shared" si="4"/>
        <v/>
      </c>
      <c r="C130" t="str">
        <f t="shared" si="5"/>
        <v/>
      </c>
      <c r="I130" s="2"/>
    </row>
    <row r="131" spans="1:9" x14ac:dyDescent="0.4">
      <c r="A131" t="str">
        <f t="shared" ref="A131:A194" si="6">IF($F131="","",$F131&amp;"|"&amp;$H131)</f>
        <v/>
      </c>
      <c r="B131" t="str">
        <f t="shared" ref="B131:B194" si="7">IF(F131&lt;&gt;"",F131,"")</f>
        <v/>
      </c>
      <c r="C131" t="str">
        <f t="shared" ref="C131:C194" si="8">IF(H131&lt;&gt;"", H131, "")</f>
        <v/>
      </c>
      <c r="I131" s="2"/>
    </row>
    <row r="132" spans="1:9" x14ac:dyDescent="0.4">
      <c r="A132" t="str">
        <f t="shared" si="6"/>
        <v/>
      </c>
      <c r="B132" t="str">
        <f t="shared" si="7"/>
        <v/>
      </c>
      <c r="C132" t="str">
        <f t="shared" si="8"/>
        <v/>
      </c>
      <c r="I132" s="2"/>
    </row>
    <row r="133" spans="1:9" x14ac:dyDescent="0.4">
      <c r="A133" t="str">
        <f t="shared" si="6"/>
        <v/>
      </c>
      <c r="B133" t="str">
        <f t="shared" si="7"/>
        <v/>
      </c>
      <c r="C133" t="str">
        <f t="shared" si="8"/>
        <v/>
      </c>
      <c r="I133" s="2"/>
    </row>
    <row r="134" spans="1:9" x14ac:dyDescent="0.4">
      <c r="A134" t="str">
        <f t="shared" si="6"/>
        <v/>
      </c>
      <c r="B134" t="str">
        <f t="shared" si="7"/>
        <v/>
      </c>
      <c r="C134" t="str">
        <f t="shared" si="8"/>
        <v/>
      </c>
      <c r="I134" s="2"/>
    </row>
    <row r="135" spans="1:9" x14ac:dyDescent="0.4">
      <c r="A135" t="str">
        <f t="shared" si="6"/>
        <v/>
      </c>
      <c r="B135" t="str">
        <f t="shared" si="7"/>
        <v/>
      </c>
      <c r="C135" t="str">
        <f t="shared" si="8"/>
        <v/>
      </c>
      <c r="I135" s="2"/>
    </row>
    <row r="136" spans="1:9" x14ac:dyDescent="0.4">
      <c r="A136" t="str">
        <f t="shared" si="6"/>
        <v/>
      </c>
      <c r="B136" t="str">
        <f t="shared" si="7"/>
        <v/>
      </c>
      <c r="C136" t="str">
        <f t="shared" si="8"/>
        <v/>
      </c>
      <c r="I136" s="2"/>
    </row>
    <row r="137" spans="1:9" x14ac:dyDescent="0.4">
      <c r="A137" t="str">
        <f t="shared" si="6"/>
        <v/>
      </c>
      <c r="B137" t="str">
        <f t="shared" si="7"/>
        <v/>
      </c>
      <c r="C137" t="str">
        <f t="shared" si="8"/>
        <v/>
      </c>
      <c r="I137" s="2"/>
    </row>
    <row r="138" spans="1:9" x14ac:dyDescent="0.4">
      <c r="A138" t="str">
        <f t="shared" si="6"/>
        <v/>
      </c>
      <c r="B138" t="str">
        <f t="shared" si="7"/>
        <v/>
      </c>
      <c r="C138" t="str">
        <f t="shared" si="8"/>
        <v/>
      </c>
      <c r="I138" s="2"/>
    </row>
    <row r="139" spans="1:9" x14ac:dyDescent="0.4">
      <c r="A139" t="str">
        <f t="shared" si="6"/>
        <v/>
      </c>
      <c r="B139" t="str">
        <f t="shared" si="7"/>
        <v/>
      </c>
      <c r="C139" t="str">
        <f t="shared" si="8"/>
        <v/>
      </c>
      <c r="I139" s="2"/>
    </row>
    <row r="140" spans="1:9" x14ac:dyDescent="0.4">
      <c r="A140" t="str">
        <f t="shared" si="6"/>
        <v/>
      </c>
      <c r="B140" t="str">
        <f t="shared" si="7"/>
        <v/>
      </c>
      <c r="C140" t="str">
        <f t="shared" si="8"/>
        <v/>
      </c>
      <c r="E140" s="13"/>
      <c r="I140" s="2"/>
    </row>
    <row r="141" spans="1:9" x14ac:dyDescent="0.4">
      <c r="A141" t="str">
        <f t="shared" si="6"/>
        <v/>
      </c>
      <c r="B141" t="str">
        <f t="shared" si="7"/>
        <v/>
      </c>
      <c r="C141" t="str">
        <f t="shared" si="8"/>
        <v/>
      </c>
      <c r="E141" s="13"/>
      <c r="I141" s="2"/>
    </row>
    <row r="142" spans="1:9" x14ac:dyDescent="0.4">
      <c r="A142" t="str">
        <f t="shared" si="6"/>
        <v/>
      </c>
      <c r="B142" t="str">
        <f t="shared" si="7"/>
        <v/>
      </c>
      <c r="C142" t="str">
        <f t="shared" si="8"/>
        <v/>
      </c>
      <c r="E142" s="13"/>
      <c r="I142" s="2"/>
    </row>
    <row r="143" spans="1:9" x14ac:dyDescent="0.4">
      <c r="A143" t="str">
        <f t="shared" si="6"/>
        <v/>
      </c>
      <c r="B143" t="str">
        <f t="shared" si="7"/>
        <v/>
      </c>
      <c r="C143" t="str">
        <f t="shared" si="8"/>
        <v/>
      </c>
      <c r="E143" s="13"/>
      <c r="I143" s="2"/>
    </row>
    <row r="144" spans="1:9" x14ac:dyDescent="0.4">
      <c r="A144" t="str">
        <f t="shared" si="6"/>
        <v/>
      </c>
      <c r="B144" t="str">
        <f t="shared" si="7"/>
        <v/>
      </c>
      <c r="C144" t="str">
        <f t="shared" si="8"/>
        <v/>
      </c>
      <c r="E144" s="13"/>
      <c r="I144" s="2"/>
    </row>
    <row r="145" spans="1:9" x14ac:dyDescent="0.4">
      <c r="A145" t="str">
        <f t="shared" si="6"/>
        <v/>
      </c>
      <c r="B145" t="str">
        <f t="shared" si="7"/>
        <v/>
      </c>
      <c r="C145" t="str">
        <f t="shared" si="8"/>
        <v/>
      </c>
      <c r="E145" s="13"/>
      <c r="I145" s="2"/>
    </row>
    <row r="146" spans="1:9" x14ac:dyDescent="0.4">
      <c r="A146" t="str">
        <f t="shared" si="6"/>
        <v/>
      </c>
      <c r="B146" t="str">
        <f t="shared" si="7"/>
        <v/>
      </c>
      <c r="C146" t="str">
        <f t="shared" si="8"/>
        <v/>
      </c>
      <c r="I146" s="2"/>
    </row>
    <row r="147" spans="1:9" x14ac:dyDescent="0.4">
      <c r="A147" t="str">
        <f t="shared" si="6"/>
        <v/>
      </c>
      <c r="B147" t="str">
        <f t="shared" si="7"/>
        <v/>
      </c>
      <c r="C147" t="str">
        <f t="shared" si="8"/>
        <v/>
      </c>
      <c r="I147" s="2"/>
    </row>
    <row r="148" spans="1:9" x14ac:dyDescent="0.4">
      <c r="A148" t="str">
        <f t="shared" si="6"/>
        <v/>
      </c>
      <c r="B148" t="str">
        <f t="shared" si="7"/>
        <v/>
      </c>
      <c r="C148" t="str">
        <f t="shared" si="8"/>
        <v/>
      </c>
      <c r="I148" s="2"/>
    </row>
    <row r="149" spans="1:9" x14ac:dyDescent="0.4">
      <c r="A149" t="str">
        <f t="shared" si="6"/>
        <v/>
      </c>
      <c r="B149" t="str">
        <f t="shared" si="7"/>
        <v/>
      </c>
      <c r="C149" t="str">
        <f t="shared" si="8"/>
        <v/>
      </c>
      <c r="I149" s="2"/>
    </row>
    <row r="150" spans="1:9" x14ac:dyDescent="0.4">
      <c r="A150" t="str">
        <f t="shared" si="6"/>
        <v/>
      </c>
      <c r="B150" t="str">
        <f t="shared" si="7"/>
        <v/>
      </c>
      <c r="C150" t="str">
        <f t="shared" si="8"/>
        <v/>
      </c>
      <c r="I150" s="2"/>
    </row>
    <row r="151" spans="1:9" x14ac:dyDescent="0.4">
      <c r="A151" t="str">
        <f t="shared" si="6"/>
        <v/>
      </c>
      <c r="B151" t="str">
        <f t="shared" si="7"/>
        <v/>
      </c>
      <c r="C151" t="str">
        <f t="shared" si="8"/>
        <v/>
      </c>
      <c r="I151" s="2"/>
    </row>
    <row r="152" spans="1:9" x14ac:dyDescent="0.4">
      <c r="A152" t="str">
        <f t="shared" si="6"/>
        <v/>
      </c>
      <c r="B152" t="str">
        <f t="shared" si="7"/>
        <v/>
      </c>
      <c r="C152" t="str">
        <f t="shared" si="8"/>
        <v/>
      </c>
      <c r="I152" s="2"/>
    </row>
    <row r="153" spans="1:9" x14ac:dyDescent="0.4">
      <c r="A153" t="str">
        <f t="shared" si="6"/>
        <v/>
      </c>
      <c r="B153" t="str">
        <f t="shared" si="7"/>
        <v/>
      </c>
      <c r="C153" t="str">
        <f t="shared" si="8"/>
        <v/>
      </c>
      <c r="I153" s="2"/>
    </row>
    <row r="154" spans="1:9" x14ac:dyDescent="0.4">
      <c r="A154" t="str">
        <f t="shared" si="6"/>
        <v/>
      </c>
      <c r="B154" t="str">
        <f t="shared" si="7"/>
        <v/>
      </c>
      <c r="C154" t="str">
        <f t="shared" si="8"/>
        <v/>
      </c>
      <c r="I154" s="2"/>
    </row>
    <row r="155" spans="1:9" x14ac:dyDescent="0.4">
      <c r="A155" t="str">
        <f t="shared" si="6"/>
        <v/>
      </c>
      <c r="B155" t="str">
        <f t="shared" si="7"/>
        <v/>
      </c>
      <c r="C155" t="str">
        <f t="shared" si="8"/>
        <v/>
      </c>
      <c r="I155" s="2"/>
    </row>
    <row r="156" spans="1:9" x14ac:dyDescent="0.4">
      <c r="A156" t="str">
        <f t="shared" si="6"/>
        <v/>
      </c>
      <c r="B156" t="str">
        <f t="shared" si="7"/>
        <v/>
      </c>
      <c r="C156" t="str">
        <f t="shared" si="8"/>
        <v/>
      </c>
      <c r="I156" s="2"/>
    </row>
    <row r="157" spans="1:9" x14ac:dyDescent="0.4">
      <c r="A157" t="str">
        <f t="shared" si="6"/>
        <v/>
      </c>
      <c r="B157" t="str">
        <f t="shared" si="7"/>
        <v/>
      </c>
      <c r="C157" t="str">
        <f t="shared" si="8"/>
        <v/>
      </c>
      <c r="I157" s="2"/>
    </row>
    <row r="158" spans="1:9" x14ac:dyDescent="0.4">
      <c r="A158" t="str">
        <f t="shared" si="6"/>
        <v/>
      </c>
      <c r="B158" t="str">
        <f t="shared" si="7"/>
        <v/>
      </c>
      <c r="C158" t="str">
        <f t="shared" si="8"/>
        <v/>
      </c>
      <c r="I158" s="2"/>
    </row>
    <row r="159" spans="1:9" x14ac:dyDescent="0.4">
      <c r="A159" t="str">
        <f t="shared" si="6"/>
        <v/>
      </c>
      <c r="B159" t="str">
        <f t="shared" si="7"/>
        <v/>
      </c>
      <c r="C159" t="str">
        <f t="shared" si="8"/>
        <v/>
      </c>
      <c r="I159" s="2"/>
    </row>
    <row r="160" spans="1:9" x14ac:dyDescent="0.4">
      <c r="A160" t="str">
        <f t="shared" si="6"/>
        <v/>
      </c>
      <c r="B160" t="str">
        <f t="shared" si="7"/>
        <v/>
      </c>
      <c r="C160" t="str">
        <f t="shared" si="8"/>
        <v/>
      </c>
      <c r="I160" s="2"/>
    </row>
    <row r="161" spans="1:9" x14ac:dyDescent="0.4">
      <c r="A161" t="str">
        <f t="shared" si="6"/>
        <v/>
      </c>
      <c r="B161" t="str">
        <f t="shared" si="7"/>
        <v/>
      </c>
      <c r="C161" t="str">
        <f t="shared" si="8"/>
        <v/>
      </c>
      <c r="I161" s="2"/>
    </row>
    <row r="162" spans="1:9" x14ac:dyDescent="0.4">
      <c r="A162" t="str">
        <f t="shared" si="6"/>
        <v/>
      </c>
      <c r="B162" t="str">
        <f t="shared" si="7"/>
        <v/>
      </c>
      <c r="C162" t="str">
        <f t="shared" si="8"/>
        <v/>
      </c>
      <c r="I162" s="2"/>
    </row>
    <row r="163" spans="1:9" x14ac:dyDescent="0.4">
      <c r="A163" t="str">
        <f t="shared" si="6"/>
        <v/>
      </c>
      <c r="B163" t="str">
        <f t="shared" si="7"/>
        <v/>
      </c>
      <c r="C163" t="str">
        <f t="shared" si="8"/>
        <v/>
      </c>
      <c r="I163" s="2"/>
    </row>
    <row r="164" spans="1:9" x14ac:dyDescent="0.4">
      <c r="A164" t="str">
        <f t="shared" si="6"/>
        <v/>
      </c>
      <c r="B164" t="str">
        <f t="shared" si="7"/>
        <v/>
      </c>
      <c r="C164" t="str">
        <f t="shared" si="8"/>
        <v/>
      </c>
      <c r="I164" s="2"/>
    </row>
    <row r="165" spans="1:9" x14ac:dyDescent="0.4">
      <c r="A165" t="str">
        <f t="shared" si="6"/>
        <v/>
      </c>
      <c r="B165" t="str">
        <f t="shared" si="7"/>
        <v/>
      </c>
      <c r="C165" t="str">
        <f t="shared" si="8"/>
        <v/>
      </c>
      <c r="I165" s="2"/>
    </row>
    <row r="166" spans="1:9" x14ac:dyDescent="0.4">
      <c r="A166" t="str">
        <f t="shared" si="6"/>
        <v/>
      </c>
      <c r="B166" t="str">
        <f t="shared" si="7"/>
        <v/>
      </c>
      <c r="C166" t="str">
        <f t="shared" si="8"/>
        <v/>
      </c>
      <c r="I166" s="2"/>
    </row>
    <row r="167" spans="1:9" x14ac:dyDescent="0.4">
      <c r="A167" t="str">
        <f t="shared" si="6"/>
        <v/>
      </c>
      <c r="B167" t="str">
        <f t="shared" si="7"/>
        <v/>
      </c>
      <c r="C167" t="str">
        <f t="shared" si="8"/>
        <v/>
      </c>
      <c r="I167" s="2"/>
    </row>
    <row r="168" spans="1:9" x14ac:dyDescent="0.4">
      <c r="A168" t="str">
        <f t="shared" si="6"/>
        <v/>
      </c>
      <c r="B168" t="str">
        <f t="shared" si="7"/>
        <v/>
      </c>
      <c r="C168" t="str">
        <f t="shared" si="8"/>
        <v/>
      </c>
      <c r="I168" s="2"/>
    </row>
    <row r="169" spans="1:9" x14ac:dyDescent="0.4">
      <c r="A169" t="str">
        <f t="shared" si="6"/>
        <v/>
      </c>
      <c r="B169" t="str">
        <f t="shared" si="7"/>
        <v/>
      </c>
      <c r="C169" t="str">
        <f t="shared" si="8"/>
        <v/>
      </c>
      <c r="I169" s="2"/>
    </row>
    <row r="170" spans="1:9" x14ac:dyDescent="0.4">
      <c r="A170" t="str">
        <f t="shared" si="6"/>
        <v/>
      </c>
      <c r="B170" t="str">
        <f t="shared" si="7"/>
        <v/>
      </c>
      <c r="C170" t="str">
        <f t="shared" si="8"/>
        <v/>
      </c>
      <c r="I170" s="2"/>
    </row>
    <row r="171" spans="1:9" x14ac:dyDescent="0.4">
      <c r="A171" t="str">
        <f t="shared" si="6"/>
        <v/>
      </c>
      <c r="B171" t="str">
        <f t="shared" si="7"/>
        <v/>
      </c>
      <c r="C171" t="str">
        <f t="shared" si="8"/>
        <v/>
      </c>
      <c r="I171" s="2"/>
    </row>
    <row r="172" spans="1:9" x14ac:dyDescent="0.4">
      <c r="A172" t="str">
        <f t="shared" si="6"/>
        <v/>
      </c>
      <c r="B172" t="str">
        <f t="shared" si="7"/>
        <v/>
      </c>
      <c r="C172" t="str">
        <f t="shared" si="8"/>
        <v/>
      </c>
      <c r="I172" s="2"/>
    </row>
    <row r="173" spans="1:9" x14ac:dyDescent="0.4">
      <c r="A173" t="str">
        <f t="shared" si="6"/>
        <v/>
      </c>
      <c r="B173" t="str">
        <f t="shared" si="7"/>
        <v/>
      </c>
      <c r="C173" t="str">
        <f t="shared" si="8"/>
        <v/>
      </c>
      <c r="I173" s="2"/>
    </row>
    <row r="174" spans="1:9" x14ac:dyDescent="0.4">
      <c r="A174" t="str">
        <f t="shared" si="6"/>
        <v/>
      </c>
      <c r="B174" t="str">
        <f t="shared" si="7"/>
        <v/>
      </c>
      <c r="C174" t="str">
        <f t="shared" si="8"/>
        <v/>
      </c>
      <c r="I174" s="2"/>
    </row>
    <row r="175" spans="1:9" x14ac:dyDescent="0.4">
      <c r="A175" t="str">
        <f t="shared" si="6"/>
        <v/>
      </c>
      <c r="B175" t="str">
        <f t="shared" si="7"/>
        <v/>
      </c>
      <c r="C175" t="str">
        <f t="shared" si="8"/>
        <v/>
      </c>
      <c r="I175" s="2"/>
    </row>
    <row r="176" spans="1:9" x14ac:dyDescent="0.4">
      <c r="A176" t="str">
        <f t="shared" si="6"/>
        <v/>
      </c>
      <c r="B176" t="str">
        <f t="shared" si="7"/>
        <v/>
      </c>
      <c r="C176" t="str">
        <f t="shared" si="8"/>
        <v/>
      </c>
      <c r="I176" s="2"/>
    </row>
    <row r="177" spans="1:9" x14ac:dyDescent="0.4">
      <c r="A177" t="str">
        <f t="shared" si="6"/>
        <v/>
      </c>
      <c r="B177" t="str">
        <f t="shared" si="7"/>
        <v/>
      </c>
      <c r="C177" t="str">
        <f t="shared" si="8"/>
        <v/>
      </c>
      <c r="I177" s="2"/>
    </row>
    <row r="178" spans="1:9" x14ac:dyDescent="0.4">
      <c r="A178" t="str">
        <f t="shared" si="6"/>
        <v/>
      </c>
      <c r="B178" t="str">
        <f t="shared" si="7"/>
        <v/>
      </c>
      <c r="C178" t="str">
        <f t="shared" si="8"/>
        <v/>
      </c>
      <c r="I178" s="2"/>
    </row>
    <row r="179" spans="1:9" x14ac:dyDescent="0.4">
      <c r="A179" t="str">
        <f t="shared" si="6"/>
        <v/>
      </c>
      <c r="B179" t="str">
        <f t="shared" si="7"/>
        <v/>
      </c>
      <c r="C179" t="str">
        <f t="shared" si="8"/>
        <v/>
      </c>
      <c r="I179" s="2"/>
    </row>
    <row r="180" spans="1:9" x14ac:dyDescent="0.4">
      <c r="A180" t="str">
        <f t="shared" si="6"/>
        <v/>
      </c>
      <c r="B180" t="str">
        <f t="shared" si="7"/>
        <v/>
      </c>
      <c r="C180" t="str">
        <f t="shared" si="8"/>
        <v/>
      </c>
      <c r="I180" s="2"/>
    </row>
    <row r="181" spans="1:9" x14ac:dyDescent="0.4">
      <c r="A181" t="str">
        <f t="shared" si="6"/>
        <v/>
      </c>
      <c r="B181" t="str">
        <f t="shared" si="7"/>
        <v/>
      </c>
      <c r="C181" t="str">
        <f t="shared" si="8"/>
        <v/>
      </c>
      <c r="I181" s="2"/>
    </row>
    <row r="182" spans="1:9" x14ac:dyDescent="0.4">
      <c r="A182" t="str">
        <f t="shared" si="6"/>
        <v/>
      </c>
      <c r="B182" t="str">
        <f t="shared" si="7"/>
        <v/>
      </c>
      <c r="C182" t="str">
        <f t="shared" si="8"/>
        <v/>
      </c>
      <c r="I182" s="2"/>
    </row>
    <row r="183" spans="1:9" x14ac:dyDescent="0.4">
      <c r="A183" t="str">
        <f t="shared" si="6"/>
        <v/>
      </c>
      <c r="B183" t="str">
        <f t="shared" si="7"/>
        <v/>
      </c>
      <c r="C183" t="str">
        <f t="shared" si="8"/>
        <v/>
      </c>
      <c r="I183" s="2"/>
    </row>
    <row r="184" spans="1:9" x14ac:dyDescent="0.4">
      <c r="A184" t="str">
        <f t="shared" si="6"/>
        <v/>
      </c>
      <c r="B184" t="str">
        <f t="shared" si="7"/>
        <v/>
      </c>
      <c r="C184" t="str">
        <f t="shared" si="8"/>
        <v/>
      </c>
      <c r="I184" s="2"/>
    </row>
    <row r="185" spans="1:9" x14ac:dyDescent="0.4">
      <c r="A185" t="str">
        <f t="shared" si="6"/>
        <v/>
      </c>
      <c r="B185" t="str">
        <f t="shared" si="7"/>
        <v/>
      </c>
      <c r="C185" t="str">
        <f t="shared" si="8"/>
        <v/>
      </c>
      <c r="I185" s="2"/>
    </row>
    <row r="186" spans="1:9" x14ac:dyDescent="0.4">
      <c r="A186" t="str">
        <f t="shared" si="6"/>
        <v/>
      </c>
      <c r="B186" t="str">
        <f t="shared" si="7"/>
        <v/>
      </c>
      <c r="C186" t="str">
        <f t="shared" si="8"/>
        <v/>
      </c>
      <c r="I186" s="2"/>
    </row>
    <row r="187" spans="1:9" x14ac:dyDescent="0.4">
      <c r="A187" t="str">
        <f t="shared" si="6"/>
        <v/>
      </c>
      <c r="B187" t="str">
        <f t="shared" si="7"/>
        <v/>
      </c>
      <c r="C187" t="str">
        <f t="shared" si="8"/>
        <v/>
      </c>
      <c r="I187" s="2"/>
    </row>
    <row r="188" spans="1:9" x14ac:dyDescent="0.4">
      <c r="A188" t="str">
        <f t="shared" si="6"/>
        <v/>
      </c>
      <c r="B188" t="str">
        <f t="shared" si="7"/>
        <v/>
      </c>
      <c r="C188" t="str">
        <f t="shared" si="8"/>
        <v/>
      </c>
      <c r="I188" s="2"/>
    </row>
    <row r="189" spans="1:9" x14ac:dyDescent="0.4">
      <c r="A189" t="str">
        <f t="shared" si="6"/>
        <v/>
      </c>
      <c r="B189" t="str">
        <f t="shared" si="7"/>
        <v/>
      </c>
      <c r="C189" t="str">
        <f t="shared" si="8"/>
        <v/>
      </c>
      <c r="I189" s="2"/>
    </row>
    <row r="190" spans="1:9" x14ac:dyDescent="0.4">
      <c r="A190" t="str">
        <f t="shared" si="6"/>
        <v/>
      </c>
      <c r="B190" t="str">
        <f t="shared" si="7"/>
        <v/>
      </c>
      <c r="C190" t="str">
        <f t="shared" si="8"/>
        <v/>
      </c>
      <c r="I190" s="2"/>
    </row>
    <row r="191" spans="1:9" x14ac:dyDescent="0.4">
      <c r="A191" t="str">
        <f t="shared" si="6"/>
        <v/>
      </c>
      <c r="B191" t="str">
        <f t="shared" si="7"/>
        <v/>
      </c>
      <c r="C191" t="str">
        <f t="shared" si="8"/>
        <v/>
      </c>
      <c r="I191" s="2"/>
    </row>
    <row r="192" spans="1:9" x14ac:dyDescent="0.4">
      <c r="A192" t="str">
        <f t="shared" si="6"/>
        <v/>
      </c>
      <c r="B192" t="str">
        <f t="shared" si="7"/>
        <v/>
      </c>
      <c r="C192" t="str">
        <f t="shared" si="8"/>
        <v/>
      </c>
      <c r="I192" s="2"/>
    </row>
    <row r="193" spans="1:9" x14ac:dyDescent="0.4">
      <c r="A193" t="str">
        <f t="shared" si="6"/>
        <v/>
      </c>
      <c r="B193" t="str">
        <f t="shared" si="7"/>
        <v/>
      </c>
      <c r="C193" t="str">
        <f t="shared" si="8"/>
        <v/>
      </c>
      <c r="I193" s="2"/>
    </row>
    <row r="194" spans="1:9" x14ac:dyDescent="0.4">
      <c r="A194" t="str">
        <f t="shared" si="6"/>
        <v/>
      </c>
      <c r="B194" t="str">
        <f t="shared" si="7"/>
        <v/>
      </c>
      <c r="C194" t="str">
        <f t="shared" si="8"/>
        <v/>
      </c>
      <c r="I194" s="2"/>
    </row>
    <row r="195" spans="1:9" x14ac:dyDescent="0.4">
      <c r="A195" t="str">
        <f t="shared" ref="A195:A258" si="9">IF($F195="","",$F195&amp;"|"&amp;$H195)</f>
        <v/>
      </c>
      <c r="B195" t="str">
        <f t="shared" ref="B195:B258" si="10">IF(F195&lt;&gt;"",F195,"")</f>
        <v/>
      </c>
      <c r="C195" t="str">
        <f t="shared" ref="C195:C258" si="11">IF(H195&lt;&gt;"", H195, "")</f>
        <v/>
      </c>
      <c r="I195" s="2"/>
    </row>
    <row r="196" spans="1:9" x14ac:dyDescent="0.4">
      <c r="A196" t="str">
        <f t="shared" si="9"/>
        <v/>
      </c>
      <c r="B196" t="str">
        <f t="shared" si="10"/>
        <v/>
      </c>
      <c r="C196" t="str">
        <f t="shared" si="11"/>
        <v/>
      </c>
      <c r="I196" s="2"/>
    </row>
    <row r="197" spans="1:9" x14ac:dyDescent="0.4">
      <c r="A197" t="str">
        <f t="shared" si="9"/>
        <v/>
      </c>
      <c r="B197" t="str">
        <f t="shared" si="10"/>
        <v/>
      </c>
      <c r="C197" t="str">
        <f t="shared" si="11"/>
        <v/>
      </c>
      <c r="I197" s="2"/>
    </row>
    <row r="198" spans="1:9" x14ac:dyDescent="0.4">
      <c r="A198" t="str">
        <f t="shared" si="9"/>
        <v/>
      </c>
      <c r="B198" t="str">
        <f t="shared" si="10"/>
        <v/>
      </c>
      <c r="C198" t="str">
        <f t="shared" si="11"/>
        <v/>
      </c>
      <c r="I198" s="2"/>
    </row>
    <row r="199" spans="1:9" x14ac:dyDescent="0.4">
      <c r="A199" t="str">
        <f t="shared" si="9"/>
        <v/>
      </c>
      <c r="B199" t="str">
        <f t="shared" si="10"/>
        <v/>
      </c>
      <c r="C199" t="str">
        <f t="shared" si="11"/>
        <v/>
      </c>
      <c r="I199" s="2"/>
    </row>
    <row r="200" spans="1:9" x14ac:dyDescent="0.4">
      <c r="A200" t="str">
        <f t="shared" si="9"/>
        <v/>
      </c>
      <c r="B200" t="str">
        <f t="shared" si="10"/>
        <v/>
      </c>
      <c r="C200" t="str">
        <f t="shared" si="11"/>
        <v/>
      </c>
      <c r="I200" s="2"/>
    </row>
    <row r="201" spans="1:9" x14ac:dyDescent="0.4">
      <c r="A201" t="str">
        <f t="shared" si="9"/>
        <v/>
      </c>
      <c r="B201" t="str">
        <f t="shared" si="10"/>
        <v/>
      </c>
      <c r="C201" t="str">
        <f t="shared" si="11"/>
        <v/>
      </c>
      <c r="I201" s="2"/>
    </row>
    <row r="202" spans="1:9" x14ac:dyDescent="0.4">
      <c r="A202" t="str">
        <f t="shared" si="9"/>
        <v/>
      </c>
      <c r="B202" t="str">
        <f t="shared" si="10"/>
        <v/>
      </c>
      <c r="C202" t="str">
        <f t="shared" si="11"/>
        <v/>
      </c>
      <c r="I202" s="2"/>
    </row>
    <row r="203" spans="1:9" x14ac:dyDescent="0.4">
      <c r="A203" t="str">
        <f t="shared" si="9"/>
        <v/>
      </c>
      <c r="B203" t="str">
        <f t="shared" si="10"/>
        <v/>
      </c>
      <c r="C203" t="str">
        <f t="shared" si="11"/>
        <v/>
      </c>
      <c r="I203" s="2"/>
    </row>
    <row r="204" spans="1:9" x14ac:dyDescent="0.4">
      <c r="A204" t="str">
        <f t="shared" si="9"/>
        <v/>
      </c>
      <c r="B204" t="str">
        <f t="shared" si="10"/>
        <v/>
      </c>
      <c r="C204" t="str">
        <f t="shared" si="11"/>
        <v/>
      </c>
      <c r="I204" s="2"/>
    </row>
    <row r="205" spans="1:9" x14ac:dyDescent="0.4">
      <c r="A205" t="str">
        <f t="shared" si="9"/>
        <v/>
      </c>
      <c r="B205" t="str">
        <f t="shared" si="10"/>
        <v/>
      </c>
      <c r="C205" t="str">
        <f t="shared" si="11"/>
        <v/>
      </c>
      <c r="I205" s="2"/>
    </row>
    <row r="206" spans="1:9" x14ac:dyDescent="0.4">
      <c r="A206" t="str">
        <f t="shared" si="9"/>
        <v/>
      </c>
      <c r="B206" t="str">
        <f t="shared" si="10"/>
        <v/>
      </c>
      <c r="C206" t="str">
        <f t="shared" si="11"/>
        <v/>
      </c>
      <c r="I206" s="2"/>
    </row>
    <row r="207" spans="1:9" x14ac:dyDescent="0.4">
      <c r="A207" t="str">
        <f t="shared" si="9"/>
        <v/>
      </c>
      <c r="B207" t="str">
        <f t="shared" si="10"/>
        <v/>
      </c>
      <c r="C207" t="str">
        <f t="shared" si="11"/>
        <v/>
      </c>
      <c r="I207" s="2"/>
    </row>
    <row r="208" spans="1:9" x14ac:dyDescent="0.4">
      <c r="A208" t="str">
        <f t="shared" si="9"/>
        <v/>
      </c>
      <c r="B208" t="str">
        <f t="shared" si="10"/>
        <v/>
      </c>
      <c r="C208" t="str">
        <f t="shared" si="11"/>
        <v/>
      </c>
      <c r="I208" s="2"/>
    </row>
    <row r="209" spans="1:9" x14ac:dyDescent="0.4">
      <c r="A209" t="str">
        <f t="shared" si="9"/>
        <v/>
      </c>
      <c r="B209" t="str">
        <f t="shared" si="10"/>
        <v/>
      </c>
      <c r="C209" t="str">
        <f t="shared" si="11"/>
        <v/>
      </c>
      <c r="I209" s="2"/>
    </row>
    <row r="210" spans="1:9" x14ac:dyDescent="0.4">
      <c r="A210" t="str">
        <f t="shared" si="9"/>
        <v/>
      </c>
      <c r="B210" t="str">
        <f t="shared" si="10"/>
        <v/>
      </c>
      <c r="C210" t="str">
        <f t="shared" si="11"/>
        <v/>
      </c>
      <c r="I210" s="2"/>
    </row>
    <row r="211" spans="1:9" x14ac:dyDescent="0.4">
      <c r="A211" t="str">
        <f t="shared" si="9"/>
        <v/>
      </c>
      <c r="B211" t="str">
        <f t="shared" si="10"/>
        <v/>
      </c>
      <c r="C211" t="str">
        <f t="shared" si="11"/>
        <v/>
      </c>
      <c r="I211" s="2"/>
    </row>
    <row r="212" spans="1:9" x14ac:dyDescent="0.4">
      <c r="A212" t="str">
        <f t="shared" si="9"/>
        <v/>
      </c>
      <c r="B212" t="str">
        <f t="shared" si="10"/>
        <v/>
      </c>
      <c r="C212" t="str">
        <f t="shared" si="11"/>
        <v/>
      </c>
      <c r="I212" s="2"/>
    </row>
    <row r="213" spans="1:9" x14ac:dyDescent="0.4">
      <c r="A213" t="str">
        <f t="shared" si="9"/>
        <v/>
      </c>
      <c r="B213" t="str">
        <f t="shared" si="10"/>
        <v/>
      </c>
      <c r="C213" t="str">
        <f t="shared" si="11"/>
        <v/>
      </c>
      <c r="I213" s="2"/>
    </row>
    <row r="214" spans="1:9" x14ac:dyDescent="0.4">
      <c r="A214" t="str">
        <f t="shared" si="9"/>
        <v/>
      </c>
      <c r="B214" t="str">
        <f t="shared" si="10"/>
        <v/>
      </c>
      <c r="C214" t="str">
        <f t="shared" si="11"/>
        <v/>
      </c>
      <c r="I214" s="2"/>
    </row>
    <row r="215" spans="1:9" x14ac:dyDescent="0.4">
      <c r="A215" t="str">
        <f t="shared" si="9"/>
        <v/>
      </c>
      <c r="B215" t="str">
        <f t="shared" si="10"/>
        <v/>
      </c>
      <c r="C215" t="str">
        <f t="shared" si="11"/>
        <v/>
      </c>
      <c r="I215" s="2"/>
    </row>
    <row r="216" spans="1:9" x14ac:dyDescent="0.4">
      <c r="A216" t="str">
        <f t="shared" si="9"/>
        <v/>
      </c>
      <c r="B216" t="str">
        <f t="shared" si="10"/>
        <v/>
      </c>
      <c r="C216" t="str">
        <f t="shared" si="11"/>
        <v/>
      </c>
      <c r="I216" s="2"/>
    </row>
    <row r="217" spans="1:9" x14ac:dyDescent="0.4">
      <c r="A217" t="str">
        <f t="shared" si="9"/>
        <v/>
      </c>
      <c r="B217" t="str">
        <f t="shared" si="10"/>
        <v/>
      </c>
      <c r="C217" t="str">
        <f t="shared" si="11"/>
        <v/>
      </c>
      <c r="I217" s="2"/>
    </row>
    <row r="218" spans="1:9" x14ac:dyDescent="0.4">
      <c r="A218" t="str">
        <f t="shared" si="9"/>
        <v/>
      </c>
      <c r="B218" t="str">
        <f t="shared" si="10"/>
        <v/>
      </c>
      <c r="C218" t="str">
        <f t="shared" si="11"/>
        <v/>
      </c>
      <c r="I218" s="2"/>
    </row>
    <row r="219" spans="1:9" x14ac:dyDescent="0.4">
      <c r="A219" t="str">
        <f t="shared" si="9"/>
        <v/>
      </c>
      <c r="B219" t="str">
        <f t="shared" si="10"/>
        <v/>
      </c>
      <c r="C219" t="str">
        <f t="shared" si="11"/>
        <v/>
      </c>
      <c r="I219" s="2"/>
    </row>
    <row r="220" spans="1:9" x14ac:dyDescent="0.4">
      <c r="A220" t="str">
        <f t="shared" si="9"/>
        <v/>
      </c>
      <c r="B220" t="str">
        <f t="shared" si="10"/>
        <v/>
      </c>
      <c r="C220" t="str">
        <f t="shared" si="11"/>
        <v/>
      </c>
      <c r="I220" s="2"/>
    </row>
    <row r="221" spans="1:9" x14ac:dyDescent="0.4">
      <c r="A221" t="str">
        <f t="shared" si="9"/>
        <v/>
      </c>
      <c r="B221" t="str">
        <f t="shared" si="10"/>
        <v/>
      </c>
      <c r="C221" t="str">
        <f t="shared" si="11"/>
        <v/>
      </c>
      <c r="I221" s="2"/>
    </row>
    <row r="222" spans="1:9" x14ac:dyDescent="0.4">
      <c r="A222" t="str">
        <f t="shared" si="9"/>
        <v/>
      </c>
      <c r="B222" t="str">
        <f t="shared" si="10"/>
        <v/>
      </c>
      <c r="C222" t="str">
        <f t="shared" si="11"/>
        <v/>
      </c>
      <c r="I222" s="2"/>
    </row>
    <row r="223" spans="1:9" x14ac:dyDescent="0.4">
      <c r="A223" t="str">
        <f t="shared" si="9"/>
        <v/>
      </c>
      <c r="B223" t="str">
        <f t="shared" si="10"/>
        <v/>
      </c>
      <c r="C223" t="str">
        <f t="shared" si="11"/>
        <v/>
      </c>
      <c r="I223" s="2"/>
    </row>
    <row r="224" spans="1:9" x14ac:dyDescent="0.4">
      <c r="A224" t="str">
        <f t="shared" si="9"/>
        <v/>
      </c>
      <c r="B224" t="str">
        <f t="shared" si="10"/>
        <v/>
      </c>
      <c r="C224" t="str">
        <f t="shared" si="11"/>
        <v/>
      </c>
      <c r="I224" s="2"/>
    </row>
    <row r="225" spans="1:9" x14ac:dyDescent="0.4">
      <c r="A225" t="str">
        <f t="shared" si="9"/>
        <v/>
      </c>
      <c r="B225" t="str">
        <f t="shared" si="10"/>
        <v/>
      </c>
      <c r="C225" t="str">
        <f t="shared" si="11"/>
        <v/>
      </c>
      <c r="I225" s="2"/>
    </row>
    <row r="226" spans="1:9" x14ac:dyDescent="0.4">
      <c r="A226" t="str">
        <f t="shared" si="9"/>
        <v/>
      </c>
      <c r="B226" t="str">
        <f t="shared" si="10"/>
        <v/>
      </c>
      <c r="C226" t="str">
        <f t="shared" si="11"/>
        <v/>
      </c>
      <c r="I226" s="2"/>
    </row>
    <row r="227" spans="1:9" x14ac:dyDescent="0.4">
      <c r="A227" t="str">
        <f t="shared" si="9"/>
        <v/>
      </c>
      <c r="B227" t="str">
        <f t="shared" si="10"/>
        <v/>
      </c>
      <c r="C227" t="str">
        <f t="shared" si="11"/>
        <v/>
      </c>
      <c r="I227" s="2"/>
    </row>
    <row r="228" spans="1:9" x14ac:dyDescent="0.4">
      <c r="A228" t="str">
        <f t="shared" si="9"/>
        <v/>
      </c>
      <c r="B228" t="str">
        <f t="shared" si="10"/>
        <v/>
      </c>
      <c r="C228" t="str">
        <f t="shared" si="11"/>
        <v/>
      </c>
      <c r="I228" s="2"/>
    </row>
    <row r="229" spans="1:9" x14ac:dyDescent="0.4">
      <c r="A229" t="str">
        <f t="shared" si="9"/>
        <v/>
      </c>
      <c r="B229" t="str">
        <f t="shared" si="10"/>
        <v/>
      </c>
      <c r="C229" t="str">
        <f t="shared" si="11"/>
        <v/>
      </c>
      <c r="I229" s="2"/>
    </row>
    <row r="230" spans="1:9" x14ac:dyDescent="0.4">
      <c r="A230" t="str">
        <f t="shared" si="9"/>
        <v/>
      </c>
      <c r="B230" t="str">
        <f t="shared" si="10"/>
        <v/>
      </c>
      <c r="C230" t="str">
        <f t="shared" si="11"/>
        <v/>
      </c>
      <c r="I230" s="2"/>
    </row>
    <row r="231" spans="1:9" x14ac:dyDescent="0.4">
      <c r="A231" t="str">
        <f t="shared" si="9"/>
        <v/>
      </c>
      <c r="B231" t="str">
        <f t="shared" si="10"/>
        <v/>
      </c>
      <c r="C231" t="str">
        <f t="shared" si="11"/>
        <v/>
      </c>
      <c r="I231" s="2"/>
    </row>
    <row r="232" spans="1:9" x14ac:dyDescent="0.4">
      <c r="A232" t="str">
        <f t="shared" si="9"/>
        <v/>
      </c>
      <c r="B232" t="str">
        <f t="shared" si="10"/>
        <v/>
      </c>
      <c r="C232" t="str">
        <f t="shared" si="11"/>
        <v/>
      </c>
      <c r="I232" s="2"/>
    </row>
    <row r="233" spans="1:9" x14ac:dyDescent="0.4">
      <c r="A233" t="str">
        <f t="shared" si="9"/>
        <v/>
      </c>
      <c r="B233" t="str">
        <f t="shared" si="10"/>
        <v/>
      </c>
      <c r="C233" t="str">
        <f t="shared" si="11"/>
        <v/>
      </c>
      <c r="I233" s="2"/>
    </row>
    <row r="234" spans="1:9" x14ac:dyDescent="0.4">
      <c r="A234" t="str">
        <f t="shared" si="9"/>
        <v/>
      </c>
      <c r="B234" t="str">
        <f t="shared" si="10"/>
        <v/>
      </c>
      <c r="C234" t="str">
        <f t="shared" si="11"/>
        <v/>
      </c>
      <c r="I234" s="2"/>
    </row>
    <row r="235" spans="1:9" x14ac:dyDescent="0.4">
      <c r="A235" t="str">
        <f t="shared" si="9"/>
        <v/>
      </c>
      <c r="B235" t="str">
        <f t="shared" si="10"/>
        <v/>
      </c>
      <c r="C235" t="str">
        <f t="shared" si="11"/>
        <v/>
      </c>
      <c r="I235" s="2"/>
    </row>
    <row r="236" spans="1:9" x14ac:dyDescent="0.4">
      <c r="A236" t="str">
        <f t="shared" si="9"/>
        <v/>
      </c>
      <c r="B236" t="str">
        <f t="shared" si="10"/>
        <v/>
      </c>
      <c r="C236" t="str">
        <f t="shared" si="11"/>
        <v/>
      </c>
      <c r="I236" s="2"/>
    </row>
    <row r="237" spans="1:9" x14ac:dyDescent="0.4">
      <c r="A237" t="str">
        <f t="shared" si="9"/>
        <v/>
      </c>
      <c r="B237" t="str">
        <f t="shared" si="10"/>
        <v/>
      </c>
      <c r="C237" t="str">
        <f t="shared" si="11"/>
        <v/>
      </c>
      <c r="I237" s="2"/>
    </row>
    <row r="238" spans="1:9" x14ac:dyDescent="0.4">
      <c r="A238" t="str">
        <f t="shared" si="9"/>
        <v/>
      </c>
      <c r="B238" t="str">
        <f t="shared" si="10"/>
        <v/>
      </c>
      <c r="C238" t="str">
        <f t="shared" si="11"/>
        <v/>
      </c>
      <c r="I238" s="2"/>
    </row>
    <row r="239" spans="1:9" x14ac:dyDescent="0.4">
      <c r="A239" t="str">
        <f t="shared" si="9"/>
        <v/>
      </c>
      <c r="B239" t="str">
        <f t="shared" si="10"/>
        <v/>
      </c>
      <c r="C239" t="str">
        <f t="shared" si="11"/>
        <v/>
      </c>
      <c r="I239" s="2"/>
    </row>
    <row r="240" spans="1:9" x14ac:dyDescent="0.4">
      <c r="A240" t="str">
        <f t="shared" si="9"/>
        <v/>
      </c>
      <c r="B240" t="str">
        <f t="shared" si="10"/>
        <v/>
      </c>
      <c r="C240" t="str">
        <f t="shared" si="11"/>
        <v/>
      </c>
      <c r="I240" s="2"/>
    </row>
    <row r="241" spans="1:9" x14ac:dyDescent="0.4">
      <c r="A241" t="str">
        <f t="shared" si="9"/>
        <v/>
      </c>
      <c r="B241" t="str">
        <f t="shared" si="10"/>
        <v/>
      </c>
      <c r="C241" t="str">
        <f t="shared" si="11"/>
        <v/>
      </c>
      <c r="I241" s="2"/>
    </row>
    <row r="242" spans="1:9" x14ac:dyDescent="0.4">
      <c r="A242" t="str">
        <f t="shared" si="9"/>
        <v/>
      </c>
      <c r="B242" t="str">
        <f t="shared" si="10"/>
        <v/>
      </c>
      <c r="C242" t="str">
        <f t="shared" si="11"/>
        <v/>
      </c>
      <c r="I242" s="2"/>
    </row>
    <row r="243" spans="1:9" x14ac:dyDescent="0.4">
      <c r="A243" t="str">
        <f t="shared" si="9"/>
        <v/>
      </c>
      <c r="B243" t="str">
        <f t="shared" si="10"/>
        <v/>
      </c>
      <c r="C243" t="str">
        <f t="shared" si="11"/>
        <v/>
      </c>
      <c r="I243" s="2"/>
    </row>
    <row r="244" spans="1:9" x14ac:dyDescent="0.4">
      <c r="A244" t="str">
        <f t="shared" si="9"/>
        <v/>
      </c>
      <c r="B244" t="str">
        <f t="shared" si="10"/>
        <v/>
      </c>
      <c r="C244" t="str">
        <f t="shared" si="11"/>
        <v/>
      </c>
      <c r="I244" s="2"/>
    </row>
    <row r="245" spans="1:9" x14ac:dyDescent="0.4">
      <c r="A245" t="str">
        <f t="shared" si="9"/>
        <v/>
      </c>
      <c r="B245" t="str">
        <f t="shared" si="10"/>
        <v/>
      </c>
      <c r="C245" t="str">
        <f t="shared" si="11"/>
        <v/>
      </c>
      <c r="I245" s="2"/>
    </row>
    <row r="246" spans="1:9" x14ac:dyDescent="0.4">
      <c r="A246" t="str">
        <f t="shared" si="9"/>
        <v/>
      </c>
      <c r="B246" t="str">
        <f t="shared" si="10"/>
        <v/>
      </c>
      <c r="C246" t="str">
        <f t="shared" si="11"/>
        <v/>
      </c>
      <c r="I246" s="2"/>
    </row>
    <row r="247" spans="1:9" x14ac:dyDescent="0.4">
      <c r="A247" t="str">
        <f t="shared" si="9"/>
        <v/>
      </c>
      <c r="B247" t="str">
        <f t="shared" si="10"/>
        <v/>
      </c>
      <c r="C247" t="str">
        <f t="shared" si="11"/>
        <v/>
      </c>
      <c r="I247" s="2"/>
    </row>
    <row r="248" spans="1:9" x14ac:dyDescent="0.4">
      <c r="A248" t="str">
        <f t="shared" si="9"/>
        <v/>
      </c>
      <c r="B248" t="str">
        <f t="shared" si="10"/>
        <v/>
      </c>
      <c r="C248" t="str">
        <f t="shared" si="11"/>
        <v/>
      </c>
      <c r="I248" s="2"/>
    </row>
    <row r="249" spans="1:9" x14ac:dyDescent="0.4">
      <c r="A249" t="str">
        <f t="shared" si="9"/>
        <v/>
      </c>
      <c r="B249" t="str">
        <f t="shared" si="10"/>
        <v/>
      </c>
      <c r="C249" t="str">
        <f t="shared" si="11"/>
        <v/>
      </c>
      <c r="I249" s="2"/>
    </row>
    <row r="250" spans="1:9" x14ac:dyDescent="0.4">
      <c r="A250" t="str">
        <f t="shared" si="9"/>
        <v/>
      </c>
      <c r="B250" t="str">
        <f t="shared" si="10"/>
        <v/>
      </c>
      <c r="C250" t="str">
        <f t="shared" si="11"/>
        <v/>
      </c>
      <c r="I250" s="2"/>
    </row>
    <row r="251" spans="1:9" x14ac:dyDescent="0.4">
      <c r="A251" t="str">
        <f t="shared" si="9"/>
        <v/>
      </c>
      <c r="B251" t="str">
        <f t="shared" si="10"/>
        <v/>
      </c>
      <c r="C251" t="str">
        <f t="shared" si="11"/>
        <v/>
      </c>
      <c r="I251" s="2"/>
    </row>
    <row r="252" spans="1:9" x14ac:dyDescent="0.4">
      <c r="A252" t="str">
        <f t="shared" si="9"/>
        <v/>
      </c>
      <c r="B252" t="str">
        <f t="shared" si="10"/>
        <v/>
      </c>
      <c r="C252" t="str">
        <f t="shared" si="11"/>
        <v/>
      </c>
      <c r="I252" s="2"/>
    </row>
    <row r="253" spans="1:9" x14ac:dyDescent="0.4">
      <c r="A253" t="str">
        <f t="shared" si="9"/>
        <v/>
      </c>
      <c r="B253" t="str">
        <f t="shared" si="10"/>
        <v/>
      </c>
      <c r="C253" t="str">
        <f t="shared" si="11"/>
        <v/>
      </c>
      <c r="I253" s="2"/>
    </row>
    <row r="254" spans="1:9" x14ac:dyDescent="0.4">
      <c r="A254" t="str">
        <f t="shared" si="9"/>
        <v/>
      </c>
      <c r="B254" t="str">
        <f t="shared" si="10"/>
        <v/>
      </c>
      <c r="C254" t="str">
        <f t="shared" si="11"/>
        <v/>
      </c>
      <c r="I254" s="2"/>
    </row>
    <row r="255" spans="1:9" x14ac:dyDescent="0.4">
      <c r="A255" t="str">
        <f t="shared" si="9"/>
        <v/>
      </c>
      <c r="B255" t="str">
        <f t="shared" si="10"/>
        <v/>
      </c>
      <c r="C255" t="str">
        <f t="shared" si="11"/>
        <v/>
      </c>
      <c r="I255" s="2"/>
    </row>
    <row r="256" spans="1:9" x14ac:dyDescent="0.4">
      <c r="A256" t="str">
        <f t="shared" si="9"/>
        <v/>
      </c>
      <c r="B256" t="str">
        <f t="shared" si="10"/>
        <v/>
      </c>
      <c r="C256" t="str">
        <f t="shared" si="11"/>
        <v/>
      </c>
      <c r="I256" s="2"/>
    </row>
    <row r="257" spans="1:9" x14ac:dyDescent="0.4">
      <c r="A257" t="str">
        <f t="shared" si="9"/>
        <v/>
      </c>
      <c r="B257" t="str">
        <f t="shared" si="10"/>
        <v/>
      </c>
      <c r="C257" t="str">
        <f t="shared" si="11"/>
        <v/>
      </c>
      <c r="I257" s="2"/>
    </row>
    <row r="258" spans="1:9" x14ac:dyDescent="0.4">
      <c r="A258" t="str">
        <f t="shared" si="9"/>
        <v/>
      </c>
      <c r="B258" t="str">
        <f t="shared" si="10"/>
        <v/>
      </c>
      <c r="C258" t="str">
        <f t="shared" si="11"/>
        <v/>
      </c>
      <c r="I258" s="2"/>
    </row>
    <row r="259" spans="1:9" x14ac:dyDescent="0.4">
      <c r="A259" t="str">
        <f t="shared" ref="A259:A322" si="12">IF($F259="","",$F259&amp;"|"&amp;$H259)</f>
        <v/>
      </c>
      <c r="B259" t="str">
        <f t="shared" ref="B259:B322" si="13">IF(F259&lt;&gt;"",F259,"")</f>
        <v/>
      </c>
      <c r="C259" t="str">
        <f t="shared" ref="C259:C322" si="14">IF(H259&lt;&gt;"", H259, "")</f>
        <v/>
      </c>
      <c r="I259" s="2"/>
    </row>
    <row r="260" spans="1:9" x14ac:dyDescent="0.4">
      <c r="A260" t="str">
        <f t="shared" si="12"/>
        <v/>
      </c>
      <c r="B260" t="str">
        <f t="shared" si="13"/>
        <v/>
      </c>
      <c r="C260" t="str">
        <f t="shared" si="14"/>
        <v/>
      </c>
      <c r="I260" s="2"/>
    </row>
    <row r="261" spans="1:9" x14ac:dyDescent="0.4">
      <c r="A261" t="str">
        <f t="shared" si="12"/>
        <v/>
      </c>
      <c r="B261" t="str">
        <f t="shared" si="13"/>
        <v/>
      </c>
      <c r="C261" t="str">
        <f t="shared" si="14"/>
        <v/>
      </c>
      <c r="I261" s="2"/>
    </row>
    <row r="262" spans="1:9" x14ac:dyDescent="0.4">
      <c r="A262" t="str">
        <f t="shared" si="12"/>
        <v/>
      </c>
      <c r="B262" t="str">
        <f t="shared" si="13"/>
        <v/>
      </c>
      <c r="C262" t="str">
        <f t="shared" si="14"/>
        <v/>
      </c>
      <c r="I262" s="2"/>
    </row>
    <row r="263" spans="1:9" x14ac:dyDescent="0.4">
      <c r="A263" t="str">
        <f t="shared" si="12"/>
        <v/>
      </c>
      <c r="B263" t="str">
        <f t="shared" si="13"/>
        <v/>
      </c>
      <c r="C263" t="str">
        <f t="shared" si="14"/>
        <v/>
      </c>
      <c r="I263" s="2"/>
    </row>
    <row r="264" spans="1:9" x14ac:dyDescent="0.4">
      <c r="A264" t="str">
        <f t="shared" si="12"/>
        <v/>
      </c>
      <c r="B264" t="str">
        <f t="shared" si="13"/>
        <v/>
      </c>
      <c r="C264" t="str">
        <f t="shared" si="14"/>
        <v/>
      </c>
      <c r="I264" s="2"/>
    </row>
    <row r="265" spans="1:9" x14ac:dyDescent="0.4">
      <c r="A265" t="str">
        <f t="shared" si="12"/>
        <v/>
      </c>
      <c r="B265" t="str">
        <f t="shared" si="13"/>
        <v/>
      </c>
      <c r="C265" t="str">
        <f t="shared" si="14"/>
        <v/>
      </c>
      <c r="I265" s="2"/>
    </row>
    <row r="266" spans="1:9" x14ac:dyDescent="0.4">
      <c r="A266" t="str">
        <f t="shared" si="12"/>
        <v/>
      </c>
      <c r="B266" t="str">
        <f t="shared" si="13"/>
        <v/>
      </c>
      <c r="C266" t="str">
        <f t="shared" si="14"/>
        <v/>
      </c>
      <c r="I266" s="2"/>
    </row>
    <row r="267" spans="1:9" x14ac:dyDescent="0.4">
      <c r="A267" t="str">
        <f t="shared" si="12"/>
        <v/>
      </c>
      <c r="B267" t="str">
        <f t="shared" si="13"/>
        <v/>
      </c>
      <c r="C267" t="str">
        <f t="shared" si="14"/>
        <v/>
      </c>
      <c r="I267" s="2"/>
    </row>
    <row r="268" spans="1:9" x14ac:dyDescent="0.4">
      <c r="A268" t="str">
        <f t="shared" si="12"/>
        <v/>
      </c>
      <c r="B268" t="str">
        <f t="shared" si="13"/>
        <v/>
      </c>
      <c r="C268" t="str">
        <f t="shared" si="14"/>
        <v/>
      </c>
      <c r="I268" s="2"/>
    </row>
    <row r="269" spans="1:9" x14ac:dyDescent="0.4">
      <c r="A269" t="str">
        <f t="shared" si="12"/>
        <v/>
      </c>
      <c r="B269" t="str">
        <f t="shared" si="13"/>
        <v/>
      </c>
      <c r="C269" t="str">
        <f t="shared" si="14"/>
        <v/>
      </c>
      <c r="I269" s="2"/>
    </row>
    <row r="270" spans="1:9" x14ac:dyDescent="0.4">
      <c r="A270" t="str">
        <f t="shared" si="12"/>
        <v/>
      </c>
      <c r="B270" t="str">
        <f t="shared" si="13"/>
        <v/>
      </c>
      <c r="C270" t="str">
        <f t="shared" si="14"/>
        <v/>
      </c>
      <c r="I270" s="2"/>
    </row>
    <row r="271" spans="1:9" x14ac:dyDescent="0.4">
      <c r="A271" t="str">
        <f t="shared" si="12"/>
        <v/>
      </c>
      <c r="B271" t="str">
        <f t="shared" si="13"/>
        <v/>
      </c>
      <c r="C271" t="str">
        <f t="shared" si="14"/>
        <v/>
      </c>
      <c r="I271" s="2"/>
    </row>
    <row r="272" spans="1:9" x14ac:dyDescent="0.4">
      <c r="A272" t="str">
        <f t="shared" si="12"/>
        <v/>
      </c>
      <c r="B272" t="str">
        <f t="shared" si="13"/>
        <v/>
      </c>
      <c r="C272" t="str">
        <f t="shared" si="14"/>
        <v/>
      </c>
      <c r="I272" s="2"/>
    </row>
    <row r="273" spans="1:9" x14ac:dyDescent="0.4">
      <c r="A273" t="str">
        <f t="shared" si="12"/>
        <v/>
      </c>
      <c r="B273" t="str">
        <f t="shared" si="13"/>
        <v/>
      </c>
      <c r="C273" t="str">
        <f t="shared" si="14"/>
        <v/>
      </c>
      <c r="I273" s="2"/>
    </row>
    <row r="274" spans="1:9" x14ac:dyDescent="0.4">
      <c r="A274" t="str">
        <f t="shared" si="12"/>
        <v/>
      </c>
      <c r="B274" t="str">
        <f t="shared" si="13"/>
        <v/>
      </c>
      <c r="C274" t="str">
        <f t="shared" si="14"/>
        <v/>
      </c>
      <c r="I274" s="2"/>
    </row>
    <row r="275" spans="1:9" x14ac:dyDescent="0.4">
      <c r="A275" t="str">
        <f t="shared" si="12"/>
        <v/>
      </c>
      <c r="B275" t="str">
        <f t="shared" si="13"/>
        <v/>
      </c>
      <c r="C275" t="str">
        <f t="shared" si="14"/>
        <v/>
      </c>
      <c r="I275" s="2"/>
    </row>
    <row r="276" spans="1:9" x14ac:dyDescent="0.4">
      <c r="A276" t="str">
        <f t="shared" si="12"/>
        <v/>
      </c>
      <c r="B276" t="str">
        <f t="shared" si="13"/>
        <v/>
      </c>
      <c r="C276" t="str">
        <f t="shared" si="14"/>
        <v/>
      </c>
      <c r="I276" s="2"/>
    </row>
    <row r="277" spans="1:9" x14ac:dyDescent="0.4">
      <c r="A277" t="str">
        <f t="shared" si="12"/>
        <v/>
      </c>
      <c r="B277" t="str">
        <f t="shared" si="13"/>
        <v/>
      </c>
      <c r="C277" t="str">
        <f t="shared" si="14"/>
        <v/>
      </c>
      <c r="I277" s="2"/>
    </row>
    <row r="278" spans="1:9" x14ac:dyDescent="0.4">
      <c r="A278" t="str">
        <f t="shared" si="12"/>
        <v/>
      </c>
      <c r="B278" t="str">
        <f t="shared" si="13"/>
        <v/>
      </c>
      <c r="C278" t="str">
        <f t="shared" si="14"/>
        <v/>
      </c>
      <c r="I278" s="2"/>
    </row>
    <row r="279" spans="1:9" x14ac:dyDescent="0.4">
      <c r="A279" t="str">
        <f t="shared" si="12"/>
        <v/>
      </c>
      <c r="B279" t="str">
        <f t="shared" si="13"/>
        <v/>
      </c>
      <c r="C279" t="str">
        <f t="shared" si="14"/>
        <v/>
      </c>
      <c r="I279" s="2"/>
    </row>
    <row r="280" spans="1:9" x14ac:dyDescent="0.4">
      <c r="A280" t="str">
        <f t="shared" si="12"/>
        <v/>
      </c>
      <c r="B280" t="str">
        <f t="shared" si="13"/>
        <v/>
      </c>
      <c r="C280" t="str">
        <f t="shared" si="14"/>
        <v/>
      </c>
      <c r="I280" s="2"/>
    </row>
    <row r="281" spans="1:9" x14ac:dyDescent="0.4">
      <c r="A281" t="str">
        <f t="shared" si="12"/>
        <v/>
      </c>
      <c r="B281" t="str">
        <f t="shared" si="13"/>
        <v/>
      </c>
      <c r="C281" t="str">
        <f t="shared" si="14"/>
        <v/>
      </c>
      <c r="I281" s="2"/>
    </row>
    <row r="282" spans="1:9" x14ac:dyDescent="0.4">
      <c r="A282" t="str">
        <f t="shared" si="12"/>
        <v/>
      </c>
      <c r="B282" t="str">
        <f t="shared" si="13"/>
        <v/>
      </c>
      <c r="C282" t="str">
        <f t="shared" si="14"/>
        <v/>
      </c>
      <c r="I282" s="2"/>
    </row>
    <row r="283" spans="1:9" x14ac:dyDescent="0.4">
      <c r="A283" t="str">
        <f t="shared" si="12"/>
        <v/>
      </c>
      <c r="B283" t="str">
        <f t="shared" si="13"/>
        <v/>
      </c>
      <c r="C283" t="str">
        <f t="shared" si="14"/>
        <v/>
      </c>
      <c r="I283" s="2"/>
    </row>
    <row r="284" spans="1:9" x14ac:dyDescent="0.4">
      <c r="A284" t="str">
        <f t="shared" si="12"/>
        <v/>
      </c>
      <c r="B284" t="str">
        <f t="shared" si="13"/>
        <v/>
      </c>
      <c r="C284" t="str">
        <f t="shared" si="14"/>
        <v/>
      </c>
      <c r="I284" s="2"/>
    </row>
    <row r="285" spans="1:9" x14ac:dyDescent="0.4">
      <c r="A285" t="str">
        <f t="shared" si="12"/>
        <v/>
      </c>
      <c r="B285" t="str">
        <f t="shared" si="13"/>
        <v/>
      </c>
      <c r="C285" t="str">
        <f t="shared" si="14"/>
        <v/>
      </c>
      <c r="I285" s="2"/>
    </row>
    <row r="286" spans="1:9" x14ac:dyDescent="0.4">
      <c r="A286" t="str">
        <f t="shared" si="12"/>
        <v/>
      </c>
      <c r="B286" t="str">
        <f t="shared" si="13"/>
        <v/>
      </c>
      <c r="C286" t="str">
        <f t="shared" si="14"/>
        <v/>
      </c>
      <c r="I286" s="2"/>
    </row>
    <row r="287" spans="1:9" x14ac:dyDescent="0.4">
      <c r="A287" t="str">
        <f t="shared" si="12"/>
        <v/>
      </c>
      <c r="B287" t="str">
        <f t="shared" si="13"/>
        <v/>
      </c>
      <c r="C287" t="str">
        <f t="shared" si="14"/>
        <v/>
      </c>
      <c r="I287" s="2"/>
    </row>
    <row r="288" spans="1:9" x14ac:dyDescent="0.4">
      <c r="A288" t="str">
        <f t="shared" si="12"/>
        <v/>
      </c>
      <c r="B288" t="str">
        <f t="shared" si="13"/>
        <v/>
      </c>
      <c r="C288" t="str">
        <f t="shared" si="14"/>
        <v/>
      </c>
      <c r="I288" s="2"/>
    </row>
    <row r="289" spans="1:9" x14ac:dyDescent="0.4">
      <c r="A289" t="str">
        <f t="shared" si="12"/>
        <v/>
      </c>
      <c r="B289" t="str">
        <f t="shared" si="13"/>
        <v/>
      </c>
      <c r="C289" t="str">
        <f t="shared" si="14"/>
        <v/>
      </c>
      <c r="I289" s="2"/>
    </row>
    <row r="290" spans="1:9" x14ac:dyDescent="0.4">
      <c r="A290" t="str">
        <f t="shared" si="12"/>
        <v/>
      </c>
      <c r="B290" t="str">
        <f t="shared" si="13"/>
        <v/>
      </c>
      <c r="C290" t="str">
        <f t="shared" si="14"/>
        <v/>
      </c>
      <c r="I290" s="2"/>
    </row>
    <row r="291" spans="1:9" x14ac:dyDescent="0.4">
      <c r="A291" t="str">
        <f t="shared" si="12"/>
        <v/>
      </c>
      <c r="B291" t="str">
        <f t="shared" si="13"/>
        <v/>
      </c>
      <c r="C291" t="str">
        <f t="shared" si="14"/>
        <v/>
      </c>
      <c r="I291" s="2"/>
    </row>
    <row r="292" spans="1:9" x14ac:dyDescent="0.4">
      <c r="A292" t="str">
        <f t="shared" si="12"/>
        <v/>
      </c>
      <c r="B292" t="str">
        <f t="shared" si="13"/>
        <v/>
      </c>
      <c r="C292" t="str">
        <f t="shared" si="14"/>
        <v/>
      </c>
      <c r="I292" s="2"/>
    </row>
    <row r="293" spans="1:9" x14ac:dyDescent="0.4">
      <c r="A293" t="str">
        <f t="shared" si="12"/>
        <v/>
      </c>
      <c r="B293" t="str">
        <f t="shared" si="13"/>
        <v/>
      </c>
      <c r="C293" t="str">
        <f t="shared" si="14"/>
        <v/>
      </c>
      <c r="I293" s="2"/>
    </row>
    <row r="294" spans="1:9" x14ac:dyDescent="0.4">
      <c r="A294" t="str">
        <f t="shared" si="12"/>
        <v/>
      </c>
      <c r="B294" t="str">
        <f t="shared" si="13"/>
        <v/>
      </c>
      <c r="C294" t="str">
        <f t="shared" si="14"/>
        <v/>
      </c>
      <c r="I294" s="2"/>
    </row>
    <row r="295" spans="1:9" x14ac:dyDescent="0.4">
      <c r="A295" t="str">
        <f t="shared" si="12"/>
        <v/>
      </c>
      <c r="B295" t="str">
        <f t="shared" si="13"/>
        <v/>
      </c>
      <c r="C295" t="str">
        <f t="shared" si="14"/>
        <v/>
      </c>
      <c r="I295" s="2"/>
    </row>
    <row r="296" spans="1:9" x14ac:dyDescent="0.4">
      <c r="A296" t="str">
        <f t="shared" si="12"/>
        <v/>
      </c>
      <c r="B296" t="str">
        <f t="shared" si="13"/>
        <v/>
      </c>
      <c r="C296" t="str">
        <f t="shared" si="14"/>
        <v/>
      </c>
      <c r="I296" s="2"/>
    </row>
    <row r="297" spans="1:9" x14ac:dyDescent="0.4">
      <c r="A297" t="str">
        <f t="shared" si="12"/>
        <v/>
      </c>
      <c r="B297" t="str">
        <f t="shared" si="13"/>
        <v/>
      </c>
      <c r="C297" t="str">
        <f t="shared" si="14"/>
        <v/>
      </c>
      <c r="I297" s="2"/>
    </row>
    <row r="298" spans="1:9" x14ac:dyDescent="0.4">
      <c r="A298" t="str">
        <f t="shared" si="12"/>
        <v/>
      </c>
      <c r="B298" t="str">
        <f t="shared" si="13"/>
        <v/>
      </c>
      <c r="C298" t="str">
        <f t="shared" si="14"/>
        <v/>
      </c>
      <c r="I298" s="2"/>
    </row>
    <row r="299" spans="1:9" x14ac:dyDescent="0.4">
      <c r="A299" t="str">
        <f t="shared" si="12"/>
        <v/>
      </c>
      <c r="B299" t="str">
        <f t="shared" si="13"/>
        <v/>
      </c>
      <c r="C299" t="str">
        <f t="shared" si="14"/>
        <v/>
      </c>
      <c r="I299" s="2"/>
    </row>
    <row r="300" spans="1:9" x14ac:dyDescent="0.4">
      <c r="A300" t="str">
        <f t="shared" si="12"/>
        <v/>
      </c>
      <c r="B300" t="str">
        <f t="shared" si="13"/>
        <v/>
      </c>
      <c r="C300" t="str">
        <f t="shared" si="14"/>
        <v/>
      </c>
      <c r="I300" s="2"/>
    </row>
    <row r="301" spans="1:9" x14ac:dyDescent="0.4">
      <c r="A301" t="str">
        <f t="shared" si="12"/>
        <v/>
      </c>
      <c r="B301" t="str">
        <f t="shared" si="13"/>
        <v/>
      </c>
      <c r="C301" t="str">
        <f t="shared" si="14"/>
        <v/>
      </c>
      <c r="I301" s="2"/>
    </row>
    <row r="302" spans="1:9" x14ac:dyDescent="0.4">
      <c r="A302" t="str">
        <f t="shared" si="12"/>
        <v/>
      </c>
      <c r="B302" t="str">
        <f t="shared" si="13"/>
        <v/>
      </c>
      <c r="C302" t="str">
        <f t="shared" si="14"/>
        <v/>
      </c>
      <c r="I302" s="2"/>
    </row>
    <row r="303" spans="1:9" x14ac:dyDescent="0.4">
      <c r="A303" t="str">
        <f t="shared" si="12"/>
        <v/>
      </c>
      <c r="B303" t="str">
        <f t="shared" si="13"/>
        <v/>
      </c>
      <c r="C303" t="str">
        <f t="shared" si="14"/>
        <v/>
      </c>
      <c r="I303" s="2"/>
    </row>
    <row r="304" spans="1:9" x14ac:dyDescent="0.4">
      <c r="A304" t="str">
        <f t="shared" si="12"/>
        <v/>
      </c>
      <c r="B304" t="str">
        <f t="shared" si="13"/>
        <v/>
      </c>
      <c r="C304" t="str">
        <f t="shared" si="14"/>
        <v/>
      </c>
      <c r="I304" s="2"/>
    </row>
    <row r="305" spans="1:9" x14ac:dyDescent="0.4">
      <c r="A305" t="str">
        <f t="shared" si="12"/>
        <v/>
      </c>
      <c r="B305" t="str">
        <f t="shared" si="13"/>
        <v/>
      </c>
      <c r="C305" t="str">
        <f t="shared" si="14"/>
        <v/>
      </c>
      <c r="I305" s="2"/>
    </row>
    <row r="306" spans="1:9" x14ac:dyDescent="0.4">
      <c r="A306" t="str">
        <f t="shared" si="12"/>
        <v/>
      </c>
      <c r="B306" t="str">
        <f t="shared" si="13"/>
        <v/>
      </c>
      <c r="C306" t="str">
        <f t="shared" si="14"/>
        <v/>
      </c>
      <c r="I306" s="2"/>
    </row>
    <row r="307" spans="1:9" x14ac:dyDescent="0.4">
      <c r="A307" t="str">
        <f t="shared" si="12"/>
        <v/>
      </c>
      <c r="B307" t="str">
        <f t="shared" si="13"/>
        <v/>
      </c>
      <c r="C307" t="str">
        <f t="shared" si="14"/>
        <v/>
      </c>
      <c r="I307" s="2"/>
    </row>
    <row r="308" spans="1:9" x14ac:dyDescent="0.4">
      <c r="A308" t="str">
        <f t="shared" si="12"/>
        <v/>
      </c>
      <c r="B308" t="str">
        <f t="shared" si="13"/>
        <v/>
      </c>
      <c r="C308" t="str">
        <f t="shared" si="14"/>
        <v/>
      </c>
      <c r="I308" s="2"/>
    </row>
    <row r="309" spans="1:9" x14ac:dyDescent="0.4">
      <c r="A309" t="str">
        <f t="shared" si="12"/>
        <v/>
      </c>
      <c r="B309" t="str">
        <f t="shared" si="13"/>
        <v/>
      </c>
      <c r="C309" t="str">
        <f t="shared" si="14"/>
        <v/>
      </c>
      <c r="I309" s="2"/>
    </row>
    <row r="310" spans="1:9" x14ac:dyDescent="0.4">
      <c r="A310" t="str">
        <f t="shared" si="12"/>
        <v/>
      </c>
      <c r="B310" t="str">
        <f t="shared" si="13"/>
        <v/>
      </c>
      <c r="C310" t="str">
        <f t="shared" si="14"/>
        <v/>
      </c>
      <c r="I310" s="2"/>
    </row>
    <row r="311" spans="1:9" x14ac:dyDescent="0.4">
      <c r="A311" t="str">
        <f t="shared" si="12"/>
        <v/>
      </c>
      <c r="B311" t="str">
        <f t="shared" si="13"/>
        <v/>
      </c>
      <c r="C311" t="str">
        <f t="shared" si="14"/>
        <v/>
      </c>
      <c r="I311" s="2"/>
    </row>
    <row r="312" spans="1:9" x14ac:dyDescent="0.4">
      <c r="A312" t="str">
        <f t="shared" si="12"/>
        <v/>
      </c>
      <c r="B312" t="str">
        <f t="shared" si="13"/>
        <v/>
      </c>
      <c r="C312" t="str">
        <f t="shared" si="14"/>
        <v/>
      </c>
      <c r="I312" s="2"/>
    </row>
    <row r="313" spans="1:9" x14ac:dyDescent="0.4">
      <c r="A313" t="str">
        <f t="shared" si="12"/>
        <v/>
      </c>
      <c r="B313" t="str">
        <f t="shared" si="13"/>
        <v/>
      </c>
      <c r="C313" t="str">
        <f t="shared" si="14"/>
        <v/>
      </c>
      <c r="I313" s="2"/>
    </row>
    <row r="314" spans="1:9" x14ac:dyDescent="0.4">
      <c r="A314" t="str">
        <f t="shared" si="12"/>
        <v/>
      </c>
      <c r="B314" t="str">
        <f t="shared" si="13"/>
        <v/>
      </c>
      <c r="C314" t="str">
        <f t="shared" si="14"/>
        <v/>
      </c>
      <c r="I314" s="2"/>
    </row>
    <row r="315" spans="1:9" x14ac:dyDescent="0.4">
      <c r="A315" t="str">
        <f t="shared" si="12"/>
        <v/>
      </c>
      <c r="B315" t="str">
        <f t="shared" si="13"/>
        <v/>
      </c>
      <c r="C315" t="str">
        <f t="shared" si="14"/>
        <v/>
      </c>
      <c r="I315" s="2"/>
    </row>
    <row r="316" spans="1:9" x14ac:dyDescent="0.4">
      <c r="A316" t="str">
        <f t="shared" si="12"/>
        <v/>
      </c>
      <c r="B316" t="str">
        <f t="shared" si="13"/>
        <v/>
      </c>
      <c r="C316" t="str">
        <f t="shared" si="14"/>
        <v/>
      </c>
      <c r="I316" s="2"/>
    </row>
    <row r="317" spans="1:9" x14ac:dyDescent="0.4">
      <c r="A317" t="str">
        <f t="shared" si="12"/>
        <v/>
      </c>
      <c r="B317" t="str">
        <f t="shared" si="13"/>
        <v/>
      </c>
      <c r="C317" t="str">
        <f t="shared" si="14"/>
        <v/>
      </c>
      <c r="I317" s="2"/>
    </row>
    <row r="318" spans="1:9" x14ac:dyDescent="0.4">
      <c r="A318" t="str">
        <f t="shared" si="12"/>
        <v/>
      </c>
      <c r="B318" t="str">
        <f t="shared" si="13"/>
        <v/>
      </c>
      <c r="C318" t="str">
        <f t="shared" si="14"/>
        <v/>
      </c>
      <c r="I318" s="2"/>
    </row>
    <row r="319" spans="1:9" x14ac:dyDescent="0.4">
      <c r="A319" t="str">
        <f t="shared" si="12"/>
        <v/>
      </c>
      <c r="B319" t="str">
        <f t="shared" si="13"/>
        <v/>
      </c>
      <c r="C319" t="str">
        <f t="shared" si="14"/>
        <v/>
      </c>
      <c r="I319" s="2"/>
    </row>
    <row r="320" spans="1:9" x14ac:dyDescent="0.4">
      <c r="A320" t="str">
        <f t="shared" si="12"/>
        <v/>
      </c>
      <c r="B320" t="str">
        <f t="shared" si="13"/>
        <v/>
      </c>
      <c r="C320" t="str">
        <f t="shared" si="14"/>
        <v/>
      </c>
      <c r="I320" s="2"/>
    </row>
    <row r="321" spans="1:9" x14ac:dyDescent="0.4">
      <c r="A321" t="str">
        <f t="shared" si="12"/>
        <v/>
      </c>
      <c r="B321" t="str">
        <f t="shared" si="13"/>
        <v/>
      </c>
      <c r="C321" t="str">
        <f t="shared" si="14"/>
        <v/>
      </c>
      <c r="I321" s="2"/>
    </row>
    <row r="322" spans="1:9" x14ac:dyDescent="0.4">
      <c r="A322" t="str">
        <f t="shared" si="12"/>
        <v/>
      </c>
      <c r="B322" t="str">
        <f t="shared" si="13"/>
        <v/>
      </c>
      <c r="C322" t="str">
        <f t="shared" si="14"/>
        <v/>
      </c>
      <c r="I322" s="2"/>
    </row>
    <row r="323" spans="1:9" x14ac:dyDescent="0.4">
      <c r="A323" t="str">
        <f t="shared" ref="A323:A386" si="15">IF($F323="","",$F323&amp;"|"&amp;$H323)</f>
        <v/>
      </c>
      <c r="B323" t="str">
        <f t="shared" ref="B323:B386" si="16">IF(F323&lt;&gt;"",F323,"")</f>
        <v/>
      </c>
      <c r="C323" t="str">
        <f t="shared" ref="C323:C386" si="17">IF(H323&lt;&gt;"", H323, "")</f>
        <v/>
      </c>
      <c r="I323" s="2"/>
    </row>
    <row r="324" spans="1:9" x14ac:dyDescent="0.4">
      <c r="A324" t="str">
        <f t="shared" si="15"/>
        <v/>
      </c>
      <c r="B324" t="str">
        <f t="shared" si="16"/>
        <v/>
      </c>
      <c r="C324" t="str">
        <f t="shared" si="17"/>
        <v/>
      </c>
      <c r="I324" s="2"/>
    </row>
    <row r="325" spans="1:9" x14ac:dyDescent="0.4">
      <c r="A325" t="str">
        <f t="shared" si="15"/>
        <v/>
      </c>
      <c r="B325" t="str">
        <f t="shared" si="16"/>
        <v/>
      </c>
      <c r="C325" t="str">
        <f t="shared" si="17"/>
        <v/>
      </c>
      <c r="I325" s="2"/>
    </row>
    <row r="326" spans="1:9" x14ac:dyDescent="0.4">
      <c r="A326" t="str">
        <f t="shared" si="15"/>
        <v/>
      </c>
      <c r="B326" t="str">
        <f t="shared" si="16"/>
        <v/>
      </c>
      <c r="C326" t="str">
        <f t="shared" si="17"/>
        <v/>
      </c>
      <c r="I326" s="2"/>
    </row>
    <row r="327" spans="1:9" x14ac:dyDescent="0.4">
      <c r="A327" t="str">
        <f t="shared" si="15"/>
        <v/>
      </c>
      <c r="B327" t="str">
        <f t="shared" si="16"/>
        <v/>
      </c>
      <c r="C327" t="str">
        <f t="shared" si="17"/>
        <v/>
      </c>
      <c r="I327" s="2"/>
    </row>
    <row r="328" spans="1:9" x14ac:dyDescent="0.4">
      <c r="A328" t="str">
        <f t="shared" si="15"/>
        <v/>
      </c>
      <c r="B328" t="str">
        <f t="shared" si="16"/>
        <v/>
      </c>
      <c r="C328" t="str">
        <f t="shared" si="17"/>
        <v/>
      </c>
      <c r="I328" s="2"/>
    </row>
    <row r="329" spans="1:9" x14ac:dyDescent="0.4">
      <c r="A329" t="str">
        <f t="shared" si="15"/>
        <v/>
      </c>
      <c r="B329" t="str">
        <f t="shared" si="16"/>
        <v/>
      </c>
      <c r="C329" t="str">
        <f t="shared" si="17"/>
        <v/>
      </c>
      <c r="I329" s="2"/>
    </row>
    <row r="330" spans="1:9" x14ac:dyDescent="0.4">
      <c r="A330" t="str">
        <f t="shared" si="15"/>
        <v/>
      </c>
      <c r="B330" t="str">
        <f t="shared" si="16"/>
        <v/>
      </c>
      <c r="C330" t="str">
        <f t="shared" si="17"/>
        <v/>
      </c>
      <c r="I330" s="2"/>
    </row>
    <row r="331" spans="1:9" x14ac:dyDescent="0.4">
      <c r="A331" t="str">
        <f t="shared" si="15"/>
        <v/>
      </c>
      <c r="B331" t="str">
        <f t="shared" si="16"/>
        <v/>
      </c>
      <c r="C331" t="str">
        <f t="shared" si="17"/>
        <v/>
      </c>
      <c r="I331" s="2"/>
    </row>
    <row r="332" spans="1:9" x14ac:dyDescent="0.4">
      <c r="A332" t="str">
        <f t="shared" si="15"/>
        <v/>
      </c>
      <c r="B332" t="str">
        <f t="shared" si="16"/>
        <v/>
      </c>
      <c r="C332" t="str">
        <f t="shared" si="17"/>
        <v/>
      </c>
      <c r="I332" s="2"/>
    </row>
    <row r="333" spans="1:9" x14ac:dyDescent="0.4">
      <c r="A333" t="str">
        <f t="shared" si="15"/>
        <v/>
      </c>
      <c r="B333" t="str">
        <f t="shared" si="16"/>
        <v/>
      </c>
      <c r="C333" t="str">
        <f t="shared" si="17"/>
        <v/>
      </c>
      <c r="I333" s="2"/>
    </row>
    <row r="334" spans="1:9" x14ac:dyDescent="0.4">
      <c r="A334" t="str">
        <f t="shared" si="15"/>
        <v/>
      </c>
      <c r="B334" t="str">
        <f t="shared" si="16"/>
        <v/>
      </c>
      <c r="C334" t="str">
        <f t="shared" si="17"/>
        <v/>
      </c>
      <c r="I334" s="2"/>
    </row>
    <row r="335" spans="1:9" x14ac:dyDescent="0.4">
      <c r="A335" t="str">
        <f t="shared" si="15"/>
        <v/>
      </c>
      <c r="B335" t="str">
        <f t="shared" si="16"/>
        <v/>
      </c>
      <c r="C335" t="str">
        <f t="shared" si="17"/>
        <v/>
      </c>
      <c r="I335" s="2"/>
    </row>
    <row r="336" spans="1:9" x14ac:dyDescent="0.4">
      <c r="A336" t="str">
        <f t="shared" si="15"/>
        <v/>
      </c>
      <c r="B336" t="str">
        <f t="shared" si="16"/>
        <v/>
      </c>
      <c r="C336" t="str">
        <f t="shared" si="17"/>
        <v/>
      </c>
      <c r="I336" s="2"/>
    </row>
    <row r="337" spans="1:9" x14ac:dyDescent="0.4">
      <c r="A337" t="str">
        <f t="shared" si="15"/>
        <v/>
      </c>
      <c r="B337" t="str">
        <f t="shared" si="16"/>
        <v/>
      </c>
      <c r="C337" t="str">
        <f t="shared" si="17"/>
        <v/>
      </c>
      <c r="I337" s="2"/>
    </row>
    <row r="338" spans="1:9" x14ac:dyDescent="0.4">
      <c r="A338" t="str">
        <f t="shared" si="15"/>
        <v/>
      </c>
      <c r="B338" t="str">
        <f t="shared" si="16"/>
        <v/>
      </c>
      <c r="C338" t="str">
        <f t="shared" si="17"/>
        <v/>
      </c>
      <c r="I338" s="2"/>
    </row>
    <row r="339" spans="1:9" x14ac:dyDescent="0.4">
      <c r="A339" t="str">
        <f t="shared" si="15"/>
        <v/>
      </c>
      <c r="B339" t="str">
        <f t="shared" si="16"/>
        <v/>
      </c>
      <c r="C339" t="str">
        <f t="shared" si="17"/>
        <v/>
      </c>
      <c r="I339" s="2"/>
    </row>
    <row r="340" spans="1:9" x14ac:dyDescent="0.4">
      <c r="A340" t="str">
        <f t="shared" si="15"/>
        <v/>
      </c>
      <c r="B340" t="str">
        <f t="shared" si="16"/>
        <v/>
      </c>
      <c r="C340" t="str">
        <f t="shared" si="17"/>
        <v/>
      </c>
      <c r="I340" s="2"/>
    </row>
    <row r="341" spans="1:9" x14ac:dyDescent="0.4">
      <c r="A341" t="str">
        <f t="shared" si="15"/>
        <v/>
      </c>
      <c r="B341" t="str">
        <f t="shared" si="16"/>
        <v/>
      </c>
      <c r="C341" t="str">
        <f t="shared" si="17"/>
        <v/>
      </c>
      <c r="I341" s="2"/>
    </row>
    <row r="342" spans="1:9" x14ac:dyDescent="0.4">
      <c r="A342" t="str">
        <f t="shared" si="15"/>
        <v/>
      </c>
      <c r="B342" t="str">
        <f t="shared" si="16"/>
        <v/>
      </c>
      <c r="C342" t="str">
        <f t="shared" si="17"/>
        <v/>
      </c>
      <c r="I342" s="2"/>
    </row>
    <row r="343" spans="1:9" x14ac:dyDescent="0.4">
      <c r="A343" t="str">
        <f t="shared" si="15"/>
        <v/>
      </c>
      <c r="B343" t="str">
        <f t="shared" si="16"/>
        <v/>
      </c>
      <c r="C343" t="str">
        <f t="shared" si="17"/>
        <v/>
      </c>
      <c r="I343" s="2"/>
    </row>
    <row r="344" spans="1:9" x14ac:dyDescent="0.4">
      <c r="A344" t="str">
        <f t="shared" si="15"/>
        <v/>
      </c>
      <c r="B344" t="str">
        <f t="shared" si="16"/>
        <v/>
      </c>
      <c r="C344" t="str">
        <f t="shared" si="17"/>
        <v/>
      </c>
      <c r="I344" s="2"/>
    </row>
    <row r="345" spans="1:9" x14ac:dyDescent="0.4">
      <c r="A345" t="str">
        <f t="shared" si="15"/>
        <v/>
      </c>
      <c r="B345" t="str">
        <f t="shared" si="16"/>
        <v/>
      </c>
      <c r="C345" t="str">
        <f t="shared" si="17"/>
        <v/>
      </c>
      <c r="I345" s="2"/>
    </row>
    <row r="346" spans="1:9" x14ac:dyDescent="0.4">
      <c r="A346" t="str">
        <f t="shared" si="15"/>
        <v/>
      </c>
      <c r="B346" t="str">
        <f t="shared" si="16"/>
        <v/>
      </c>
      <c r="C346" t="str">
        <f t="shared" si="17"/>
        <v/>
      </c>
      <c r="I346" s="2"/>
    </row>
    <row r="347" spans="1:9" x14ac:dyDescent="0.4">
      <c r="A347" t="str">
        <f t="shared" si="15"/>
        <v/>
      </c>
      <c r="B347" t="str">
        <f t="shared" si="16"/>
        <v/>
      </c>
      <c r="C347" t="str">
        <f t="shared" si="17"/>
        <v/>
      </c>
      <c r="I347" s="2"/>
    </row>
    <row r="348" spans="1:9" x14ac:dyDescent="0.4">
      <c r="A348" t="str">
        <f t="shared" si="15"/>
        <v/>
      </c>
      <c r="B348" t="str">
        <f t="shared" si="16"/>
        <v/>
      </c>
      <c r="C348" t="str">
        <f t="shared" si="17"/>
        <v/>
      </c>
      <c r="I348" s="2"/>
    </row>
    <row r="349" spans="1:9" x14ac:dyDescent="0.4">
      <c r="A349" t="str">
        <f t="shared" si="15"/>
        <v/>
      </c>
      <c r="B349" t="str">
        <f t="shared" si="16"/>
        <v/>
      </c>
      <c r="C349" t="str">
        <f t="shared" si="17"/>
        <v/>
      </c>
      <c r="I349" s="2"/>
    </row>
    <row r="350" spans="1:9" x14ac:dyDescent="0.4">
      <c r="A350" t="str">
        <f t="shared" si="15"/>
        <v/>
      </c>
      <c r="B350" t="str">
        <f t="shared" si="16"/>
        <v/>
      </c>
      <c r="C350" t="str">
        <f t="shared" si="17"/>
        <v/>
      </c>
      <c r="I350" s="2"/>
    </row>
    <row r="351" spans="1:9" x14ac:dyDescent="0.4">
      <c r="A351" t="str">
        <f t="shared" si="15"/>
        <v/>
      </c>
      <c r="B351" t="str">
        <f t="shared" si="16"/>
        <v/>
      </c>
      <c r="C351" t="str">
        <f t="shared" si="17"/>
        <v/>
      </c>
      <c r="I351" s="2"/>
    </row>
    <row r="352" spans="1:9" x14ac:dyDescent="0.4">
      <c r="A352" t="str">
        <f t="shared" si="15"/>
        <v/>
      </c>
      <c r="B352" t="str">
        <f t="shared" si="16"/>
        <v/>
      </c>
      <c r="C352" t="str">
        <f t="shared" si="17"/>
        <v/>
      </c>
      <c r="I352" s="2"/>
    </row>
    <row r="353" spans="1:9" x14ac:dyDescent="0.4">
      <c r="A353" t="str">
        <f t="shared" si="15"/>
        <v/>
      </c>
      <c r="B353" t="str">
        <f t="shared" si="16"/>
        <v/>
      </c>
      <c r="C353" t="str">
        <f t="shared" si="17"/>
        <v/>
      </c>
      <c r="I353" s="2"/>
    </row>
    <row r="354" spans="1:9" x14ac:dyDescent="0.4">
      <c r="A354" t="str">
        <f t="shared" si="15"/>
        <v/>
      </c>
      <c r="B354" t="str">
        <f t="shared" si="16"/>
        <v/>
      </c>
      <c r="C354" t="str">
        <f t="shared" si="17"/>
        <v/>
      </c>
      <c r="I354" s="2"/>
    </row>
    <row r="355" spans="1:9" x14ac:dyDescent="0.4">
      <c r="A355" t="str">
        <f t="shared" si="15"/>
        <v/>
      </c>
      <c r="B355" t="str">
        <f t="shared" si="16"/>
        <v/>
      </c>
      <c r="C355" t="str">
        <f t="shared" si="17"/>
        <v/>
      </c>
      <c r="I355" s="2"/>
    </row>
    <row r="356" spans="1:9" x14ac:dyDescent="0.4">
      <c r="A356" t="str">
        <f t="shared" si="15"/>
        <v/>
      </c>
      <c r="B356" t="str">
        <f t="shared" si="16"/>
        <v/>
      </c>
      <c r="C356" t="str">
        <f t="shared" si="17"/>
        <v/>
      </c>
      <c r="I356" s="2"/>
    </row>
    <row r="357" spans="1:9" x14ac:dyDescent="0.4">
      <c r="A357" t="str">
        <f t="shared" si="15"/>
        <v/>
      </c>
      <c r="B357" t="str">
        <f t="shared" si="16"/>
        <v/>
      </c>
      <c r="C357" t="str">
        <f t="shared" si="17"/>
        <v/>
      </c>
      <c r="I357" s="2"/>
    </row>
    <row r="358" spans="1:9" x14ac:dyDescent="0.4">
      <c r="A358" t="str">
        <f t="shared" si="15"/>
        <v/>
      </c>
      <c r="B358" t="str">
        <f t="shared" si="16"/>
        <v/>
      </c>
      <c r="C358" t="str">
        <f t="shared" si="17"/>
        <v/>
      </c>
      <c r="I358" s="2"/>
    </row>
    <row r="359" spans="1:9" x14ac:dyDescent="0.4">
      <c r="A359" t="str">
        <f t="shared" si="15"/>
        <v/>
      </c>
      <c r="B359" t="str">
        <f t="shared" si="16"/>
        <v/>
      </c>
      <c r="C359" t="str">
        <f t="shared" si="17"/>
        <v/>
      </c>
      <c r="I359" s="2"/>
    </row>
    <row r="360" spans="1:9" x14ac:dyDescent="0.4">
      <c r="A360" t="str">
        <f t="shared" si="15"/>
        <v/>
      </c>
      <c r="B360" t="str">
        <f t="shared" si="16"/>
        <v/>
      </c>
      <c r="C360" t="str">
        <f t="shared" si="17"/>
        <v/>
      </c>
      <c r="I360" s="2"/>
    </row>
    <row r="361" spans="1:9" x14ac:dyDescent="0.4">
      <c r="A361" t="str">
        <f t="shared" si="15"/>
        <v/>
      </c>
      <c r="B361" t="str">
        <f t="shared" si="16"/>
        <v/>
      </c>
      <c r="C361" t="str">
        <f t="shared" si="17"/>
        <v/>
      </c>
      <c r="I361" s="2"/>
    </row>
    <row r="362" spans="1:9" x14ac:dyDescent="0.4">
      <c r="A362" t="str">
        <f t="shared" si="15"/>
        <v/>
      </c>
      <c r="B362" t="str">
        <f t="shared" si="16"/>
        <v/>
      </c>
      <c r="C362" t="str">
        <f t="shared" si="17"/>
        <v/>
      </c>
      <c r="I362" s="2"/>
    </row>
    <row r="363" spans="1:9" x14ac:dyDescent="0.4">
      <c r="A363" t="str">
        <f t="shared" si="15"/>
        <v/>
      </c>
      <c r="B363" t="str">
        <f t="shared" si="16"/>
        <v/>
      </c>
      <c r="C363" t="str">
        <f t="shared" si="17"/>
        <v/>
      </c>
      <c r="I363" s="2"/>
    </row>
    <row r="364" spans="1:9" x14ac:dyDescent="0.4">
      <c r="A364" t="str">
        <f t="shared" si="15"/>
        <v/>
      </c>
      <c r="B364" t="str">
        <f t="shared" si="16"/>
        <v/>
      </c>
      <c r="C364" t="str">
        <f t="shared" si="17"/>
        <v/>
      </c>
      <c r="I364" s="2"/>
    </row>
    <row r="365" spans="1:9" x14ac:dyDescent="0.4">
      <c r="A365" t="str">
        <f t="shared" si="15"/>
        <v/>
      </c>
      <c r="B365" t="str">
        <f t="shared" si="16"/>
        <v/>
      </c>
      <c r="C365" t="str">
        <f t="shared" si="17"/>
        <v/>
      </c>
      <c r="I365" s="2"/>
    </row>
    <row r="366" spans="1:9" x14ac:dyDescent="0.4">
      <c r="A366" t="str">
        <f t="shared" si="15"/>
        <v/>
      </c>
      <c r="B366" t="str">
        <f t="shared" si="16"/>
        <v/>
      </c>
      <c r="C366" t="str">
        <f t="shared" si="17"/>
        <v/>
      </c>
      <c r="I366" s="2"/>
    </row>
    <row r="367" spans="1:9" x14ac:dyDescent="0.4">
      <c r="A367" t="str">
        <f t="shared" si="15"/>
        <v/>
      </c>
      <c r="B367" t="str">
        <f t="shared" si="16"/>
        <v/>
      </c>
      <c r="C367" t="str">
        <f t="shared" si="17"/>
        <v/>
      </c>
      <c r="I367" s="2"/>
    </row>
    <row r="368" spans="1:9" x14ac:dyDescent="0.4">
      <c r="A368" t="str">
        <f t="shared" si="15"/>
        <v/>
      </c>
      <c r="B368" t="str">
        <f t="shared" si="16"/>
        <v/>
      </c>
      <c r="C368" t="str">
        <f t="shared" si="17"/>
        <v/>
      </c>
      <c r="I368" s="2"/>
    </row>
    <row r="369" spans="1:9" x14ac:dyDescent="0.4">
      <c r="A369" t="str">
        <f t="shared" si="15"/>
        <v/>
      </c>
      <c r="B369" t="str">
        <f t="shared" si="16"/>
        <v/>
      </c>
      <c r="C369" t="str">
        <f t="shared" si="17"/>
        <v/>
      </c>
      <c r="I369" s="2"/>
    </row>
    <row r="370" spans="1:9" x14ac:dyDescent="0.4">
      <c r="A370" t="str">
        <f t="shared" si="15"/>
        <v/>
      </c>
      <c r="B370" t="str">
        <f t="shared" si="16"/>
        <v/>
      </c>
      <c r="C370" t="str">
        <f t="shared" si="17"/>
        <v/>
      </c>
      <c r="I370" s="2"/>
    </row>
    <row r="371" spans="1:9" x14ac:dyDescent="0.4">
      <c r="A371" t="str">
        <f t="shared" si="15"/>
        <v/>
      </c>
      <c r="B371" t="str">
        <f t="shared" si="16"/>
        <v/>
      </c>
      <c r="C371" t="str">
        <f t="shared" si="17"/>
        <v/>
      </c>
      <c r="I371" s="2"/>
    </row>
    <row r="372" spans="1:9" x14ac:dyDescent="0.4">
      <c r="A372" t="str">
        <f t="shared" si="15"/>
        <v/>
      </c>
      <c r="B372" t="str">
        <f t="shared" si="16"/>
        <v/>
      </c>
      <c r="C372" t="str">
        <f t="shared" si="17"/>
        <v/>
      </c>
      <c r="I372" s="2"/>
    </row>
    <row r="373" spans="1:9" x14ac:dyDescent="0.4">
      <c r="A373" t="str">
        <f t="shared" si="15"/>
        <v/>
      </c>
      <c r="B373" t="str">
        <f t="shared" si="16"/>
        <v/>
      </c>
      <c r="C373" t="str">
        <f t="shared" si="17"/>
        <v/>
      </c>
      <c r="I373" s="2"/>
    </row>
    <row r="374" spans="1:9" x14ac:dyDescent="0.4">
      <c r="A374" t="str">
        <f t="shared" si="15"/>
        <v/>
      </c>
      <c r="B374" t="str">
        <f t="shared" si="16"/>
        <v/>
      </c>
      <c r="C374" t="str">
        <f t="shared" si="17"/>
        <v/>
      </c>
      <c r="I374" s="2"/>
    </row>
    <row r="375" spans="1:9" x14ac:dyDescent="0.4">
      <c r="A375" t="str">
        <f t="shared" si="15"/>
        <v/>
      </c>
      <c r="B375" t="str">
        <f t="shared" si="16"/>
        <v/>
      </c>
      <c r="C375" t="str">
        <f t="shared" si="17"/>
        <v/>
      </c>
      <c r="I375" s="2"/>
    </row>
    <row r="376" spans="1:9" x14ac:dyDescent="0.4">
      <c r="A376" t="str">
        <f t="shared" si="15"/>
        <v/>
      </c>
      <c r="B376" t="str">
        <f t="shared" si="16"/>
        <v/>
      </c>
      <c r="C376" t="str">
        <f t="shared" si="17"/>
        <v/>
      </c>
      <c r="I376" s="2"/>
    </row>
    <row r="377" spans="1:9" x14ac:dyDescent="0.4">
      <c r="A377" t="str">
        <f t="shared" si="15"/>
        <v/>
      </c>
      <c r="B377" t="str">
        <f t="shared" si="16"/>
        <v/>
      </c>
      <c r="C377" t="str">
        <f t="shared" si="17"/>
        <v/>
      </c>
      <c r="I377" s="2"/>
    </row>
    <row r="378" spans="1:9" x14ac:dyDescent="0.4">
      <c r="A378" t="str">
        <f t="shared" si="15"/>
        <v/>
      </c>
      <c r="B378" t="str">
        <f t="shared" si="16"/>
        <v/>
      </c>
      <c r="C378" t="str">
        <f t="shared" si="17"/>
        <v/>
      </c>
      <c r="I378" s="2"/>
    </row>
    <row r="379" spans="1:9" x14ac:dyDescent="0.4">
      <c r="A379" t="str">
        <f t="shared" si="15"/>
        <v/>
      </c>
      <c r="B379" t="str">
        <f t="shared" si="16"/>
        <v/>
      </c>
      <c r="C379" t="str">
        <f t="shared" si="17"/>
        <v/>
      </c>
      <c r="I379" s="2"/>
    </row>
    <row r="380" spans="1:9" x14ac:dyDescent="0.4">
      <c r="A380" t="str">
        <f t="shared" si="15"/>
        <v/>
      </c>
      <c r="B380" t="str">
        <f t="shared" si="16"/>
        <v/>
      </c>
      <c r="C380" t="str">
        <f t="shared" si="17"/>
        <v/>
      </c>
      <c r="I380" s="2"/>
    </row>
    <row r="381" spans="1:9" x14ac:dyDescent="0.4">
      <c r="A381" t="str">
        <f t="shared" si="15"/>
        <v/>
      </c>
      <c r="B381" t="str">
        <f t="shared" si="16"/>
        <v/>
      </c>
      <c r="C381" t="str">
        <f t="shared" si="17"/>
        <v/>
      </c>
      <c r="I381" s="2"/>
    </row>
    <row r="382" spans="1:9" x14ac:dyDescent="0.4">
      <c r="A382" t="str">
        <f t="shared" si="15"/>
        <v/>
      </c>
      <c r="B382" t="str">
        <f t="shared" si="16"/>
        <v/>
      </c>
      <c r="C382" t="str">
        <f t="shared" si="17"/>
        <v/>
      </c>
      <c r="I382" s="2"/>
    </row>
    <row r="383" spans="1:9" x14ac:dyDescent="0.4">
      <c r="A383" t="str">
        <f t="shared" si="15"/>
        <v/>
      </c>
      <c r="B383" t="str">
        <f t="shared" si="16"/>
        <v/>
      </c>
      <c r="C383" t="str">
        <f t="shared" si="17"/>
        <v/>
      </c>
      <c r="I383" s="2"/>
    </row>
    <row r="384" spans="1:9" x14ac:dyDescent="0.4">
      <c r="A384" t="str">
        <f t="shared" si="15"/>
        <v/>
      </c>
      <c r="B384" t="str">
        <f t="shared" si="16"/>
        <v/>
      </c>
      <c r="C384" t="str">
        <f t="shared" si="17"/>
        <v/>
      </c>
      <c r="I384" s="2"/>
    </row>
    <row r="385" spans="1:9" x14ac:dyDescent="0.4">
      <c r="A385" t="str">
        <f t="shared" si="15"/>
        <v/>
      </c>
      <c r="B385" t="str">
        <f t="shared" si="16"/>
        <v/>
      </c>
      <c r="C385" t="str">
        <f t="shared" si="17"/>
        <v/>
      </c>
      <c r="I385" s="2"/>
    </row>
    <row r="386" spans="1:9" x14ac:dyDescent="0.4">
      <c r="A386" t="str">
        <f t="shared" si="15"/>
        <v/>
      </c>
      <c r="B386" t="str">
        <f t="shared" si="16"/>
        <v/>
      </c>
      <c r="C386" t="str">
        <f t="shared" si="17"/>
        <v/>
      </c>
      <c r="I386" s="2"/>
    </row>
    <row r="387" spans="1:9" x14ac:dyDescent="0.4">
      <c r="A387" t="str">
        <f t="shared" ref="A387:A450" si="18">IF($F387="","",$F387&amp;"|"&amp;$H387)</f>
        <v/>
      </c>
      <c r="B387" t="str">
        <f t="shared" ref="B387:B450" si="19">IF(F387&lt;&gt;"",F387,"")</f>
        <v/>
      </c>
      <c r="C387" t="str">
        <f t="shared" ref="C387:C450" si="20">IF(H387&lt;&gt;"", H387, "")</f>
        <v/>
      </c>
      <c r="I387" s="2"/>
    </row>
    <row r="388" spans="1:9" x14ac:dyDescent="0.4">
      <c r="A388" t="str">
        <f t="shared" si="18"/>
        <v/>
      </c>
      <c r="B388" t="str">
        <f t="shared" si="19"/>
        <v/>
      </c>
      <c r="C388" t="str">
        <f t="shared" si="20"/>
        <v/>
      </c>
      <c r="I388" s="2"/>
    </row>
    <row r="389" spans="1:9" x14ac:dyDescent="0.4">
      <c r="A389" t="str">
        <f t="shared" si="18"/>
        <v/>
      </c>
      <c r="B389" t="str">
        <f t="shared" si="19"/>
        <v/>
      </c>
      <c r="C389" t="str">
        <f t="shared" si="20"/>
        <v/>
      </c>
      <c r="I389" s="2"/>
    </row>
    <row r="390" spans="1:9" x14ac:dyDescent="0.4">
      <c r="A390" t="str">
        <f t="shared" si="18"/>
        <v/>
      </c>
      <c r="B390" t="str">
        <f t="shared" si="19"/>
        <v/>
      </c>
      <c r="C390" t="str">
        <f t="shared" si="20"/>
        <v/>
      </c>
      <c r="I390" s="2"/>
    </row>
    <row r="391" spans="1:9" x14ac:dyDescent="0.4">
      <c r="A391" t="str">
        <f t="shared" si="18"/>
        <v/>
      </c>
      <c r="B391" t="str">
        <f t="shared" si="19"/>
        <v/>
      </c>
      <c r="C391" t="str">
        <f t="shared" si="20"/>
        <v/>
      </c>
      <c r="I391" s="2"/>
    </row>
    <row r="392" spans="1:9" x14ac:dyDescent="0.4">
      <c r="A392" t="str">
        <f t="shared" si="18"/>
        <v/>
      </c>
      <c r="B392" t="str">
        <f t="shared" si="19"/>
        <v/>
      </c>
      <c r="C392" t="str">
        <f t="shared" si="20"/>
        <v/>
      </c>
      <c r="I392" s="2"/>
    </row>
    <row r="393" spans="1:9" x14ac:dyDescent="0.4">
      <c r="A393" t="str">
        <f t="shared" si="18"/>
        <v/>
      </c>
      <c r="B393" t="str">
        <f t="shared" si="19"/>
        <v/>
      </c>
      <c r="C393" t="str">
        <f t="shared" si="20"/>
        <v/>
      </c>
      <c r="I393" s="2"/>
    </row>
    <row r="394" spans="1:9" x14ac:dyDescent="0.4">
      <c r="A394" t="str">
        <f t="shared" si="18"/>
        <v/>
      </c>
      <c r="B394" t="str">
        <f t="shared" si="19"/>
        <v/>
      </c>
      <c r="C394" t="str">
        <f t="shared" si="20"/>
        <v/>
      </c>
      <c r="I394" s="2"/>
    </row>
    <row r="395" spans="1:9" x14ac:dyDescent="0.4">
      <c r="A395" t="str">
        <f t="shared" si="18"/>
        <v/>
      </c>
      <c r="B395" t="str">
        <f t="shared" si="19"/>
        <v/>
      </c>
      <c r="C395" t="str">
        <f t="shared" si="20"/>
        <v/>
      </c>
      <c r="I395" s="2"/>
    </row>
    <row r="396" spans="1:9" x14ac:dyDescent="0.4">
      <c r="A396" t="str">
        <f t="shared" si="18"/>
        <v/>
      </c>
      <c r="B396" t="str">
        <f t="shared" si="19"/>
        <v/>
      </c>
      <c r="C396" t="str">
        <f t="shared" si="20"/>
        <v/>
      </c>
      <c r="I396" s="2"/>
    </row>
    <row r="397" spans="1:9" x14ac:dyDescent="0.4">
      <c r="A397" t="str">
        <f t="shared" si="18"/>
        <v/>
      </c>
      <c r="B397" t="str">
        <f t="shared" si="19"/>
        <v/>
      </c>
      <c r="C397" t="str">
        <f t="shared" si="20"/>
        <v/>
      </c>
      <c r="I397" s="2"/>
    </row>
    <row r="398" spans="1:9" x14ac:dyDescent="0.4">
      <c r="A398" t="str">
        <f t="shared" si="18"/>
        <v/>
      </c>
      <c r="B398" t="str">
        <f t="shared" si="19"/>
        <v/>
      </c>
      <c r="C398" t="str">
        <f t="shared" si="20"/>
        <v/>
      </c>
      <c r="I398" s="2"/>
    </row>
    <row r="399" spans="1:9" x14ac:dyDescent="0.4">
      <c r="A399" t="str">
        <f t="shared" si="18"/>
        <v/>
      </c>
      <c r="B399" t="str">
        <f t="shared" si="19"/>
        <v/>
      </c>
      <c r="C399" t="str">
        <f t="shared" si="20"/>
        <v/>
      </c>
      <c r="I399" s="2"/>
    </row>
    <row r="400" spans="1:9" x14ac:dyDescent="0.4">
      <c r="A400" t="str">
        <f t="shared" si="18"/>
        <v/>
      </c>
      <c r="B400" t="str">
        <f t="shared" si="19"/>
        <v/>
      </c>
      <c r="C400" t="str">
        <f t="shared" si="20"/>
        <v/>
      </c>
      <c r="I400" s="2"/>
    </row>
    <row r="401" spans="1:9" x14ac:dyDescent="0.4">
      <c r="A401" t="str">
        <f t="shared" si="18"/>
        <v/>
      </c>
      <c r="B401" t="str">
        <f t="shared" si="19"/>
        <v/>
      </c>
      <c r="C401" t="str">
        <f t="shared" si="20"/>
        <v/>
      </c>
      <c r="I401" s="2"/>
    </row>
    <row r="402" spans="1:9" x14ac:dyDescent="0.4">
      <c r="A402" t="str">
        <f t="shared" si="18"/>
        <v/>
      </c>
      <c r="B402" t="str">
        <f t="shared" si="19"/>
        <v/>
      </c>
      <c r="C402" t="str">
        <f t="shared" si="20"/>
        <v/>
      </c>
      <c r="I402" s="2"/>
    </row>
    <row r="403" spans="1:9" x14ac:dyDescent="0.4">
      <c r="A403" t="str">
        <f t="shared" si="18"/>
        <v/>
      </c>
      <c r="B403" t="str">
        <f t="shared" si="19"/>
        <v/>
      </c>
      <c r="C403" t="str">
        <f t="shared" si="20"/>
        <v/>
      </c>
      <c r="I403" s="2"/>
    </row>
    <row r="404" spans="1:9" x14ac:dyDescent="0.4">
      <c r="A404" t="str">
        <f t="shared" si="18"/>
        <v/>
      </c>
      <c r="B404" t="str">
        <f t="shared" si="19"/>
        <v/>
      </c>
      <c r="C404" t="str">
        <f t="shared" si="20"/>
        <v/>
      </c>
      <c r="I404" s="2"/>
    </row>
    <row r="405" spans="1:9" x14ac:dyDescent="0.4">
      <c r="A405" t="str">
        <f t="shared" si="18"/>
        <v/>
      </c>
      <c r="B405" t="str">
        <f t="shared" si="19"/>
        <v/>
      </c>
      <c r="C405" t="str">
        <f t="shared" si="20"/>
        <v/>
      </c>
      <c r="I405" s="2"/>
    </row>
    <row r="406" spans="1:9" x14ac:dyDescent="0.4">
      <c r="A406" t="str">
        <f t="shared" si="18"/>
        <v/>
      </c>
      <c r="B406" t="str">
        <f t="shared" si="19"/>
        <v/>
      </c>
      <c r="C406" t="str">
        <f t="shared" si="20"/>
        <v/>
      </c>
      <c r="I406" s="2"/>
    </row>
    <row r="407" spans="1:9" x14ac:dyDescent="0.4">
      <c r="A407" t="str">
        <f t="shared" si="18"/>
        <v/>
      </c>
      <c r="B407" t="str">
        <f t="shared" si="19"/>
        <v/>
      </c>
      <c r="C407" t="str">
        <f t="shared" si="20"/>
        <v/>
      </c>
      <c r="I407" s="2"/>
    </row>
    <row r="408" spans="1:9" x14ac:dyDescent="0.4">
      <c r="A408" t="str">
        <f t="shared" si="18"/>
        <v/>
      </c>
      <c r="B408" t="str">
        <f t="shared" si="19"/>
        <v/>
      </c>
      <c r="C408" t="str">
        <f t="shared" si="20"/>
        <v/>
      </c>
      <c r="I408" s="2"/>
    </row>
    <row r="409" spans="1:9" x14ac:dyDescent="0.4">
      <c r="A409" t="str">
        <f t="shared" si="18"/>
        <v/>
      </c>
      <c r="B409" t="str">
        <f t="shared" si="19"/>
        <v/>
      </c>
      <c r="C409" t="str">
        <f t="shared" si="20"/>
        <v/>
      </c>
      <c r="I409" s="2"/>
    </row>
    <row r="410" spans="1:9" x14ac:dyDescent="0.4">
      <c r="A410" t="str">
        <f t="shared" si="18"/>
        <v/>
      </c>
      <c r="B410" t="str">
        <f t="shared" si="19"/>
        <v/>
      </c>
      <c r="C410" t="str">
        <f t="shared" si="20"/>
        <v/>
      </c>
      <c r="I410" s="2"/>
    </row>
    <row r="411" spans="1:9" x14ac:dyDescent="0.4">
      <c r="A411" t="str">
        <f t="shared" si="18"/>
        <v/>
      </c>
      <c r="B411" t="str">
        <f t="shared" si="19"/>
        <v/>
      </c>
      <c r="C411" t="str">
        <f t="shared" si="20"/>
        <v/>
      </c>
      <c r="I411" s="2"/>
    </row>
    <row r="412" spans="1:9" x14ac:dyDescent="0.4">
      <c r="A412" t="str">
        <f t="shared" si="18"/>
        <v/>
      </c>
      <c r="B412" t="str">
        <f t="shared" si="19"/>
        <v/>
      </c>
      <c r="C412" t="str">
        <f t="shared" si="20"/>
        <v/>
      </c>
      <c r="I412" s="2"/>
    </row>
    <row r="413" spans="1:9" x14ac:dyDescent="0.4">
      <c r="A413" t="str">
        <f t="shared" si="18"/>
        <v/>
      </c>
      <c r="B413" t="str">
        <f t="shared" si="19"/>
        <v/>
      </c>
      <c r="C413" t="str">
        <f t="shared" si="20"/>
        <v/>
      </c>
      <c r="I413" s="2"/>
    </row>
    <row r="414" spans="1:9" x14ac:dyDescent="0.4">
      <c r="A414" t="str">
        <f t="shared" si="18"/>
        <v/>
      </c>
      <c r="B414" t="str">
        <f t="shared" si="19"/>
        <v/>
      </c>
      <c r="C414" t="str">
        <f t="shared" si="20"/>
        <v/>
      </c>
      <c r="I414" s="2"/>
    </row>
    <row r="415" spans="1:9" x14ac:dyDescent="0.4">
      <c r="A415" t="str">
        <f t="shared" si="18"/>
        <v/>
      </c>
      <c r="B415" t="str">
        <f t="shared" si="19"/>
        <v/>
      </c>
      <c r="C415" t="str">
        <f t="shared" si="20"/>
        <v/>
      </c>
      <c r="I415" s="2"/>
    </row>
    <row r="416" spans="1:9" x14ac:dyDescent="0.4">
      <c r="A416" t="str">
        <f t="shared" si="18"/>
        <v/>
      </c>
      <c r="B416" t="str">
        <f t="shared" si="19"/>
        <v/>
      </c>
      <c r="C416" t="str">
        <f t="shared" si="20"/>
        <v/>
      </c>
      <c r="I416" s="2"/>
    </row>
    <row r="417" spans="1:9" x14ac:dyDescent="0.4">
      <c r="A417" t="str">
        <f t="shared" si="18"/>
        <v/>
      </c>
      <c r="B417" t="str">
        <f t="shared" si="19"/>
        <v/>
      </c>
      <c r="C417" t="str">
        <f t="shared" si="20"/>
        <v/>
      </c>
      <c r="I417" s="2"/>
    </row>
    <row r="418" spans="1:9" x14ac:dyDescent="0.4">
      <c r="A418" t="str">
        <f t="shared" si="18"/>
        <v/>
      </c>
      <c r="B418" t="str">
        <f t="shared" si="19"/>
        <v/>
      </c>
      <c r="C418" t="str">
        <f t="shared" si="20"/>
        <v/>
      </c>
      <c r="I418" s="2"/>
    </row>
    <row r="419" spans="1:9" x14ac:dyDescent="0.4">
      <c r="A419" t="str">
        <f t="shared" si="18"/>
        <v/>
      </c>
      <c r="B419" t="str">
        <f t="shared" si="19"/>
        <v/>
      </c>
      <c r="C419" t="str">
        <f t="shared" si="20"/>
        <v/>
      </c>
      <c r="I419" s="2"/>
    </row>
    <row r="420" spans="1:9" x14ac:dyDescent="0.4">
      <c r="A420" t="str">
        <f t="shared" si="18"/>
        <v/>
      </c>
      <c r="B420" t="str">
        <f t="shared" si="19"/>
        <v/>
      </c>
      <c r="C420" t="str">
        <f t="shared" si="20"/>
        <v/>
      </c>
      <c r="I420" s="2"/>
    </row>
    <row r="421" spans="1:9" x14ac:dyDescent="0.4">
      <c r="A421" t="str">
        <f t="shared" si="18"/>
        <v/>
      </c>
      <c r="B421" t="str">
        <f t="shared" si="19"/>
        <v/>
      </c>
      <c r="C421" t="str">
        <f t="shared" si="20"/>
        <v/>
      </c>
      <c r="I421" s="2"/>
    </row>
    <row r="422" spans="1:9" x14ac:dyDescent="0.4">
      <c r="A422" t="str">
        <f t="shared" si="18"/>
        <v/>
      </c>
      <c r="B422" t="str">
        <f t="shared" si="19"/>
        <v/>
      </c>
      <c r="C422" t="str">
        <f t="shared" si="20"/>
        <v/>
      </c>
      <c r="I422" s="2"/>
    </row>
    <row r="423" spans="1:9" x14ac:dyDescent="0.4">
      <c r="A423" t="str">
        <f t="shared" si="18"/>
        <v/>
      </c>
      <c r="B423" t="str">
        <f t="shared" si="19"/>
        <v/>
      </c>
      <c r="C423" t="str">
        <f t="shared" si="20"/>
        <v/>
      </c>
      <c r="I423" s="2"/>
    </row>
    <row r="424" spans="1:9" x14ac:dyDescent="0.4">
      <c r="A424" t="str">
        <f t="shared" si="18"/>
        <v/>
      </c>
      <c r="B424" t="str">
        <f t="shared" si="19"/>
        <v/>
      </c>
      <c r="C424" t="str">
        <f t="shared" si="20"/>
        <v/>
      </c>
      <c r="I424" s="2"/>
    </row>
    <row r="425" spans="1:9" x14ac:dyDescent="0.4">
      <c r="A425" t="str">
        <f t="shared" si="18"/>
        <v/>
      </c>
      <c r="B425" t="str">
        <f t="shared" si="19"/>
        <v/>
      </c>
      <c r="C425" t="str">
        <f t="shared" si="20"/>
        <v/>
      </c>
      <c r="I425" s="2"/>
    </row>
    <row r="426" spans="1:9" x14ac:dyDescent="0.4">
      <c r="A426" t="str">
        <f t="shared" si="18"/>
        <v/>
      </c>
      <c r="B426" t="str">
        <f t="shared" si="19"/>
        <v/>
      </c>
      <c r="C426" t="str">
        <f t="shared" si="20"/>
        <v/>
      </c>
      <c r="I426" s="2"/>
    </row>
    <row r="427" spans="1:9" x14ac:dyDescent="0.4">
      <c r="A427" t="str">
        <f t="shared" si="18"/>
        <v/>
      </c>
      <c r="B427" t="str">
        <f t="shared" si="19"/>
        <v/>
      </c>
      <c r="C427" t="str">
        <f t="shared" si="20"/>
        <v/>
      </c>
      <c r="I427" s="2"/>
    </row>
    <row r="428" spans="1:9" x14ac:dyDescent="0.4">
      <c r="A428" t="str">
        <f t="shared" si="18"/>
        <v/>
      </c>
      <c r="B428" t="str">
        <f t="shared" si="19"/>
        <v/>
      </c>
      <c r="C428" t="str">
        <f t="shared" si="20"/>
        <v/>
      </c>
      <c r="I428" s="2"/>
    </row>
    <row r="429" spans="1:9" x14ac:dyDescent="0.4">
      <c r="A429" t="str">
        <f t="shared" si="18"/>
        <v/>
      </c>
      <c r="B429" t="str">
        <f t="shared" si="19"/>
        <v/>
      </c>
      <c r="C429" t="str">
        <f t="shared" si="20"/>
        <v/>
      </c>
      <c r="I429" s="2"/>
    </row>
    <row r="430" spans="1:9" x14ac:dyDescent="0.4">
      <c r="A430" t="str">
        <f t="shared" si="18"/>
        <v/>
      </c>
      <c r="B430" t="str">
        <f t="shared" si="19"/>
        <v/>
      </c>
      <c r="C430" t="str">
        <f t="shared" si="20"/>
        <v/>
      </c>
      <c r="I430" s="2"/>
    </row>
    <row r="431" spans="1:9" x14ac:dyDescent="0.4">
      <c r="A431" t="str">
        <f t="shared" si="18"/>
        <v/>
      </c>
      <c r="B431" t="str">
        <f t="shared" si="19"/>
        <v/>
      </c>
      <c r="C431" t="str">
        <f t="shared" si="20"/>
        <v/>
      </c>
      <c r="I431" s="2"/>
    </row>
    <row r="432" spans="1:9" x14ac:dyDescent="0.4">
      <c r="A432" t="str">
        <f t="shared" si="18"/>
        <v/>
      </c>
      <c r="B432" t="str">
        <f t="shared" si="19"/>
        <v/>
      </c>
      <c r="C432" t="str">
        <f t="shared" si="20"/>
        <v/>
      </c>
      <c r="I432" s="2"/>
    </row>
    <row r="433" spans="1:9" x14ac:dyDescent="0.4">
      <c r="A433" t="str">
        <f t="shared" si="18"/>
        <v/>
      </c>
      <c r="B433" t="str">
        <f t="shared" si="19"/>
        <v/>
      </c>
      <c r="C433" t="str">
        <f t="shared" si="20"/>
        <v/>
      </c>
      <c r="I433" s="2"/>
    </row>
    <row r="434" spans="1:9" x14ac:dyDescent="0.4">
      <c r="A434" t="str">
        <f t="shared" si="18"/>
        <v/>
      </c>
      <c r="B434" t="str">
        <f t="shared" si="19"/>
        <v/>
      </c>
      <c r="C434" t="str">
        <f t="shared" si="20"/>
        <v/>
      </c>
      <c r="I434" s="2"/>
    </row>
    <row r="435" spans="1:9" x14ac:dyDescent="0.4">
      <c r="A435" t="str">
        <f t="shared" si="18"/>
        <v/>
      </c>
      <c r="B435" t="str">
        <f t="shared" si="19"/>
        <v/>
      </c>
      <c r="C435" t="str">
        <f t="shared" si="20"/>
        <v/>
      </c>
      <c r="I435" s="2"/>
    </row>
    <row r="436" spans="1:9" x14ac:dyDescent="0.4">
      <c r="A436" t="str">
        <f t="shared" si="18"/>
        <v/>
      </c>
      <c r="B436" t="str">
        <f t="shared" si="19"/>
        <v/>
      </c>
      <c r="C436" t="str">
        <f t="shared" si="20"/>
        <v/>
      </c>
      <c r="I436" s="2"/>
    </row>
    <row r="437" spans="1:9" x14ac:dyDescent="0.4">
      <c r="A437" t="str">
        <f t="shared" si="18"/>
        <v/>
      </c>
      <c r="B437" t="str">
        <f t="shared" si="19"/>
        <v/>
      </c>
      <c r="C437" t="str">
        <f t="shared" si="20"/>
        <v/>
      </c>
      <c r="I437" s="2"/>
    </row>
    <row r="438" spans="1:9" x14ac:dyDescent="0.4">
      <c r="A438" t="str">
        <f t="shared" si="18"/>
        <v/>
      </c>
      <c r="B438" t="str">
        <f t="shared" si="19"/>
        <v/>
      </c>
      <c r="C438" t="str">
        <f t="shared" si="20"/>
        <v/>
      </c>
      <c r="I438" s="2"/>
    </row>
    <row r="439" spans="1:9" x14ac:dyDescent="0.4">
      <c r="A439" t="str">
        <f t="shared" si="18"/>
        <v/>
      </c>
      <c r="B439" t="str">
        <f t="shared" si="19"/>
        <v/>
      </c>
      <c r="C439" t="str">
        <f t="shared" si="20"/>
        <v/>
      </c>
      <c r="I439" s="2"/>
    </row>
    <row r="440" spans="1:9" x14ac:dyDescent="0.4">
      <c r="A440" t="str">
        <f t="shared" si="18"/>
        <v/>
      </c>
      <c r="B440" t="str">
        <f t="shared" si="19"/>
        <v/>
      </c>
      <c r="C440" t="str">
        <f t="shared" si="20"/>
        <v/>
      </c>
      <c r="I440" s="2"/>
    </row>
    <row r="441" spans="1:9" x14ac:dyDescent="0.4">
      <c r="A441" t="str">
        <f t="shared" si="18"/>
        <v/>
      </c>
      <c r="B441" t="str">
        <f t="shared" si="19"/>
        <v/>
      </c>
      <c r="C441" t="str">
        <f t="shared" si="20"/>
        <v/>
      </c>
      <c r="I441" s="2"/>
    </row>
    <row r="442" spans="1:9" x14ac:dyDescent="0.4">
      <c r="A442" t="str">
        <f t="shared" si="18"/>
        <v/>
      </c>
      <c r="B442" t="str">
        <f t="shared" si="19"/>
        <v/>
      </c>
      <c r="C442" t="str">
        <f t="shared" si="20"/>
        <v/>
      </c>
      <c r="I442" s="2"/>
    </row>
    <row r="443" spans="1:9" x14ac:dyDescent="0.4">
      <c r="A443" t="str">
        <f t="shared" si="18"/>
        <v/>
      </c>
      <c r="B443" t="str">
        <f t="shared" si="19"/>
        <v/>
      </c>
      <c r="C443" t="str">
        <f t="shared" si="20"/>
        <v/>
      </c>
      <c r="I443" s="2"/>
    </row>
    <row r="444" spans="1:9" x14ac:dyDescent="0.4">
      <c r="A444" t="str">
        <f t="shared" si="18"/>
        <v/>
      </c>
      <c r="B444" t="str">
        <f t="shared" si="19"/>
        <v/>
      </c>
      <c r="C444" t="str">
        <f t="shared" si="20"/>
        <v/>
      </c>
      <c r="I444" s="2"/>
    </row>
    <row r="445" spans="1:9" x14ac:dyDescent="0.4">
      <c r="A445" t="str">
        <f t="shared" si="18"/>
        <v/>
      </c>
      <c r="B445" t="str">
        <f t="shared" si="19"/>
        <v/>
      </c>
      <c r="C445" t="str">
        <f t="shared" si="20"/>
        <v/>
      </c>
      <c r="I445" s="2"/>
    </row>
    <row r="446" spans="1:9" x14ac:dyDescent="0.4">
      <c r="A446" t="str">
        <f t="shared" si="18"/>
        <v/>
      </c>
      <c r="B446" t="str">
        <f t="shared" si="19"/>
        <v/>
      </c>
      <c r="C446" t="str">
        <f t="shared" si="20"/>
        <v/>
      </c>
      <c r="I446" s="2"/>
    </row>
    <row r="447" spans="1:9" x14ac:dyDescent="0.4">
      <c r="A447" t="str">
        <f t="shared" si="18"/>
        <v/>
      </c>
      <c r="B447" t="str">
        <f t="shared" si="19"/>
        <v/>
      </c>
      <c r="C447" t="str">
        <f t="shared" si="20"/>
        <v/>
      </c>
      <c r="I447" s="2"/>
    </row>
    <row r="448" spans="1:9" x14ac:dyDescent="0.4">
      <c r="A448" t="str">
        <f t="shared" si="18"/>
        <v/>
      </c>
      <c r="B448" t="str">
        <f t="shared" si="19"/>
        <v/>
      </c>
      <c r="C448" t="str">
        <f t="shared" si="20"/>
        <v/>
      </c>
      <c r="I448" s="2"/>
    </row>
    <row r="449" spans="1:9" x14ac:dyDescent="0.4">
      <c r="A449" t="str">
        <f t="shared" si="18"/>
        <v/>
      </c>
      <c r="B449" t="str">
        <f t="shared" si="19"/>
        <v/>
      </c>
      <c r="C449" t="str">
        <f t="shared" si="20"/>
        <v/>
      </c>
      <c r="I449" s="2"/>
    </row>
    <row r="450" spans="1:9" x14ac:dyDescent="0.4">
      <c r="A450" t="str">
        <f t="shared" si="18"/>
        <v/>
      </c>
      <c r="B450" t="str">
        <f t="shared" si="19"/>
        <v/>
      </c>
      <c r="C450" t="str">
        <f t="shared" si="20"/>
        <v/>
      </c>
      <c r="I450" s="2"/>
    </row>
    <row r="451" spans="1:9" x14ac:dyDescent="0.4">
      <c r="A451" t="str">
        <f t="shared" ref="A451:A514" si="21">IF($F451="","",$F451&amp;"|"&amp;$H451)</f>
        <v/>
      </c>
      <c r="B451" t="str">
        <f t="shared" ref="B451:B514" si="22">IF(F451&lt;&gt;"",F451,"")</f>
        <v/>
      </c>
      <c r="C451" t="str">
        <f t="shared" ref="C451:C514" si="23">IF(H451&lt;&gt;"", H451, "")</f>
        <v/>
      </c>
      <c r="I451" s="2"/>
    </row>
    <row r="452" spans="1:9" x14ac:dyDescent="0.4">
      <c r="A452" t="str">
        <f t="shared" si="21"/>
        <v/>
      </c>
      <c r="B452" t="str">
        <f t="shared" si="22"/>
        <v/>
      </c>
      <c r="C452" t="str">
        <f t="shared" si="23"/>
        <v/>
      </c>
      <c r="I452" s="2"/>
    </row>
    <row r="453" spans="1:9" x14ac:dyDescent="0.4">
      <c r="A453" t="str">
        <f t="shared" si="21"/>
        <v/>
      </c>
      <c r="B453" t="str">
        <f t="shared" si="22"/>
        <v/>
      </c>
      <c r="C453" t="str">
        <f t="shared" si="23"/>
        <v/>
      </c>
      <c r="I453" s="2"/>
    </row>
    <row r="454" spans="1:9" x14ac:dyDescent="0.4">
      <c r="A454" t="str">
        <f t="shared" si="21"/>
        <v/>
      </c>
      <c r="B454" t="str">
        <f t="shared" si="22"/>
        <v/>
      </c>
      <c r="C454" t="str">
        <f t="shared" si="23"/>
        <v/>
      </c>
      <c r="I454" s="2"/>
    </row>
    <row r="455" spans="1:9" x14ac:dyDescent="0.4">
      <c r="A455" t="str">
        <f t="shared" si="21"/>
        <v/>
      </c>
      <c r="B455" t="str">
        <f t="shared" si="22"/>
        <v/>
      </c>
      <c r="C455" t="str">
        <f t="shared" si="23"/>
        <v/>
      </c>
      <c r="I455" s="2"/>
    </row>
    <row r="456" spans="1:9" x14ac:dyDescent="0.4">
      <c r="A456" t="str">
        <f t="shared" si="21"/>
        <v/>
      </c>
      <c r="B456" t="str">
        <f t="shared" si="22"/>
        <v/>
      </c>
      <c r="C456" t="str">
        <f t="shared" si="23"/>
        <v/>
      </c>
      <c r="I456" s="2"/>
    </row>
    <row r="457" spans="1:9" x14ac:dyDescent="0.4">
      <c r="A457" t="str">
        <f t="shared" si="21"/>
        <v/>
      </c>
      <c r="B457" t="str">
        <f t="shared" si="22"/>
        <v/>
      </c>
      <c r="C457" t="str">
        <f t="shared" si="23"/>
        <v/>
      </c>
      <c r="I457" s="2"/>
    </row>
    <row r="458" spans="1:9" x14ac:dyDescent="0.4">
      <c r="A458" t="str">
        <f t="shared" si="21"/>
        <v/>
      </c>
      <c r="B458" t="str">
        <f t="shared" si="22"/>
        <v/>
      </c>
      <c r="C458" t="str">
        <f t="shared" si="23"/>
        <v/>
      </c>
      <c r="I458" s="2"/>
    </row>
    <row r="459" spans="1:9" x14ac:dyDescent="0.4">
      <c r="A459" t="str">
        <f t="shared" si="21"/>
        <v/>
      </c>
      <c r="B459" t="str">
        <f t="shared" si="22"/>
        <v/>
      </c>
      <c r="C459" t="str">
        <f t="shared" si="23"/>
        <v/>
      </c>
      <c r="I459" s="2"/>
    </row>
    <row r="460" spans="1:9" x14ac:dyDescent="0.4">
      <c r="A460" t="str">
        <f t="shared" si="21"/>
        <v/>
      </c>
      <c r="B460" t="str">
        <f t="shared" si="22"/>
        <v/>
      </c>
      <c r="C460" t="str">
        <f t="shared" si="23"/>
        <v/>
      </c>
      <c r="I460" s="2"/>
    </row>
    <row r="461" spans="1:9" x14ac:dyDescent="0.4">
      <c r="A461" t="str">
        <f t="shared" si="21"/>
        <v/>
      </c>
      <c r="B461" t="str">
        <f t="shared" si="22"/>
        <v/>
      </c>
      <c r="C461" t="str">
        <f t="shared" si="23"/>
        <v/>
      </c>
      <c r="I461" s="2"/>
    </row>
    <row r="462" spans="1:9" x14ac:dyDescent="0.4">
      <c r="A462" t="str">
        <f t="shared" si="21"/>
        <v/>
      </c>
      <c r="B462" t="str">
        <f t="shared" si="22"/>
        <v/>
      </c>
      <c r="C462" t="str">
        <f t="shared" si="23"/>
        <v/>
      </c>
      <c r="I462" s="2"/>
    </row>
    <row r="463" spans="1:9" x14ac:dyDescent="0.4">
      <c r="A463" t="str">
        <f t="shared" si="21"/>
        <v/>
      </c>
      <c r="B463" t="str">
        <f t="shared" si="22"/>
        <v/>
      </c>
      <c r="C463" t="str">
        <f t="shared" si="23"/>
        <v/>
      </c>
      <c r="I463" s="2"/>
    </row>
    <row r="464" spans="1:9" x14ac:dyDescent="0.4">
      <c r="A464" t="str">
        <f t="shared" si="21"/>
        <v/>
      </c>
      <c r="B464" t="str">
        <f t="shared" si="22"/>
        <v/>
      </c>
      <c r="C464" t="str">
        <f t="shared" si="23"/>
        <v/>
      </c>
      <c r="I464" s="2"/>
    </row>
    <row r="465" spans="1:9" x14ac:dyDescent="0.4">
      <c r="A465" t="str">
        <f t="shared" si="21"/>
        <v/>
      </c>
      <c r="B465" t="str">
        <f t="shared" si="22"/>
        <v/>
      </c>
      <c r="C465" t="str">
        <f t="shared" si="23"/>
        <v/>
      </c>
      <c r="I465" s="2"/>
    </row>
    <row r="466" spans="1:9" x14ac:dyDescent="0.4">
      <c r="A466" t="str">
        <f t="shared" si="21"/>
        <v/>
      </c>
      <c r="B466" t="str">
        <f t="shared" si="22"/>
        <v/>
      </c>
      <c r="C466" t="str">
        <f t="shared" si="23"/>
        <v/>
      </c>
      <c r="I466" s="2"/>
    </row>
    <row r="467" spans="1:9" x14ac:dyDescent="0.4">
      <c r="A467" t="str">
        <f t="shared" si="21"/>
        <v/>
      </c>
      <c r="B467" t="str">
        <f t="shared" si="22"/>
        <v/>
      </c>
      <c r="C467" t="str">
        <f t="shared" si="23"/>
        <v/>
      </c>
      <c r="I467" s="2"/>
    </row>
    <row r="468" spans="1:9" x14ac:dyDescent="0.4">
      <c r="A468" t="str">
        <f t="shared" si="21"/>
        <v/>
      </c>
      <c r="B468" t="str">
        <f t="shared" si="22"/>
        <v/>
      </c>
      <c r="C468" t="str">
        <f t="shared" si="23"/>
        <v/>
      </c>
      <c r="I468" s="2"/>
    </row>
    <row r="469" spans="1:9" x14ac:dyDescent="0.4">
      <c r="A469" t="str">
        <f t="shared" si="21"/>
        <v/>
      </c>
      <c r="B469" t="str">
        <f t="shared" si="22"/>
        <v/>
      </c>
      <c r="C469" t="str">
        <f t="shared" si="23"/>
        <v/>
      </c>
      <c r="I469" s="2"/>
    </row>
    <row r="470" spans="1:9" x14ac:dyDescent="0.4">
      <c r="A470" t="str">
        <f t="shared" si="21"/>
        <v/>
      </c>
      <c r="B470" t="str">
        <f t="shared" si="22"/>
        <v/>
      </c>
      <c r="C470" t="str">
        <f t="shared" si="23"/>
        <v/>
      </c>
      <c r="I470" s="2"/>
    </row>
    <row r="471" spans="1:9" x14ac:dyDescent="0.4">
      <c r="A471" t="str">
        <f t="shared" si="21"/>
        <v/>
      </c>
      <c r="B471" t="str">
        <f t="shared" si="22"/>
        <v/>
      </c>
      <c r="C471" t="str">
        <f t="shared" si="23"/>
        <v/>
      </c>
      <c r="I471" s="2"/>
    </row>
    <row r="472" spans="1:9" x14ac:dyDescent="0.4">
      <c r="A472" t="str">
        <f t="shared" si="21"/>
        <v/>
      </c>
      <c r="B472" t="str">
        <f t="shared" si="22"/>
        <v/>
      </c>
      <c r="C472" t="str">
        <f t="shared" si="23"/>
        <v/>
      </c>
      <c r="I472" s="2"/>
    </row>
    <row r="473" spans="1:9" x14ac:dyDescent="0.4">
      <c r="A473" t="str">
        <f t="shared" si="21"/>
        <v/>
      </c>
      <c r="B473" t="str">
        <f t="shared" si="22"/>
        <v/>
      </c>
      <c r="C473" t="str">
        <f t="shared" si="23"/>
        <v/>
      </c>
      <c r="I473" s="2"/>
    </row>
    <row r="474" spans="1:9" x14ac:dyDescent="0.4">
      <c r="A474" t="str">
        <f t="shared" si="21"/>
        <v/>
      </c>
      <c r="B474" t="str">
        <f t="shared" si="22"/>
        <v/>
      </c>
      <c r="C474" t="str">
        <f t="shared" si="23"/>
        <v/>
      </c>
      <c r="I474" s="2"/>
    </row>
    <row r="475" spans="1:9" x14ac:dyDescent="0.4">
      <c r="A475" t="str">
        <f t="shared" si="21"/>
        <v/>
      </c>
      <c r="B475" t="str">
        <f t="shared" si="22"/>
        <v/>
      </c>
      <c r="C475" t="str">
        <f t="shared" si="23"/>
        <v/>
      </c>
      <c r="I475" s="2"/>
    </row>
    <row r="476" spans="1:9" x14ac:dyDescent="0.4">
      <c r="A476" t="str">
        <f t="shared" si="21"/>
        <v/>
      </c>
      <c r="B476" t="str">
        <f t="shared" si="22"/>
        <v/>
      </c>
      <c r="C476" t="str">
        <f t="shared" si="23"/>
        <v/>
      </c>
      <c r="I476" s="2"/>
    </row>
    <row r="477" spans="1:9" x14ac:dyDescent="0.4">
      <c r="A477" t="str">
        <f t="shared" si="21"/>
        <v/>
      </c>
      <c r="B477" t="str">
        <f t="shared" si="22"/>
        <v/>
      </c>
      <c r="C477" t="str">
        <f t="shared" si="23"/>
        <v/>
      </c>
      <c r="I477" s="2"/>
    </row>
    <row r="478" spans="1:9" x14ac:dyDescent="0.4">
      <c r="A478" t="str">
        <f t="shared" si="21"/>
        <v/>
      </c>
      <c r="B478" t="str">
        <f t="shared" si="22"/>
        <v/>
      </c>
      <c r="C478" t="str">
        <f t="shared" si="23"/>
        <v/>
      </c>
      <c r="I478" s="2"/>
    </row>
    <row r="479" spans="1:9" x14ac:dyDescent="0.4">
      <c r="A479" t="str">
        <f t="shared" si="21"/>
        <v/>
      </c>
      <c r="B479" t="str">
        <f t="shared" si="22"/>
        <v/>
      </c>
      <c r="C479" t="str">
        <f t="shared" si="23"/>
        <v/>
      </c>
      <c r="I479" s="2"/>
    </row>
    <row r="480" spans="1:9" x14ac:dyDescent="0.4">
      <c r="A480" t="str">
        <f t="shared" si="21"/>
        <v/>
      </c>
      <c r="B480" t="str">
        <f t="shared" si="22"/>
        <v/>
      </c>
      <c r="C480" t="str">
        <f t="shared" si="23"/>
        <v/>
      </c>
      <c r="I480" s="2"/>
    </row>
    <row r="481" spans="1:9" x14ac:dyDescent="0.4">
      <c r="A481" t="str">
        <f t="shared" si="21"/>
        <v/>
      </c>
      <c r="B481" t="str">
        <f t="shared" si="22"/>
        <v/>
      </c>
      <c r="C481" t="str">
        <f t="shared" si="23"/>
        <v/>
      </c>
      <c r="I481" s="2"/>
    </row>
    <row r="482" spans="1:9" x14ac:dyDescent="0.4">
      <c r="A482" t="str">
        <f t="shared" si="21"/>
        <v/>
      </c>
      <c r="B482" t="str">
        <f t="shared" si="22"/>
        <v/>
      </c>
      <c r="C482" t="str">
        <f t="shared" si="23"/>
        <v/>
      </c>
      <c r="I482" s="2"/>
    </row>
    <row r="483" spans="1:9" x14ac:dyDescent="0.4">
      <c r="A483" t="str">
        <f t="shared" si="21"/>
        <v/>
      </c>
      <c r="B483" t="str">
        <f t="shared" si="22"/>
        <v/>
      </c>
      <c r="C483" t="str">
        <f t="shared" si="23"/>
        <v/>
      </c>
      <c r="I483" s="2"/>
    </row>
    <row r="484" spans="1:9" x14ac:dyDescent="0.4">
      <c r="A484" t="str">
        <f t="shared" si="21"/>
        <v/>
      </c>
      <c r="B484" t="str">
        <f t="shared" si="22"/>
        <v/>
      </c>
      <c r="C484" t="str">
        <f t="shared" si="23"/>
        <v/>
      </c>
      <c r="I484" s="2"/>
    </row>
    <row r="485" spans="1:9" x14ac:dyDescent="0.4">
      <c r="A485" t="str">
        <f t="shared" si="21"/>
        <v/>
      </c>
      <c r="B485" t="str">
        <f t="shared" si="22"/>
        <v/>
      </c>
      <c r="C485" t="str">
        <f t="shared" si="23"/>
        <v/>
      </c>
      <c r="I485" s="2"/>
    </row>
    <row r="486" spans="1:9" x14ac:dyDescent="0.4">
      <c r="A486" t="str">
        <f t="shared" si="21"/>
        <v/>
      </c>
      <c r="B486" t="str">
        <f t="shared" si="22"/>
        <v/>
      </c>
      <c r="C486" t="str">
        <f t="shared" si="23"/>
        <v/>
      </c>
      <c r="I486" s="2"/>
    </row>
    <row r="487" spans="1:9" x14ac:dyDescent="0.4">
      <c r="A487" t="str">
        <f t="shared" si="21"/>
        <v/>
      </c>
      <c r="B487" t="str">
        <f t="shared" si="22"/>
        <v/>
      </c>
      <c r="C487" t="str">
        <f t="shared" si="23"/>
        <v/>
      </c>
      <c r="I487" s="2"/>
    </row>
    <row r="488" spans="1:9" x14ac:dyDescent="0.4">
      <c r="A488" t="str">
        <f t="shared" si="21"/>
        <v/>
      </c>
      <c r="B488" t="str">
        <f t="shared" si="22"/>
        <v/>
      </c>
      <c r="C488" t="str">
        <f t="shared" si="23"/>
        <v/>
      </c>
      <c r="I488" s="2"/>
    </row>
    <row r="489" spans="1:9" x14ac:dyDescent="0.4">
      <c r="A489" t="str">
        <f t="shared" si="21"/>
        <v/>
      </c>
      <c r="B489" t="str">
        <f t="shared" si="22"/>
        <v/>
      </c>
      <c r="C489" t="str">
        <f t="shared" si="23"/>
        <v/>
      </c>
      <c r="I489" s="2"/>
    </row>
    <row r="490" spans="1:9" x14ac:dyDescent="0.4">
      <c r="A490" t="str">
        <f t="shared" si="21"/>
        <v/>
      </c>
      <c r="B490" t="str">
        <f t="shared" si="22"/>
        <v/>
      </c>
      <c r="C490" t="str">
        <f t="shared" si="23"/>
        <v/>
      </c>
      <c r="I490" s="2"/>
    </row>
    <row r="491" spans="1:9" x14ac:dyDescent="0.4">
      <c r="A491" t="str">
        <f t="shared" si="21"/>
        <v/>
      </c>
      <c r="B491" t="str">
        <f t="shared" si="22"/>
        <v/>
      </c>
      <c r="C491" t="str">
        <f t="shared" si="23"/>
        <v/>
      </c>
      <c r="I491" s="2"/>
    </row>
    <row r="492" spans="1:9" x14ac:dyDescent="0.4">
      <c r="A492" t="str">
        <f t="shared" si="21"/>
        <v/>
      </c>
      <c r="B492" t="str">
        <f t="shared" si="22"/>
        <v/>
      </c>
      <c r="C492" t="str">
        <f t="shared" si="23"/>
        <v/>
      </c>
      <c r="I492" s="2"/>
    </row>
    <row r="493" spans="1:9" x14ac:dyDescent="0.4">
      <c r="A493" t="str">
        <f t="shared" si="21"/>
        <v/>
      </c>
      <c r="B493" t="str">
        <f t="shared" si="22"/>
        <v/>
      </c>
      <c r="C493" t="str">
        <f t="shared" si="23"/>
        <v/>
      </c>
      <c r="I493" s="2"/>
    </row>
    <row r="494" spans="1:9" x14ac:dyDescent="0.4">
      <c r="A494" t="str">
        <f t="shared" si="21"/>
        <v/>
      </c>
      <c r="B494" t="str">
        <f t="shared" si="22"/>
        <v/>
      </c>
      <c r="C494" t="str">
        <f t="shared" si="23"/>
        <v/>
      </c>
      <c r="I494" s="2"/>
    </row>
    <row r="495" spans="1:9" x14ac:dyDescent="0.4">
      <c r="A495" t="str">
        <f t="shared" si="21"/>
        <v/>
      </c>
      <c r="B495" t="str">
        <f t="shared" si="22"/>
        <v/>
      </c>
      <c r="C495" t="str">
        <f t="shared" si="23"/>
        <v/>
      </c>
      <c r="I495" s="2"/>
    </row>
    <row r="496" spans="1:9" x14ac:dyDescent="0.4">
      <c r="A496" t="str">
        <f t="shared" si="21"/>
        <v/>
      </c>
      <c r="B496" t="str">
        <f t="shared" si="22"/>
        <v/>
      </c>
      <c r="C496" t="str">
        <f t="shared" si="23"/>
        <v/>
      </c>
      <c r="I496" s="2"/>
    </row>
    <row r="497" spans="1:9" x14ac:dyDescent="0.4">
      <c r="A497" t="str">
        <f t="shared" si="21"/>
        <v/>
      </c>
      <c r="B497" t="str">
        <f t="shared" si="22"/>
        <v/>
      </c>
      <c r="C497" t="str">
        <f t="shared" si="23"/>
        <v/>
      </c>
      <c r="I497" s="2"/>
    </row>
    <row r="498" spans="1:9" x14ac:dyDescent="0.4">
      <c r="A498" t="str">
        <f t="shared" si="21"/>
        <v/>
      </c>
      <c r="B498" t="str">
        <f t="shared" si="22"/>
        <v/>
      </c>
      <c r="C498" t="str">
        <f t="shared" si="23"/>
        <v/>
      </c>
      <c r="I498" s="2"/>
    </row>
    <row r="499" spans="1:9" x14ac:dyDescent="0.4">
      <c r="A499" t="str">
        <f t="shared" si="21"/>
        <v/>
      </c>
      <c r="B499" t="str">
        <f t="shared" si="22"/>
        <v/>
      </c>
      <c r="C499" t="str">
        <f t="shared" si="23"/>
        <v/>
      </c>
      <c r="I499" s="2"/>
    </row>
    <row r="500" spans="1:9" x14ac:dyDescent="0.4">
      <c r="A500" t="str">
        <f t="shared" si="21"/>
        <v/>
      </c>
      <c r="B500" t="str">
        <f t="shared" si="22"/>
        <v/>
      </c>
      <c r="C500" t="str">
        <f t="shared" si="23"/>
        <v/>
      </c>
      <c r="I500" s="2"/>
    </row>
    <row r="501" spans="1:9" x14ac:dyDescent="0.4">
      <c r="A501" t="str">
        <f t="shared" si="21"/>
        <v/>
      </c>
      <c r="B501" t="str">
        <f t="shared" si="22"/>
        <v/>
      </c>
      <c r="C501" t="str">
        <f t="shared" si="23"/>
        <v/>
      </c>
      <c r="I501" s="2"/>
    </row>
    <row r="502" spans="1:9" x14ac:dyDescent="0.4">
      <c r="A502" t="str">
        <f t="shared" si="21"/>
        <v/>
      </c>
      <c r="B502" t="str">
        <f t="shared" si="22"/>
        <v/>
      </c>
      <c r="C502" t="str">
        <f t="shared" si="23"/>
        <v/>
      </c>
      <c r="I502" s="2"/>
    </row>
    <row r="503" spans="1:9" x14ac:dyDescent="0.4">
      <c r="A503" t="str">
        <f t="shared" si="21"/>
        <v/>
      </c>
      <c r="B503" t="str">
        <f t="shared" si="22"/>
        <v/>
      </c>
      <c r="C503" t="str">
        <f t="shared" si="23"/>
        <v/>
      </c>
      <c r="I503" s="2"/>
    </row>
    <row r="504" spans="1:9" x14ac:dyDescent="0.4">
      <c r="A504" t="str">
        <f t="shared" si="21"/>
        <v/>
      </c>
      <c r="B504" t="str">
        <f t="shared" si="22"/>
        <v/>
      </c>
      <c r="C504" t="str">
        <f t="shared" si="23"/>
        <v/>
      </c>
      <c r="I504" s="2"/>
    </row>
    <row r="505" spans="1:9" x14ac:dyDescent="0.4">
      <c r="A505" t="str">
        <f t="shared" si="21"/>
        <v/>
      </c>
      <c r="B505" t="str">
        <f t="shared" si="22"/>
        <v/>
      </c>
      <c r="C505" t="str">
        <f t="shared" si="23"/>
        <v/>
      </c>
      <c r="I505" s="2"/>
    </row>
    <row r="506" spans="1:9" x14ac:dyDescent="0.4">
      <c r="A506" t="str">
        <f t="shared" si="21"/>
        <v/>
      </c>
      <c r="B506" t="str">
        <f t="shared" si="22"/>
        <v/>
      </c>
      <c r="C506" t="str">
        <f t="shared" si="23"/>
        <v/>
      </c>
      <c r="I506" s="2"/>
    </row>
    <row r="507" spans="1:9" x14ac:dyDescent="0.4">
      <c r="A507" t="str">
        <f t="shared" si="21"/>
        <v/>
      </c>
      <c r="B507" t="str">
        <f t="shared" si="22"/>
        <v/>
      </c>
      <c r="C507" t="str">
        <f t="shared" si="23"/>
        <v/>
      </c>
      <c r="I507" s="2"/>
    </row>
    <row r="508" spans="1:9" x14ac:dyDescent="0.4">
      <c r="A508" t="str">
        <f t="shared" si="21"/>
        <v/>
      </c>
      <c r="B508" t="str">
        <f t="shared" si="22"/>
        <v/>
      </c>
      <c r="C508" t="str">
        <f t="shared" si="23"/>
        <v/>
      </c>
      <c r="I508" s="2"/>
    </row>
    <row r="509" spans="1:9" x14ac:dyDescent="0.4">
      <c r="A509" t="str">
        <f t="shared" si="21"/>
        <v/>
      </c>
      <c r="B509" t="str">
        <f t="shared" si="22"/>
        <v/>
      </c>
      <c r="C509" t="str">
        <f t="shared" si="23"/>
        <v/>
      </c>
      <c r="I509" s="2"/>
    </row>
    <row r="510" spans="1:9" x14ac:dyDescent="0.4">
      <c r="A510" t="str">
        <f t="shared" si="21"/>
        <v/>
      </c>
      <c r="B510" t="str">
        <f t="shared" si="22"/>
        <v/>
      </c>
      <c r="C510" t="str">
        <f t="shared" si="23"/>
        <v/>
      </c>
      <c r="I510" s="2"/>
    </row>
    <row r="511" spans="1:9" x14ac:dyDescent="0.4">
      <c r="A511" t="str">
        <f t="shared" si="21"/>
        <v/>
      </c>
      <c r="B511" t="str">
        <f t="shared" si="22"/>
        <v/>
      </c>
      <c r="C511" t="str">
        <f t="shared" si="23"/>
        <v/>
      </c>
      <c r="I511" s="2"/>
    </row>
    <row r="512" spans="1:9" x14ac:dyDescent="0.4">
      <c r="A512" t="str">
        <f t="shared" si="21"/>
        <v/>
      </c>
      <c r="B512" t="str">
        <f t="shared" si="22"/>
        <v/>
      </c>
      <c r="C512" t="str">
        <f t="shared" si="23"/>
        <v/>
      </c>
      <c r="I512" s="2"/>
    </row>
    <row r="513" spans="1:9" x14ac:dyDescent="0.4">
      <c r="A513" t="str">
        <f t="shared" si="21"/>
        <v/>
      </c>
      <c r="B513" t="str">
        <f t="shared" si="22"/>
        <v/>
      </c>
      <c r="C513" t="str">
        <f t="shared" si="23"/>
        <v/>
      </c>
      <c r="I513" s="2"/>
    </row>
    <row r="514" spans="1:9" x14ac:dyDescent="0.4">
      <c r="A514" t="str">
        <f t="shared" si="21"/>
        <v/>
      </c>
      <c r="B514" t="str">
        <f t="shared" si="22"/>
        <v/>
      </c>
      <c r="C514" t="str">
        <f t="shared" si="23"/>
        <v/>
      </c>
      <c r="I514" s="2"/>
    </row>
    <row r="515" spans="1:9" x14ac:dyDescent="0.4">
      <c r="A515" t="str">
        <f t="shared" ref="A515:A578" si="24">IF($F515="","",$F515&amp;"|"&amp;$H515)</f>
        <v/>
      </c>
      <c r="B515" t="str">
        <f t="shared" ref="B515:B578" si="25">IF(F515&lt;&gt;"",F515,"")</f>
        <v/>
      </c>
      <c r="C515" t="str">
        <f t="shared" ref="C515:C578" si="26">IF(H515&lt;&gt;"", H515, "")</f>
        <v/>
      </c>
      <c r="I515" s="2"/>
    </row>
    <row r="516" spans="1:9" x14ac:dyDescent="0.4">
      <c r="A516" t="str">
        <f t="shared" si="24"/>
        <v/>
      </c>
      <c r="B516" t="str">
        <f t="shared" si="25"/>
        <v/>
      </c>
      <c r="C516" t="str">
        <f t="shared" si="26"/>
        <v/>
      </c>
      <c r="I516" s="2"/>
    </row>
    <row r="517" spans="1:9" x14ac:dyDescent="0.4">
      <c r="A517" t="str">
        <f t="shared" si="24"/>
        <v/>
      </c>
      <c r="B517" t="str">
        <f t="shared" si="25"/>
        <v/>
      </c>
      <c r="C517" t="str">
        <f t="shared" si="26"/>
        <v/>
      </c>
      <c r="I517" s="2"/>
    </row>
    <row r="518" spans="1:9" x14ac:dyDescent="0.4">
      <c r="A518" t="str">
        <f t="shared" si="24"/>
        <v/>
      </c>
      <c r="B518" t="str">
        <f t="shared" si="25"/>
        <v/>
      </c>
      <c r="C518" t="str">
        <f t="shared" si="26"/>
        <v/>
      </c>
      <c r="I518" s="2"/>
    </row>
    <row r="519" spans="1:9" x14ac:dyDescent="0.4">
      <c r="A519" t="str">
        <f t="shared" si="24"/>
        <v/>
      </c>
      <c r="B519" t="str">
        <f t="shared" si="25"/>
        <v/>
      </c>
      <c r="C519" t="str">
        <f t="shared" si="26"/>
        <v/>
      </c>
      <c r="I519" s="2"/>
    </row>
    <row r="520" spans="1:9" x14ac:dyDescent="0.4">
      <c r="A520" t="str">
        <f t="shared" si="24"/>
        <v/>
      </c>
      <c r="B520" t="str">
        <f t="shared" si="25"/>
        <v/>
      </c>
      <c r="C520" t="str">
        <f t="shared" si="26"/>
        <v/>
      </c>
      <c r="I520" s="2"/>
    </row>
    <row r="521" spans="1:9" x14ac:dyDescent="0.4">
      <c r="A521" t="str">
        <f t="shared" si="24"/>
        <v/>
      </c>
      <c r="B521" t="str">
        <f t="shared" si="25"/>
        <v/>
      </c>
      <c r="C521" t="str">
        <f t="shared" si="26"/>
        <v/>
      </c>
      <c r="I521" s="2"/>
    </row>
    <row r="522" spans="1:9" x14ac:dyDescent="0.4">
      <c r="A522" t="str">
        <f t="shared" si="24"/>
        <v/>
      </c>
      <c r="B522" t="str">
        <f t="shared" si="25"/>
        <v/>
      </c>
      <c r="C522" t="str">
        <f t="shared" si="26"/>
        <v/>
      </c>
      <c r="I522" s="2"/>
    </row>
    <row r="523" spans="1:9" x14ac:dyDescent="0.4">
      <c r="A523" t="str">
        <f t="shared" si="24"/>
        <v/>
      </c>
      <c r="B523" t="str">
        <f t="shared" si="25"/>
        <v/>
      </c>
      <c r="C523" t="str">
        <f t="shared" si="26"/>
        <v/>
      </c>
      <c r="I523" s="2"/>
    </row>
    <row r="524" spans="1:9" x14ac:dyDescent="0.4">
      <c r="A524" t="str">
        <f t="shared" si="24"/>
        <v/>
      </c>
      <c r="B524" t="str">
        <f t="shared" si="25"/>
        <v/>
      </c>
      <c r="C524" t="str">
        <f t="shared" si="26"/>
        <v/>
      </c>
      <c r="I524" s="2"/>
    </row>
    <row r="525" spans="1:9" x14ac:dyDescent="0.4">
      <c r="A525" t="str">
        <f t="shared" si="24"/>
        <v/>
      </c>
      <c r="B525" t="str">
        <f t="shared" si="25"/>
        <v/>
      </c>
      <c r="C525" t="str">
        <f t="shared" si="26"/>
        <v/>
      </c>
      <c r="I525" s="2"/>
    </row>
    <row r="526" spans="1:9" x14ac:dyDescent="0.4">
      <c r="A526" t="str">
        <f t="shared" si="24"/>
        <v/>
      </c>
      <c r="B526" t="str">
        <f t="shared" si="25"/>
        <v/>
      </c>
      <c r="C526" t="str">
        <f t="shared" si="26"/>
        <v/>
      </c>
      <c r="I526" s="2"/>
    </row>
    <row r="527" spans="1:9" x14ac:dyDescent="0.4">
      <c r="A527" t="str">
        <f t="shared" si="24"/>
        <v/>
      </c>
      <c r="B527" t="str">
        <f t="shared" si="25"/>
        <v/>
      </c>
      <c r="C527" t="str">
        <f t="shared" si="26"/>
        <v/>
      </c>
      <c r="I527" s="2"/>
    </row>
    <row r="528" spans="1:9" x14ac:dyDescent="0.4">
      <c r="A528" t="str">
        <f t="shared" si="24"/>
        <v/>
      </c>
      <c r="B528" t="str">
        <f t="shared" si="25"/>
        <v/>
      </c>
      <c r="C528" t="str">
        <f t="shared" si="26"/>
        <v/>
      </c>
      <c r="I528" s="2"/>
    </row>
    <row r="529" spans="1:9" x14ac:dyDescent="0.4">
      <c r="A529" t="str">
        <f t="shared" si="24"/>
        <v/>
      </c>
      <c r="B529" t="str">
        <f t="shared" si="25"/>
        <v/>
      </c>
      <c r="C529" t="str">
        <f t="shared" si="26"/>
        <v/>
      </c>
      <c r="I529" s="2"/>
    </row>
    <row r="530" spans="1:9" x14ac:dyDescent="0.4">
      <c r="A530" t="str">
        <f t="shared" si="24"/>
        <v/>
      </c>
      <c r="B530" t="str">
        <f t="shared" si="25"/>
        <v/>
      </c>
      <c r="C530" t="str">
        <f t="shared" si="26"/>
        <v/>
      </c>
      <c r="I530" s="2"/>
    </row>
    <row r="531" spans="1:9" x14ac:dyDescent="0.4">
      <c r="A531" t="str">
        <f t="shared" si="24"/>
        <v/>
      </c>
      <c r="B531" t="str">
        <f t="shared" si="25"/>
        <v/>
      </c>
      <c r="C531" t="str">
        <f t="shared" si="26"/>
        <v/>
      </c>
      <c r="I531" s="2"/>
    </row>
    <row r="532" spans="1:9" x14ac:dyDescent="0.4">
      <c r="A532" t="str">
        <f t="shared" si="24"/>
        <v/>
      </c>
      <c r="B532" t="str">
        <f t="shared" si="25"/>
        <v/>
      </c>
      <c r="C532" t="str">
        <f t="shared" si="26"/>
        <v/>
      </c>
      <c r="I532" s="2"/>
    </row>
    <row r="533" spans="1:9" x14ac:dyDescent="0.4">
      <c r="A533" t="str">
        <f t="shared" si="24"/>
        <v/>
      </c>
      <c r="B533" t="str">
        <f t="shared" si="25"/>
        <v/>
      </c>
      <c r="C533" t="str">
        <f t="shared" si="26"/>
        <v/>
      </c>
      <c r="I533" s="2"/>
    </row>
    <row r="534" spans="1:9" x14ac:dyDescent="0.4">
      <c r="A534" t="str">
        <f t="shared" si="24"/>
        <v/>
      </c>
      <c r="B534" t="str">
        <f t="shared" si="25"/>
        <v/>
      </c>
      <c r="C534" t="str">
        <f t="shared" si="26"/>
        <v/>
      </c>
      <c r="I534" s="2"/>
    </row>
    <row r="535" spans="1:9" x14ac:dyDescent="0.4">
      <c r="A535" t="str">
        <f t="shared" si="24"/>
        <v/>
      </c>
      <c r="B535" t="str">
        <f t="shared" si="25"/>
        <v/>
      </c>
      <c r="C535" t="str">
        <f t="shared" si="26"/>
        <v/>
      </c>
      <c r="I535" s="2"/>
    </row>
    <row r="536" spans="1:9" x14ac:dyDescent="0.4">
      <c r="A536" t="str">
        <f t="shared" si="24"/>
        <v/>
      </c>
      <c r="B536" t="str">
        <f t="shared" si="25"/>
        <v/>
      </c>
      <c r="C536" t="str">
        <f t="shared" si="26"/>
        <v/>
      </c>
      <c r="I536" s="2"/>
    </row>
    <row r="537" spans="1:9" x14ac:dyDescent="0.4">
      <c r="A537" t="str">
        <f t="shared" si="24"/>
        <v/>
      </c>
      <c r="B537" t="str">
        <f t="shared" si="25"/>
        <v/>
      </c>
      <c r="C537" t="str">
        <f t="shared" si="26"/>
        <v/>
      </c>
      <c r="I537" s="2"/>
    </row>
    <row r="538" spans="1:9" x14ac:dyDescent="0.4">
      <c r="A538" t="str">
        <f t="shared" si="24"/>
        <v/>
      </c>
      <c r="B538" t="str">
        <f t="shared" si="25"/>
        <v/>
      </c>
      <c r="C538" t="str">
        <f t="shared" si="26"/>
        <v/>
      </c>
      <c r="I538" s="2"/>
    </row>
    <row r="539" spans="1:9" x14ac:dyDescent="0.4">
      <c r="A539" t="str">
        <f t="shared" si="24"/>
        <v/>
      </c>
      <c r="B539" t="str">
        <f t="shared" si="25"/>
        <v/>
      </c>
      <c r="C539" t="str">
        <f t="shared" si="26"/>
        <v/>
      </c>
      <c r="I539" s="2"/>
    </row>
    <row r="540" spans="1:9" x14ac:dyDescent="0.4">
      <c r="A540" t="str">
        <f t="shared" si="24"/>
        <v/>
      </c>
      <c r="B540" t="str">
        <f t="shared" si="25"/>
        <v/>
      </c>
      <c r="C540" t="str">
        <f t="shared" si="26"/>
        <v/>
      </c>
      <c r="I540" s="2"/>
    </row>
    <row r="541" spans="1:9" x14ac:dyDescent="0.4">
      <c r="A541" t="str">
        <f t="shared" si="24"/>
        <v/>
      </c>
      <c r="B541" t="str">
        <f t="shared" si="25"/>
        <v/>
      </c>
      <c r="C541" t="str">
        <f t="shared" si="26"/>
        <v/>
      </c>
      <c r="I541" s="2"/>
    </row>
    <row r="542" spans="1:9" x14ac:dyDescent="0.4">
      <c r="A542" t="str">
        <f t="shared" si="24"/>
        <v/>
      </c>
      <c r="B542" t="str">
        <f t="shared" si="25"/>
        <v/>
      </c>
      <c r="C542" t="str">
        <f t="shared" si="26"/>
        <v/>
      </c>
      <c r="I542" s="2"/>
    </row>
    <row r="543" spans="1:9" x14ac:dyDescent="0.4">
      <c r="A543" t="str">
        <f t="shared" si="24"/>
        <v/>
      </c>
      <c r="B543" t="str">
        <f t="shared" si="25"/>
        <v/>
      </c>
      <c r="C543" t="str">
        <f t="shared" si="26"/>
        <v/>
      </c>
      <c r="I543" s="2"/>
    </row>
    <row r="544" spans="1:9" x14ac:dyDescent="0.4">
      <c r="A544" t="str">
        <f t="shared" si="24"/>
        <v/>
      </c>
      <c r="B544" t="str">
        <f t="shared" si="25"/>
        <v/>
      </c>
      <c r="C544" t="str">
        <f t="shared" si="26"/>
        <v/>
      </c>
      <c r="I544" s="2"/>
    </row>
    <row r="545" spans="1:9" x14ac:dyDescent="0.4">
      <c r="A545" t="str">
        <f t="shared" si="24"/>
        <v/>
      </c>
      <c r="B545" t="str">
        <f t="shared" si="25"/>
        <v/>
      </c>
      <c r="C545" t="str">
        <f t="shared" si="26"/>
        <v/>
      </c>
      <c r="I545" s="2"/>
    </row>
    <row r="546" spans="1:9" x14ac:dyDescent="0.4">
      <c r="A546" t="str">
        <f t="shared" si="24"/>
        <v/>
      </c>
      <c r="B546" t="str">
        <f t="shared" si="25"/>
        <v/>
      </c>
      <c r="C546" t="str">
        <f t="shared" si="26"/>
        <v/>
      </c>
      <c r="I546" s="2"/>
    </row>
    <row r="547" spans="1:9" x14ac:dyDescent="0.4">
      <c r="A547" t="str">
        <f t="shared" si="24"/>
        <v/>
      </c>
      <c r="B547" t="str">
        <f t="shared" si="25"/>
        <v/>
      </c>
      <c r="C547" t="str">
        <f t="shared" si="26"/>
        <v/>
      </c>
      <c r="I547" s="2"/>
    </row>
    <row r="548" spans="1:9" x14ac:dyDescent="0.4">
      <c r="A548" t="str">
        <f t="shared" si="24"/>
        <v/>
      </c>
      <c r="B548" t="str">
        <f t="shared" si="25"/>
        <v/>
      </c>
      <c r="C548" t="str">
        <f t="shared" si="26"/>
        <v/>
      </c>
      <c r="I548" s="2"/>
    </row>
    <row r="549" spans="1:9" x14ac:dyDescent="0.4">
      <c r="A549" t="str">
        <f t="shared" si="24"/>
        <v/>
      </c>
      <c r="B549" t="str">
        <f t="shared" si="25"/>
        <v/>
      </c>
      <c r="C549" t="str">
        <f t="shared" si="26"/>
        <v/>
      </c>
      <c r="I549" s="2"/>
    </row>
    <row r="550" spans="1:9" x14ac:dyDescent="0.4">
      <c r="A550" t="str">
        <f t="shared" si="24"/>
        <v/>
      </c>
      <c r="B550" t="str">
        <f t="shared" si="25"/>
        <v/>
      </c>
      <c r="C550" t="str">
        <f t="shared" si="26"/>
        <v/>
      </c>
      <c r="I550" s="2"/>
    </row>
    <row r="551" spans="1:9" x14ac:dyDescent="0.4">
      <c r="A551" t="str">
        <f t="shared" si="24"/>
        <v/>
      </c>
      <c r="B551" t="str">
        <f t="shared" si="25"/>
        <v/>
      </c>
      <c r="C551" t="str">
        <f t="shared" si="26"/>
        <v/>
      </c>
      <c r="I551" s="2"/>
    </row>
    <row r="552" spans="1:9" x14ac:dyDescent="0.4">
      <c r="A552" t="str">
        <f t="shared" si="24"/>
        <v/>
      </c>
      <c r="B552" t="str">
        <f t="shared" si="25"/>
        <v/>
      </c>
      <c r="C552" t="str">
        <f t="shared" si="26"/>
        <v/>
      </c>
      <c r="I552" s="2"/>
    </row>
    <row r="553" spans="1:9" x14ac:dyDescent="0.4">
      <c r="A553" t="str">
        <f t="shared" si="24"/>
        <v/>
      </c>
      <c r="B553" t="str">
        <f t="shared" si="25"/>
        <v/>
      </c>
      <c r="C553" t="str">
        <f t="shared" si="26"/>
        <v/>
      </c>
      <c r="I553" s="2"/>
    </row>
    <row r="554" spans="1:9" x14ac:dyDescent="0.4">
      <c r="A554" t="str">
        <f t="shared" si="24"/>
        <v/>
      </c>
      <c r="B554" t="str">
        <f t="shared" si="25"/>
        <v/>
      </c>
      <c r="C554" t="str">
        <f t="shared" si="26"/>
        <v/>
      </c>
      <c r="I554" s="2"/>
    </row>
    <row r="555" spans="1:9" x14ac:dyDescent="0.4">
      <c r="A555" t="str">
        <f t="shared" si="24"/>
        <v/>
      </c>
      <c r="B555" t="str">
        <f t="shared" si="25"/>
        <v/>
      </c>
      <c r="C555" t="str">
        <f t="shared" si="26"/>
        <v/>
      </c>
      <c r="I555" s="2"/>
    </row>
    <row r="556" spans="1:9" x14ac:dyDescent="0.4">
      <c r="A556" t="str">
        <f t="shared" si="24"/>
        <v/>
      </c>
      <c r="B556" t="str">
        <f t="shared" si="25"/>
        <v/>
      </c>
      <c r="C556" t="str">
        <f t="shared" si="26"/>
        <v/>
      </c>
      <c r="I556" s="2"/>
    </row>
    <row r="557" spans="1:9" x14ac:dyDescent="0.4">
      <c r="A557" t="str">
        <f t="shared" si="24"/>
        <v/>
      </c>
      <c r="B557" t="str">
        <f t="shared" si="25"/>
        <v/>
      </c>
      <c r="C557" t="str">
        <f t="shared" si="26"/>
        <v/>
      </c>
      <c r="I557" s="2"/>
    </row>
    <row r="558" spans="1:9" x14ac:dyDescent="0.4">
      <c r="A558" t="str">
        <f t="shared" si="24"/>
        <v/>
      </c>
      <c r="B558" t="str">
        <f t="shared" si="25"/>
        <v/>
      </c>
      <c r="C558" t="str">
        <f t="shared" si="26"/>
        <v/>
      </c>
      <c r="I558" s="2"/>
    </row>
    <row r="559" spans="1:9" x14ac:dyDescent="0.4">
      <c r="A559" t="str">
        <f t="shared" si="24"/>
        <v/>
      </c>
      <c r="B559" t="str">
        <f t="shared" si="25"/>
        <v/>
      </c>
      <c r="C559" t="str">
        <f t="shared" si="26"/>
        <v/>
      </c>
      <c r="I559" s="2"/>
    </row>
    <row r="560" spans="1:9" x14ac:dyDescent="0.4">
      <c r="A560" t="str">
        <f t="shared" si="24"/>
        <v/>
      </c>
      <c r="B560" t="str">
        <f t="shared" si="25"/>
        <v/>
      </c>
      <c r="C560" t="str">
        <f t="shared" si="26"/>
        <v/>
      </c>
      <c r="I560" s="2"/>
    </row>
    <row r="561" spans="1:9" x14ac:dyDescent="0.4">
      <c r="A561" t="str">
        <f t="shared" si="24"/>
        <v/>
      </c>
      <c r="B561" t="str">
        <f t="shared" si="25"/>
        <v/>
      </c>
      <c r="C561" t="str">
        <f t="shared" si="26"/>
        <v/>
      </c>
      <c r="I561" s="2"/>
    </row>
    <row r="562" spans="1:9" x14ac:dyDescent="0.4">
      <c r="A562" t="str">
        <f t="shared" si="24"/>
        <v/>
      </c>
      <c r="B562" t="str">
        <f t="shared" si="25"/>
        <v/>
      </c>
      <c r="C562" t="str">
        <f t="shared" si="26"/>
        <v/>
      </c>
      <c r="I562" s="2"/>
    </row>
    <row r="563" spans="1:9" x14ac:dyDescent="0.4">
      <c r="A563" t="str">
        <f t="shared" si="24"/>
        <v/>
      </c>
      <c r="B563" t="str">
        <f t="shared" si="25"/>
        <v/>
      </c>
      <c r="C563" t="str">
        <f t="shared" si="26"/>
        <v/>
      </c>
      <c r="E563" s="13"/>
      <c r="I563" s="2"/>
    </row>
    <row r="564" spans="1:9" x14ac:dyDescent="0.4">
      <c r="A564" t="str">
        <f t="shared" si="24"/>
        <v/>
      </c>
      <c r="B564" t="str">
        <f t="shared" si="25"/>
        <v/>
      </c>
      <c r="C564" t="str">
        <f t="shared" si="26"/>
        <v/>
      </c>
      <c r="E564" s="13"/>
      <c r="I564" s="2"/>
    </row>
    <row r="565" spans="1:9" x14ac:dyDescent="0.4">
      <c r="A565" t="str">
        <f t="shared" si="24"/>
        <v/>
      </c>
      <c r="B565" t="str">
        <f t="shared" si="25"/>
        <v/>
      </c>
      <c r="C565" t="str">
        <f t="shared" si="26"/>
        <v/>
      </c>
      <c r="E565" s="13"/>
      <c r="I565" s="2"/>
    </row>
    <row r="566" spans="1:9" x14ac:dyDescent="0.4">
      <c r="A566" t="str">
        <f t="shared" si="24"/>
        <v/>
      </c>
      <c r="B566" t="str">
        <f t="shared" si="25"/>
        <v/>
      </c>
      <c r="C566" t="str">
        <f t="shared" si="26"/>
        <v/>
      </c>
      <c r="E566" s="13"/>
      <c r="I566" s="2"/>
    </row>
    <row r="567" spans="1:9" x14ac:dyDescent="0.4">
      <c r="A567" t="str">
        <f t="shared" si="24"/>
        <v/>
      </c>
      <c r="B567" t="str">
        <f t="shared" si="25"/>
        <v/>
      </c>
      <c r="C567" t="str">
        <f t="shared" si="26"/>
        <v/>
      </c>
      <c r="E567" s="13"/>
      <c r="I567" s="2"/>
    </row>
    <row r="568" spans="1:9" x14ac:dyDescent="0.4">
      <c r="A568" t="str">
        <f t="shared" si="24"/>
        <v/>
      </c>
      <c r="B568" t="str">
        <f t="shared" si="25"/>
        <v/>
      </c>
      <c r="C568" t="str">
        <f t="shared" si="26"/>
        <v/>
      </c>
      <c r="E568" s="13"/>
      <c r="I568" s="2"/>
    </row>
    <row r="569" spans="1:9" x14ac:dyDescent="0.4">
      <c r="A569" t="str">
        <f t="shared" si="24"/>
        <v/>
      </c>
      <c r="B569" t="str">
        <f t="shared" si="25"/>
        <v/>
      </c>
      <c r="C569" t="str">
        <f t="shared" si="26"/>
        <v/>
      </c>
      <c r="E569" s="13"/>
      <c r="I569" s="2"/>
    </row>
    <row r="570" spans="1:9" x14ac:dyDescent="0.4">
      <c r="A570" t="str">
        <f t="shared" si="24"/>
        <v/>
      </c>
      <c r="B570" t="str">
        <f t="shared" si="25"/>
        <v/>
      </c>
      <c r="C570" t="str">
        <f t="shared" si="26"/>
        <v/>
      </c>
      <c r="I570" s="2"/>
    </row>
    <row r="571" spans="1:9" x14ac:dyDescent="0.4">
      <c r="A571" t="str">
        <f t="shared" si="24"/>
        <v/>
      </c>
      <c r="B571" t="str">
        <f t="shared" si="25"/>
        <v/>
      </c>
      <c r="C571" t="str">
        <f t="shared" si="26"/>
        <v/>
      </c>
      <c r="I571" s="2"/>
    </row>
    <row r="572" spans="1:9" x14ac:dyDescent="0.4">
      <c r="A572" t="str">
        <f t="shared" si="24"/>
        <v/>
      </c>
      <c r="B572" t="str">
        <f t="shared" si="25"/>
        <v/>
      </c>
      <c r="C572" t="str">
        <f t="shared" si="26"/>
        <v/>
      </c>
      <c r="I572" s="2"/>
    </row>
    <row r="573" spans="1:9" x14ac:dyDescent="0.4">
      <c r="A573" t="str">
        <f t="shared" si="24"/>
        <v/>
      </c>
      <c r="B573" t="str">
        <f t="shared" si="25"/>
        <v/>
      </c>
      <c r="C573" t="str">
        <f t="shared" si="26"/>
        <v/>
      </c>
      <c r="I573" s="2"/>
    </row>
    <row r="574" spans="1:9" x14ac:dyDescent="0.4">
      <c r="A574" t="str">
        <f t="shared" si="24"/>
        <v/>
      </c>
      <c r="B574" t="str">
        <f t="shared" si="25"/>
        <v/>
      </c>
      <c r="C574" t="str">
        <f t="shared" si="26"/>
        <v/>
      </c>
      <c r="I574" s="2"/>
    </row>
    <row r="575" spans="1:9" x14ac:dyDescent="0.4">
      <c r="A575" t="str">
        <f t="shared" si="24"/>
        <v/>
      </c>
      <c r="B575" t="str">
        <f t="shared" si="25"/>
        <v/>
      </c>
      <c r="C575" t="str">
        <f t="shared" si="26"/>
        <v/>
      </c>
      <c r="I575" s="2"/>
    </row>
    <row r="576" spans="1:9" x14ac:dyDescent="0.4">
      <c r="A576" t="str">
        <f t="shared" si="24"/>
        <v/>
      </c>
      <c r="B576" t="str">
        <f t="shared" si="25"/>
        <v/>
      </c>
      <c r="C576" t="str">
        <f t="shared" si="26"/>
        <v/>
      </c>
      <c r="I576" s="2"/>
    </row>
    <row r="577" spans="1:9" x14ac:dyDescent="0.4">
      <c r="A577" t="str">
        <f t="shared" si="24"/>
        <v/>
      </c>
      <c r="B577" t="str">
        <f t="shared" si="25"/>
        <v/>
      </c>
      <c r="C577" t="str">
        <f t="shared" si="26"/>
        <v/>
      </c>
      <c r="I577" s="2"/>
    </row>
    <row r="578" spans="1:9" x14ac:dyDescent="0.4">
      <c r="A578" t="str">
        <f t="shared" si="24"/>
        <v/>
      </c>
      <c r="B578" t="str">
        <f t="shared" si="25"/>
        <v/>
      </c>
      <c r="C578" t="str">
        <f t="shared" si="26"/>
        <v/>
      </c>
      <c r="I578" s="2"/>
    </row>
    <row r="579" spans="1:9" x14ac:dyDescent="0.4">
      <c r="A579" t="str">
        <f t="shared" ref="A579:A642" si="27">IF($F579="","",$F579&amp;"|"&amp;$H579)</f>
        <v/>
      </c>
      <c r="B579" t="str">
        <f t="shared" ref="B579:B642" si="28">IF(F579&lt;&gt;"",F579,"")</f>
        <v/>
      </c>
      <c r="C579" t="str">
        <f t="shared" ref="C579:C642" si="29">IF(H579&lt;&gt;"", H579, "")</f>
        <v/>
      </c>
      <c r="I579" s="2"/>
    </row>
    <row r="580" spans="1:9" x14ac:dyDescent="0.4">
      <c r="A580" t="str">
        <f t="shared" si="27"/>
        <v/>
      </c>
      <c r="B580" t="str">
        <f t="shared" si="28"/>
        <v/>
      </c>
      <c r="C580" t="str">
        <f t="shared" si="29"/>
        <v/>
      </c>
      <c r="I580" s="2"/>
    </row>
    <row r="581" spans="1:9" x14ac:dyDescent="0.4">
      <c r="A581" t="str">
        <f t="shared" si="27"/>
        <v/>
      </c>
      <c r="B581" t="str">
        <f t="shared" si="28"/>
        <v/>
      </c>
      <c r="C581" t="str">
        <f t="shared" si="29"/>
        <v/>
      </c>
      <c r="I581" s="2"/>
    </row>
    <row r="582" spans="1:9" x14ac:dyDescent="0.4">
      <c r="A582" t="str">
        <f t="shared" si="27"/>
        <v/>
      </c>
      <c r="B582" t="str">
        <f t="shared" si="28"/>
        <v/>
      </c>
      <c r="C582" t="str">
        <f t="shared" si="29"/>
        <v/>
      </c>
      <c r="I582" s="2"/>
    </row>
    <row r="583" spans="1:9" x14ac:dyDescent="0.4">
      <c r="A583" t="str">
        <f t="shared" si="27"/>
        <v/>
      </c>
      <c r="B583" t="str">
        <f t="shared" si="28"/>
        <v/>
      </c>
      <c r="C583" t="str">
        <f t="shared" si="29"/>
        <v/>
      </c>
      <c r="I583" s="2"/>
    </row>
    <row r="584" spans="1:9" x14ac:dyDescent="0.4">
      <c r="A584" t="str">
        <f t="shared" si="27"/>
        <v/>
      </c>
      <c r="B584" t="str">
        <f t="shared" si="28"/>
        <v/>
      </c>
      <c r="C584" t="str">
        <f t="shared" si="29"/>
        <v/>
      </c>
      <c r="I584" s="2"/>
    </row>
    <row r="585" spans="1:9" x14ac:dyDescent="0.4">
      <c r="A585" t="str">
        <f t="shared" si="27"/>
        <v/>
      </c>
      <c r="B585" t="str">
        <f t="shared" si="28"/>
        <v/>
      </c>
      <c r="C585" t="str">
        <f t="shared" si="29"/>
        <v/>
      </c>
      <c r="I585" s="2"/>
    </row>
    <row r="586" spans="1:9" x14ac:dyDescent="0.4">
      <c r="A586" t="str">
        <f t="shared" si="27"/>
        <v/>
      </c>
      <c r="B586" t="str">
        <f t="shared" si="28"/>
        <v/>
      </c>
      <c r="C586" t="str">
        <f t="shared" si="29"/>
        <v/>
      </c>
      <c r="I586" s="2"/>
    </row>
    <row r="587" spans="1:9" x14ac:dyDescent="0.4">
      <c r="A587" t="str">
        <f t="shared" si="27"/>
        <v/>
      </c>
      <c r="B587" t="str">
        <f t="shared" si="28"/>
        <v/>
      </c>
      <c r="C587" t="str">
        <f t="shared" si="29"/>
        <v/>
      </c>
      <c r="I587" s="2"/>
    </row>
    <row r="588" spans="1:9" x14ac:dyDescent="0.4">
      <c r="A588" t="str">
        <f t="shared" si="27"/>
        <v/>
      </c>
      <c r="B588" t="str">
        <f t="shared" si="28"/>
        <v/>
      </c>
      <c r="C588" t="str">
        <f t="shared" si="29"/>
        <v/>
      </c>
      <c r="I588" s="2"/>
    </row>
    <row r="589" spans="1:9" x14ac:dyDescent="0.4">
      <c r="A589" t="str">
        <f t="shared" si="27"/>
        <v/>
      </c>
      <c r="B589" t="str">
        <f t="shared" si="28"/>
        <v/>
      </c>
      <c r="C589" t="str">
        <f t="shared" si="29"/>
        <v/>
      </c>
      <c r="I589" s="2"/>
    </row>
    <row r="590" spans="1:9" x14ac:dyDescent="0.4">
      <c r="A590" t="str">
        <f t="shared" si="27"/>
        <v/>
      </c>
      <c r="B590" t="str">
        <f t="shared" si="28"/>
        <v/>
      </c>
      <c r="C590" t="str">
        <f t="shared" si="29"/>
        <v/>
      </c>
      <c r="I590" s="2"/>
    </row>
    <row r="591" spans="1:9" x14ac:dyDescent="0.4">
      <c r="A591" t="str">
        <f t="shared" si="27"/>
        <v/>
      </c>
      <c r="B591" t="str">
        <f t="shared" si="28"/>
        <v/>
      </c>
      <c r="C591" t="str">
        <f t="shared" si="29"/>
        <v/>
      </c>
      <c r="I591" s="2"/>
    </row>
    <row r="592" spans="1:9" x14ac:dyDescent="0.4">
      <c r="A592" t="str">
        <f t="shared" si="27"/>
        <v/>
      </c>
      <c r="B592" t="str">
        <f t="shared" si="28"/>
        <v/>
      </c>
      <c r="C592" t="str">
        <f t="shared" si="29"/>
        <v/>
      </c>
      <c r="I592" s="2"/>
    </row>
    <row r="593" spans="1:9" x14ac:dyDescent="0.4">
      <c r="A593" t="str">
        <f t="shared" si="27"/>
        <v/>
      </c>
      <c r="B593" t="str">
        <f t="shared" si="28"/>
        <v/>
      </c>
      <c r="C593" t="str">
        <f t="shared" si="29"/>
        <v/>
      </c>
      <c r="I593" s="2"/>
    </row>
    <row r="594" spans="1:9" x14ac:dyDescent="0.4">
      <c r="A594" t="str">
        <f t="shared" si="27"/>
        <v/>
      </c>
      <c r="B594" t="str">
        <f t="shared" si="28"/>
        <v/>
      </c>
      <c r="C594" t="str">
        <f t="shared" si="29"/>
        <v/>
      </c>
      <c r="I594" s="2"/>
    </row>
    <row r="595" spans="1:9" x14ac:dyDescent="0.4">
      <c r="A595" t="str">
        <f t="shared" si="27"/>
        <v/>
      </c>
      <c r="B595" t="str">
        <f t="shared" si="28"/>
        <v/>
      </c>
      <c r="C595" t="str">
        <f t="shared" si="29"/>
        <v/>
      </c>
      <c r="I595" s="2"/>
    </row>
    <row r="596" spans="1:9" x14ac:dyDescent="0.4">
      <c r="A596" t="str">
        <f t="shared" si="27"/>
        <v/>
      </c>
      <c r="B596" t="str">
        <f t="shared" si="28"/>
        <v/>
      </c>
      <c r="C596" t="str">
        <f t="shared" si="29"/>
        <v/>
      </c>
      <c r="I596" s="2"/>
    </row>
    <row r="597" spans="1:9" x14ac:dyDescent="0.4">
      <c r="A597" t="str">
        <f t="shared" si="27"/>
        <v/>
      </c>
      <c r="B597" t="str">
        <f t="shared" si="28"/>
        <v/>
      </c>
      <c r="C597" t="str">
        <f t="shared" si="29"/>
        <v/>
      </c>
      <c r="I597" s="2"/>
    </row>
    <row r="598" spans="1:9" x14ac:dyDescent="0.4">
      <c r="A598" t="str">
        <f t="shared" si="27"/>
        <v/>
      </c>
      <c r="B598" t="str">
        <f t="shared" si="28"/>
        <v/>
      </c>
      <c r="C598" t="str">
        <f t="shared" si="29"/>
        <v/>
      </c>
      <c r="I598" s="2"/>
    </row>
    <row r="599" spans="1:9" x14ac:dyDescent="0.4">
      <c r="A599" t="str">
        <f t="shared" si="27"/>
        <v/>
      </c>
      <c r="B599" t="str">
        <f t="shared" si="28"/>
        <v/>
      </c>
      <c r="C599" t="str">
        <f t="shared" si="29"/>
        <v/>
      </c>
      <c r="I599" s="2"/>
    </row>
    <row r="600" spans="1:9" x14ac:dyDescent="0.4">
      <c r="A600" t="str">
        <f t="shared" si="27"/>
        <v/>
      </c>
      <c r="B600" t="str">
        <f t="shared" si="28"/>
        <v/>
      </c>
      <c r="C600" t="str">
        <f t="shared" si="29"/>
        <v/>
      </c>
      <c r="I600" s="2"/>
    </row>
    <row r="601" spans="1:9" x14ac:dyDescent="0.4">
      <c r="A601" t="str">
        <f t="shared" si="27"/>
        <v/>
      </c>
      <c r="B601" t="str">
        <f t="shared" si="28"/>
        <v/>
      </c>
      <c r="C601" t="str">
        <f t="shared" si="29"/>
        <v/>
      </c>
      <c r="I601" s="2"/>
    </row>
    <row r="602" spans="1:9" x14ac:dyDescent="0.4">
      <c r="A602" t="str">
        <f t="shared" si="27"/>
        <v/>
      </c>
      <c r="B602" t="str">
        <f t="shared" si="28"/>
        <v/>
      </c>
      <c r="C602" t="str">
        <f t="shared" si="29"/>
        <v/>
      </c>
      <c r="I602" s="2"/>
    </row>
    <row r="603" spans="1:9" x14ac:dyDescent="0.4">
      <c r="A603" t="str">
        <f t="shared" si="27"/>
        <v/>
      </c>
      <c r="B603" t="str">
        <f t="shared" si="28"/>
        <v/>
      </c>
      <c r="C603" t="str">
        <f t="shared" si="29"/>
        <v/>
      </c>
      <c r="I603" s="2"/>
    </row>
    <row r="604" spans="1:9" x14ac:dyDescent="0.4">
      <c r="A604" t="str">
        <f t="shared" si="27"/>
        <v/>
      </c>
      <c r="B604" t="str">
        <f t="shared" si="28"/>
        <v/>
      </c>
      <c r="C604" t="str">
        <f t="shared" si="29"/>
        <v/>
      </c>
      <c r="I604" s="2"/>
    </row>
    <row r="605" spans="1:9" x14ac:dyDescent="0.4">
      <c r="A605" t="str">
        <f t="shared" si="27"/>
        <v/>
      </c>
      <c r="B605" t="str">
        <f t="shared" si="28"/>
        <v/>
      </c>
      <c r="C605" t="str">
        <f t="shared" si="29"/>
        <v/>
      </c>
      <c r="I605" s="2"/>
    </row>
    <row r="606" spans="1:9" x14ac:dyDescent="0.4">
      <c r="A606" t="str">
        <f t="shared" si="27"/>
        <v/>
      </c>
      <c r="B606" t="str">
        <f t="shared" si="28"/>
        <v/>
      </c>
      <c r="C606" t="str">
        <f t="shared" si="29"/>
        <v/>
      </c>
      <c r="I606" s="2"/>
    </row>
    <row r="607" spans="1:9" x14ac:dyDescent="0.4">
      <c r="A607" t="str">
        <f t="shared" si="27"/>
        <v/>
      </c>
      <c r="B607" t="str">
        <f t="shared" si="28"/>
        <v/>
      </c>
      <c r="C607" t="str">
        <f t="shared" si="29"/>
        <v/>
      </c>
      <c r="I607" s="2"/>
    </row>
    <row r="608" spans="1:9" x14ac:dyDescent="0.4">
      <c r="A608" t="str">
        <f t="shared" si="27"/>
        <v/>
      </c>
      <c r="B608" t="str">
        <f t="shared" si="28"/>
        <v/>
      </c>
      <c r="C608" t="str">
        <f t="shared" si="29"/>
        <v/>
      </c>
      <c r="I608" s="2"/>
    </row>
    <row r="609" spans="1:9" x14ac:dyDescent="0.4">
      <c r="A609" t="str">
        <f t="shared" si="27"/>
        <v/>
      </c>
      <c r="B609" t="str">
        <f t="shared" si="28"/>
        <v/>
      </c>
      <c r="C609" t="str">
        <f t="shared" si="29"/>
        <v/>
      </c>
      <c r="I609" s="2"/>
    </row>
    <row r="610" spans="1:9" x14ac:dyDescent="0.4">
      <c r="A610" t="str">
        <f t="shared" si="27"/>
        <v/>
      </c>
      <c r="B610" t="str">
        <f t="shared" si="28"/>
        <v/>
      </c>
      <c r="C610" t="str">
        <f t="shared" si="29"/>
        <v/>
      </c>
      <c r="I610" s="2"/>
    </row>
    <row r="611" spans="1:9" x14ac:dyDescent="0.4">
      <c r="A611" t="str">
        <f t="shared" si="27"/>
        <v/>
      </c>
      <c r="B611" t="str">
        <f t="shared" si="28"/>
        <v/>
      </c>
      <c r="C611" t="str">
        <f t="shared" si="29"/>
        <v/>
      </c>
      <c r="I611" s="2"/>
    </row>
    <row r="612" spans="1:9" x14ac:dyDescent="0.4">
      <c r="A612" t="str">
        <f t="shared" si="27"/>
        <v/>
      </c>
      <c r="B612" t="str">
        <f t="shared" si="28"/>
        <v/>
      </c>
      <c r="C612" t="str">
        <f t="shared" si="29"/>
        <v/>
      </c>
      <c r="I612" s="2"/>
    </row>
    <row r="613" spans="1:9" x14ac:dyDescent="0.4">
      <c r="A613" t="str">
        <f t="shared" si="27"/>
        <v/>
      </c>
      <c r="B613" t="str">
        <f t="shared" si="28"/>
        <v/>
      </c>
      <c r="C613" t="str">
        <f t="shared" si="29"/>
        <v/>
      </c>
      <c r="I613" s="2"/>
    </row>
    <row r="614" spans="1:9" x14ac:dyDescent="0.4">
      <c r="A614" t="str">
        <f t="shared" si="27"/>
        <v/>
      </c>
      <c r="B614" t="str">
        <f t="shared" si="28"/>
        <v/>
      </c>
      <c r="C614" t="str">
        <f t="shared" si="29"/>
        <v/>
      </c>
      <c r="I614" s="2"/>
    </row>
    <row r="615" spans="1:9" x14ac:dyDescent="0.4">
      <c r="A615" t="str">
        <f t="shared" si="27"/>
        <v/>
      </c>
      <c r="B615" t="str">
        <f t="shared" si="28"/>
        <v/>
      </c>
      <c r="C615" t="str">
        <f t="shared" si="29"/>
        <v/>
      </c>
      <c r="I615" s="2"/>
    </row>
    <row r="616" spans="1:9" x14ac:dyDescent="0.4">
      <c r="A616" t="str">
        <f t="shared" si="27"/>
        <v/>
      </c>
      <c r="B616" t="str">
        <f t="shared" si="28"/>
        <v/>
      </c>
      <c r="C616" t="str">
        <f t="shared" si="29"/>
        <v/>
      </c>
      <c r="I616" s="2"/>
    </row>
    <row r="617" spans="1:9" x14ac:dyDescent="0.4">
      <c r="A617" t="str">
        <f t="shared" si="27"/>
        <v/>
      </c>
      <c r="B617" t="str">
        <f t="shared" si="28"/>
        <v/>
      </c>
      <c r="C617" t="str">
        <f t="shared" si="29"/>
        <v/>
      </c>
      <c r="I617" s="2"/>
    </row>
    <row r="618" spans="1:9" x14ac:dyDescent="0.4">
      <c r="A618" t="str">
        <f t="shared" si="27"/>
        <v/>
      </c>
      <c r="B618" t="str">
        <f t="shared" si="28"/>
        <v/>
      </c>
      <c r="C618" t="str">
        <f t="shared" si="29"/>
        <v/>
      </c>
      <c r="I618" s="2"/>
    </row>
    <row r="619" spans="1:9" x14ac:dyDescent="0.4">
      <c r="A619" t="str">
        <f t="shared" si="27"/>
        <v/>
      </c>
      <c r="B619" t="str">
        <f t="shared" si="28"/>
        <v/>
      </c>
      <c r="C619" t="str">
        <f t="shared" si="29"/>
        <v/>
      </c>
      <c r="I619" s="2"/>
    </row>
    <row r="620" spans="1:9" x14ac:dyDescent="0.4">
      <c r="A620" t="str">
        <f t="shared" si="27"/>
        <v/>
      </c>
      <c r="B620" t="str">
        <f t="shared" si="28"/>
        <v/>
      </c>
      <c r="C620" t="str">
        <f t="shared" si="29"/>
        <v/>
      </c>
      <c r="I620" s="2"/>
    </row>
    <row r="621" spans="1:9" x14ac:dyDescent="0.4">
      <c r="A621" t="str">
        <f t="shared" si="27"/>
        <v/>
      </c>
      <c r="B621" t="str">
        <f t="shared" si="28"/>
        <v/>
      </c>
      <c r="C621" t="str">
        <f t="shared" si="29"/>
        <v/>
      </c>
      <c r="I621" s="2"/>
    </row>
    <row r="622" spans="1:9" x14ac:dyDescent="0.4">
      <c r="A622" t="str">
        <f t="shared" si="27"/>
        <v/>
      </c>
      <c r="B622" t="str">
        <f t="shared" si="28"/>
        <v/>
      </c>
      <c r="C622" t="str">
        <f t="shared" si="29"/>
        <v/>
      </c>
      <c r="I622" s="2"/>
    </row>
    <row r="623" spans="1:9" x14ac:dyDescent="0.4">
      <c r="A623" t="str">
        <f t="shared" si="27"/>
        <v/>
      </c>
      <c r="B623" t="str">
        <f t="shared" si="28"/>
        <v/>
      </c>
      <c r="C623" t="str">
        <f t="shared" si="29"/>
        <v/>
      </c>
      <c r="I623" s="2"/>
    </row>
    <row r="624" spans="1:9" x14ac:dyDescent="0.4">
      <c r="A624" t="str">
        <f t="shared" si="27"/>
        <v/>
      </c>
      <c r="B624" t="str">
        <f t="shared" si="28"/>
        <v/>
      </c>
      <c r="C624" t="str">
        <f t="shared" si="29"/>
        <v/>
      </c>
      <c r="I624" s="2"/>
    </row>
    <row r="625" spans="1:9" x14ac:dyDescent="0.4">
      <c r="A625" t="str">
        <f t="shared" si="27"/>
        <v/>
      </c>
      <c r="B625" t="str">
        <f t="shared" si="28"/>
        <v/>
      </c>
      <c r="C625" t="str">
        <f t="shared" si="29"/>
        <v/>
      </c>
      <c r="I625" s="2"/>
    </row>
    <row r="626" spans="1:9" x14ac:dyDescent="0.4">
      <c r="A626" t="str">
        <f t="shared" si="27"/>
        <v/>
      </c>
      <c r="B626" t="str">
        <f t="shared" si="28"/>
        <v/>
      </c>
      <c r="C626" t="str">
        <f t="shared" si="29"/>
        <v/>
      </c>
      <c r="I626" s="2"/>
    </row>
    <row r="627" spans="1:9" x14ac:dyDescent="0.4">
      <c r="A627" t="str">
        <f t="shared" si="27"/>
        <v/>
      </c>
      <c r="B627" t="str">
        <f t="shared" si="28"/>
        <v/>
      </c>
      <c r="C627" t="str">
        <f t="shared" si="29"/>
        <v/>
      </c>
      <c r="I627" s="2"/>
    </row>
    <row r="628" spans="1:9" x14ac:dyDescent="0.4">
      <c r="A628" t="str">
        <f t="shared" si="27"/>
        <v/>
      </c>
      <c r="B628" t="str">
        <f t="shared" si="28"/>
        <v/>
      </c>
      <c r="C628" t="str">
        <f t="shared" si="29"/>
        <v/>
      </c>
      <c r="I628" s="2"/>
    </row>
    <row r="629" spans="1:9" x14ac:dyDescent="0.4">
      <c r="A629" t="str">
        <f t="shared" si="27"/>
        <v/>
      </c>
      <c r="B629" t="str">
        <f t="shared" si="28"/>
        <v/>
      </c>
      <c r="C629" t="str">
        <f t="shared" si="29"/>
        <v/>
      </c>
      <c r="I629" s="2"/>
    </row>
    <row r="630" spans="1:9" x14ac:dyDescent="0.4">
      <c r="A630" t="str">
        <f t="shared" si="27"/>
        <v/>
      </c>
      <c r="B630" t="str">
        <f t="shared" si="28"/>
        <v/>
      </c>
      <c r="C630" t="str">
        <f t="shared" si="29"/>
        <v/>
      </c>
      <c r="I630" s="2"/>
    </row>
    <row r="631" spans="1:9" x14ac:dyDescent="0.4">
      <c r="A631" t="str">
        <f t="shared" si="27"/>
        <v/>
      </c>
      <c r="B631" t="str">
        <f t="shared" si="28"/>
        <v/>
      </c>
      <c r="C631" t="str">
        <f t="shared" si="29"/>
        <v/>
      </c>
      <c r="I631" s="2"/>
    </row>
    <row r="632" spans="1:9" x14ac:dyDescent="0.4">
      <c r="A632" t="str">
        <f t="shared" si="27"/>
        <v/>
      </c>
      <c r="B632" t="str">
        <f t="shared" si="28"/>
        <v/>
      </c>
      <c r="C632" t="str">
        <f t="shared" si="29"/>
        <v/>
      </c>
      <c r="I632" s="2"/>
    </row>
    <row r="633" spans="1:9" x14ac:dyDescent="0.4">
      <c r="A633" t="str">
        <f t="shared" si="27"/>
        <v/>
      </c>
      <c r="B633" t="str">
        <f t="shared" si="28"/>
        <v/>
      </c>
      <c r="C633" t="str">
        <f t="shared" si="29"/>
        <v/>
      </c>
      <c r="I633" s="2"/>
    </row>
    <row r="634" spans="1:9" x14ac:dyDescent="0.4">
      <c r="A634" t="str">
        <f t="shared" si="27"/>
        <v/>
      </c>
      <c r="B634" t="str">
        <f t="shared" si="28"/>
        <v/>
      </c>
      <c r="C634" t="str">
        <f t="shared" si="29"/>
        <v/>
      </c>
      <c r="I634" s="2"/>
    </row>
    <row r="635" spans="1:9" x14ac:dyDescent="0.4">
      <c r="A635" t="str">
        <f t="shared" si="27"/>
        <v/>
      </c>
      <c r="B635" t="str">
        <f t="shared" si="28"/>
        <v/>
      </c>
      <c r="C635" t="str">
        <f t="shared" si="29"/>
        <v/>
      </c>
      <c r="I635" s="2"/>
    </row>
    <row r="636" spans="1:9" x14ac:dyDescent="0.4">
      <c r="A636" t="str">
        <f t="shared" si="27"/>
        <v/>
      </c>
      <c r="B636" t="str">
        <f t="shared" si="28"/>
        <v/>
      </c>
      <c r="C636" t="str">
        <f t="shared" si="29"/>
        <v/>
      </c>
      <c r="I636" s="2"/>
    </row>
    <row r="637" spans="1:9" x14ac:dyDescent="0.4">
      <c r="A637" t="str">
        <f t="shared" si="27"/>
        <v/>
      </c>
      <c r="B637" t="str">
        <f t="shared" si="28"/>
        <v/>
      </c>
      <c r="C637" t="str">
        <f t="shared" si="29"/>
        <v/>
      </c>
      <c r="I637" s="2"/>
    </row>
    <row r="638" spans="1:9" x14ac:dyDescent="0.4">
      <c r="A638" t="str">
        <f t="shared" si="27"/>
        <v/>
      </c>
      <c r="B638" t="str">
        <f t="shared" si="28"/>
        <v/>
      </c>
      <c r="C638" t="str">
        <f t="shared" si="29"/>
        <v/>
      </c>
      <c r="I638" s="2"/>
    </row>
    <row r="639" spans="1:9" x14ac:dyDescent="0.4">
      <c r="A639" t="str">
        <f t="shared" si="27"/>
        <v/>
      </c>
      <c r="B639" t="str">
        <f t="shared" si="28"/>
        <v/>
      </c>
      <c r="C639" t="str">
        <f t="shared" si="29"/>
        <v/>
      </c>
      <c r="I639" s="2"/>
    </row>
    <row r="640" spans="1:9" x14ac:dyDescent="0.4">
      <c r="A640" t="str">
        <f t="shared" si="27"/>
        <v/>
      </c>
      <c r="B640" t="str">
        <f t="shared" si="28"/>
        <v/>
      </c>
      <c r="C640" t="str">
        <f t="shared" si="29"/>
        <v/>
      </c>
      <c r="I640" s="2"/>
    </row>
    <row r="641" spans="1:9" x14ac:dyDescent="0.4">
      <c r="A641" t="str">
        <f t="shared" si="27"/>
        <v/>
      </c>
      <c r="B641" t="str">
        <f t="shared" si="28"/>
        <v/>
      </c>
      <c r="C641" t="str">
        <f t="shared" si="29"/>
        <v/>
      </c>
      <c r="I641" s="2"/>
    </row>
    <row r="642" spans="1:9" x14ac:dyDescent="0.4">
      <c r="A642" t="str">
        <f t="shared" si="27"/>
        <v/>
      </c>
      <c r="B642" t="str">
        <f t="shared" si="28"/>
        <v/>
      </c>
      <c r="C642" t="str">
        <f t="shared" si="29"/>
        <v/>
      </c>
      <c r="I642" s="2"/>
    </row>
    <row r="643" spans="1:9" x14ac:dyDescent="0.4">
      <c r="A643" t="str">
        <f t="shared" ref="A643:A706" si="30">IF($F643="","",$F643&amp;"|"&amp;$H643)</f>
        <v/>
      </c>
      <c r="B643" t="str">
        <f t="shared" ref="B643:B706" si="31">IF(F643&lt;&gt;"",F643,"")</f>
        <v/>
      </c>
      <c r="C643" t="str">
        <f t="shared" ref="C643:C706" si="32">IF(H643&lt;&gt;"", H643, "")</f>
        <v/>
      </c>
      <c r="I643" s="2"/>
    </row>
    <row r="644" spans="1:9" x14ac:dyDescent="0.4">
      <c r="A644" t="str">
        <f t="shared" si="30"/>
        <v/>
      </c>
      <c r="B644" t="str">
        <f t="shared" si="31"/>
        <v/>
      </c>
      <c r="C644" t="str">
        <f t="shared" si="32"/>
        <v/>
      </c>
      <c r="I644" s="2"/>
    </row>
    <row r="645" spans="1:9" x14ac:dyDescent="0.4">
      <c r="A645" t="str">
        <f t="shared" si="30"/>
        <v/>
      </c>
      <c r="B645" t="str">
        <f t="shared" si="31"/>
        <v/>
      </c>
      <c r="C645" t="str">
        <f t="shared" si="32"/>
        <v/>
      </c>
      <c r="I645" s="2"/>
    </row>
    <row r="646" spans="1:9" x14ac:dyDescent="0.4">
      <c r="A646" t="str">
        <f t="shared" si="30"/>
        <v/>
      </c>
      <c r="B646" t="str">
        <f t="shared" si="31"/>
        <v/>
      </c>
      <c r="C646" t="str">
        <f t="shared" si="32"/>
        <v/>
      </c>
      <c r="I646" s="2"/>
    </row>
    <row r="647" spans="1:9" x14ac:dyDescent="0.4">
      <c r="A647" t="str">
        <f t="shared" si="30"/>
        <v/>
      </c>
      <c r="B647" t="str">
        <f t="shared" si="31"/>
        <v/>
      </c>
      <c r="C647" t="str">
        <f t="shared" si="32"/>
        <v/>
      </c>
      <c r="I647" s="2"/>
    </row>
    <row r="648" spans="1:9" x14ac:dyDescent="0.4">
      <c r="A648" t="str">
        <f t="shared" si="30"/>
        <v/>
      </c>
      <c r="B648" t="str">
        <f t="shared" si="31"/>
        <v/>
      </c>
      <c r="C648" t="str">
        <f t="shared" si="32"/>
        <v/>
      </c>
      <c r="I648" s="2"/>
    </row>
    <row r="649" spans="1:9" x14ac:dyDescent="0.4">
      <c r="A649" t="str">
        <f t="shared" si="30"/>
        <v/>
      </c>
      <c r="B649" t="str">
        <f t="shared" si="31"/>
        <v/>
      </c>
      <c r="C649" t="str">
        <f t="shared" si="32"/>
        <v/>
      </c>
      <c r="I649" s="2"/>
    </row>
    <row r="650" spans="1:9" x14ac:dyDescent="0.4">
      <c r="A650" t="str">
        <f t="shared" si="30"/>
        <v/>
      </c>
      <c r="B650" t="str">
        <f t="shared" si="31"/>
        <v/>
      </c>
      <c r="C650" t="str">
        <f t="shared" si="32"/>
        <v/>
      </c>
      <c r="I650" s="2"/>
    </row>
    <row r="651" spans="1:9" x14ac:dyDescent="0.4">
      <c r="A651" t="str">
        <f t="shared" si="30"/>
        <v/>
      </c>
      <c r="B651" t="str">
        <f t="shared" si="31"/>
        <v/>
      </c>
      <c r="C651" t="str">
        <f t="shared" si="32"/>
        <v/>
      </c>
      <c r="I651" s="2"/>
    </row>
    <row r="652" spans="1:9" x14ac:dyDescent="0.4">
      <c r="A652" t="str">
        <f t="shared" si="30"/>
        <v/>
      </c>
      <c r="B652" t="str">
        <f t="shared" si="31"/>
        <v/>
      </c>
      <c r="C652" t="str">
        <f t="shared" si="32"/>
        <v/>
      </c>
      <c r="I652" s="2"/>
    </row>
    <row r="653" spans="1:9" x14ac:dyDescent="0.4">
      <c r="A653" t="str">
        <f t="shared" si="30"/>
        <v/>
      </c>
      <c r="B653" t="str">
        <f t="shared" si="31"/>
        <v/>
      </c>
      <c r="C653" t="str">
        <f t="shared" si="32"/>
        <v/>
      </c>
      <c r="I653" s="2"/>
    </row>
    <row r="654" spans="1:9" x14ac:dyDescent="0.4">
      <c r="A654" t="str">
        <f t="shared" si="30"/>
        <v/>
      </c>
      <c r="B654" t="str">
        <f t="shared" si="31"/>
        <v/>
      </c>
      <c r="C654" t="str">
        <f t="shared" si="32"/>
        <v/>
      </c>
      <c r="I654" s="2"/>
    </row>
    <row r="655" spans="1:9" x14ac:dyDescent="0.4">
      <c r="A655" t="str">
        <f t="shared" si="30"/>
        <v/>
      </c>
      <c r="B655" t="str">
        <f t="shared" si="31"/>
        <v/>
      </c>
      <c r="C655" t="str">
        <f t="shared" si="32"/>
        <v/>
      </c>
      <c r="I655" s="2"/>
    </row>
    <row r="656" spans="1:9" x14ac:dyDescent="0.4">
      <c r="A656" t="str">
        <f t="shared" si="30"/>
        <v/>
      </c>
      <c r="B656" t="str">
        <f t="shared" si="31"/>
        <v/>
      </c>
      <c r="C656" t="str">
        <f t="shared" si="32"/>
        <v/>
      </c>
      <c r="I656" s="2"/>
    </row>
    <row r="657" spans="1:9" x14ac:dyDescent="0.4">
      <c r="A657" t="str">
        <f t="shared" si="30"/>
        <v/>
      </c>
      <c r="B657" t="str">
        <f t="shared" si="31"/>
        <v/>
      </c>
      <c r="C657" t="str">
        <f t="shared" si="32"/>
        <v/>
      </c>
      <c r="I657" s="2"/>
    </row>
    <row r="658" spans="1:9" x14ac:dyDescent="0.4">
      <c r="A658" t="str">
        <f t="shared" si="30"/>
        <v/>
      </c>
      <c r="B658" t="str">
        <f t="shared" si="31"/>
        <v/>
      </c>
      <c r="C658" t="str">
        <f t="shared" si="32"/>
        <v/>
      </c>
      <c r="I658" s="2"/>
    </row>
    <row r="659" spans="1:9" x14ac:dyDescent="0.4">
      <c r="A659" t="str">
        <f t="shared" si="30"/>
        <v/>
      </c>
      <c r="B659" t="str">
        <f t="shared" si="31"/>
        <v/>
      </c>
      <c r="C659" t="str">
        <f t="shared" si="32"/>
        <v/>
      </c>
      <c r="I659" s="2"/>
    </row>
    <row r="660" spans="1:9" x14ac:dyDescent="0.4">
      <c r="A660" t="str">
        <f t="shared" si="30"/>
        <v/>
      </c>
      <c r="B660" t="str">
        <f t="shared" si="31"/>
        <v/>
      </c>
      <c r="C660" t="str">
        <f t="shared" si="32"/>
        <v/>
      </c>
      <c r="I660" s="2"/>
    </row>
    <row r="661" spans="1:9" x14ac:dyDescent="0.4">
      <c r="A661" t="str">
        <f t="shared" si="30"/>
        <v/>
      </c>
      <c r="B661" t="str">
        <f t="shared" si="31"/>
        <v/>
      </c>
      <c r="C661" t="str">
        <f t="shared" si="32"/>
        <v/>
      </c>
      <c r="I661" s="2"/>
    </row>
    <row r="662" spans="1:9" x14ac:dyDescent="0.4">
      <c r="A662" t="str">
        <f t="shared" si="30"/>
        <v/>
      </c>
      <c r="B662" t="str">
        <f t="shared" si="31"/>
        <v/>
      </c>
      <c r="C662" t="str">
        <f t="shared" si="32"/>
        <v/>
      </c>
      <c r="I662" s="2"/>
    </row>
    <row r="663" spans="1:9" x14ac:dyDescent="0.4">
      <c r="A663" t="str">
        <f t="shared" si="30"/>
        <v/>
      </c>
      <c r="B663" t="str">
        <f t="shared" si="31"/>
        <v/>
      </c>
      <c r="C663" t="str">
        <f t="shared" si="32"/>
        <v/>
      </c>
      <c r="I663" s="2"/>
    </row>
    <row r="664" spans="1:9" x14ac:dyDescent="0.4">
      <c r="A664" t="str">
        <f t="shared" si="30"/>
        <v/>
      </c>
      <c r="B664" t="str">
        <f t="shared" si="31"/>
        <v/>
      </c>
      <c r="C664" t="str">
        <f t="shared" si="32"/>
        <v/>
      </c>
      <c r="I664" s="2"/>
    </row>
    <row r="665" spans="1:9" x14ac:dyDescent="0.4">
      <c r="A665" t="str">
        <f t="shared" si="30"/>
        <v/>
      </c>
      <c r="B665" t="str">
        <f t="shared" si="31"/>
        <v/>
      </c>
      <c r="C665" t="str">
        <f t="shared" si="32"/>
        <v/>
      </c>
      <c r="I665" s="2"/>
    </row>
    <row r="666" spans="1:9" x14ac:dyDescent="0.4">
      <c r="A666" t="str">
        <f t="shared" si="30"/>
        <v/>
      </c>
      <c r="B666" t="str">
        <f t="shared" si="31"/>
        <v/>
      </c>
      <c r="C666" t="str">
        <f t="shared" si="32"/>
        <v/>
      </c>
      <c r="I666" s="2"/>
    </row>
    <row r="667" spans="1:9" x14ac:dyDescent="0.4">
      <c r="A667" t="str">
        <f t="shared" si="30"/>
        <v/>
      </c>
      <c r="B667" t="str">
        <f t="shared" si="31"/>
        <v/>
      </c>
      <c r="C667" t="str">
        <f t="shared" si="32"/>
        <v/>
      </c>
      <c r="I667" s="2"/>
    </row>
    <row r="668" spans="1:9" x14ac:dyDescent="0.4">
      <c r="A668" t="str">
        <f t="shared" si="30"/>
        <v/>
      </c>
      <c r="B668" t="str">
        <f t="shared" si="31"/>
        <v/>
      </c>
      <c r="C668" t="str">
        <f t="shared" si="32"/>
        <v/>
      </c>
      <c r="I668" s="2"/>
    </row>
    <row r="669" spans="1:9" x14ac:dyDescent="0.4">
      <c r="A669" t="str">
        <f t="shared" si="30"/>
        <v/>
      </c>
      <c r="B669" t="str">
        <f t="shared" si="31"/>
        <v/>
      </c>
      <c r="C669" t="str">
        <f t="shared" si="32"/>
        <v/>
      </c>
      <c r="I669" s="2"/>
    </row>
    <row r="670" spans="1:9" x14ac:dyDescent="0.4">
      <c r="A670" t="str">
        <f t="shared" si="30"/>
        <v/>
      </c>
      <c r="B670" t="str">
        <f t="shared" si="31"/>
        <v/>
      </c>
      <c r="C670" t="str">
        <f t="shared" si="32"/>
        <v/>
      </c>
      <c r="I670" s="2"/>
    </row>
    <row r="671" spans="1:9" x14ac:dyDescent="0.4">
      <c r="A671" t="str">
        <f t="shared" si="30"/>
        <v/>
      </c>
      <c r="B671" t="str">
        <f t="shared" si="31"/>
        <v/>
      </c>
      <c r="C671" t="str">
        <f t="shared" si="32"/>
        <v/>
      </c>
      <c r="I671" s="2"/>
    </row>
    <row r="672" spans="1:9" x14ac:dyDescent="0.4">
      <c r="A672" t="str">
        <f t="shared" si="30"/>
        <v/>
      </c>
      <c r="B672" t="str">
        <f t="shared" si="31"/>
        <v/>
      </c>
      <c r="C672" t="str">
        <f t="shared" si="32"/>
        <v/>
      </c>
      <c r="I672" s="2"/>
    </row>
    <row r="673" spans="1:9" x14ac:dyDescent="0.4">
      <c r="A673" t="str">
        <f t="shared" si="30"/>
        <v/>
      </c>
      <c r="B673" t="str">
        <f t="shared" si="31"/>
        <v/>
      </c>
      <c r="C673" t="str">
        <f t="shared" si="32"/>
        <v/>
      </c>
      <c r="I673" s="2"/>
    </row>
    <row r="674" spans="1:9" x14ac:dyDescent="0.4">
      <c r="A674" t="str">
        <f t="shared" si="30"/>
        <v/>
      </c>
      <c r="B674" t="str">
        <f t="shared" si="31"/>
        <v/>
      </c>
      <c r="C674" t="str">
        <f t="shared" si="32"/>
        <v/>
      </c>
      <c r="I674" s="2"/>
    </row>
    <row r="675" spans="1:9" x14ac:dyDescent="0.4">
      <c r="A675" t="str">
        <f t="shared" si="30"/>
        <v/>
      </c>
      <c r="B675" t="str">
        <f t="shared" si="31"/>
        <v/>
      </c>
      <c r="C675" t="str">
        <f t="shared" si="32"/>
        <v/>
      </c>
      <c r="I675" s="2"/>
    </row>
    <row r="676" spans="1:9" x14ac:dyDescent="0.4">
      <c r="A676" t="str">
        <f t="shared" si="30"/>
        <v/>
      </c>
      <c r="B676" t="str">
        <f t="shared" si="31"/>
        <v/>
      </c>
      <c r="C676" t="str">
        <f t="shared" si="32"/>
        <v/>
      </c>
      <c r="I676" s="2"/>
    </row>
    <row r="677" spans="1:9" x14ac:dyDescent="0.4">
      <c r="A677" t="str">
        <f t="shared" si="30"/>
        <v/>
      </c>
      <c r="B677" t="str">
        <f t="shared" si="31"/>
        <v/>
      </c>
      <c r="C677" t="str">
        <f t="shared" si="32"/>
        <v/>
      </c>
      <c r="I677" s="2"/>
    </row>
    <row r="678" spans="1:9" x14ac:dyDescent="0.4">
      <c r="A678" t="str">
        <f t="shared" si="30"/>
        <v/>
      </c>
      <c r="B678" t="str">
        <f t="shared" si="31"/>
        <v/>
      </c>
      <c r="C678" t="str">
        <f t="shared" si="32"/>
        <v/>
      </c>
      <c r="I678" s="2"/>
    </row>
    <row r="679" spans="1:9" x14ac:dyDescent="0.4">
      <c r="A679" t="str">
        <f t="shared" si="30"/>
        <v/>
      </c>
      <c r="B679" t="str">
        <f t="shared" si="31"/>
        <v/>
      </c>
      <c r="C679" t="str">
        <f t="shared" si="32"/>
        <v/>
      </c>
      <c r="I679" s="2"/>
    </row>
    <row r="680" spans="1:9" x14ac:dyDescent="0.4">
      <c r="A680" t="str">
        <f t="shared" si="30"/>
        <v/>
      </c>
      <c r="B680" t="str">
        <f t="shared" si="31"/>
        <v/>
      </c>
      <c r="C680" t="str">
        <f t="shared" si="32"/>
        <v/>
      </c>
      <c r="I680" s="2"/>
    </row>
    <row r="681" spans="1:9" x14ac:dyDescent="0.4">
      <c r="A681" t="str">
        <f t="shared" si="30"/>
        <v/>
      </c>
      <c r="B681" t="str">
        <f t="shared" si="31"/>
        <v/>
      </c>
      <c r="C681" t="str">
        <f t="shared" si="32"/>
        <v/>
      </c>
      <c r="I681" s="2"/>
    </row>
    <row r="682" spans="1:9" x14ac:dyDescent="0.4">
      <c r="A682" t="str">
        <f t="shared" si="30"/>
        <v/>
      </c>
      <c r="B682" t="str">
        <f t="shared" si="31"/>
        <v/>
      </c>
      <c r="C682" t="str">
        <f t="shared" si="32"/>
        <v/>
      </c>
      <c r="I682" s="2"/>
    </row>
    <row r="683" spans="1:9" x14ac:dyDescent="0.4">
      <c r="A683" t="str">
        <f t="shared" si="30"/>
        <v/>
      </c>
      <c r="B683" t="str">
        <f t="shared" si="31"/>
        <v/>
      </c>
      <c r="C683" t="str">
        <f t="shared" si="32"/>
        <v/>
      </c>
      <c r="I683" s="2"/>
    </row>
    <row r="684" spans="1:9" x14ac:dyDescent="0.4">
      <c r="A684" t="str">
        <f t="shared" si="30"/>
        <v/>
      </c>
      <c r="B684" t="str">
        <f t="shared" si="31"/>
        <v/>
      </c>
      <c r="C684" t="str">
        <f t="shared" si="32"/>
        <v/>
      </c>
      <c r="I684" s="2"/>
    </row>
    <row r="685" spans="1:9" x14ac:dyDescent="0.4">
      <c r="A685" t="str">
        <f t="shared" si="30"/>
        <v/>
      </c>
      <c r="B685" t="str">
        <f t="shared" si="31"/>
        <v/>
      </c>
      <c r="C685" t="str">
        <f t="shared" si="32"/>
        <v/>
      </c>
      <c r="I685" s="2"/>
    </row>
    <row r="686" spans="1:9" x14ac:dyDescent="0.4">
      <c r="A686" t="str">
        <f t="shared" si="30"/>
        <v/>
      </c>
      <c r="B686" t="str">
        <f t="shared" si="31"/>
        <v/>
      </c>
      <c r="C686" t="str">
        <f t="shared" si="32"/>
        <v/>
      </c>
      <c r="I686" s="2"/>
    </row>
    <row r="687" spans="1:9" x14ac:dyDescent="0.4">
      <c r="A687" t="str">
        <f t="shared" si="30"/>
        <v/>
      </c>
      <c r="B687" t="str">
        <f t="shared" si="31"/>
        <v/>
      </c>
      <c r="C687" t="str">
        <f t="shared" si="32"/>
        <v/>
      </c>
      <c r="I687" s="2"/>
    </row>
    <row r="688" spans="1:9" x14ac:dyDescent="0.4">
      <c r="A688" t="str">
        <f t="shared" si="30"/>
        <v/>
      </c>
      <c r="B688" t="str">
        <f t="shared" si="31"/>
        <v/>
      </c>
      <c r="C688" t="str">
        <f t="shared" si="32"/>
        <v/>
      </c>
      <c r="I688" s="2"/>
    </row>
    <row r="689" spans="1:9" x14ac:dyDescent="0.4">
      <c r="A689" t="str">
        <f t="shared" si="30"/>
        <v/>
      </c>
      <c r="B689" t="str">
        <f t="shared" si="31"/>
        <v/>
      </c>
      <c r="C689" t="str">
        <f t="shared" si="32"/>
        <v/>
      </c>
      <c r="I689" s="2"/>
    </row>
    <row r="690" spans="1:9" x14ac:dyDescent="0.4">
      <c r="A690" t="str">
        <f t="shared" si="30"/>
        <v/>
      </c>
      <c r="B690" t="str">
        <f t="shared" si="31"/>
        <v/>
      </c>
      <c r="C690" t="str">
        <f t="shared" si="32"/>
        <v/>
      </c>
      <c r="I690" s="2"/>
    </row>
    <row r="691" spans="1:9" x14ac:dyDescent="0.4">
      <c r="A691" t="str">
        <f t="shared" si="30"/>
        <v/>
      </c>
      <c r="B691" t="str">
        <f t="shared" si="31"/>
        <v/>
      </c>
      <c r="C691" t="str">
        <f t="shared" si="32"/>
        <v/>
      </c>
      <c r="I691" s="2"/>
    </row>
    <row r="692" spans="1:9" x14ac:dyDescent="0.4">
      <c r="A692" t="str">
        <f t="shared" si="30"/>
        <v/>
      </c>
      <c r="B692" t="str">
        <f t="shared" si="31"/>
        <v/>
      </c>
      <c r="C692" t="str">
        <f t="shared" si="32"/>
        <v/>
      </c>
      <c r="I692" s="2"/>
    </row>
    <row r="693" spans="1:9" x14ac:dyDescent="0.4">
      <c r="A693" t="str">
        <f t="shared" si="30"/>
        <v/>
      </c>
      <c r="B693" t="str">
        <f t="shared" si="31"/>
        <v/>
      </c>
      <c r="C693" t="str">
        <f t="shared" si="32"/>
        <v/>
      </c>
      <c r="I693" s="2"/>
    </row>
    <row r="694" spans="1:9" x14ac:dyDescent="0.4">
      <c r="A694" t="str">
        <f t="shared" si="30"/>
        <v/>
      </c>
      <c r="B694" t="str">
        <f t="shared" si="31"/>
        <v/>
      </c>
      <c r="C694" t="str">
        <f t="shared" si="32"/>
        <v/>
      </c>
      <c r="I694" s="2"/>
    </row>
    <row r="695" spans="1:9" x14ac:dyDescent="0.4">
      <c r="A695" t="str">
        <f t="shared" si="30"/>
        <v/>
      </c>
      <c r="B695" t="str">
        <f t="shared" si="31"/>
        <v/>
      </c>
      <c r="C695" t="str">
        <f t="shared" si="32"/>
        <v/>
      </c>
      <c r="I695" s="2"/>
    </row>
    <row r="696" spans="1:9" x14ac:dyDescent="0.4">
      <c r="A696" t="str">
        <f t="shared" si="30"/>
        <v/>
      </c>
      <c r="B696" t="str">
        <f t="shared" si="31"/>
        <v/>
      </c>
      <c r="C696" t="str">
        <f t="shared" si="32"/>
        <v/>
      </c>
      <c r="I696" s="2"/>
    </row>
    <row r="697" spans="1:9" x14ac:dyDescent="0.4">
      <c r="A697" t="str">
        <f t="shared" si="30"/>
        <v/>
      </c>
      <c r="B697" t="str">
        <f t="shared" si="31"/>
        <v/>
      </c>
      <c r="C697" t="str">
        <f t="shared" si="32"/>
        <v/>
      </c>
      <c r="I697" s="2"/>
    </row>
    <row r="698" spans="1:9" x14ac:dyDescent="0.4">
      <c r="A698" t="str">
        <f t="shared" si="30"/>
        <v/>
      </c>
      <c r="B698" t="str">
        <f t="shared" si="31"/>
        <v/>
      </c>
      <c r="C698" t="str">
        <f t="shared" si="32"/>
        <v/>
      </c>
      <c r="I698" s="2"/>
    </row>
    <row r="699" spans="1:9" x14ac:dyDescent="0.4">
      <c r="A699" t="str">
        <f t="shared" si="30"/>
        <v/>
      </c>
      <c r="B699" t="str">
        <f t="shared" si="31"/>
        <v/>
      </c>
      <c r="C699" t="str">
        <f t="shared" si="32"/>
        <v/>
      </c>
      <c r="I699" s="2"/>
    </row>
    <row r="700" spans="1:9" x14ac:dyDescent="0.4">
      <c r="A700" t="str">
        <f t="shared" si="30"/>
        <v/>
      </c>
      <c r="B700" t="str">
        <f t="shared" si="31"/>
        <v/>
      </c>
      <c r="C700" t="str">
        <f t="shared" si="32"/>
        <v/>
      </c>
      <c r="I700" s="2"/>
    </row>
    <row r="701" spans="1:9" x14ac:dyDescent="0.4">
      <c r="A701" t="str">
        <f t="shared" si="30"/>
        <v/>
      </c>
      <c r="B701" t="str">
        <f t="shared" si="31"/>
        <v/>
      </c>
      <c r="C701" t="str">
        <f t="shared" si="32"/>
        <v/>
      </c>
      <c r="I701" s="2"/>
    </row>
    <row r="702" spans="1:9" x14ac:dyDescent="0.4">
      <c r="A702" t="str">
        <f t="shared" si="30"/>
        <v/>
      </c>
      <c r="B702" t="str">
        <f t="shared" si="31"/>
        <v/>
      </c>
      <c r="C702" t="str">
        <f t="shared" si="32"/>
        <v/>
      </c>
      <c r="I702" s="2"/>
    </row>
    <row r="703" spans="1:9" x14ac:dyDescent="0.4">
      <c r="A703" t="str">
        <f t="shared" si="30"/>
        <v/>
      </c>
      <c r="B703" t="str">
        <f t="shared" si="31"/>
        <v/>
      </c>
      <c r="C703" t="str">
        <f t="shared" si="32"/>
        <v/>
      </c>
      <c r="I703" s="2"/>
    </row>
    <row r="704" spans="1:9" x14ac:dyDescent="0.4">
      <c r="A704" t="str">
        <f t="shared" si="30"/>
        <v/>
      </c>
      <c r="B704" t="str">
        <f t="shared" si="31"/>
        <v/>
      </c>
      <c r="C704" t="str">
        <f t="shared" si="32"/>
        <v/>
      </c>
      <c r="I704" s="2"/>
    </row>
    <row r="705" spans="1:9" x14ac:dyDescent="0.4">
      <c r="A705" t="str">
        <f t="shared" si="30"/>
        <v/>
      </c>
      <c r="B705" t="str">
        <f t="shared" si="31"/>
        <v/>
      </c>
      <c r="C705" t="str">
        <f t="shared" si="32"/>
        <v/>
      </c>
      <c r="I705" s="2"/>
    </row>
    <row r="706" spans="1:9" x14ac:dyDescent="0.4">
      <c r="A706" t="str">
        <f t="shared" si="30"/>
        <v/>
      </c>
      <c r="B706" t="str">
        <f t="shared" si="31"/>
        <v/>
      </c>
      <c r="C706" t="str">
        <f t="shared" si="32"/>
        <v/>
      </c>
      <c r="I706" s="2"/>
    </row>
    <row r="707" spans="1:9" x14ac:dyDescent="0.4">
      <c r="A707" t="str">
        <f t="shared" ref="A707:A770" si="33">IF($F707="","",$F707&amp;"|"&amp;$H707)</f>
        <v/>
      </c>
      <c r="B707" t="str">
        <f t="shared" ref="B707:B770" si="34">IF(F707&lt;&gt;"",F707,"")</f>
        <v/>
      </c>
      <c r="C707" t="str">
        <f t="shared" ref="C707:C770" si="35">IF(H707&lt;&gt;"", H707, "")</f>
        <v/>
      </c>
      <c r="I707" s="2"/>
    </row>
    <row r="708" spans="1:9" x14ac:dyDescent="0.4">
      <c r="A708" t="str">
        <f t="shared" si="33"/>
        <v/>
      </c>
      <c r="B708" t="str">
        <f t="shared" si="34"/>
        <v/>
      </c>
      <c r="C708" t="str">
        <f t="shared" si="35"/>
        <v/>
      </c>
      <c r="I708" s="2"/>
    </row>
    <row r="709" spans="1:9" x14ac:dyDescent="0.4">
      <c r="A709" t="str">
        <f t="shared" si="33"/>
        <v/>
      </c>
      <c r="B709" t="str">
        <f t="shared" si="34"/>
        <v/>
      </c>
      <c r="C709" t="str">
        <f t="shared" si="35"/>
        <v/>
      </c>
      <c r="I709" s="2"/>
    </row>
    <row r="710" spans="1:9" x14ac:dyDescent="0.4">
      <c r="A710" t="str">
        <f t="shared" si="33"/>
        <v/>
      </c>
      <c r="B710" t="str">
        <f t="shared" si="34"/>
        <v/>
      </c>
      <c r="C710" t="str">
        <f t="shared" si="35"/>
        <v/>
      </c>
      <c r="I710" s="2"/>
    </row>
    <row r="711" spans="1:9" x14ac:dyDescent="0.4">
      <c r="A711" t="str">
        <f t="shared" si="33"/>
        <v/>
      </c>
      <c r="B711" t="str">
        <f t="shared" si="34"/>
        <v/>
      </c>
      <c r="C711" t="str">
        <f t="shared" si="35"/>
        <v/>
      </c>
      <c r="I711" s="2"/>
    </row>
    <row r="712" spans="1:9" x14ac:dyDescent="0.4">
      <c r="A712" t="str">
        <f t="shared" si="33"/>
        <v/>
      </c>
      <c r="B712" t="str">
        <f t="shared" si="34"/>
        <v/>
      </c>
      <c r="C712" t="str">
        <f t="shared" si="35"/>
        <v/>
      </c>
      <c r="I712" s="2"/>
    </row>
    <row r="713" spans="1:9" x14ac:dyDescent="0.4">
      <c r="A713" t="str">
        <f t="shared" si="33"/>
        <v/>
      </c>
      <c r="B713" t="str">
        <f t="shared" si="34"/>
        <v/>
      </c>
      <c r="C713" t="str">
        <f t="shared" si="35"/>
        <v/>
      </c>
      <c r="I713" s="2"/>
    </row>
    <row r="714" spans="1:9" x14ac:dyDescent="0.4">
      <c r="A714" t="str">
        <f t="shared" si="33"/>
        <v/>
      </c>
      <c r="B714" t="str">
        <f t="shared" si="34"/>
        <v/>
      </c>
      <c r="C714" t="str">
        <f t="shared" si="35"/>
        <v/>
      </c>
      <c r="I714" s="2"/>
    </row>
    <row r="715" spans="1:9" x14ac:dyDescent="0.4">
      <c r="A715" t="str">
        <f t="shared" si="33"/>
        <v/>
      </c>
      <c r="B715" t="str">
        <f t="shared" si="34"/>
        <v/>
      </c>
      <c r="C715" t="str">
        <f t="shared" si="35"/>
        <v/>
      </c>
      <c r="I715" s="2"/>
    </row>
    <row r="716" spans="1:9" x14ac:dyDescent="0.4">
      <c r="A716" t="str">
        <f t="shared" si="33"/>
        <v/>
      </c>
      <c r="B716" t="str">
        <f t="shared" si="34"/>
        <v/>
      </c>
      <c r="C716" t="str">
        <f t="shared" si="35"/>
        <v/>
      </c>
      <c r="I716" s="2"/>
    </row>
    <row r="717" spans="1:9" x14ac:dyDescent="0.4">
      <c r="A717" t="str">
        <f t="shared" si="33"/>
        <v/>
      </c>
      <c r="B717" t="str">
        <f t="shared" si="34"/>
        <v/>
      </c>
      <c r="C717" t="str">
        <f t="shared" si="35"/>
        <v/>
      </c>
      <c r="I717" s="2"/>
    </row>
    <row r="718" spans="1:9" x14ac:dyDescent="0.4">
      <c r="A718" t="str">
        <f t="shared" si="33"/>
        <v/>
      </c>
      <c r="B718" t="str">
        <f t="shared" si="34"/>
        <v/>
      </c>
      <c r="C718" t="str">
        <f t="shared" si="35"/>
        <v/>
      </c>
      <c r="I718" s="2"/>
    </row>
    <row r="719" spans="1:9" x14ac:dyDescent="0.4">
      <c r="A719" t="str">
        <f t="shared" si="33"/>
        <v/>
      </c>
      <c r="B719" t="str">
        <f t="shared" si="34"/>
        <v/>
      </c>
      <c r="C719" t="str">
        <f t="shared" si="35"/>
        <v/>
      </c>
      <c r="I719" s="2"/>
    </row>
    <row r="720" spans="1:9" x14ac:dyDescent="0.4">
      <c r="A720" t="str">
        <f t="shared" si="33"/>
        <v/>
      </c>
      <c r="B720" t="str">
        <f t="shared" si="34"/>
        <v/>
      </c>
      <c r="C720" t="str">
        <f t="shared" si="35"/>
        <v/>
      </c>
      <c r="I720" s="2"/>
    </row>
    <row r="721" spans="1:9" x14ac:dyDescent="0.4">
      <c r="A721" t="str">
        <f t="shared" si="33"/>
        <v/>
      </c>
      <c r="B721" t="str">
        <f t="shared" si="34"/>
        <v/>
      </c>
      <c r="C721" t="str">
        <f t="shared" si="35"/>
        <v/>
      </c>
      <c r="I721" s="2"/>
    </row>
    <row r="722" spans="1:9" x14ac:dyDescent="0.4">
      <c r="A722" t="str">
        <f t="shared" si="33"/>
        <v/>
      </c>
      <c r="B722" t="str">
        <f t="shared" si="34"/>
        <v/>
      </c>
      <c r="C722" t="str">
        <f t="shared" si="35"/>
        <v/>
      </c>
      <c r="I722" s="2"/>
    </row>
    <row r="723" spans="1:9" x14ac:dyDescent="0.4">
      <c r="A723" t="str">
        <f t="shared" si="33"/>
        <v/>
      </c>
      <c r="B723" t="str">
        <f t="shared" si="34"/>
        <v/>
      </c>
      <c r="C723" t="str">
        <f t="shared" si="35"/>
        <v/>
      </c>
      <c r="I723" s="2"/>
    </row>
    <row r="724" spans="1:9" x14ac:dyDescent="0.4">
      <c r="A724" t="str">
        <f t="shared" si="33"/>
        <v/>
      </c>
      <c r="B724" t="str">
        <f t="shared" si="34"/>
        <v/>
      </c>
      <c r="C724" t="str">
        <f t="shared" si="35"/>
        <v/>
      </c>
      <c r="I724" s="2"/>
    </row>
    <row r="725" spans="1:9" x14ac:dyDescent="0.4">
      <c r="A725" t="str">
        <f t="shared" si="33"/>
        <v/>
      </c>
      <c r="B725" t="str">
        <f t="shared" si="34"/>
        <v/>
      </c>
      <c r="C725" t="str">
        <f t="shared" si="35"/>
        <v/>
      </c>
      <c r="I725" s="2"/>
    </row>
    <row r="726" spans="1:9" x14ac:dyDescent="0.4">
      <c r="A726" t="str">
        <f t="shared" si="33"/>
        <v/>
      </c>
      <c r="B726" t="str">
        <f t="shared" si="34"/>
        <v/>
      </c>
      <c r="C726" t="str">
        <f t="shared" si="35"/>
        <v/>
      </c>
      <c r="I726" s="2"/>
    </row>
    <row r="727" spans="1:9" x14ac:dyDescent="0.4">
      <c r="A727" t="str">
        <f t="shared" si="33"/>
        <v/>
      </c>
      <c r="B727" t="str">
        <f t="shared" si="34"/>
        <v/>
      </c>
      <c r="C727" t="str">
        <f t="shared" si="35"/>
        <v/>
      </c>
      <c r="I727" s="2"/>
    </row>
    <row r="728" spans="1:9" x14ac:dyDescent="0.4">
      <c r="A728" t="str">
        <f t="shared" si="33"/>
        <v/>
      </c>
      <c r="B728" t="str">
        <f t="shared" si="34"/>
        <v/>
      </c>
      <c r="C728" t="str">
        <f t="shared" si="35"/>
        <v/>
      </c>
      <c r="I728" s="2"/>
    </row>
    <row r="729" spans="1:9" x14ac:dyDescent="0.4">
      <c r="A729" t="str">
        <f t="shared" si="33"/>
        <v/>
      </c>
      <c r="B729" t="str">
        <f t="shared" si="34"/>
        <v/>
      </c>
      <c r="C729" t="str">
        <f t="shared" si="35"/>
        <v/>
      </c>
      <c r="I729" s="2"/>
    </row>
    <row r="730" spans="1:9" x14ac:dyDescent="0.4">
      <c r="A730" t="str">
        <f t="shared" si="33"/>
        <v/>
      </c>
      <c r="B730" t="str">
        <f t="shared" si="34"/>
        <v/>
      </c>
      <c r="C730" t="str">
        <f t="shared" si="35"/>
        <v/>
      </c>
      <c r="I730" s="2"/>
    </row>
    <row r="731" spans="1:9" x14ac:dyDescent="0.4">
      <c r="A731" t="str">
        <f t="shared" si="33"/>
        <v/>
      </c>
      <c r="B731" t="str">
        <f t="shared" si="34"/>
        <v/>
      </c>
      <c r="C731" t="str">
        <f t="shared" si="35"/>
        <v/>
      </c>
      <c r="I731" s="2"/>
    </row>
    <row r="732" spans="1:9" x14ac:dyDescent="0.4">
      <c r="A732" t="str">
        <f t="shared" si="33"/>
        <v/>
      </c>
      <c r="B732" t="str">
        <f t="shared" si="34"/>
        <v/>
      </c>
      <c r="C732" t="str">
        <f t="shared" si="35"/>
        <v/>
      </c>
      <c r="I732" s="2"/>
    </row>
    <row r="733" spans="1:9" x14ac:dyDescent="0.4">
      <c r="A733" t="str">
        <f t="shared" si="33"/>
        <v/>
      </c>
      <c r="B733" t="str">
        <f t="shared" si="34"/>
        <v/>
      </c>
      <c r="C733" t="str">
        <f t="shared" si="35"/>
        <v/>
      </c>
      <c r="I733" s="2"/>
    </row>
    <row r="734" spans="1:9" x14ac:dyDescent="0.4">
      <c r="A734" t="str">
        <f t="shared" si="33"/>
        <v/>
      </c>
      <c r="B734" t="str">
        <f t="shared" si="34"/>
        <v/>
      </c>
      <c r="C734" t="str">
        <f t="shared" si="35"/>
        <v/>
      </c>
      <c r="I734" s="2"/>
    </row>
    <row r="735" spans="1:9" x14ac:dyDescent="0.4">
      <c r="A735" t="str">
        <f t="shared" si="33"/>
        <v/>
      </c>
      <c r="B735" t="str">
        <f t="shared" si="34"/>
        <v/>
      </c>
      <c r="C735" t="str">
        <f t="shared" si="35"/>
        <v/>
      </c>
      <c r="I735" s="2"/>
    </row>
    <row r="736" spans="1:9" x14ac:dyDescent="0.4">
      <c r="A736" t="str">
        <f t="shared" si="33"/>
        <v/>
      </c>
      <c r="B736" t="str">
        <f t="shared" si="34"/>
        <v/>
      </c>
      <c r="C736" t="str">
        <f t="shared" si="35"/>
        <v/>
      </c>
      <c r="I736" s="2"/>
    </row>
    <row r="737" spans="1:9" x14ac:dyDescent="0.4">
      <c r="A737" t="str">
        <f t="shared" si="33"/>
        <v/>
      </c>
      <c r="B737" t="str">
        <f t="shared" si="34"/>
        <v/>
      </c>
      <c r="C737" t="str">
        <f t="shared" si="35"/>
        <v/>
      </c>
      <c r="I737" s="2"/>
    </row>
    <row r="738" spans="1:9" x14ac:dyDescent="0.4">
      <c r="A738" t="str">
        <f t="shared" si="33"/>
        <v/>
      </c>
      <c r="B738" t="str">
        <f t="shared" si="34"/>
        <v/>
      </c>
      <c r="C738" t="str">
        <f t="shared" si="35"/>
        <v/>
      </c>
      <c r="I738" s="2"/>
    </row>
    <row r="739" spans="1:9" x14ac:dyDescent="0.4">
      <c r="A739" t="str">
        <f t="shared" si="33"/>
        <v/>
      </c>
      <c r="B739" t="str">
        <f t="shared" si="34"/>
        <v/>
      </c>
      <c r="C739" t="str">
        <f t="shared" si="35"/>
        <v/>
      </c>
      <c r="I739" s="2"/>
    </row>
    <row r="740" spans="1:9" x14ac:dyDescent="0.4">
      <c r="A740" t="str">
        <f t="shared" si="33"/>
        <v/>
      </c>
      <c r="B740" t="str">
        <f t="shared" si="34"/>
        <v/>
      </c>
      <c r="C740" t="str">
        <f t="shared" si="35"/>
        <v/>
      </c>
      <c r="I740" s="2"/>
    </row>
    <row r="741" spans="1:9" x14ac:dyDescent="0.4">
      <c r="A741" t="str">
        <f t="shared" si="33"/>
        <v/>
      </c>
      <c r="B741" t="str">
        <f t="shared" si="34"/>
        <v/>
      </c>
      <c r="C741" t="str">
        <f t="shared" si="35"/>
        <v/>
      </c>
      <c r="I741" s="2"/>
    </row>
    <row r="742" spans="1:9" x14ac:dyDescent="0.4">
      <c r="A742" t="str">
        <f t="shared" si="33"/>
        <v/>
      </c>
      <c r="B742" t="str">
        <f t="shared" si="34"/>
        <v/>
      </c>
      <c r="C742" t="str">
        <f t="shared" si="35"/>
        <v/>
      </c>
      <c r="I742" s="2"/>
    </row>
    <row r="743" spans="1:9" x14ac:dyDescent="0.4">
      <c r="A743" t="str">
        <f t="shared" si="33"/>
        <v/>
      </c>
      <c r="B743" t="str">
        <f t="shared" si="34"/>
        <v/>
      </c>
      <c r="C743" t="str">
        <f t="shared" si="35"/>
        <v/>
      </c>
      <c r="I743" s="2"/>
    </row>
    <row r="744" spans="1:9" x14ac:dyDescent="0.4">
      <c r="A744" t="str">
        <f t="shared" si="33"/>
        <v/>
      </c>
      <c r="B744" t="str">
        <f t="shared" si="34"/>
        <v/>
      </c>
      <c r="C744" t="str">
        <f t="shared" si="35"/>
        <v/>
      </c>
      <c r="I744" s="2"/>
    </row>
    <row r="745" spans="1:9" x14ac:dyDescent="0.4">
      <c r="A745" t="str">
        <f t="shared" si="33"/>
        <v/>
      </c>
      <c r="B745" t="str">
        <f t="shared" si="34"/>
        <v/>
      </c>
      <c r="C745" t="str">
        <f t="shared" si="35"/>
        <v/>
      </c>
      <c r="I745" s="2"/>
    </row>
    <row r="746" spans="1:9" x14ac:dyDescent="0.4">
      <c r="A746" t="str">
        <f t="shared" si="33"/>
        <v/>
      </c>
      <c r="B746" t="str">
        <f t="shared" si="34"/>
        <v/>
      </c>
      <c r="C746" t="str">
        <f t="shared" si="35"/>
        <v/>
      </c>
      <c r="I746" s="2"/>
    </row>
    <row r="747" spans="1:9" x14ac:dyDescent="0.4">
      <c r="A747" t="str">
        <f t="shared" si="33"/>
        <v/>
      </c>
      <c r="B747" t="str">
        <f t="shared" si="34"/>
        <v/>
      </c>
      <c r="C747" t="str">
        <f t="shared" si="35"/>
        <v/>
      </c>
      <c r="I747" s="2"/>
    </row>
    <row r="748" spans="1:9" x14ac:dyDescent="0.4">
      <c r="A748" t="str">
        <f t="shared" si="33"/>
        <v/>
      </c>
      <c r="B748" t="str">
        <f t="shared" si="34"/>
        <v/>
      </c>
      <c r="C748" t="str">
        <f t="shared" si="35"/>
        <v/>
      </c>
      <c r="I748" s="2"/>
    </row>
    <row r="749" spans="1:9" x14ac:dyDescent="0.4">
      <c r="A749" t="str">
        <f t="shared" si="33"/>
        <v/>
      </c>
      <c r="B749" t="str">
        <f t="shared" si="34"/>
        <v/>
      </c>
      <c r="C749" t="str">
        <f t="shared" si="35"/>
        <v/>
      </c>
      <c r="I749" s="2"/>
    </row>
    <row r="750" spans="1:9" x14ac:dyDescent="0.4">
      <c r="A750" t="str">
        <f t="shared" si="33"/>
        <v/>
      </c>
      <c r="B750" t="str">
        <f t="shared" si="34"/>
        <v/>
      </c>
      <c r="C750" t="str">
        <f t="shared" si="35"/>
        <v/>
      </c>
      <c r="I750" s="2"/>
    </row>
    <row r="751" spans="1:9" x14ac:dyDescent="0.4">
      <c r="A751" t="str">
        <f t="shared" si="33"/>
        <v/>
      </c>
      <c r="B751" t="str">
        <f t="shared" si="34"/>
        <v/>
      </c>
      <c r="C751" t="str">
        <f t="shared" si="35"/>
        <v/>
      </c>
      <c r="I751" s="2"/>
    </row>
    <row r="752" spans="1:9" x14ac:dyDescent="0.4">
      <c r="A752" t="str">
        <f t="shared" si="33"/>
        <v/>
      </c>
      <c r="B752" t="str">
        <f t="shared" si="34"/>
        <v/>
      </c>
      <c r="C752" t="str">
        <f t="shared" si="35"/>
        <v/>
      </c>
      <c r="I752" s="2"/>
    </row>
    <row r="753" spans="1:9" x14ac:dyDescent="0.4">
      <c r="A753" t="str">
        <f t="shared" si="33"/>
        <v/>
      </c>
      <c r="B753" t="str">
        <f t="shared" si="34"/>
        <v/>
      </c>
      <c r="C753" t="str">
        <f t="shared" si="35"/>
        <v/>
      </c>
      <c r="I753" s="2"/>
    </row>
    <row r="754" spans="1:9" x14ac:dyDescent="0.4">
      <c r="A754" t="str">
        <f t="shared" si="33"/>
        <v/>
      </c>
      <c r="B754" t="str">
        <f t="shared" si="34"/>
        <v/>
      </c>
      <c r="C754" t="str">
        <f t="shared" si="35"/>
        <v/>
      </c>
      <c r="I754" s="2"/>
    </row>
    <row r="755" spans="1:9" x14ac:dyDescent="0.4">
      <c r="A755" t="str">
        <f t="shared" si="33"/>
        <v/>
      </c>
      <c r="B755" t="str">
        <f t="shared" si="34"/>
        <v/>
      </c>
      <c r="C755" t="str">
        <f t="shared" si="35"/>
        <v/>
      </c>
      <c r="I755" s="2"/>
    </row>
    <row r="756" spans="1:9" x14ac:dyDescent="0.4">
      <c r="A756" t="str">
        <f t="shared" si="33"/>
        <v/>
      </c>
      <c r="B756" t="str">
        <f t="shared" si="34"/>
        <v/>
      </c>
      <c r="C756" t="str">
        <f t="shared" si="35"/>
        <v/>
      </c>
      <c r="I756" s="2"/>
    </row>
    <row r="757" spans="1:9" x14ac:dyDescent="0.4">
      <c r="A757" t="str">
        <f t="shared" si="33"/>
        <v/>
      </c>
      <c r="B757" t="str">
        <f t="shared" si="34"/>
        <v/>
      </c>
      <c r="C757" t="str">
        <f t="shared" si="35"/>
        <v/>
      </c>
      <c r="I757" s="2"/>
    </row>
    <row r="758" spans="1:9" x14ac:dyDescent="0.4">
      <c r="A758" t="str">
        <f t="shared" si="33"/>
        <v/>
      </c>
      <c r="B758" t="str">
        <f t="shared" si="34"/>
        <v/>
      </c>
      <c r="C758" t="str">
        <f t="shared" si="35"/>
        <v/>
      </c>
      <c r="I758" s="2"/>
    </row>
    <row r="759" spans="1:9" x14ac:dyDescent="0.4">
      <c r="A759" t="str">
        <f t="shared" si="33"/>
        <v/>
      </c>
      <c r="B759" t="str">
        <f t="shared" si="34"/>
        <v/>
      </c>
      <c r="C759" t="str">
        <f t="shared" si="35"/>
        <v/>
      </c>
      <c r="I759" s="2"/>
    </row>
    <row r="760" spans="1:9" x14ac:dyDescent="0.4">
      <c r="A760" t="str">
        <f t="shared" si="33"/>
        <v/>
      </c>
      <c r="B760" t="str">
        <f t="shared" si="34"/>
        <v/>
      </c>
      <c r="C760" t="str">
        <f t="shared" si="35"/>
        <v/>
      </c>
      <c r="I760" s="2"/>
    </row>
    <row r="761" spans="1:9" x14ac:dyDescent="0.4">
      <c r="A761" t="str">
        <f t="shared" si="33"/>
        <v/>
      </c>
      <c r="B761" t="str">
        <f t="shared" si="34"/>
        <v/>
      </c>
      <c r="C761" t="str">
        <f t="shared" si="35"/>
        <v/>
      </c>
      <c r="I761" s="2"/>
    </row>
    <row r="762" spans="1:9" x14ac:dyDescent="0.4">
      <c r="A762" t="str">
        <f t="shared" si="33"/>
        <v/>
      </c>
      <c r="B762" t="str">
        <f t="shared" si="34"/>
        <v/>
      </c>
      <c r="C762" t="str">
        <f t="shared" si="35"/>
        <v/>
      </c>
      <c r="I762" s="2"/>
    </row>
    <row r="763" spans="1:9" x14ac:dyDescent="0.4">
      <c r="A763" t="str">
        <f t="shared" si="33"/>
        <v/>
      </c>
      <c r="B763" t="str">
        <f t="shared" si="34"/>
        <v/>
      </c>
      <c r="C763" t="str">
        <f t="shared" si="35"/>
        <v/>
      </c>
      <c r="I763" s="2"/>
    </row>
    <row r="764" spans="1:9" x14ac:dyDescent="0.4">
      <c r="A764" t="str">
        <f t="shared" si="33"/>
        <v/>
      </c>
      <c r="B764" t="str">
        <f t="shared" si="34"/>
        <v/>
      </c>
      <c r="C764" t="str">
        <f t="shared" si="35"/>
        <v/>
      </c>
      <c r="I764" s="2"/>
    </row>
    <row r="765" spans="1:9" x14ac:dyDescent="0.4">
      <c r="A765" t="str">
        <f t="shared" si="33"/>
        <v/>
      </c>
      <c r="B765" t="str">
        <f t="shared" si="34"/>
        <v/>
      </c>
      <c r="C765" t="str">
        <f t="shared" si="35"/>
        <v/>
      </c>
      <c r="I765" s="2"/>
    </row>
    <row r="766" spans="1:9" x14ac:dyDescent="0.4">
      <c r="A766" t="str">
        <f t="shared" si="33"/>
        <v/>
      </c>
      <c r="B766" t="str">
        <f t="shared" si="34"/>
        <v/>
      </c>
      <c r="C766" t="str">
        <f t="shared" si="35"/>
        <v/>
      </c>
      <c r="I766" s="2"/>
    </row>
    <row r="767" spans="1:9" x14ac:dyDescent="0.4">
      <c r="A767" t="str">
        <f t="shared" si="33"/>
        <v/>
      </c>
      <c r="B767" t="str">
        <f t="shared" si="34"/>
        <v/>
      </c>
      <c r="C767" t="str">
        <f t="shared" si="35"/>
        <v/>
      </c>
      <c r="I767" s="2"/>
    </row>
    <row r="768" spans="1:9" x14ac:dyDescent="0.4">
      <c r="A768" t="str">
        <f t="shared" si="33"/>
        <v/>
      </c>
      <c r="B768" t="str">
        <f t="shared" si="34"/>
        <v/>
      </c>
      <c r="C768" t="str">
        <f t="shared" si="35"/>
        <v/>
      </c>
      <c r="I768" s="2"/>
    </row>
    <row r="769" spans="1:9" x14ac:dyDescent="0.4">
      <c r="A769" t="str">
        <f t="shared" si="33"/>
        <v/>
      </c>
      <c r="B769" t="str">
        <f t="shared" si="34"/>
        <v/>
      </c>
      <c r="C769" t="str">
        <f t="shared" si="35"/>
        <v/>
      </c>
      <c r="I769" s="2"/>
    </row>
    <row r="770" spans="1:9" x14ac:dyDescent="0.4">
      <c r="A770" t="str">
        <f t="shared" si="33"/>
        <v/>
      </c>
      <c r="B770" t="str">
        <f t="shared" si="34"/>
        <v/>
      </c>
      <c r="C770" t="str">
        <f t="shared" si="35"/>
        <v/>
      </c>
      <c r="I770" s="2"/>
    </row>
    <row r="771" spans="1:9" x14ac:dyDescent="0.4">
      <c r="A771" t="str">
        <f t="shared" ref="A771:A834" si="36">IF($F771="","",$F771&amp;"|"&amp;$H771)</f>
        <v/>
      </c>
      <c r="B771" t="str">
        <f t="shared" ref="B771:B834" si="37">IF(F771&lt;&gt;"",F771,"")</f>
        <v/>
      </c>
      <c r="C771" t="str">
        <f t="shared" ref="C771:C834" si="38">IF(H771&lt;&gt;"", H771, "")</f>
        <v/>
      </c>
      <c r="I771" s="2"/>
    </row>
    <row r="772" spans="1:9" x14ac:dyDescent="0.4">
      <c r="A772" t="str">
        <f t="shared" si="36"/>
        <v/>
      </c>
      <c r="B772" t="str">
        <f t="shared" si="37"/>
        <v/>
      </c>
      <c r="C772" t="str">
        <f t="shared" si="38"/>
        <v/>
      </c>
      <c r="I772" s="2"/>
    </row>
    <row r="773" spans="1:9" x14ac:dyDescent="0.4">
      <c r="A773" t="str">
        <f t="shared" si="36"/>
        <v/>
      </c>
      <c r="B773" t="str">
        <f t="shared" si="37"/>
        <v/>
      </c>
      <c r="C773" t="str">
        <f t="shared" si="38"/>
        <v/>
      </c>
      <c r="I773" s="2"/>
    </row>
    <row r="774" spans="1:9" x14ac:dyDescent="0.4">
      <c r="A774" t="str">
        <f t="shared" si="36"/>
        <v/>
      </c>
      <c r="B774" t="str">
        <f t="shared" si="37"/>
        <v/>
      </c>
      <c r="C774" t="str">
        <f t="shared" si="38"/>
        <v/>
      </c>
      <c r="I774" s="2"/>
    </row>
    <row r="775" spans="1:9" x14ac:dyDescent="0.4">
      <c r="A775" t="str">
        <f t="shared" si="36"/>
        <v/>
      </c>
      <c r="B775" t="str">
        <f t="shared" si="37"/>
        <v/>
      </c>
      <c r="C775" t="str">
        <f t="shared" si="38"/>
        <v/>
      </c>
      <c r="I775" s="2"/>
    </row>
    <row r="776" spans="1:9" x14ac:dyDescent="0.4">
      <c r="A776" t="str">
        <f t="shared" si="36"/>
        <v/>
      </c>
      <c r="B776" t="str">
        <f t="shared" si="37"/>
        <v/>
      </c>
      <c r="C776" t="str">
        <f t="shared" si="38"/>
        <v/>
      </c>
      <c r="I776" s="2"/>
    </row>
    <row r="777" spans="1:9" x14ac:dyDescent="0.4">
      <c r="A777" t="str">
        <f t="shared" si="36"/>
        <v/>
      </c>
      <c r="B777" t="str">
        <f t="shared" si="37"/>
        <v/>
      </c>
      <c r="C777" t="str">
        <f t="shared" si="38"/>
        <v/>
      </c>
      <c r="I777" s="2"/>
    </row>
    <row r="778" spans="1:9" x14ac:dyDescent="0.4">
      <c r="A778" t="str">
        <f t="shared" si="36"/>
        <v/>
      </c>
      <c r="B778" t="str">
        <f t="shared" si="37"/>
        <v/>
      </c>
      <c r="C778" t="str">
        <f t="shared" si="38"/>
        <v/>
      </c>
      <c r="I778" s="2"/>
    </row>
    <row r="779" spans="1:9" x14ac:dyDescent="0.4">
      <c r="A779" t="str">
        <f t="shared" si="36"/>
        <v/>
      </c>
      <c r="B779" t="str">
        <f t="shared" si="37"/>
        <v/>
      </c>
      <c r="C779" t="str">
        <f t="shared" si="38"/>
        <v/>
      </c>
      <c r="I779" s="2"/>
    </row>
    <row r="780" spans="1:9" x14ac:dyDescent="0.4">
      <c r="A780" t="str">
        <f t="shared" si="36"/>
        <v/>
      </c>
      <c r="B780" t="str">
        <f t="shared" si="37"/>
        <v/>
      </c>
      <c r="C780" t="str">
        <f t="shared" si="38"/>
        <v/>
      </c>
      <c r="I780" s="2"/>
    </row>
    <row r="781" spans="1:9" x14ac:dyDescent="0.4">
      <c r="A781" t="str">
        <f t="shared" si="36"/>
        <v/>
      </c>
      <c r="B781" t="str">
        <f t="shared" si="37"/>
        <v/>
      </c>
      <c r="C781" t="str">
        <f t="shared" si="38"/>
        <v/>
      </c>
      <c r="I781" s="2"/>
    </row>
    <row r="782" spans="1:9" x14ac:dyDescent="0.4">
      <c r="A782" t="str">
        <f t="shared" si="36"/>
        <v/>
      </c>
      <c r="B782" t="str">
        <f t="shared" si="37"/>
        <v/>
      </c>
      <c r="C782" t="str">
        <f t="shared" si="38"/>
        <v/>
      </c>
      <c r="I782" s="2"/>
    </row>
    <row r="783" spans="1:9" x14ac:dyDescent="0.4">
      <c r="A783" t="str">
        <f t="shared" si="36"/>
        <v/>
      </c>
      <c r="B783" t="str">
        <f t="shared" si="37"/>
        <v/>
      </c>
      <c r="C783" t="str">
        <f t="shared" si="38"/>
        <v/>
      </c>
      <c r="I783" s="2"/>
    </row>
    <row r="784" spans="1:9" x14ac:dyDescent="0.4">
      <c r="A784" t="str">
        <f t="shared" si="36"/>
        <v/>
      </c>
      <c r="B784" t="str">
        <f t="shared" si="37"/>
        <v/>
      </c>
      <c r="C784" t="str">
        <f t="shared" si="38"/>
        <v/>
      </c>
      <c r="I784" s="2"/>
    </row>
    <row r="785" spans="1:9" x14ac:dyDescent="0.4">
      <c r="A785" t="str">
        <f t="shared" si="36"/>
        <v/>
      </c>
      <c r="B785" t="str">
        <f t="shared" si="37"/>
        <v/>
      </c>
      <c r="C785" t="str">
        <f t="shared" si="38"/>
        <v/>
      </c>
      <c r="I785" s="2"/>
    </row>
    <row r="786" spans="1:9" x14ac:dyDescent="0.4">
      <c r="A786" t="str">
        <f t="shared" si="36"/>
        <v/>
      </c>
      <c r="B786" t="str">
        <f t="shared" si="37"/>
        <v/>
      </c>
      <c r="C786" t="str">
        <f t="shared" si="38"/>
        <v/>
      </c>
      <c r="I786" s="2"/>
    </row>
    <row r="787" spans="1:9" x14ac:dyDescent="0.4">
      <c r="A787" t="str">
        <f t="shared" si="36"/>
        <v/>
      </c>
      <c r="B787" t="str">
        <f t="shared" si="37"/>
        <v/>
      </c>
      <c r="C787" t="str">
        <f t="shared" si="38"/>
        <v/>
      </c>
      <c r="I787" s="2"/>
    </row>
    <row r="788" spans="1:9" x14ac:dyDescent="0.4">
      <c r="A788" t="str">
        <f t="shared" si="36"/>
        <v/>
      </c>
      <c r="B788" t="str">
        <f t="shared" si="37"/>
        <v/>
      </c>
      <c r="C788" t="str">
        <f t="shared" si="38"/>
        <v/>
      </c>
      <c r="I788" s="2"/>
    </row>
    <row r="789" spans="1:9" x14ac:dyDescent="0.4">
      <c r="A789" t="str">
        <f t="shared" si="36"/>
        <v/>
      </c>
      <c r="B789" t="str">
        <f t="shared" si="37"/>
        <v/>
      </c>
      <c r="C789" t="str">
        <f t="shared" si="38"/>
        <v/>
      </c>
      <c r="I789" s="2"/>
    </row>
    <row r="790" spans="1:9" x14ac:dyDescent="0.4">
      <c r="A790" t="str">
        <f t="shared" si="36"/>
        <v/>
      </c>
      <c r="B790" t="str">
        <f t="shared" si="37"/>
        <v/>
      </c>
      <c r="C790" t="str">
        <f t="shared" si="38"/>
        <v/>
      </c>
    </row>
    <row r="791" spans="1:9" x14ac:dyDescent="0.4">
      <c r="A791" t="str">
        <f t="shared" si="36"/>
        <v/>
      </c>
      <c r="B791" t="str">
        <f t="shared" si="37"/>
        <v/>
      </c>
      <c r="C791" t="str">
        <f t="shared" si="38"/>
        <v/>
      </c>
    </row>
    <row r="792" spans="1:9" x14ac:dyDescent="0.4">
      <c r="A792" t="str">
        <f t="shared" si="36"/>
        <v/>
      </c>
      <c r="B792" t="str">
        <f t="shared" si="37"/>
        <v/>
      </c>
      <c r="C792" t="str">
        <f t="shared" si="38"/>
        <v/>
      </c>
    </row>
    <row r="793" spans="1:9" x14ac:dyDescent="0.4">
      <c r="A793" t="str">
        <f t="shared" si="36"/>
        <v/>
      </c>
      <c r="B793" t="str">
        <f t="shared" si="37"/>
        <v/>
      </c>
      <c r="C793" t="str">
        <f t="shared" si="38"/>
        <v/>
      </c>
    </row>
    <row r="794" spans="1:9" x14ac:dyDescent="0.4">
      <c r="A794" t="str">
        <f t="shared" si="36"/>
        <v/>
      </c>
      <c r="B794" t="str">
        <f t="shared" si="37"/>
        <v/>
      </c>
      <c r="C794" t="str">
        <f t="shared" si="38"/>
        <v/>
      </c>
    </row>
    <row r="795" spans="1:9" x14ac:dyDescent="0.4">
      <c r="A795" t="str">
        <f t="shared" si="36"/>
        <v/>
      </c>
      <c r="B795" t="str">
        <f t="shared" si="37"/>
        <v/>
      </c>
      <c r="C795" t="str">
        <f t="shared" si="38"/>
        <v/>
      </c>
    </row>
    <row r="796" spans="1:9" x14ac:dyDescent="0.4">
      <c r="A796" t="str">
        <f t="shared" si="36"/>
        <v/>
      </c>
      <c r="B796" t="str">
        <f t="shared" si="37"/>
        <v/>
      </c>
      <c r="C796" t="str">
        <f t="shared" si="38"/>
        <v/>
      </c>
    </row>
    <row r="797" spans="1:9" x14ac:dyDescent="0.4">
      <c r="A797" t="str">
        <f t="shared" si="36"/>
        <v/>
      </c>
      <c r="B797" t="str">
        <f t="shared" si="37"/>
        <v/>
      </c>
      <c r="C797" t="str">
        <f t="shared" si="38"/>
        <v/>
      </c>
    </row>
    <row r="798" spans="1:9" x14ac:dyDescent="0.4">
      <c r="A798" t="str">
        <f t="shared" si="36"/>
        <v/>
      </c>
      <c r="B798" t="str">
        <f t="shared" si="37"/>
        <v/>
      </c>
      <c r="C798" t="str">
        <f t="shared" si="38"/>
        <v/>
      </c>
    </row>
    <row r="799" spans="1:9" x14ac:dyDescent="0.4">
      <c r="A799" t="str">
        <f t="shared" si="36"/>
        <v/>
      </c>
      <c r="B799" t="str">
        <f t="shared" si="37"/>
        <v/>
      </c>
      <c r="C799" t="str">
        <f t="shared" si="38"/>
        <v/>
      </c>
    </row>
    <row r="800" spans="1:9" x14ac:dyDescent="0.4">
      <c r="A800" t="str">
        <f t="shared" si="36"/>
        <v/>
      </c>
      <c r="B800" t="str">
        <f t="shared" si="37"/>
        <v/>
      </c>
      <c r="C800" t="str">
        <f t="shared" si="38"/>
        <v/>
      </c>
    </row>
    <row r="801" spans="1:3" x14ac:dyDescent="0.4">
      <c r="A801" t="str">
        <f t="shared" si="36"/>
        <v/>
      </c>
      <c r="B801" t="str">
        <f t="shared" si="37"/>
        <v/>
      </c>
      <c r="C801" t="str">
        <f t="shared" si="38"/>
        <v/>
      </c>
    </row>
    <row r="802" spans="1:3" x14ac:dyDescent="0.4">
      <c r="A802" t="str">
        <f t="shared" si="36"/>
        <v/>
      </c>
      <c r="B802" t="str">
        <f t="shared" si="37"/>
        <v/>
      </c>
      <c r="C802" t="str">
        <f t="shared" si="38"/>
        <v/>
      </c>
    </row>
    <row r="803" spans="1:3" x14ac:dyDescent="0.4">
      <c r="A803" t="str">
        <f t="shared" si="36"/>
        <v/>
      </c>
      <c r="B803" t="str">
        <f t="shared" si="37"/>
        <v/>
      </c>
      <c r="C803" t="str">
        <f t="shared" si="38"/>
        <v/>
      </c>
    </row>
    <row r="804" spans="1:3" x14ac:dyDescent="0.4">
      <c r="A804" t="str">
        <f t="shared" si="36"/>
        <v/>
      </c>
      <c r="B804" t="str">
        <f t="shared" si="37"/>
        <v/>
      </c>
      <c r="C804" t="str">
        <f t="shared" si="38"/>
        <v/>
      </c>
    </row>
    <row r="805" spans="1:3" x14ac:dyDescent="0.4">
      <c r="A805" t="str">
        <f t="shared" si="36"/>
        <v/>
      </c>
      <c r="B805" t="str">
        <f t="shared" si="37"/>
        <v/>
      </c>
      <c r="C805" t="str">
        <f t="shared" si="38"/>
        <v/>
      </c>
    </row>
    <row r="806" spans="1:3" x14ac:dyDescent="0.4">
      <c r="A806" t="str">
        <f t="shared" si="36"/>
        <v/>
      </c>
      <c r="B806" t="str">
        <f t="shared" si="37"/>
        <v/>
      </c>
      <c r="C806" t="str">
        <f t="shared" si="38"/>
        <v/>
      </c>
    </row>
    <row r="807" spans="1:3" x14ac:dyDescent="0.4">
      <c r="A807" t="str">
        <f t="shared" si="36"/>
        <v/>
      </c>
      <c r="B807" t="str">
        <f t="shared" si="37"/>
        <v/>
      </c>
      <c r="C807" t="str">
        <f t="shared" si="38"/>
        <v/>
      </c>
    </row>
    <row r="808" spans="1:3" x14ac:dyDescent="0.4">
      <c r="A808" t="str">
        <f t="shared" si="36"/>
        <v/>
      </c>
      <c r="B808" t="str">
        <f t="shared" si="37"/>
        <v/>
      </c>
      <c r="C808" t="str">
        <f t="shared" si="38"/>
        <v/>
      </c>
    </row>
    <row r="809" spans="1:3" x14ac:dyDescent="0.4">
      <c r="A809" t="str">
        <f t="shared" si="36"/>
        <v/>
      </c>
      <c r="B809" t="str">
        <f t="shared" si="37"/>
        <v/>
      </c>
      <c r="C809" t="str">
        <f t="shared" si="38"/>
        <v/>
      </c>
    </row>
    <row r="810" spans="1:3" x14ac:dyDescent="0.4">
      <c r="A810" t="str">
        <f t="shared" si="36"/>
        <v/>
      </c>
      <c r="B810" t="str">
        <f t="shared" si="37"/>
        <v/>
      </c>
      <c r="C810" t="str">
        <f t="shared" si="38"/>
        <v/>
      </c>
    </row>
    <row r="811" spans="1:3" x14ac:dyDescent="0.4">
      <c r="A811" t="str">
        <f t="shared" si="36"/>
        <v/>
      </c>
      <c r="B811" t="str">
        <f t="shared" si="37"/>
        <v/>
      </c>
      <c r="C811" t="str">
        <f t="shared" si="38"/>
        <v/>
      </c>
    </row>
    <row r="812" spans="1:3" x14ac:dyDescent="0.4">
      <c r="A812" t="str">
        <f t="shared" si="36"/>
        <v/>
      </c>
      <c r="B812" t="str">
        <f t="shared" si="37"/>
        <v/>
      </c>
      <c r="C812" t="str">
        <f t="shared" si="38"/>
        <v/>
      </c>
    </row>
    <row r="813" spans="1:3" x14ac:dyDescent="0.4">
      <c r="A813" t="str">
        <f t="shared" si="36"/>
        <v/>
      </c>
      <c r="B813" t="str">
        <f t="shared" si="37"/>
        <v/>
      </c>
      <c r="C813" t="str">
        <f t="shared" si="38"/>
        <v/>
      </c>
    </row>
    <row r="814" spans="1:3" x14ac:dyDescent="0.4">
      <c r="A814" t="str">
        <f t="shared" si="36"/>
        <v/>
      </c>
      <c r="B814" t="str">
        <f t="shared" si="37"/>
        <v/>
      </c>
      <c r="C814" t="str">
        <f t="shared" si="38"/>
        <v/>
      </c>
    </row>
    <row r="815" spans="1:3" x14ac:dyDescent="0.4">
      <c r="A815" t="str">
        <f t="shared" si="36"/>
        <v/>
      </c>
      <c r="B815" t="str">
        <f t="shared" si="37"/>
        <v/>
      </c>
      <c r="C815" t="str">
        <f t="shared" si="38"/>
        <v/>
      </c>
    </row>
    <row r="816" spans="1:3" x14ac:dyDescent="0.4">
      <c r="A816" t="str">
        <f t="shared" si="36"/>
        <v/>
      </c>
      <c r="B816" t="str">
        <f t="shared" si="37"/>
        <v/>
      </c>
      <c r="C816" t="str">
        <f t="shared" si="38"/>
        <v/>
      </c>
    </row>
    <row r="817" spans="1:3" x14ac:dyDescent="0.4">
      <c r="A817" t="str">
        <f t="shared" si="36"/>
        <v/>
      </c>
      <c r="B817" t="str">
        <f t="shared" si="37"/>
        <v/>
      </c>
      <c r="C817" t="str">
        <f t="shared" si="38"/>
        <v/>
      </c>
    </row>
    <row r="818" spans="1:3" x14ac:dyDescent="0.4">
      <c r="A818" t="str">
        <f t="shared" si="36"/>
        <v/>
      </c>
      <c r="B818" t="str">
        <f t="shared" si="37"/>
        <v/>
      </c>
      <c r="C818" t="str">
        <f t="shared" si="38"/>
        <v/>
      </c>
    </row>
    <row r="819" spans="1:3" x14ac:dyDescent="0.4">
      <c r="A819" t="str">
        <f t="shared" si="36"/>
        <v/>
      </c>
      <c r="B819" t="str">
        <f t="shared" si="37"/>
        <v/>
      </c>
      <c r="C819" t="str">
        <f t="shared" si="38"/>
        <v/>
      </c>
    </row>
    <row r="820" spans="1:3" x14ac:dyDescent="0.4">
      <c r="A820" t="str">
        <f t="shared" si="36"/>
        <v/>
      </c>
      <c r="B820" t="str">
        <f t="shared" si="37"/>
        <v/>
      </c>
      <c r="C820" t="str">
        <f t="shared" si="38"/>
        <v/>
      </c>
    </row>
    <row r="821" spans="1:3" x14ac:dyDescent="0.4">
      <c r="A821" t="str">
        <f t="shared" si="36"/>
        <v/>
      </c>
      <c r="B821" t="str">
        <f t="shared" si="37"/>
        <v/>
      </c>
      <c r="C821" t="str">
        <f t="shared" si="38"/>
        <v/>
      </c>
    </row>
    <row r="822" spans="1:3" x14ac:dyDescent="0.4">
      <c r="A822" t="str">
        <f t="shared" si="36"/>
        <v/>
      </c>
      <c r="B822" t="str">
        <f t="shared" si="37"/>
        <v/>
      </c>
      <c r="C822" t="str">
        <f t="shared" si="38"/>
        <v/>
      </c>
    </row>
    <row r="823" spans="1:3" x14ac:dyDescent="0.4">
      <c r="A823" t="str">
        <f t="shared" si="36"/>
        <v/>
      </c>
      <c r="B823" t="str">
        <f t="shared" si="37"/>
        <v/>
      </c>
      <c r="C823" t="str">
        <f t="shared" si="38"/>
        <v/>
      </c>
    </row>
    <row r="824" spans="1:3" x14ac:dyDescent="0.4">
      <c r="A824" t="str">
        <f t="shared" si="36"/>
        <v/>
      </c>
      <c r="B824" t="str">
        <f t="shared" si="37"/>
        <v/>
      </c>
      <c r="C824" t="str">
        <f t="shared" si="38"/>
        <v/>
      </c>
    </row>
    <row r="825" spans="1:3" x14ac:dyDescent="0.4">
      <c r="A825" t="str">
        <f t="shared" si="36"/>
        <v/>
      </c>
      <c r="B825" t="str">
        <f t="shared" si="37"/>
        <v/>
      </c>
      <c r="C825" t="str">
        <f t="shared" si="38"/>
        <v/>
      </c>
    </row>
    <row r="826" spans="1:3" x14ac:dyDescent="0.4">
      <c r="A826" t="str">
        <f t="shared" si="36"/>
        <v/>
      </c>
      <c r="B826" t="str">
        <f t="shared" si="37"/>
        <v/>
      </c>
      <c r="C826" t="str">
        <f t="shared" si="38"/>
        <v/>
      </c>
    </row>
    <row r="827" spans="1:3" x14ac:dyDescent="0.4">
      <c r="A827" t="str">
        <f t="shared" si="36"/>
        <v/>
      </c>
      <c r="B827" t="str">
        <f t="shared" si="37"/>
        <v/>
      </c>
      <c r="C827" t="str">
        <f t="shared" si="38"/>
        <v/>
      </c>
    </row>
    <row r="828" spans="1:3" x14ac:dyDescent="0.4">
      <c r="A828" t="str">
        <f t="shared" si="36"/>
        <v/>
      </c>
      <c r="B828" t="str">
        <f t="shared" si="37"/>
        <v/>
      </c>
      <c r="C828" t="str">
        <f t="shared" si="38"/>
        <v/>
      </c>
    </row>
    <row r="829" spans="1:3" x14ac:dyDescent="0.4">
      <c r="A829" t="str">
        <f t="shared" si="36"/>
        <v/>
      </c>
      <c r="B829" t="str">
        <f t="shared" si="37"/>
        <v/>
      </c>
      <c r="C829" t="str">
        <f t="shared" si="38"/>
        <v/>
      </c>
    </row>
    <row r="830" spans="1:3" x14ac:dyDescent="0.4">
      <c r="A830" t="str">
        <f t="shared" si="36"/>
        <v/>
      </c>
      <c r="B830" t="str">
        <f t="shared" si="37"/>
        <v/>
      </c>
      <c r="C830" t="str">
        <f t="shared" si="38"/>
        <v/>
      </c>
    </row>
    <row r="831" spans="1:3" x14ac:dyDescent="0.4">
      <c r="A831" t="str">
        <f t="shared" si="36"/>
        <v/>
      </c>
      <c r="B831" t="str">
        <f t="shared" si="37"/>
        <v/>
      </c>
      <c r="C831" t="str">
        <f t="shared" si="38"/>
        <v/>
      </c>
    </row>
    <row r="832" spans="1:3" x14ac:dyDescent="0.4">
      <c r="A832" t="str">
        <f t="shared" si="36"/>
        <v/>
      </c>
      <c r="B832" t="str">
        <f t="shared" si="37"/>
        <v/>
      </c>
      <c r="C832" t="str">
        <f t="shared" si="38"/>
        <v/>
      </c>
    </row>
    <row r="833" spans="1:3" x14ac:dyDescent="0.4">
      <c r="A833" t="str">
        <f t="shared" si="36"/>
        <v/>
      </c>
      <c r="B833" t="str">
        <f t="shared" si="37"/>
        <v/>
      </c>
      <c r="C833" t="str">
        <f t="shared" si="38"/>
        <v/>
      </c>
    </row>
    <row r="834" spans="1:3" x14ac:dyDescent="0.4">
      <c r="A834" t="str">
        <f t="shared" si="36"/>
        <v/>
      </c>
      <c r="B834" t="str">
        <f t="shared" si="37"/>
        <v/>
      </c>
      <c r="C834" t="str">
        <f t="shared" si="38"/>
        <v/>
      </c>
    </row>
    <row r="835" spans="1:3" x14ac:dyDescent="0.4">
      <c r="A835" t="str">
        <f t="shared" ref="A835:A898" si="39">IF($F835="","",$F835&amp;"|"&amp;$H835)</f>
        <v/>
      </c>
      <c r="B835" t="str">
        <f t="shared" ref="B835:B898" si="40">IF(F835&lt;&gt;"",F835,"")</f>
        <v/>
      </c>
      <c r="C835" t="str">
        <f t="shared" ref="C835:C898" si="41">IF(H835&lt;&gt;"", H835, "")</f>
        <v/>
      </c>
    </row>
    <row r="836" spans="1:3" x14ac:dyDescent="0.4">
      <c r="A836" t="str">
        <f t="shared" si="39"/>
        <v/>
      </c>
      <c r="B836" t="str">
        <f t="shared" si="40"/>
        <v/>
      </c>
      <c r="C836" t="str">
        <f t="shared" si="41"/>
        <v/>
      </c>
    </row>
    <row r="837" spans="1:3" x14ac:dyDescent="0.4">
      <c r="A837" t="str">
        <f t="shared" si="39"/>
        <v/>
      </c>
      <c r="B837" t="str">
        <f t="shared" si="40"/>
        <v/>
      </c>
      <c r="C837" t="str">
        <f t="shared" si="41"/>
        <v/>
      </c>
    </row>
    <row r="838" spans="1:3" x14ac:dyDescent="0.4">
      <c r="A838" t="str">
        <f t="shared" si="39"/>
        <v/>
      </c>
      <c r="B838" t="str">
        <f t="shared" si="40"/>
        <v/>
      </c>
      <c r="C838" t="str">
        <f t="shared" si="41"/>
        <v/>
      </c>
    </row>
    <row r="839" spans="1:3" x14ac:dyDescent="0.4">
      <c r="A839" t="str">
        <f t="shared" si="39"/>
        <v/>
      </c>
      <c r="B839" t="str">
        <f t="shared" si="40"/>
        <v/>
      </c>
      <c r="C839" t="str">
        <f t="shared" si="41"/>
        <v/>
      </c>
    </row>
    <row r="840" spans="1:3" x14ac:dyDescent="0.4">
      <c r="A840" t="str">
        <f t="shared" si="39"/>
        <v/>
      </c>
      <c r="B840" t="str">
        <f t="shared" si="40"/>
        <v/>
      </c>
      <c r="C840" t="str">
        <f t="shared" si="41"/>
        <v/>
      </c>
    </row>
    <row r="841" spans="1:3" x14ac:dyDescent="0.4">
      <c r="A841" t="str">
        <f t="shared" si="39"/>
        <v/>
      </c>
      <c r="B841" t="str">
        <f t="shared" si="40"/>
        <v/>
      </c>
      <c r="C841" t="str">
        <f t="shared" si="41"/>
        <v/>
      </c>
    </row>
    <row r="842" spans="1:3" x14ac:dyDescent="0.4">
      <c r="A842" t="str">
        <f t="shared" si="39"/>
        <v/>
      </c>
      <c r="B842" t="str">
        <f t="shared" si="40"/>
        <v/>
      </c>
      <c r="C842" t="str">
        <f t="shared" si="41"/>
        <v/>
      </c>
    </row>
    <row r="843" spans="1:3" x14ac:dyDescent="0.4">
      <c r="A843" t="str">
        <f t="shared" si="39"/>
        <v/>
      </c>
      <c r="B843" t="str">
        <f t="shared" si="40"/>
        <v/>
      </c>
      <c r="C843" t="str">
        <f t="shared" si="41"/>
        <v/>
      </c>
    </row>
    <row r="844" spans="1:3" x14ac:dyDescent="0.4">
      <c r="A844" t="str">
        <f t="shared" si="39"/>
        <v/>
      </c>
      <c r="B844" t="str">
        <f t="shared" si="40"/>
        <v/>
      </c>
      <c r="C844" t="str">
        <f t="shared" si="41"/>
        <v/>
      </c>
    </row>
    <row r="845" spans="1:3" x14ac:dyDescent="0.4">
      <c r="A845" t="str">
        <f t="shared" si="39"/>
        <v/>
      </c>
      <c r="B845" t="str">
        <f t="shared" si="40"/>
        <v/>
      </c>
      <c r="C845" t="str">
        <f t="shared" si="41"/>
        <v/>
      </c>
    </row>
    <row r="846" spans="1:3" x14ac:dyDescent="0.4">
      <c r="A846" t="str">
        <f t="shared" si="39"/>
        <v/>
      </c>
      <c r="B846" t="str">
        <f t="shared" si="40"/>
        <v/>
      </c>
      <c r="C846" t="str">
        <f t="shared" si="41"/>
        <v/>
      </c>
    </row>
    <row r="847" spans="1:3" x14ac:dyDescent="0.4">
      <c r="A847" t="str">
        <f t="shared" si="39"/>
        <v/>
      </c>
      <c r="B847" t="str">
        <f t="shared" si="40"/>
        <v/>
      </c>
      <c r="C847" t="str">
        <f t="shared" si="41"/>
        <v/>
      </c>
    </row>
    <row r="848" spans="1:3" x14ac:dyDescent="0.4">
      <c r="A848" t="str">
        <f t="shared" si="39"/>
        <v/>
      </c>
      <c r="B848" t="str">
        <f t="shared" si="40"/>
        <v/>
      </c>
      <c r="C848" t="str">
        <f t="shared" si="41"/>
        <v/>
      </c>
    </row>
    <row r="849" spans="1:3" x14ac:dyDescent="0.4">
      <c r="A849" t="str">
        <f t="shared" si="39"/>
        <v/>
      </c>
      <c r="B849" t="str">
        <f t="shared" si="40"/>
        <v/>
      </c>
      <c r="C849" t="str">
        <f t="shared" si="41"/>
        <v/>
      </c>
    </row>
    <row r="850" spans="1:3" x14ac:dyDescent="0.4">
      <c r="A850" t="str">
        <f t="shared" si="39"/>
        <v/>
      </c>
      <c r="B850" t="str">
        <f t="shared" si="40"/>
        <v/>
      </c>
      <c r="C850" t="str">
        <f t="shared" si="41"/>
        <v/>
      </c>
    </row>
    <row r="851" spans="1:3" x14ac:dyDescent="0.4">
      <c r="A851" t="str">
        <f t="shared" si="39"/>
        <v/>
      </c>
      <c r="B851" t="str">
        <f t="shared" si="40"/>
        <v/>
      </c>
      <c r="C851" t="str">
        <f t="shared" si="41"/>
        <v/>
      </c>
    </row>
    <row r="852" spans="1:3" x14ac:dyDescent="0.4">
      <c r="A852" t="str">
        <f t="shared" si="39"/>
        <v/>
      </c>
      <c r="B852" t="str">
        <f t="shared" si="40"/>
        <v/>
      </c>
      <c r="C852" t="str">
        <f t="shared" si="41"/>
        <v/>
      </c>
    </row>
    <row r="853" spans="1:3" x14ac:dyDescent="0.4">
      <c r="A853" t="str">
        <f t="shared" si="39"/>
        <v/>
      </c>
      <c r="B853" t="str">
        <f t="shared" si="40"/>
        <v/>
      </c>
      <c r="C853" t="str">
        <f t="shared" si="41"/>
        <v/>
      </c>
    </row>
    <row r="854" spans="1:3" x14ac:dyDescent="0.4">
      <c r="A854" t="str">
        <f t="shared" si="39"/>
        <v/>
      </c>
      <c r="B854" t="str">
        <f t="shared" si="40"/>
        <v/>
      </c>
      <c r="C854" t="str">
        <f t="shared" si="41"/>
        <v/>
      </c>
    </row>
    <row r="855" spans="1:3" x14ac:dyDescent="0.4">
      <c r="A855" t="str">
        <f t="shared" si="39"/>
        <v/>
      </c>
      <c r="B855" t="str">
        <f t="shared" si="40"/>
        <v/>
      </c>
      <c r="C855" t="str">
        <f t="shared" si="41"/>
        <v/>
      </c>
    </row>
    <row r="856" spans="1:3" x14ac:dyDescent="0.4">
      <c r="A856" t="str">
        <f t="shared" si="39"/>
        <v/>
      </c>
      <c r="B856" t="str">
        <f t="shared" si="40"/>
        <v/>
      </c>
      <c r="C856" t="str">
        <f t="shared" si="41"/>
        <v/>
      </c>
    </row>
    <row r="857" spans="1:3" x14ac:dyDescent="0.4">
      <c r="A857" t="str">
        <f t="shared" si="39"/>
        <v/>
      </c>
      <c r="B857" t="str">
        <f t="shared" si="40"/>
        <v/>
      </c>
      <c r="C857" t="str">
        <f t="shared" si="41"/>
        <v/>
      </c>
    </row>
    <row r="858" spans="1:3" x14ac:dyDescent="0.4">
      <c r="A858" t="str">
        <f t="shared" si="39"/>
        <v/>
      </c>
      <c r="B858" t="str">
        <f t="shared" si="40"/>
        <v/>
      </c>
      <c r="C858" t="str">
        <f t="shared" si="41"/>
        <v/>
      </c>
    </row>
    <row r="859" spans="1:3" x14ac:dyDescent="0.4">
      <c r="A859" t="str">
        <f t="shared" si="39"/>
        <v/>
      </c>
      <c r="B859" t="str">
        <f t="shared" si="40"/>
        <v/>
      </c>
      <c r="C859" t="str">
        <f t="shared" si="41"/>
        <v/>
      </c>
    </row>
    <row r="860" spans="1:3" x14ac:dyDescent="0.4">
      <c r="A860" t="str">
        <f t="shared" si="39"/>
        <v/>
      </c>
      <c r="B860" t="str">
        <f t="shared" si="40"/>
        <v/>
      </c>
      <c r="C860" t="str">
        <f t="shared" si="41"/>
        <v/>
      </c>
    </row>
    <row r="861" spans="1:3" x14ac:dyDescent="0.4">
      <c r="A861" t="str">
        <f t="shared" si="39"/>
        <v/>
      </c>
      <c r="B861" t="str">
        <f t="shared" si="40"/>
        <v/>
      </c>
      <c r="C861" t="str">
        <f t="shared" si="41"/>
        <v/>
      </c>
    </row>
    <row r="862" spans="1:3" x14ac:dyDescent="0.4">
      <c r="A862" t="str">
        <f t="shared" si="39"/>
        <v/>
      </c>
      <c r="B862" t="str">
        <f t="shared" si="40"/>
        <v/>
      </c>
      <c r="C862" t="str">
        <f t="shared" si="41"/>
        <v/>
      </c>
    </row>
    <row r="863" spans="1:3" x14ac:dyDescent="0.4">
      <c r="A863" t="str">
        <f t="shared" si="39"/>
        <v/>
      </c>
      <c r="B863" t="str">
        <f t="shared" si="40"/>
        <v/>
      </c>
      <c r="C863" t="str">
        <f t="shared" si="41"/>
        <v/>
      </c>
    </row>
    <row r="864" spans="1:3" x14ac:dyDescent="0.4">
      <c r="A864" t="str">
        <f t="shared" si="39"/>
        <v/>
      </c>
      <c r="B864" t="str">
        <f t="shared" si="40"/>
        <v/>
      </c>
      <c r="C864" t="str">
        <f t="shared" si="41"/>
        <v/>
      </c>
    </row>
    <row r="865" spans="1:3" x14ac:dyDescent="0.4">
      <c r="A865" t="str">
        <f t="shared" si="39"/>
        <v/>
      </c>
      <c r="B865" t="str">
        <f t="shared" si="40"/>
        <v/>
      </c>
      <c r="C865" t="str">
        <f t="shared" si="41"/>
        <v/>
      </c>
    </row>
    <row r="866" spans="1:3" x14ac:dyDescent="0.4">
      <c r="A866" t="str">
        <f t="shared" si="39"/>
        <v/>
      </c>
      <c r="B866" t="str">
        <f t="shared" si="40"/>
        <v/>
      </c>
      <c r="C866" t="str">
        <f t="shared" si="41"/>
        <v/>
      </c>
    </row>
    <row r="867" spans="1:3" x14ac:dyDescent="0.4">
      <c r="A867" t="str">
        <f t="shared" si="39"/>
        <v/>
      </c>
      <c r="B867" t="str">
        <f t="shared" si="40"/>
        <v/>
      </c>
      <c r="C867" t="str">
        <f t="shared" si="41"/>
        <v/>
      </c>
    </row>
    <row r="868" spans="1:3" x14ac:dyDescent="0.4">
      <c r="A868" t="str">
        <f t="shared" si="39"/>
        <v/>
      </c>
      <c r="B868" t="str">
        <f t="shared" si="40"/>
        <v/>
      </c>
      <c r="C868" t="str">
        <f t="shared" si="41"/>
        <v/>
      </c>
    </row>
    <row r="869" spans="1:3" x14ac:dyDescent="0.4">
      <c r="A869" t="str">
        <f t="shared" si="39"/>
        <v/>
      </c>
      <c r="B869" t="str">
        <f t="shared" si="40"/>
        <v/>
      </c>
      <c r="C869" t="str">
        <f t="shared" si="41"/>
        <v/>
      </c>
    </row>
    <row r="870" spans="1:3" x14ac:dyDescent="0.4">
      <c r="A870" t="str">
        <f t="shared" si="39"/>
        <v/>
      </c>
      <c r="B870" t="str">
        <f t="shared" si="40"/>
        <v/>
      </c>
      <c r="C870" t="str">
        <f t="shared" si="41"/>
        <v/>
      </c>
    </row>
    <row r="871" spans="1:3" x14ac:dyDescent="0.4">
      <c r="A871" t="str">
        <f t="shared" si="39"/>
        <v/>
      </c>
      <c r="B871" t="str">
        <f t="shared" si="40"/>
        <v/>
      </c>
      <c r="C871" t="str">
        <f t="shared" si="41"/>
        <v/>
      </c>
    </row>
    <row r="872" spans="1:3" x14ac:dyDescent="0.4">
      <c r="A872" t="str">
        <f t="shared" si="39"/>
        <v/>
      </c>
      <c r="B872" t="str">
        <f t="shared" si="40"/>
        <v/>
      </c>
      <c r="C872" t="str">
        <f t="shared" si="41"/>
        <v/>
      </c>
    </row>
    <row r="873" spans="1:3" x14ac:dyDescent="0.4">
      <c r="A873" t="str">
        <f t="shared" si="39"/>
        <v/>
      </c>
      <c r="B873" t="str">
        <f t="shared" si="40"/>
        <v/>
      </c>
      <c r="C873" t="str">
        <f t="shared" si="41"/>
        <v/>
      </c>
    </row>
    <row r="874" spans="1:3" x14ac:dyDescent="0.4">
      <c r="A874" t="str">
        <f t="shared" si="39"/>
        <v/>
      </c>
      <c r="B874" t="str">
        <f t="shared" si="40"/>
        <v/>
      </c>
      <c r="C874" t="str">
        <f t="shared" si="41"/>
        <v/>
      </c>
    </row>
    <row r="875" spans="1:3" x14ac:dyDescent="0.4">
      <c r="A875" t="str">
        <f t="shared" si="39"/>
        <v/>
      </c>
      <c r="B875" t="str">
        <f t="shared" si="40"/>
        <v/>
      </c>
      <c r="C875" t="str">
        <f t="shared" si="41"/>
        <v/>
      </c>
    </row>
    <row r="876" spans="1:3" x14ac:dyDescent="0.4">
      <c r="A876" t="str">
        <f t="shared" si="39"/>
        <v/>
      </c>
      <c r="B876" t="str">
        <f t="shared" si="40"/>
        <v/>
      </c>
      <c r="C876" t="str">
        <f t="shared" si="41"/>
        <v/>
      </c>
    </row>
    <row r="877" spans="1:3" x14ac:dyDescent="0.4">
      <c r="A877" t="str">
        <f t="shared" si="39"/>
        <v/>
      </c>
      <c r="B877" t="str">
        <f t="shared" si="40"/>
        <v/>
      </c>
      <c r="C877" t="str">
        <f t="shared" si="41"/>
        <v/>
      </c>
    </row>
    <row r="878" spans="1:3" x14ac:dyDescent="0.4">
      <c r="A878" t="str">
        <f t="shared" si="39"/>
        <v/>
      </c>
      <c r="B878" t="str">
        <f t="shared" si="40"/>
        <v/>
      </c>
      <c r="C878" t="str">
        <f t="shared" si="41"/>
        <v/>
      </c>
    </row>
    <row r="879" spans="1:3" x14ac:dyDescent="0.4">
      <c r="A879" t="str">
        <f t="shared" si="39"/>
        <v/>
      </c>
      <c r="B879" t="str">
        <f t="shared" si="40"/>
        <v/>
      </c>
      <c r="C879" t="str">
        <f t="shared" si="41"/>
        <v/>
      </c>
    </row>
    <row r="880" spans="1:3" x14ac:dyDescent="0.4">
      <c r="A880" t="str">
        <f t="shared" si="39"/>
        <v/>
      </c>
      <c r="B880" t="str">
        <f t="shared" si="40"/>
        <v/>
      </c>
      <c r="C880" t="str">
        <f t="shared" si="41"/>
        <v/>
      </c>
    </row>
    <row r="881" spans="1:3" x14ac:dyDescent="0.4">
      <c r="A881" t="str">
        <f t="shared" si="39"/>
        <v/>
      </c>
      <c r="B881" t="str">
        <f t="shared" si="40"/>
        <v/>
      </c>
      <c r="C881" t="str">
        <f t="shared" si="41"/>
        <v/>
      </c>
    </row>
    <row r="882" spans="1:3" x14ac:dyDescent="0.4">
      <c r="A882" t="str">
        <f t="shared" si="39"/>
        <v/>
      </c>
      <c r="B882" t="str">
        <f t="shared" si="40"/>
        <v/>
      </c>
      <c r="C882" t="str">
        <f t="shared" si="41"/>
        <v/>
      </c>
    </row>
    <row r="883" spans="1:3" x14ac:dyDescent="0.4">
      <c r="A883" t="str">
        <f t="shared" si="39"/>
        <v/>
      </c>
      <c r="B883" t="str">
        <f t="shared" si="40"/>
        <v/>
      </c>
      <c r="C883" t="str">
        <f t="shared" si="41"/>
        <v/>
      </c>
    </row>
    <row r="884" spans="1:3" x14ac:dyDescent="0.4">
      <c r="A884" t="str">
        <f t="shared" si="39"/>
        <v/>
      </c>
      <c r="B884" t="str">
        <f t="shared" si="40"/>
        <v/>
      </c>
      <c r="C884" t="str">
        <f t="shared" si="41"/>
        <v/>
      </c>
    </row>
    <row r="885" spans="1:3" x14ac:dyDescent="0.4">
      <c r="A885" t="str">
        <f t="shared" si="39"/>
        <v/>
      </c>
      <c r="B885" t="str">
        <f t="shared" si="40"/>
        <v/>
      </c>
      <c r="C885" t="str">
        <f t="shared" si="41"/>
        <v/>
      </c>
    </row>
    <row r="886" spans="1:3" x14ac:dyDescent="0.4">
      <c r="A886" t="str">
        <f t="shared" si="39"/>
        <v/>
      </c>
      <c r="B886" t="str">
        <f t="shared" si="40"/>
        <v/>
      </c>
      <c r="C886" t="str">
        <f t="shared" si="41"/>
        <v/>
      </c>
    </row>
    <row r="887" spans="1:3" x14ac:dyDescent="0.4">
      <c r="A887" t="str">
        <f t="shared" si="39"/>
        <v/>
      </c>
      <c r="B887" t="str">
        <f t="shared" si="40"/>
        <v/>
      </c>
      <c r="C887" t="str">
        <f t="shared" si="41"/>
        <v/>
      </c>
    </row>
    <row r="888" spans="1:3" x14ac:dyDescent="0.4">
      <c r="A888" t="str">
        <f t="shared" si="39"/>
        <v/>
      </c>
      <c r="B888" t="str">
        <f t="shared" si="40"/>
        <v/>
      </c>
      <c r="C888" t="str">
        <f t="shared" si="41"/>
        <v/>
      </c>
    </row>
    <row r="889" spans="1:3" x14ac:dyDescent="0.4">
      <c r="A889" t="str">
        <f t="shared" si="39"/>
        <v/>
      </c>
      <c r="B889" t="str">
        <f t="shared" si="40"/>
        <v/>
      </c>
      <c r="C889" t="str">
        <f t="shared" si="41"/>
        <v/>
      </c>
    </row>
    <row r="890" spans="1:3" x14ac:dyDescent="0.4">
      <c r="A890" t="str">
        <f t="shared" si="39"/>
        <v/>
      </c>
      <c r="B890" t="str">
        <f t="shared" si="40"/>
        <v/>
      </c>
      <c r="C890" t="str">
        <f t="shared" si="41"/>
        <v/>
      </c>
    </row>
    <row r="891" spans="1:3" x14ac:dyDescent="0.4">
      <c r="A891" t="str">
        <f t="shared" si="39"/>
        <v/>
      </c>
      <c r="B891" t="str">
        <f t="shared" si="40"/>
        <v/>
      </c>
      <c r="C891" t="str">
        <f t="shared" si="41"/>
        <v/>
      </c>
    </row>
    <row r="892" spans="1:3" x14ac:dyDescent="0.4">
      <c r="A892" t="str">
        <f t="shared" si="39"/>
        <v/>
      </c>
      <c r="B892" t="str">
        <f t="shared" si="40"/>
        <v/>
      </c>
      <c r="C892" t="str">
        <f t="shared" si="41"/>
        <v/>
      </c>
    </row>
    <row r="893" spans="1:3" x14ac:dyDescent="0.4">
      <c r="A893" t="str">
        <f t="shared" si="39"/>
        <v/>
      </c>
      <c r="B893" t="str">
        <f t="shared" si="40"/>
        <v/>
      </c>
      <c r="C893" t="str">
        <f t="shared" si="41"/>
        <v/>
      </c>
    </row>
    <row r="894" spans="1:3" x14ac:dyDescent="0.4">
      <c r="A894" t="str">
        <f t="shared" si="39"/>
        <v/>
      </c>
      <c r="B894" t="str">
        <f t="shared" si="40"/>
        <v/>
      </c>
      <c r="C894" t="str">
        <f t="shared" si="41"/>
        <v/>
      </c>
    </row>
    <row r="895" spans="1:3" x14ac:dyDescent="0.4">
      <c r="A895" t="str">
        <f t="shared" si="39"/>
        <v/>
      </c>
      <c r="B895" t="str">
        <f t="shared" si="40"/>
        <v/>
      </c>
      <c r="C895" t="str">
        <f t="shared" si="41"/>
        <v/>
      </c>
    </row>
    <row r="896" spans="1:3" x14ac:dyDescent="0.4">
      <c r="A896" t="str">
        <f t="shared" si="39"/>
        <v/>
      </c>
      <c r="B896" t="str">
        <f t="shared" si="40"/>
        <v/>
      </c>
      <c r="C896" t="str">
        <f t="shared" si="41"/>
        <v/>
      </c>
    </row>
    <row r="897" spans="1:3" x14ac:dyDescent="0.4">
      <c r="A897" t="str">
        <f t="shared" si="39"/>
        <v/>
      </c>
      <c r="B897" t="str">
        <f t="shared" si="40"/>
        <v/>
      </c>
      <c r="C897" t="str">
        <f t="shared" si="41"/>
        <v/>
      </c>
    </row>
    <row r="898" spans="1:3" x14ac:dyDescent="0.4">
      <c r="A898" t="str">
        <f t="shared" si="39"/>
        <v/>
      </c>
      <c r="B898" t="str">
        <f t="shared" si="40"/>
        <v/>
      </c>
      <c r="C898" t="str">
        <f t="shared" si="41"/>
        <v/>
      </c>
    </row>
    <row r="899" spans="1:3" x14ac:dyDescent="0.4">
      <c r="A899" t="str">
        <f t="shared" ref="A899:A962" si="42">IF($F899="","",$F899&amp;"|"&amp;$H899)</f>
        <v/>
      </c>
      <c r="B899" t="str">
        <f t="shared" ref="B899:B962" si="43">IF(F899&lt;&gt;"",F899,"")</f>
        <v/>
      </c>
      <c r="C899" t="str">
        <f t="shared" ref="C899:C962" si="44">IF(H899&lt;&gt;"", H899, "")</f>
        <v/>
      </c>
    </row>
    <row r="900" spans="1:3" x14ac:dyDescent="0.4">
      <c r="A900" t="str">
        <f t="shared" si="42"/>
        <v/>
      </c>
      <c r="B900" t="str">
        <f t="shared" si="43"/>
        <v/>
      </c>
      <c r="C900" t="str">
        <f t="shared" si="44"/>
        <v/>
      </c>
    </row>
    <row r="901" spans="1:3" x14ac:dyDescent="0.4">
      <c r="A901" t="str">
        <f t="shared" si="42"/>
        <v/>
      </c>
      <c r="B901" t="str">
        <f t="shared" si="43"/>
        <v/>
      </c>
      <c r="C901" t="str">
        <f t="shared" si="44"/>
        <v/>
      </c>
    </row>
    <row r="902" spans="1:3" x14ac:dyDescent="0.4">
      <c r="A902" t="str">
        <f t="shared" si="42"/>
        <v/>
      </c>
      <c r="B902" t="str">
        <f t="shared" si="43"/>
        <v/>
      </c>
      <c r="C902" t="str">
        <f t="shared" si="44"/>
        <v/>
      </c>
    </row>
    <row r="903" spans="1:3" x14ac:dyDescent="0.4">
      <c r="A903" t="str">
        <f t="shared" si="42"/>
        <v/>
      </c>
      <c r="B903" t="str">
        <f t="shared" si="43"/>
        <v/>
      </c>
      <c r="C903" t="str">
        <f t="shared" si="44"/>
        <v/>
      </c>
    </row>
    <row r="904" spans="1:3" x14ac:dyDescent="0.4">
      <c r="A904" t="str">
        <f t="shared" si="42"/>
        <v/>
      </c>
      <c r="B904" t="str">
        <f t="shared" si="43"/>
        <v/>
      </c>
      <c r="C904" t="str">
        <f t="shared" si="44"/>
        <v/>
      </c>
    </row>
    <row r="905" spans="1:3" x14ac:dyDescent="0.4">
      <c r="A905" t="str">
        <f t="shared" si="42"/>
        <v/>
      </c>
      <c r="B905" t="str">
        <f t="shared" si="43"/>
        <v/>
      </c>
      <c r="C905" t="str">
        <f t="shared" si="44"/>
        <v/>
      </c>
    </row>
    <row r="906" spans="1:3" x14ac:dyDescent="0.4">
      <c r="A906" t="str">
        <f t="shared" si="42"/>
        <v/>
      </c>
      <c r="B906" t="str">
        <f t="shared" si="43"/>
        <v/>
      </c>
      <c r="C906" t="str">
        <f t="shared" si="44"/>
        <v/>
      </c>
    </row>
    <row r="907" spans="1:3" x14ac:dyDescent="0.4">
      <c r="A907" t="str">
        <f t="shared" si="42"/>
        <v/>
      </c>
      <c r="B907" t="str">
        <f t="shared" si="43"/>
        <v/>
      </c>
      <c r="C907" t="str">
        <f t="shared" si="44"/>
        <v/>
      </c>
    </row>
    <row r="908" spans="1:3" x14ac:dyDescent="0.4">
      <c r="A908" t="str">
        <f t="shared" si="42"/>
        <v/>
      </c>
      <c r="B908" t="str">
        <f t="shared" si="43"/>
        <v/>
      </c>
      <c r="C908" t="str">
        <f t="shared" si="44"/>
        <v/>
      </c>
    </row>
    <row r="909" spans="1:3" x14ac:dyDescent="0.4">
      <c r="A909" t="str">
        <f t="shared" si="42"/>
        <v/>
      </c>
      <c r="B909" t="str">
        <f t="shared" si="43"/>
        <v/>
      </c>
      <c r="C909" t="str">
        <f t="shared" si="44"/>
        <v/>
      </c>
    </row>
    <row r="910" spans="1:3" x14ac:dyDescent="0.4">
      <c r="A910" t="str">
        <f t="shared" si="42"/>
        <v/>
      </c>
      <c r="B910" t="str">
        <f t="shared" si="43"/>
        <v/>
      </c>
      <c r="C910" t="str">
        <f t="shared" si="44"/>
        <v/>
      </c>
    </row>
    <row r="911" spans="1:3" x14ac:dyDescent="0.4">
      <c r="A911" t="str">
        <f t="shared" si="42"/>
        <v/>
      </c>
      <c r="B911" t="str">
        <f t="shared" si="43"/>
        <v/>
      </c>
      <c r="C911" t="str">
        <f t="shared" si="44"/>
        <v/>
      </c>
    </row>
    <row r="912" spans="1:3" x14ac:dyDescent="0.4">
      <c r="A912" t="str">
        <f t="shared" si="42"/>
        <v/>
      </c>
      <c r="B912" t="str">
        <f t="shared" si="43"/>
        <v/>
      </c>
      <c r="C912" t="str">
        <f t="shared" si="44"/>
        <v/>
      </c>
    </row>
    <row r="913" spans="1:3" x14ac:dyDescent="0.4">
      <c r="A913" t="str">
        <f t="shared" si="42"/>
        <v/>
      </c>
      <c r="B913" t="str">
        <f t="shared" si="43"/>
        <v/>
      </c>
      <c r="C913" t="str">
        <f t="shared" si="44"/>
        <v/>
      </c>
    </row>
    <row r="914" spans="1:3" x14ac:dyDescent="0.4">
      <c r="A914" t="str">
        <f t="shared" si="42"/>
        <v/>
      </c>
      <c r="B914" t="str">
        <f t="shared" si="43"/>
        <v/>
      </c>
      <c r="C914" t="str">
        <f t="shared" si="44"/>
        <v/>
      </c>
    </row>
    <row r="915" spans="1:3" x14ac:dyDescent="0.4">
      <c r="A915" t="str">
        <f t="shared" si="42"/>
        <v/>
      </c>
      <c r="B915" t="str">
        <f t="shared" si="43"/>
        <v/>
      </c>
      <c r="C915" t="str">
        <f t="shared" si="44"/>
        <v/>
      </c>
    </row>
    <row r="916" spans="1:3" x14ac:dyDescent="0.4">
      <c r="A916" t="str">
        <f t="shared" si="42"/>
        <v/>
      </c>
      <c r="B916" t="str">
        <f t="shared" si="43"/>
        <v/>
      </c>
      <c r="C916" t="str">
        <f t="shared" si="44"/>
        <v/>
      </c>
    </row>
    <row r="917" spans="1:3" x14ac:dyDescent="0.4">
      <c r="A917" t="str">
        <f t="shared" si="42"/>
        <v/>
      </c>
      <c r="B917" t="str">
        <f t="shared" si="43"/>
        <v/>
      </c>
      <c r="C917" t="str">
        <f t="shared" si="44"/>
        <v/>
      </c>
    </row>
    <row r="918" spans="1:3" x14ac:dyDescent="0.4">
      <c r="A918" t="str">
        <f t="shared" si="42"/>
        <v/>
      </c>
      <c r="B918" t="str">
        <f t="shared" si="43"/>
        <v/>
      </c>
      <c r="C918" t="str">
        <f t="shared" si="44"/>
        <v/>
      </c>
    </row>
    <row r="919" spans="1:3" x14ac:dyDescent="0.4">
      <c r="A919" t="str">
        <f t="shared" si="42"/>
        <v/>
      </c>
      <c r="B919" t="str">
        <f t="shared" si="43"/>
        <v/>
      </c>
      <c r="C919" t="str">
        <f t="shared" si="44"/>
        <v/>
      </c>
    </row>
    <row r="920" spans="1:3" x14ac:dyDescent="0.4">
      <c r="A920" t="str">
        <f t="shared" si="42"/>
        <v/>
      </c>
      <c r="B920" t="str">
        <f t="shared" si="43"/>
        <v/>
      </c>
      <c r="C920" t="str">
        <f t="shared" si="44"/>
        <v/>
      </c>
    </row>
    <row r="921" spans="1:3" x14ac:dyDescent="0.4">
      <c r="A921" t="str">
        <f t="shared" si="42"/>
        <v/>
      </c>
      <c r="B921" t="str">
        <f t="shared" si="43"/>
        <v/>
      </c>
      <c r="C921" t="str">
        <f t="shared" si="44"/>
        <v/>
      </c>
    </row>
    <row r="922" spans="1:3" x14ac:dyDescent="0.4">
      <c r="A922" t="str">
        <f t="shared" si="42"/>
        <v/>
      </c>
      <c r="B922" t="str">
        <f t="shared" si="43"/>
        <v/>
      </c>
      <c r="C922" t="str">
        <f t="shared" si="44"/>
        <v/>
      </c>
    </row>
    <row r="923" spans="1:3" x14ac:dyDescent="0.4">
      <c r="A923" t="str">
        <f t="shared" si="42"/>
        <v/>
      </c>
      <c r="B923" t="str">
        <f t="shared" si="43"/>
        <v/>
      </c>
      <c r="C923" t="str">
        <f t="shared" si="44"/>
        <v/>
      </c>
    </row>
    <row r="924" spans="1:3" x14ac:dyDescent="0.4">
      <c r="A924" t="str">
        <f t="shared" si="42"/>
        <v/>
      </c>
      <c r="B924" t="str">
        <f t="shared" si="43"/>
        <v/>
      </c>
      <c r="C924" t="str">
        <f t="shared" si="44"/>
        <v/>
      </c>
    </row>
    <row r="925" spans="1:3" x14ac:dyDescent="0.4">
      <c r="A925" t="str">
        <f t="shared" si="42"/>
        <v/>
      </c>
      <c r="B925" t="str">
        <f t="shared" si="43"/>
        <v/>
      </c>
      <c r="C925" t="str">
        <f t="shared" si="44"/>
        <v/>
      </c>
    </row>
    <row r="926" spans="1:3" x14ac:dyDescent="0.4">
      <c r="A926" t="str">
        <f t="shared" si="42"/>
        <v/>
      </c>
      <c r="B926" t="str">
        <f t="shared" si="43"/>
        <v/>
      </c>
      <c r="C926" t="str">
        <f t="shared" si="44"/>
        <v/>
      </c>
    </row>
    <row r="927" spans="1:3" x14ac:dyDescent="0.4">
      <c r="A927" t="str">
        <f t="shared" si="42"/>
        <v/>
      </c>
      <c r="B927" t="str">
        <f t="shared" si="43"/>
        <v/>
      </c>
      <c r="C927" t="str">
        <f t="shared" si="44"/>
        <v/>
      </c>
    </row>
    <row r="928" spans="1:3" x14ac:dyDescent="0.4">
      <c r="A928" t="str">
        <f t="shared" si="42"/>
        <v/>
      </c>
      <c r="B928" t="str">
        <f t="shared" si="43"/>
        <v/>
      </c>
      <c r="C928" t="str">
        <f t="shared" si="44"/>
        <v/>
      </c>
    </row>
    <row r="929" spans="1:3" x14ac:dyDescent="0.4">
      <c r="A929" t="str">
        <f t="shared" si="42"/>
        <v/>
      </c>
      <c r="B929" t="str">
        <f t="shared" si="43"/>
        <v/>
      </c>
      <c r="C929" t="str">
        <f t="shared" si="44"/>
        <v/>
      </c>
    </row>
    <row r="930" spans="1:3" x14ac:dyDescent="0.4">
      <c r="A930" t="str">
        <f t="shared" si="42"/>
        <v/>
      </c>
      <c r="B930" t="str">
        <f t="shared" si="43"/>
        <v/>
      </c>
      <c r="C930" t="str">
        <f t="shared" si="44"/>
        <v/>
      </c>
    </row>
    <row r="931" spans="1:3" x14ac:dyDescent="0.4">
      <c r="A931" t="str">
        <f t="shared" si="42"/>
        <v/>
      </c>
      <c r="B931" t="str">
        <f t="shared" si="43"/>
        <v/>
      </c>
      <c r="C931" t="str">
        <f t="shared" si="44"/>
        <v/>
      </c>
    </row>
    <row r="932" spans="1:3" x14ac:dyDescent="0.4">
      <c r="A932" t="str">
        <f t="shared" si="42"/>
        <v/>
      </c>
      <c r="B932" t="str">
        <f t="shared" si="43"/>
        <v/>
      </c>
      <c r="C932" t="str">
        <f t="shared" si="44"/>
        <v/>
      </c>
    </row>
    <row r="933" spans="1:3" x14ac:dyDescent="0.4">
      <c r="A933" t="str">
        <f t="shared" si="42"/>
        <v/>
      </c>
      <c r="B933" t="str">
        <f t="shared" si="43"/>
        <v/>
      </c>
      <c r="C933" t="str">
        <f t="shared" si="44"/>
        <v/>
      </c>
    </row>
    <row r="934" spans="1:3" x14ac:dyDescent="0.4">
      <c r="A934" t="str">
        <f t="shared" si="42"/>
        <v/>
      </c>
      <c r="B934" t="str">
        <f t="shared" si="43"/>
        <v/>
      </c>
      <c r="C934" t="str">
        <f t="shared" si="44"/>
        <v/>
      </c>
    </row>
    <row r="935" spans="1:3" x14ac:dyDescent="0.4">
      <c r="A935" t="str">
        <f t="shared" si="42"/>
        <v/>
      </c>
      <c r="B935" t="str">
        <f t="shared" si="43"/>
        <v/>
      </c>
      <c r="C935" t="str">
        <f t="shared" si="44"/>
        <v/>
      </c>
    </row>
    <row r="936" spans="1:3" x14ac:dyDescent="0.4">
      <c r="A936" t="str">
        <f t="shared" si="42"/>
        <v/>
      </c>
      <c r="B936" t="str">
        <f t="shared" si="43"/>
        <v/>
      </c>
      <c r="C936" t="str">
        <f t="shared" si="44"/>
        <v/>
      </c>
    </row>
    <row r="937" spans="1:3" x14ac:dyDescent="0.4">
      <c r="A937" t="str">
        <f t="shared" si="42"/>
        <v/>
      </c>
      <c r="B937" t="str">
        <f t="shared" si="43"/>
        <v/>
      </c>
      <c r="C937" t="str">
        <f t="shared" si="44"/>
        <v/>
      </c>
    </row>
    <row r="938" spans="1:3" x14ac:dyDescent="0.4">
      <c r="A938" t="str">
        <f t="shared" si="42"/>
        <v/>
      </c>
      <c r="B938" t="str">
        <f t="shared" si="43"/>
        <v/>
      </c>
      <c r="C938" t="str">
        <f t="shared" si="44"/>
        <v/>
      </c>
    </row>
    <row r="939" spans="1:3" x14ac:dyDescent="0.4">
      <c r="A939" t="str">
        <f t="shared" si="42"/>
        <v/>
      </c>
      <c r="B939" t="str">
        <f t="shared" si="43"/>
        <v/>
      </c>
      <c r="C939" t="str">
        <f t="shared" si="44"/>
        <v/>
      </c>
    </row>
    <row r="940" spans="1:3" x14ac:dyDescent="0.4">
      <c r="A940" t="str">
        <f t="shared" si="42"/>
        <v/>
      </c>
      <c r="B940" t="str">
        <f t="shared" si="43"/>
        <v/>
      </c>
      <c r="C940" t="str">
        <f t="shared" si="44"/>
        <v/>
      </c>
    </row>
    <row r="941" spans="1:3" x14ac:dyDescent="0.4">
      <c r="A941" t="str">
        <f t="shared" si="42"/>
        <v/>
      </c>
      <c r="B941" t="str">
        <f t="shared" si="43"/>
        <v/>
      </c>
      <c r="C941" t="str">
        <f t="shared" si="44"/>
        <v/>
      </c>
    </row>
    <row r="942" spans="1:3" x14ac:dyDescent="0.4">
      <c r="A942" t="str">
        <f t="shared" si="42"/>
        <v/>
      </c>
      <c r="B942" t="str">
        <f t="shared" si="43"/>
        <v/>
      </c>
      <c r="C942" t="str">
        <f t="shared" si="44"/>
        <v/>
      </c>
    </row>
    <row r="943" spans="1:3" x14ac:dyDescent="0.4">
      <c r="A943" t="str">
        <f t="shared" si="42"/>
        <v/>
      </c>
      <c r="B943" t="str">
        <f t="shared" si="43"/>
        <v/>
      </c>
      <c r="C943" t="str">
        <f t="shared" si="44"/>
        <v/>
      </c>
    </row>
    <row r="944" spans="1:3" x14ac:dyDescent="0.4">
      <c r="A944" t="str">
        <f t="shared" si="42"/>
        <v/>
      </c>
      <c r="B944" t="str">
        <f t="shared" si="43"/>
        <v/>
      </c>
      <c r="C944" t="str">
        <f t="shared" si="44"/>
        <v/>
      </c>
    </row>
    <row r="945" spans="1:3" x14ac:dyDescent="0.4">
      <c r="A945" t="str">
        <f t="shared" si="42"/>
        <v/>
      </c>
      <c r="B945" t="str">
        <f t="shared" si="43"/>
        <v/>
      </c>
      <c r="C945" t="str">
        <f t="shared" si="44"/>
        <v/>
      </c>
    </row>
    <row r="946" spans="1:3" x14ac:dyDescent="0.4">
      <c r="A946" t="str">
        <f t="shared" si="42"/>
        <v/>
      </c>
      <c r="B946" t="str">
        <f t="shared" si="43"/>
        <v/>
      </c>
      <c r="C946" t="str">
        <f t="shared" si="44"/>
        <v/>
      </c>
    </row>
    <row r="947" spans="1:3" x14ac:dyDescent="0.4">
      <c r="A947" t="str">
        <f t="shared" si="42"/>
        <v/>
      </c>
      <c r="B947" t="str">
        <f t="shared" si="43"/>
        <v/>
      </c>
      <c r="C947" t="str">
        <f t="shared" si="44"/>
        <v/>
      </c>
    </row>
    <row r="948" spans="1:3" x14ac:dyDescent="0.4">
      <c r="A948" t="str">
        <f t="shared" si="42"/>
        <v/>
      </c>
      <c r="B948" t="str">
        <f t="shared" si="43"/>
        <v/>
      </c>
      <c r="C948" t="str">
        <f t="shared" si="44"/>
        <v/>
      </c>
    </row>
    <row r="949" spans="1:3" x14ac:dyDescent="0.4">
      <c r="A949" t="str">
        <f t="shared" si="42"/>
        <v/>
      </c>
      <c r="B949" t="str">
        <f t="shared" si="43"/>
        <v/>
      </c>
      <c r="C949" t="str">
        <f t="shared" si="44"/>
        <v/>
      </c>
    </row>
    <row r="950" spans="1:3" x14ac:dyDescent="0.4">
      <c r="A950" t="str">
        <f t="shared" si="42"/>
        <v/>
      </c>
      <c r="B950" t="str">
        <f t="shared" si="43"/>
        <v/>
      </c>
      <c r="C950" t="str">
        <f t="shared" si="44"/>
        <v/>
      </c>
    </row>
    <row r="951" spans="1:3" x14ac:dyDescent="0.4">
      <c r="A951" t="str">
        <f t="shared" si="42"/>
        <v/>
      </c>
      <c r="B951" t="str">
        <f t="shared" si="43"/>
        <v/>
      </c>
      <c r="C951" t="str">
        <f t="shared" si="44"/>
        <v/>
      </c>
    </row>
    <row r="952" spans="1:3" x14ac:dyDescent="0.4">
      <c r="A952" t="str">
        <f t="shared" si="42"/>
        <v/>
      </c>
      <c r="B952" t="str">
        <f t="shared" si="43"/>
        <v/>
      </c>
      <c r="C952" t="str">
        <f t="shared" si="44"/>
        <v/>
      </c>
    </row>
    <row r="953" spans="1:3" x14ac:dyDescent="0.4">
      <c r="A953" t="str">
        <f t="shared" si="42"/>
        <v/>
      </c>
      <c r="B953" t="str">
        <f t="shared" si="43"/>
        <v/>
      </c>
      <c r="C953" t="str">
        <f t="shared" si="44"/>
        <v/>
      </c>
    </row>
    <row r="954" spans="1:3" x14ac:dyDescent="0.4">
      <c r="A954" t="str">
        <f t="shared" si="42"/>
        <v/>
      </c>
      <c r="B954" t="str">
        <f t="shared" si="43"/>
        <v/>
      </c>
      <c r="C954" t="str">
        <f t="shared" si="44"/>
        <v/>
      </c>
    </row>
    <row r="955" spans="1:3" x14ac:dyDescent="0.4">
      <c r="A955" t="str">
        <f t="shared" si="42"/>
        <v/>
      </c>
      <c r="B955" t="str">
        <f t="shared" si="43"/>
        <v/>
      </c>
      <c r="C955" t="str">
        <f t="shared" si="44"/>
        <v/>
      </c>
    </row>
    <row r="956" spans="1:3" x14ac:dyDescent="0.4">
      <c r="A956" t="str">
        <f t="shared" si="42"/>
        <v/>
      </c>
      <c r="B956" t="str">
        <f t="shared" si="43"/>
        <v/>
      </c>
      <c r="C956" t="str">
        <f t="shared" si="44"/>
        <v/>
      </c>
    </row>
    <row r="957" spans="1:3" x14ac:dyDescent="0.4">
      <c r="A957" t="str">
        <f t="shared" si="42"/>
        <v/>
      </c>
      <c r="B957" t="str">
        <f t="shared" si="43"/>
        <v/>
      </c>
      <c r="C957" t="str">
        <f t="shared" si="44"/>
        <v/>
      </c>
    </row>
    <row r="958" spans="1:3" x14ac:dyDescent="0.4">
      <c r="A958" t="str">
        <f t="shared" si="42"/>
        <v/>
      </c>
      <c r="B958" t="str">
        <f t="shared" si="43"/>
        <v/>
      </c>
      <c r="C958" t="str">
        <f t="shared" si="44"/>
        <v/>
      </c>
    </row>
    <row r="959" spans="1:3" x14ac:dyDescent="0.4">
      <c r="A959" t="str">
        <f t="shared" si="42"/>
        <v/>
      </c>
      <c r="B959" t="str">
        <f t="shared" si="43"/>
        <v/>
      </c>
      <c r="C959" t="str">
        <f t="shared" si="44"/>
        <v/>
      </c>
    </row>
    <row r="960" spans="1:3" x14ac:dyDescent="0.4">
      <c r="A960" t="str">
        <f t="shared" si="42"/>
        <v/>
      </c>
      <c r="B960" t="str">
        <f t="shared" si="43"/>
        <v/>
      </c>
      <c r="C960" t="str">
        <f t="shared" si="44"/>
        <v/>
      </c>
    </row>
    <row r="961" spans="1:3" x14ac:dyDescent="0.4">
      <c r="A961" t="str">
        <f t="shared" si="42"/>
        <v/>
      </c>
      <c r="B961" t="str">
        <f t="shared" si="43"/>
        <v/>
      </c>
      <c r="C961" t="str">
        <f t="shared" si="44"/>
        <v/>
      </c>
    </row>
    <row r="962" spans="1:3" x14ac:dyDescent="0.4">
      <c r="A962" t="str">
        <f t="shared" si="42"/>
        <v/>
      </c>
      <c r="B962" t="str">
        <f t="shared" si="43"/>
        <v/>
      </c>
      <c r="C962" t="str">
        <f t="shared" si="44"/>
        <v/>
      </c>
    </row>
    <row r="963" spans="1:3" x14ac:dyDescent="0.4">
      <c r="A963" t="str">
        <f t="shared" ref="A963:A1026" si="45">IF($F963="","",$F963&amp;"|"&amp;$H963)</f>
        <v/>
      </c>
      <c r="B963" t="str">
        <f t="shared" ref="B963:B1026" si="46">IF(F963&lt;&gt;"",F963,"")</f>
        <v/>
      </c>
      <c r="C963" t="str">
        <f t="shared" ref="C963:C1026" si="47">IF(H963&lt;&gt;"", H963, "")</f>
        <v/>
      </c>
    </row>
    <row r="964" spans="1:3" x14ac:dyDescent="0.4">
      <c r="A964" t="str">
        <f t="shared" si="45"/>
        <v/>
      </c>
      <c r="B964" t="str">
        <f t="shared" si="46"/>
        <v/>
      </c>
      <c r="C964" t="str">
        <f t="shared" si="47"/>
        <v/>
      </c>
    </row>
    <row r="965" spans="1:3" x14ac:dyDescent="0.4">
      <c r="A965" t="str">
        <f t="shared" si="45"/>
        <v/>
      </c>
      <c r="B965" t="str">
        <f t="shared" si="46"/>
        <v/>
      </c>
      <c r="C965" t="str">
        <f t="shared" si="47"/>
        <v/>
      </c>
    </row>
    <row r="966" spans="1:3" x14ac:dyDescent="0.4">
      <c r="A966" t="str">
        <f t="shared" si="45"/>
        <v/>
      </c>
      <c r="B966" t="str">
        <f t="shared" si="46"/>
        <v/>
      </c>
      <c r="C966" t="str">
        <f t="shared" si="47"/>
        <v/>
      </c>
    </row>
    <row r="967" spans="1:3" x14ac:dyDescent="0.4">
      <c r="A967" t="str">
        <f t="shared" si="45"/>
        <v/>
      </c>
      <c r="B967" t="str">
        <f t="shared" si="46"/>
        <v/>
      </c>
      <c r="C967" t="str">
        <f t="shared" si="47"/>
        <v/>
      </c>
    </row>
    <row r="968" spans="1:3" x14ac:dyDescent="0.4">
      <c r="A968" t="str">
        <f t="shared" si="45"/>
        <v/>
      </c>
      <c r="B968" t="str">
        <f t="shared" si="46"/>
        <v/>
      </c>
      <c r="C968" t="str">
        <f t="shared" si="47"/>
        <v/>
      </c>
    </row>
    <row r="969" spans="1:3" x14ac:dyDescent="0.4">
      <c r="A969" t="str">
        <f t="shared" si="45"/>
        <v/>
      </c>
      <c r="B969" t="str">
        <f t="shared" si="46"/>
        <v/>
      </c>
      <c r="C969" t="str">
        <f t="shared" si="47"/>
        <v/>
      </c>
    </row>
    <row r="970" spans="1:3" x14ac:dyDescent="0.4">
      <c r="A970" t="str">
        <f t="shared" si="45"/>
        <v/>
      </c>
      <c r="B970" t="str">
        <f t="shared" si="46"/>
        <v/>
      </c>
      <c r="C970" t="str">
        <f t="shared" si="47"/>
        <v/>
      </c>
    </row>
    <row r="971" spans="1:3" x14ac:dyDescent="0.4">
      <c r="A971" t="str">
        <f t="shared" si="45"/>
        <v/>
      </c>
      <c r="B971" t="str">
        <f t="shared" si="46"/>
        <v/>
      </c>
      <c r="C971" t="str">
        <f t="shared" si="47"/>
        <v/>
      </c>
    </row>
    <row r="972" spans="1:3" x14ac:dyDescent="0.4">
      <c r="A972" t="str">
        <f t="shared" si="45"/>
        <v/>
      </c>
      <c r="B972" t="str">
        <f t="shared" si="46"/>
        <v/>
      </c>
      <c r="C972" t="str">
        <f t="shared" si="47"/>
        <v/>
      </c>
    </row>
    <row r="973" spans="1:3" x14ac:dyDescent="0.4">
      <c r="A973" t="str">
        <f t="shared" si="45"/>
        <v/>
      </c>
      <c r="B973" t="str">
        <f t="shared" si="46"/>
        <v/>
      </c>
      <c r="C973" t="str">
        <f t="shared" si="47"/>
        <v/>
      </c>
    </row>
    <row r="974" spans="1:3" x14ac:dyDescent="0.4">
      <c r="A974" t="str">
        <f t="shared" si="45"/>
        <v/>
      </c>
      <c r="B974" t="str">
        <f t="shared" si="46"/>
        <v/>
      </c>
      <c r="C974" t="str">
        <f t="shared" si="47"/>
        <v/>
      </c>
    </row>
    <row r="975" spans="1:3" x14ac:dyDescent="0.4">
      <c r="A975" t="str">
        <f t="shared" si="45"/>
        <v/>
      </c>
      <c r="B975" t="str">
        <f t="shared" si="46"/>
        <v/>
      </c>
      <c r="C975" t="str">
        <f t="shared" si="47"/>
        <v/>
      </c>
    </row>
    <row r="976" spans="1:3" x14ac:dyDescent="0.4">
      <c r="A976" t="str">
        <f t="shared" si="45"/>
        <v/>
      </c>
      <c r="B976" t="str">
        <f t="shared" si="46"/>
        <v/>
      </c>
      <c r="C976" t="str">
        <f t="shared" si="47"/>
        <v/>
      </c>
    </row>
    <row r="977" spans="1:3" x14ac:dyDescent="0.4">
      <c r="A977" t="str">
        <f t="shared" si="45"/>
        <v/>
      </c>
      <c r="B977" t="str">
        <f t="shared" si="46"/>
        <v/>
      </c>
      <c r="C977" t="str">
        <f t="shared" si="47"/>
        <v/>
      </c>
    </row>
    <row r="978" spans="1:3" x14ac:dyDescent="0.4">
      <c r="A978" t="str">
        <f t="shared" si="45"/>
        <v/>
      </c>
      <c r="B978" t="str">
        <f t="shared" si="46"/>
        <v/>
      </c>
      <c r="C978" t="str">
        <f t="shared" si="47"/>
        <v/>
      </c>
    </row>
    <row r="979" spans="1:3" x14ac:dyDescent="0.4">
      <c r="A979" t="str">
        <f t="shared" si="45"/>
        <v/>
      </c>
      <c r="B979" t="str">
        <f t="shared" si="46"/>
        <v/>
      </c>
      <c r="C979" t="str">
        <f t="shared" si="47"/>
        <v/>
      </c>
    </row>
    <row r="980" spans="1:3" x14ac:dyDescent="0.4">
      <c r="A980" t="str">
        <f t="shared" si="45"/>
        <v/>
      </c>
      <c r="B980" t="str">
        <f t="shared" si="46"/>
        <v/>
      </c>
      <c r="C980" t="str">
        <f t="shared" si="47"/>
        <v/>
      </c>
    </row>
    <row r="981" spans="1:3" x14ac:dyDescent="0.4">
      <c r="A981" t="str">
        <f t="shared" si="45"/>
        <v/>
      </c>
      <c r="B981" t="str">
        <f t="shared" si="46"/>
        <v/>
      </c>
      <c r="C981" t="str">
        <f t="shared" si="47"/>
        <v/>
      </c>
    </row>
    <row r="982" spans="1:3" x14ac:dyDescent="0.4">
      <c r="A982" t="str">
        <f t="shared" si="45"/>
        <v/>
      </c>
      <c r="B982" t="str">
        <f t="shared" si="46"/>
        <v/>
      </c>
      <c r="C982" t="str">
        <f t="shared" si="47"/>
        <v/>
      </c>
    </row>
    <row r="983" spans="1:3" x14ac:dyDescent="0.4">
      <c r="A983" t="str">
        <f t="shared" si="45"/>
        <v/>
      </c>
      <c r="B983" t="str">
        <f t="shared" si="46"/>
        <v/>
      </c>
      <c r="C983" t="str">
        <f t="shared" si="47"/>
        <v/>
      </c>
    </row>
    <row r="984" spans="1:3" x14ac:dyDescent="0.4">
      <c r="A984" t="str">
        <f t="shared" si="45"/>
        <v/>
      </c>
      <c r="B984" t="str">
        <f t="shared" si="46"/>
        <v/>
      </c>
      <c r="C984" t="str">
        <f t="shared" si="47"/>
        <v/>
      </c>
    </row>
    <row r="985" spans="1:3" x14ac:dyDescent="0.4">
      <c r="A985" t="str">
        <f t="shared" si="45"/>
        <v/>
      </c>
      <c r="B985" t="str">
        <f t="shared" si="46"/>
        <v/>
      </c>
      <c r="C985" t="str">
        <f t="shared" si="47"/>
        <v/>
      </c>
    </row>
    <row r="986" spans="1:3" x14ac:dyDescent="0.4">
      <c r="A986" t="str">
        <f t="shared" si="45"/>
        <v/>
      </c>
      <c r="B986" t="str">
        <f t="shared" si="46"/>
        <v/>
      </c>
      <c r="C986" t="str">
        <f t="shared" si="47"/>
        <v/>
      </c>
    </row>
    <row r="987" spans="1:3" x14ac:dyDescent="0.4">
      <c r="A987" t="str">
        <f t="shared" si="45"/>
        <v/>
      </c>
      <c r="B987" t="str">
        <f t="shared" si="46"/>
        <v/>
      </c>
      <c r="C987" t="str">
        <f t="shared" si="47"/>
        <v/>
      </c>
    </row>
    <row r="988" spans="1:3" x14ac:dyDescent="0.4">
      <c r="A988" t="str">
        <f t="shared" si="45"/>
        <v/>
      </c>
      <c r="B988" t="str">
        <f t="shared" si="46"/>
        <v/>
      </c>
      <c r="C988" t="str">
        <f t="shared" si="47"/>
        <v/>
      </c>
    </row>
    <row r="989" spans="1:3" x14ac:dyDescent="0.4">
      <c r="A989" t="str">
        <f t="shared" si="45"/>
        <v/>
      </c>
      <c r="B989" t="str">
        <f t="shared" si="46"/>
        <v/>
      </c>
      <c r="C989" t="str">
        <f t="shared" si="47"/>
        <v/>
      </c>
    </row>
    <row r="990" spans="1:3" x14ac:dyDescent="0.4">
      <c r="A990" t="str">
        <f t="shared" si="45"/>
        <v/>
      </c>
      <c r="B990" t="str">
        <f t="shared" si="46"/>
        <v/>
      </c>
      <c r="C990" t="str">
        <f t="shared" si="47"/>
        <v/>
      </c>
    </row>
    <row r="991" spans="1:3" x14ac:dyDescent="0.4">
      <c r="A991" t="str">
        <f t="shared" si="45"/>
        <v/>
      </c>
      <c r="B991" t="str">
        <f t="shared" si="46"/>
        <v/>
      </c>
      <c r="C991" t="str">
        <f t="shared" si="47"/>
        <v/>
      </c>
    </row>
    <row r="992" spans="1:3" x14ac:dyDescent="0.4">
      <c r="A992" t="str">
        <f t="shared" si="45"/>
        <v/>
      </c>
      <c r="B992" t="str">
        <f t="shared" si="46"/>
        <v/>
      </c>
      <c r="C992" t="str">
        <f t="shared" si="47"/>
        <v/>
      </c>
    </row>
    <row r="993" spans="1:3" x14ac:dyDescent="0.4">
      <c r="A993" t="str">
        <f t="shared" si="45"/>
        <v/>
      </c>
      <c r="B993" t="str">
        <f t="shared" si="46"/>
        <v/>
      </c>
      <c r="C993" t="str">
        <f t="shared" si="47"/>
        <v/>
      </c>
    </row>
    <row r="994" spans="1:3" x14ac:dyDescent="0.4">
      <c r="A994" t="str">
        <f t="shared" si="45"/>
        <v/>
      </c>
      <c r="B994" t="str">
        <f t="shared" si="46"/>
        <v/>
      </c>
      <c r="C994" t="str">
        <f t="shared" si="47"/>
        <v/>
      </c>
    </row>
    <row r="995" spans="1:3" x14ac:dyDescent="0.4">
      <c r="A995" t="str">
        <f t="shared" si="45"/>
        <v/>
      </c>
      <c r="B995" t="str">
        <f t="shared" si="46"/>
        <v/>
      </c>
      <c r="C995" t="str">
        <f t="shared" si="47"/>
        <v/>
      </c>
    </row>
    <row r="996" spans="1:3" x14ac:dyDescent="0.4">
      <c r="A996" t="str">
        <f t="shared" si="45"/>
        <v/>
      </c>
      <c r="B996" t="str">
        <f t="shared" si="46"/>
        <v/>
      </c>
      <c r="C996" t="str">
        <f t="shared" si="47"/>
        <v/>
      </c>
    </row>
    <row r="997" spans="1:3" x14ac:dyDescent="0.4">
      <c r="A997" t="str">
        <f t="shared" si="45"/>
        <v/>
      </c>
      <c r="B997" t="str">
        <f t="shared" si="46"/>
        <v/>
      </c>
      <c r="C997" t="str">
        <f t="shared" si="47"/>
        <v/>
      </c>
    </row>
    <row r="998" spans="1:3" x14ac:dyDescent="0.4">
      <c r="A998" t="str">
        <f t="shared" si="45"/>
        <v/>
      </c>
      <c r="B998" t="str">
        <f t="shared" si="46"/>
        <v/>
      </c>
      <c r="C998" t="str">
        <f t="shared" si="47"/>
        <v/>
      </c>
    </row>
    <row r="999" spans="1:3" x14ac:dyDescent="0.4">
      <c r="A999" t="str">
        <f t="shared" si="45"/>
        <v/>
      </c>
      <c r="B999" t="str">
        <f t="shared" si="46"/>
        <v/>
      </c>
      <c r="C999" t="str">
        <f t="shared" si="47"/>
        <v/>
      </c>
    </row>
    <row r="1000" spans="1:3" x14ac:dyDescent="0.4">
      <c r="A1000" t="str">
        <f t="shared" si="45"/>
        <v/>
      </c>
      <c r="B1000" t="str">
        <f t="shared" si="46"/>
        <v/>
      </c>
      <c r="C1000" t="str">
        <f t="shared" si="47"/>
        <v/>
      </c>
    </row>
    <row r="1001" spans="1:3" x14ac:dyDescent="0.4">
      <c r="A1001" t="str">
        <f t="shared" si="45"/>
        <v/>
      </c>
      <c r="B1001" t="str">
        <f t="shared" si="46"/>
        <v/>
      </c>
      <c r="C1001" t="str">
        <f t="shared" si="47"/>
        <v/>
      </c>
    </row>
    <row r="1002" spans="1:3" x14ac:dyDescent="0.4">
      <c r="A1002" t="str">
        <f t="shared" si="45"/>
        <v/>
      </c>
      <c r="B1002" t="str">
        <f t="shared" si="46"/>
        <v/>
      </c>
      <c r="C1002" t="str">
        <f t="shared" si="47"/>
        <v/>
      </c>
    </row>
    <row r="1003" spans="1:3" x14ac:dyDescent="0.4">
      <c r="A1003" t="str">
        <f t="shared" si="45"/>
        <v/>
      </c>
      <c r="B1003" t="str">
        <f t="shared" si="46"/>
        <v/>
      </c>
      <c r="C1003" t="str">
        <f t="shared" si="47"/>
        <v/>
      </c>
    </row>
    <row r="1004" spans="1:3" x14ac:dyDescent="0.4">
      <c r="A1004" t="str">
        <f t="shared" si="45"/>
        <v/>
      </c>
      <c r="B1004" t="str">
        <f t="shared" si="46"/>
        <v/>
      </c>
      <c r="C1004" t="str">
        <f t="shared" si="47"/>
        <v/>
      </c>
    </row>
    <row r="1005" spans="1:3" x14ac:dyDescent="0.4">
      <c r="A1005" t="str">
        <f t="shared" si="45"/>
        <v/>
      </c>
      <c r="B1005" t="str">
        <f t="shared" si="46"/>
        <v/>
      </c>
      <c r="C1005" t="str">
        <f t="shared" si="47"/>
        <v/>
      </c>
    </row>
    <row r="1006" spans="1:3" x14ac:dyDescent="0.4">
      <c r="A1006" t="str">
        <f t="shared" si="45"/>
        <v/>
      </c>
      <c r="B1006" t="str">
        <f t="shared" si="46"/>
        <v/>
      </c>
      <c r="C1006" t="str">
        <f t="shared" si="47"/>
        <v/>
      </c>
    </row>
    <row r="1007" spans="1:3" x14ac:dyDescent="0.4">
      <c r="A1007" t="str">
        <f t="shared" si="45"/>
        <v/>
      </c>
      <c r="B1007" t="str">
        <f t="shared" si="46"/>
        <v/>
      </c>
      <c r="C1007" t="str">
        <f t="shared" si="47"/>
        <v/>
      </c>
    </row>
    <row r="1008" spans="1:3" x14ac:dyDescent="0.4">
      <c r="A1008" t="str">
        <f t="shared" si="45"/>
        <v/>
      </c>
      <c r="B1008" t="str">
        <f t="shared" si="46"/>
        <v/>
      </c>
      <c r="C1008" t="str">
        <f t="shared" si="47"/>
        <v/>
      </c>
    </row>
    <row r="1009" spans="1:3" x14ac:dyDescent="0.4">
      <c r="A1009" t="str">
        <f t="shared" si="45"/>
        <v/>
      </c>
      <c r="B1009" t="str">
        <f t="shared" si="46"/>
        <v/>
      </c>
      <c r="C1009" t="str">
        <f t="shared" si="47"/>
        <v/>
      </c>
    </row>
    <row r="1010" spans="1:3" x14ac:dyDescent="0.4">
      <c r="A1010" t="str">
        <f t="shared" si="45"/>
        <v/>
      </c>
      <c r="B1010" t="str">
        <f t="shared" si="46"/>
        <v/>
      </c>
      <c r="C1010" t="str">
        <f t="shared" si="47"/>
        <v/>
      </c>
    </row>
    <row r="1011" spans="1:3" x14ac:dyDescent="0.4">
      <c r="A1011" t="str">
        <f t="shared" si="45"/>
        <v/>
      </c>
      <c r="B1011" t="str">
        <f t="shared" si="46"/>
        <v/>
      </c>
      <c r="C1011" t="str">
        <f t="shared" si="47"/>
        <v/>
      </c>
    </row>
    <row r="1012" spans="1:3" x14ac:dyDescent="0.4">
      <c r="A1012" t="str">
        <f t="shared" si="45"/>
        <v/>
      </c>
      <c r="B1012" t="str">
        <f t="shared" si="46"/>
        <v/>
      </c>
      <c r="C1012" t="str">
        <f t="shared" si="47"/>
        <v/>
      </c>
    </row>
    <row r="1013" spans="1:3" x14ac:dyDescent="0.4">
      <c r="A1013" t="str">
        <f t="shared" si="45"/>
        <v/>
      </c>
      <c r="B1013" t="str">
        <f t="shared" si="46"/>
        <v/>
      </c>
      <c r="C1013" t="str">
        <f t="shared" si="47"/>
        <v/>
      </c>
    </row>
    <row r="1014" spans="1:3" x14ac:dyDescent="0.4">
      <c r="A1014" t="str">
        <f t="shared" si="45"/>
        <v/>
      </c>
      <c r="B1014" t="str">
        <f t="shared" si="46"/>
        <v/>
      </c>
      <c r="C1014" t="str">
        <f t="shared" si="47"/>
        <v/>
      </c>
    </row>
    <row r="1015" spans="1:3" x14ac:dyDescent="0.4">
      <c r="A1015" t="str">
        <f t="shared" si="45"/>
        <v/>
      </c>
      <c r="B1015" t="str">
        <f t="shared" si="46"/>
        <v/>
      </c>
      <c r="C1015" t="str">
        <f t="shared" si="47"/>
        <v/>
      </c>
    </row>
    <row r="1016" spans="1:3" x14ac:dyDescent="0.4">
      <c r="A1016" t="str">
        <f t="shared" si="45"/>
        <v/>
      </c>
      <c r="B1016" t="str">
        <f t="shared" si="46"/>
        <v/>
      </c>
      <c r="C1016" t="str">
        <f t="shared" si="47"/>
        <v/>
      </c>
    </row>
    <row r="1017" spans="1:3" x14ac:dyDescent="0.4">
      <c r="A1017" t="str">
        <f t="shared" si="45"/>
        <v/>
      </c>
      <c r="B1017" t="str">
        <f t="shared" si="46"/>
        <v/>
      </c>
      <c r="C1017" t="str">
        <f t="shared" si="47"/>
        <v/>
      </c>
    </row>
    <row r="1018" spans="1:3" x14ac:dyDescent="0.4">
      <c r="A1018" t="str">
        <f t="shared" si="45"/>
        <v/>
      </c>
      <c r="B1018" t="str">
        <f t="shared" si="46"/>
        <v/>
      </c>
      <c r="C1018" t="str">
        <f t="shared" si="47"/>
        <v/>
      </c>
    </row>
    <row r="1019" spans="1:3" x14ac:dyDescent="0.4">
      <c r="A1019" t="str">
        <f t="shared" si="45"/>
        <v/>
      </c>
      <c r="B1019" t="str">
        <f t="shared" si="46"/>
        <v/>
      </c>
      <c r="C1019" t="str">
        <f t="shared" si="47"/>
        <v/>
      </c>
    </row>
    <row r="1020" spans="1:3" x14ac:dyDescent="0.4">
      <c r="A1020" t="str">
        <f t="shared" si="45"/>
        <v/>
      </c>
      <c r="B1020" t="str">
        <f t="shared" si="46"/>
        <v/>
      </c>
      <c r="C1020" t="str">
        <f t="shared" si="47"/>
        <v/>
      </c>
    </row>
    <row r="1021" spans="1:3" x14ac:dyDescent="0.4">
      <c r="A1021" t="str">
        <f t="shared" si="45"/>
        <v/>
      </c>
      <c r="B1021" t="str">
        <f t="shared" si="46"/>
        <v/>
      </c>
      <c r="C1021" t="str">
        <f t="shared" si="47"/>
        <v/>
      </c>
    </row>
    <row r="1022" spans="1:3" x14ac:dyDescent="0.4">
      <c r="A1022" t="str">
        <f t="shared" si="45"/>
        <v/>
      </c>
      <c r="B1022" t="str">
        <f t="shared" si="46"/>
        <v/>
      </c>
      <c r="C1022" t="str">
        <f t="shared" si="47"/>
        <v/>
      </c>
    </row>
    <row r="1023" spans="1:3" x14ac:dyDescent="0.4">
      <c r="A1023" t="str">
        <f t="shared" si="45"/>
        <v/>
      </c>
      <c r="B1023" t="str">
        <f t="shared" si="46"/>
        <v/>
      </c>
      <c r="C1023" t="str">
        <f t="shared" si="47"/>
        <v/>
      </c>
    </row>
    <row r="1024" spans="1:3" x14ac:dyDescent="0.4">
      <c r="A1024" t="str">
        <f t="shared" si="45"/>
        <v/>
      </c>
      <c r="B1024" t="str">
        <f t="shared" si="46"/>
        <v/>
      </c>
      <c r="C1024" t="str">
        <f t="shared" si="47"/>
        <v/>
      </c>
    </row>
    <row r="1025" spans="1:3" x14ac:dyDescent="0.4">
      <c r="A1025" t="str">
        <f t="shared" si="45"/>
        <v/>
      </c>
      <c r="B1025" t="str">
        <f t="shared" si="46"/>
        <v/>
      </c>
      <c r="C1025" t="str">
        <f t="shared" si="47"/>
        <v/>
      </c>
    </row>
    <row r="1026" spans="1:3" x14ac:dyDescent="0.4">
      <c r="A1026" t="str">
        <f t="shared" si="45"/>
        <v/>
      </c>
      <c r="B1026" t="str">
        <f t="shared" si="46"/>
        <v/>
      </c>
      <c r="C1026" t="str">
        <f t="shared" si="47"/>
        <v/>
      </c>
    </row>
    <row r="1027" spans="1:3" x14ac:dyDescent="0.4">
      <c r="A1027" t="str">
        <f t="shared" ref="A1027:A1090" si="48">IF($F1027="","",$F1027&amp;"|"&amp;$H1027)</f>
        <v/>
      </c>
      <c r="B1027" t="str">
        <f t="shared" ref="B1027:B1090" si="49">IF(F1027&lt;&gt;"",F1027,"")</f>
        <v/>
      </c>
      <c r="C1027" t="str">
        <f t="shared" ref="C1027:C1090" si="50">IF(H1027&lt;&gt;"", H1027, "")</f>
        <v/>
      </c>
    </row>
    <row r="1028" spans="1:3" x14ac:dyDescent="0.4">
      <c r="A1028" t="str">
        <f t="shared" si="48"/>
        <v/>
      </c>
      <c r="B1028" t="str">
        <f t="shared" si="49"/>
        <v/>
      </c>
      <c r="C1028" t="str">
        <f t="shared" si="50"/>
        <v/>
      </c>
    </row>
    <row r="1029" spans="1:3" x14ac:dyDescent="0.4">
      <c r="A1029" t="str">
        <f t="shared" si="48"/>
        <v/>
      </c>
      <c r="B1029" t="str">
        <f t="shared" si="49"/>
        <v/>
      </c>
      <c r="C1029" t="str">
        <f t="shared" si="50"/>
        <v/>
      </c>
    </row>
    <row r="1030" spans="1:3" x14ac:dyDescent="0.4">
      <c r="A1030" t="str">
        <f t="shared" si="48"/>
        <v/>
      </c>
      <c r="B1030" t="str">
        <f t="shared" si="49"/>
        <v/>
      </c>
      <c r="C1030" t="str">
        <f t="shared" si="50"/>
        <v/>
      </c>
    </row>
    <row r="1031" spans="1:3" x14ac:dyDescent="0.4">
      <c r="A1031" t="str">
        <f t="shared" si="48"/>
        <v/>
      </c>
      <c r="B1031" t="str">
        <f t="shared" si="49"/>
        <v/>
      </c>
      <c r="C1031" t="str">
        <f t="shared" si="50"/>
        <v/>
      </c>
    </row>
    <row r="1032" spans="1:3" x14ac:dyDescent="0.4">
      <c r="A1032" t="str">
        <f t="shared" si="48"/>
        <v/>
      </c>
      <c r="B1032" t="str">
        <f t="shared" si="49"/>
        <v/>
      </c>
      <c r="C1032" t="str">
        <f t="shared" si="50"/>
        <v/>
      </c>
    </row>
    <row r="1033" spans="1:3" x14ac:dyDescent="0.4">
      <c r="A1033" t="str">
        <f t="shared" si="48"/>
        <v/>
      </c>
      <c r="B1033" t="str">
        <f t="shared" si="49"/>
        <v/>
      </c>
      <c r="C1033" t="str">
        <f t="shared" si="50"/>
        <v/>
      </c>
    </row>
    <row r="1034" spans="1:3" x14ac:dyDescent="0.4">
      <c r="A1034" t="str">
        <f t="shared" si="48"/>
        <v/>
      </c>
      <c r="B1034" t="str">
        <f t="shared" si="49"/>
        <v/>
      </c>
      <c r="C1034" t="str">
        <f t="shared" si="50"/>
        <v/>
      </c>
    </row>
    <row r="1035" spans="1:3" x14ac:dyDescent="0.4">
      <c r="A1035" t="str">
        <f t="shared" si="48"/>
        <v/>
      </c>
      <c r="B1035" t="str">
        <f t="shared" si="49"/>
        <v/>
      </c>
      <c r="C1035" t="str">
        <f t="shared" si="50"/>
        <v/>
      </c>
    </row>
    <row r="1036" spans="1:3" x14ac:dyDescent="0.4">
      <c r="A1036" t="str">
        <f t="shared" si="48"/>
        <v/>
      </c>
      <c r="B1036" t="str">
        <f t="shared" si="49"/>
        <v/>
      </c>
      <c r="C1036" t="str">
        <f t="shared" si="50"/>
        <v/>
      </c>
    </row>
    <row r="1037" spans="1:3" x14ac:dyDescent="0.4">
      <c r="A1037" t="str">
        <f t="shared" si="48"/>
        <v/>
      </c>
      <c r="B1037" t="str">
        <f t="shared" si="49"/>
        <v/>
      </c>
      <c r="C1037" t="str">
        <f t="shared" si="50"/>
        <v/>
      </c>
    </row>
    <row r="1038" spans="1:3" x14ac:dyDescent="0.4">
      <c r="A1038" t="str">
        <f t="shared" si="48"/>
        <v/>
      </c>
      <c r="B1038" t="str">
        <f t="shared" si="49"/>
        <v/>
      </c>
      <c r="C1038" t="str">
        <f t="shared" si="50"/>
        <v/>
      </c>
    </row>
    <row r="1039" spans="1:3" x14ac:dyDescent="0.4">
      <c r="A1039" t="str">
        <f t="shared" si="48"/>
        <v/>
      </c>
      <c r="B1039" t="str">
        <f t="shared" si="49"/>
        <v/>
      </c>
      <c r="C1039" t="str">
        <f t="shared" si="50"/>
        <v/>
      </c>
    </row>
    <row r="1040" spans="1:3" x14ac:dyDescent="0.4">
      <c r="A1040" t="str">
        <f t="shared" si="48"/>
        <v/>
      </c>
      <c r="B1040" t="str">
        <f t="shared" si="49"/>
        <v/>
      </c>
      <c r="C1040" t="str">
        <f t="shared" si="50"/>
        <v/>
      </c>
    </row>
    <row r="1041" spans="1:3" x14ac:dyDescent="0.4">
      <c r="A1041" t="str">
        <f t="shared" si="48"/>
        <v/>
      </c>
      <c r="B1041" t="str">
        <f t="shared" si="49"/>
        <v/>
      </c>
      <c r="C1041" t="str">
        <f t="shared" si="50"/>
        <v/>
      </c>
    </row>
    <row r="1042" spans="1:3" x14ac:dyDescent="0.4">
      <c r="A1042" t="str">
        <f t="shared" si="48"/>
        <v/>
      </c>
      <c r="B1042" t="str">
        <f t="shared" si="49"/>
        <v/>
      </c>
      <c r="C1042" t="str">
        <f t="shared" si="50"/>
        <v/>
      </c>
    </row>
    <row r="1043" spans="1:3" x14ac:dyDescent="0.4">
      <c r="A1043" t="str">
        <f t="shared" si="48"/>
        <v/>
      </c>
      <c r="B1043" t="str">
        <f t="shared" si="49"/>
        <v/>
      </c>
      <c r="C1043" t="str">
        <f t="shared" si="50"/>
        <v/>
      </c>
    </row>
    <row r="1044" spans="1:3" x14ac:dyDescent="0.4">
      <c r="A1044" t="str">
        <f t="shared" si="48"/>
        <v/>
      </c>
      <c r="B1044" t="str">
        <f t="shared" si="49"/>
        <v/>
      </c>
      <c r="C1044" t="str">
        <f t="shared" si="50"/>
        <v/>
      </c>
    </row>
    <row r="1045" spans="1:3" x14ac:dyDescent="0.4">
      <c r="A1045" t="str">
        <f t="shared" si="48"/>
        <v/>
      </c>
      <c r="B1045" t="str">
        <f t="shared" si="49"/>
        <v/>
      </c>
      <c r="C1045" t="str">
        <f t="shared" si="50"/>
        <v/>
      </c>
    </row>
    <row r="1046" spans="1:3" x14ac:dyDescent="0.4">
      <c r="A1046" t="str">
        <f t="shared" si="48"/>
        <v/>
      </c>
      <c r="B1046" t="str">
        <f t="shared" si="49"/>
        <v/>
      </c>
      <c r="C1046" t="str">
        <f t="shared" si="50"/>
        <v/>
      </c>
    </row>
    <row r="1047" spans="1:3" x14ac:dyDescent="0.4">
      <c r="A1047" t="str">
        <f t="shared" si="48"/>
        <v/>
      </c>
      <c r="B1047" t="str">
        <f t="shared" si="49"/>
        <v/>
      </c>
      <c r="C1047" t="str">
        <f t="shared" si="50"/>
        <v/>
      </c>
    </row>
    <row r="1048" spans="1:3" x14ac:dyDescent="0.4">
      <c r="A1048" t="str">
        <f t="shared" si="48"/>
        <v/>
      </c>
      <c r="B1048" t="str">
        <f t="shared" si="49"/>
        <v/>
      </c>
      <c r="C1048" t="str">
        <f t="shared" si="50"/>
        <v/>
      </c>
    </row>
    <row r="1049" spans="1:3" x14ac:dyDescent="0.4">
      <c r="A1049" t="str">
        <f t="shared" si="48"/>
        <v/>
      </c>
      <c r="B1049" t="str">
        <f t="shared" si="49"/>
        <v/>
      </c>
      <c r="C1049" t="str">
        <f t="shared" si="50"/>
        <v/>
      </c>
    </row>
    <row r="1050" spans="1:3" x14ac:dyDescent="0.4">
      <c r="A1050" t="str">
        <f t="shared" si="48"/>
        <v/>
      </c>
      <c r="B1050" t="str">
        <f t="shared" si="49"/>
        <v/>
      </c>
      <c r="C1050" t="str">
        <f t="shared" si="50"/>
        <v/>
      </c>
    </row>
    <row r="1051" spans="1:3" x14ac:dyDescent="0.4">
      <c r="A1051" t="str">
        <f t="shared" si="48"/>
        <v/>
      </c>
      <c r="B1051" t="str">
        <f t="shared" si="49"/>
        <v/>
      </c>
      <c r="C1051" t="str">
        <f t="shared" si="50"/>
        <v/>
      </c>
    </row>
    <row r="1052" spans="1:3" x14ac:dyDescent="0.4">
      <c r="A1052" t="str">
        <f t="shared" si="48"/>
        <v/>
      </c>
      <c r="B1052" t="str">
        <f t="shared" si="49"/>
        <v/>
      </c>
      <c r="C1052" t="str">
        <f t="shared" si="50"/>
        <v/>
      </c>
    </row>
    <row r="1053" spans="1:3" x14ac:dyDescent="0.4">
      <c r="A1053" t="str">
        <f t="shared" si="48"/>
        <v/>
      </c>
      <c r="B1053" t="str">
        <f t="shared" si="49"/>
        <v/>
      </c>
      <c r="C1053" t="str">
        <f t="shared" si="50"/>
        <v/>
      </c>
    </row>
    <row r="1054" spans="1:3" x14ac:dyDescent="0.4">
      <c r="A1054" t="str">
        <f t="shared" si="48"/>
        <v/>
      </c>
      <c r="B1054" t="str">
        <f t="shared" si="49"/>
        <v/>
      </c>
      <c r="C1054" t="str">
        <f t="shared" si="50"/>
        <v/>
      </c>
    </row>
    <row r="1055" spans="1:3" x14ac:dyDescent="0.4">
      <c r="A1055" t="str">
        <f t="shared" si="48"/>
        <v/>
      </c>
      <c r="B1055" t="str">
        <f t="shared" si="49"/>
        <v/>
      </c>
      <c r="C1055" t="str">
        <f t="shared" si="50"/>
        <v/>
      </c>
    </row>
    <row r="1056" spans="1:3" x14ac:dyDescent="0.4">
      <c r="A1056" t="str">
        <f t="shared" si="48"/>
        <v/>
      </c>
      <c r="B1056" t="str">
        <f t="shared" si="49"/>
        <v/>
      </c>
      <c r="C1056" t="str">
        <f t="shared" si="50"/>
        <v/>
      </c>
    </row>
    <row r="1057" spans="1:3" x14ac:dyDescent="0.4">
      <c r="A1057" t="str">
        <f t="shared" si="48"/>
        <v/>
      </c>
      <c r="B1057" t="str">
        <f t="shared" si="49"/>
        <v/>
      </c>
      <c r="C1057" t="str">
        <f t="shared" si="50"/>
        <v/>
      </c>
    </row>
    <row r="1058" spans="1:3" x14ac:dyDescent="0.4">
      <c r="A1058" t="str">
        <f t="shared" si="48"/>
        <v/>
      </c>
      <c r="B1058" t="str">
        <f t="shared" si="49"/>
        <v/>
      </c>
      <c r="C1058" t="str">
        <f t="shared" si="50"/>
        <v/>
      </c>
    </row>
    <row r="1059" spans="1:3" x14ac:dyDescent="0.4">
      <c r="A1059" t="str">
        <f t="shared" si="48"/>
        <v/>
      </c>
      <c r="B1059" t="str">
        <f t="shared" si="49"/>
        <v/>
      </c>
      <c r="C1059" t="str">
        <f t="shared" si="50"/>
        <v/>
      </c>
    </row>
    <row r="1060" spans="1:3" x14ac:dyDescent="0.4">
      <c r="A1060" t="str">
        <f t="shared" si="48"/>
        <v/>
      </c>
      <c r="B1060" t="str">
        <f t="shared" si="49"/>
        <v/>
      </c>
      <c r="C1060" t="str">
        <f t="shared" si="50"/>
        <v/>
      </c>
    </row>
    <row r="1061" spans="1:3" x14ac:dyDescent="0.4">
      <c r="A1061" t="str">
        <f t="shared" si="48"/>
        <v/>
      </c>
      <c r="B1061" t="str">
        <f t="shared" si="49"/>
        <v/>
      </c>
      <c r="C1061" t="str">
        <f t="shared" si="50"/>
        <v/>
      </c>
    </row>
    <row r="1062" spans="1:3" x14ac:dyDescent="0.4">
      <c r="A1062" t="str">
        <f t="shared" si="48"/>
        <v/>
      </c>
      <c r="B1062" t="str">
        <f t="shared" si="49"/>
        <v/>
      </c>
      <c r="C1062" t="str">
        <f t="shared" si="50"/>
        <v/>
      </c>
    </row>
    <row r="1063" spans="1:3" x14ac:dyDescent="0.4">
      <c r="A1063" t="str">
        <f t="shared" si="48"/>
        <v/>
      </c>
      <c r="B1063" t="str">
        <f t="shared" si="49"/>
        <v/>
      </c>
      <c r="C1063" t="str">
        <f t="shared" si="50"/>
        <v/>
      </c>
    </row>
    <row r="1064" spans="1:3" x14ac:dyDescent="0.4">
      <c r="A1064" t="str">
        <f t="shared" si="48"/>
        <v/>
      </c>
      <c r="B1064" t="str">
        <f t="shared" si="49"/>
        <v/>
      </c>
      <c r="C1064" t="str">
        <f t="shared" si="50"/>
        <v/>
      </c>
    </row>
    <row r="1065" spans="1:3" x14ac:dyDescent="0.4">
      <c r="A1065" t="str">
        <f t="shared" si="48"/>
        <v/>
      </c>
      <c r="B1065" t="str">
        <f t="shared" si="49"/>
        <v/>
      </c>
      <c r="C1065" t="str">
        <f t="shared" si="50"/>
        <v/>
      </c>
    </row>
    <row r="1066" spans="1:3" x14ac:dyDescent="0.4">
      <c r="A1066" t="str">
        <f t="shared" si="48"/>
        <v/>
      </c>
      <c r="B1066" t="str">
        <f t="shared" si="49"/>
        <v/>
      </c>
      <c r="C1066" t="str">
        <f t="shared" si="50"/>
        <v/>
      </c>
    </row>
    <row r="1067" spans="1:3" x14ac:dyDescent="0.4">
      <c r="A1067" t="str">
        <f t="shared" si="48"/>
        <v/>
      </c>
      <c r="B1067" t="str">
        <f t="shared" si="49"/>
        <v/>
      </c>
      <c r="C1067" t="str">
        <f t="shared" si="50"/>
        <v/>
      </c>
    </row>
    <row r="1068" spans="1:3" x14ac:dyDescent="0.4">
      <c r="A1068" t="str">
        <f t="shared" si="48"/>
        <v/>
      </c>
      <c r="B1068" t="str">
        <f t="shared" si="49"/>
        <v/>
      </c>
      <c r="C1068" t="str">
        <f t="shared" si="50"/>
        <v/>
      </c>
    </row>
    <row r="1069" spans="1:3" x14ac:dyDescent="0.4">
      <c r="A1069" t="str">
        <f t="shared" si="48"/>
        <v/>
      </c>
      <c r="B1069" t="str">
        <f t="shared" si="49"/>
        <v/>
      </c>
      <c r="C1069" t="str">
        <f t="shared" si="50"/>
        <v/>
      </c>
    </row>
    <row r="1070" spans="1:3" x14ac:dyDescent="0.4">
      <c r="A1070" t="str">
        <f t="shared" si="48"/>
        <v/>
      </c>
      <c r="B1070" t="str">
        <f t="shared" si="49"/>
        <v/>
      </c>
      <c r="C1070" t="str">
        <f t="shared" si="50"/>
        <v/>
      </c>
    </row>
    <row r="1071" spans="1:3" x14ac:dyDescent="0.4">
      <c r="A1071" t="str">
        <f t="shared" si="48"/>
        <v/>
      </c>
      <c r="B1071" t="str">
        <f t="shared" si="49"/>
        <v/>
      </c>
      <c r="C1071" t="str">
        <f t="shared" si="50"/>
        <v/>
      </c>
    </row>
    <row r="1072" spans="1:3" x14ac:dyDescent="0.4">
      <c r="A1072" t="str">
        <f t="shared" si="48"/>
        <v/>
      </c>
      <c r="B1072" t="str">
        <f t="shared" si="49"/>
        <v/>
      </c>
      <c r="C1072" t="str">
        <f t="shared" si="50"/>
        <v/>
      </c>
    </row>
    <row r="1073" spans="1:3" x14ac:dyDescent="0.4">
      <c r="A1073" t="str">
        <f t="shared" si="48"/>
        <v/>
      </c>
      <c r="B1073" t="str">
        <f t="shared" si="49"/>
        <v/>
      </c>
      <c r="C1073" t="str">
        <f t="shared" si="50"/>
        <v/>
      </c>
    </row>
    <row r="1074" spans="1:3" x14ac:dyDescent="0.4">
      <c r="A1074" t="str">
        <f t="shared" si="48"/>
        <v/>
      </c>
      <c r="B1074" t="str">
        <f t="shared" si="49"/>
        <v/>
      </c>
      <c r="C1074" t="str">
        <f t="shared" si="50"/>
        <v/>
      </c>
    </row>
    <row r="1075" spans="1:3" x14ac:dyDescent="0.4">
      <c r="A1075" t="str">
        <f t="shared" si="48"/>
        <v/>
      </c>
      <c r="B1075" t="str">
        <f t="shared" si="49"/>
        <v/>
      </c>
      <c r="C1075" t="str">
        <f t="shared" si="50"/>
        <v/>
      </c>
    </row>
    <row r="1076" spans="1:3" x14ac:dyDescent="0.4">
      <c r="A1076" t="str">
        <f t="shared" si="48"/>
        <v/>
      </c>
      <c r="B1076" t="str">
        <f t="shared" si="49"/>
        <v/>
      </c>
      <c r="C1076" t="str">
        <f t="shared" si="50"/>
        <v/>
      </c>
    </row>
    <row r="1077" spans="1:3" x14ac:dyDescent="0.4">
      <c r="A1077" t="str">
        <f t="shared" si="48"/>
        <v/>
      </c>
      <c r="B1077" t="str">
        <f t="shared" si="49"/>
        <v/>
      </c>
      <c r="C1077" t="str">
        <f t="shared" si="50"/>
        <v/>
      </c>
    </row>
    <row r="1078" spans="1:3" x14ac:dyDescent="0.4">
      <c r="A1078" t="str">
        <f t="shared" si="48"/>
        <v/>
      </c>
      <c r="B1078" t="str">
        <f t="shared" si="49"/>
        <v/>
      </c>
      <c r="C1078" t="str">
        <f t="shared" si="50"/>
        <v/>
      </c>
    </row>
    <row r="1079" spans="1:3" x14ac:dyDescent="0.4">
      <c r="A1079" t="str">
        <f t="shared" si="48"/>
        <v/>
      </c>
      <c r="B1079" t="str">
        <f t="shared" si="49"/>
        <v/>
      </c>
      <c r="C1079" t="str">
        <f t="shared" si="50"/>
        <v/>
      </c>
    </row>
    <row r="1080" spans="1:3" x14ac:dyDescent="0.4">
      <c r="A1080" t="str">
        <f t="shared" si="48"/>
        <v/>
      </c>
      <c r="B1080" t="str">
        <f t="shared" si="49"/>
        <v/>
      </c>
      <c r="C1080" t="str">
        <f t="shared" si="50"/>
        <v/>
      </c>
    </row>
    <row r="1081" spans="1:3" x14ac:dyDescent="0.4">
      <c r="A1081" t="str">
        <f t="shared" si="48"/>
        <v/>
      </c>
      <c r="B1081" t="str">
        <f t="shared" si="49"/>
        <v/>
      </c>
      <c r="C1081" t="str">
        <f t="shared" si="50"/>
        <v/>
      </c>
    </row>
    <row r="1082" spans="1:3" x14ac:dyDescent="0.4">
      <c r="A1082" t="str">
        <f t="shared" si="48"/>
        <v/>
      </c>
      <c r="B1082" t="str">
        <f t="shared" si="49"/>
        <v/>
      </c>
      <c r="C1082" t="str">
        <f t="shared" si="50"/>
        <v/>
      </c>
    </row>
    <row r="1083" spans="1:3" x14ac:dyDescent="0.4">
      <c r="A1083" t="str">
        <f t="shared" si="48"/>
        <v/>
      </c>
      <c r="B1083" t="str">
        <f t="shared" si="49"/>
        <v/>
      </c>
      <c r="C1083" t="str">
        <f t="shared" si="50"/>
        <v/>
      </c>
    </row>
    <row r="1084" spans="1:3" x14ac:dyDescent="0.4">
      <c r="A1084" t="str">
        <f t="shared" si="48"/>
        <v/>
      </c>
      <c r="B1084" t="str">
        <f t="shared" si="49"/>
        <v/>
      </c>
      <c r="C1084" t="str">
        <f t="shared" si="50"/>
        <v/>
      </c>
    </row>
    <row r="1085" spans="1:3" x14ac:dyDescent="0.4">
      <c r="A1085" t="str">
        <f t="shared" si="48"/>
        <v/>
      </c>
      <c r="B1085" t="str">
        <f t="shared" si="49"/>
        <v/>
      </c>
      <c r="C1085" t="str">
        <f t="shared" si="50"/>
        <v/>
      </c>
    </row>
    <row r="1086" spans="1:3" x14ac:dyDescent="0.4">
      <c r="A1086" t="str">
        <f t="shared" si="48"/>
        <v/>
      </c>
      <c r="B1086" t="str">
        <f t="shared" si="49"/>
        <v/>
      </c>
      <c r="C1086" t="str">
        <f t="shared" si="50"/>
        <v/>
      </c>
    </row>
    <row r="1087" spans="1:3" x14ac:dyDescent="0.4">
      <c r="A1087" t="str">
        <f t="shared" si="48"/>
        <v/>
      </c>
      <c r="B1087" t="str">
        <f t="shared" si="49"/>
        <v/>
      </c>
      <c r="C1087" t="str">
        <f t="shared" si="50"/>
        <v/>
      </c>
    </row>
    <row r="1088" spans="1:3" x14ac:dyDescent="0.4">
      <c r="A1088" t="str">
        <f t="shared" si="48"/>
        <v/>
      </c>
      <c r="B1088" t="str">
        <f t="shared" si="49"/>
        <v/>
      </c>
      <c r="C1088" t="str">
        <f t="shared" si="50"/>
        <v/>
      </c>
    </row>
    <row r="1089" spans="1:3" x14ac:dyDescent="0.4">
      <c r="A1089" t="str">
        <f t="shared" si="48"/>
        <v/>
      </c>
      <c r="B1089" t="str">
        <f t="shared" si="49"/>
        <v/>
      </c>
      <c r="C1089" t="str">
        <f t="shared" si="50"/>
        <v/>
      </c>
    </row>
    <row r="1090" spans="1:3" x14ac:dyDescent="0.4">
      <c r="A1090" t="str">
        <f t="shared" si="48"/>
        <v/>
      </c>
      <c r="B1090" t="str">
        <f t="shared" si="49"/>
        <v/>
      </c>
      <c r="C1090" t="str">
        <f t="shared" si="50"/>
        <v/>
      </c>
    </row>
    <row r="1091" spans="1:3" x14ac:dyDescent="0.4">
      <c r="A1091" t="str">
        <f t="shared" ref="A1091:A1154" si="51">IF($F1091="","",$F1091&amp;"|"&amp;$H1091)</f>
        <v/>
      </c>
      <c r="B1091" t="str">
        <f t="shared" ref="B1091:B1154" si="52">IF(F1091&lt;&gt;"",F1091,"")</f>
        <v/>
      </c>
      <c r="C1091" t="str">
        <f t="shared" ref="C1091:C1154" si="53">IF(H1091&lt;&gt;"", H1091, "")</f>
        <v/>
      </c>
    </row>
    <row r="1092" spans="1:3" x14ac:dyDescent="0.4">
      <c r="A1092" t="str">
        <f t="shared" si="51"/>
        <v/>
      </c>
      <c r="B1092" t="str">
        <f t="shared" si="52"/>
        <v/>
      </c>
      <c r="C1092" t="str">
        <f t="shared" si="53"/>
        <v/>
      </c>
    </row>
    <row r="1093" spans="1:3" x14ac:dyDescent="0.4">
      <c r="A1093" t="str">
        <f t="shared" si="51"/>
        <v/>
      </c>
      <c r="B1093" t="str">
        <f t="shared" si="52"/>
        <v/>
      </c>
      <c r="C1093" t="str">
        <f t="shared" si="53"/>
        <v/>
      </c>
    </row>
    <row r="1094" spans="1:3" x14ac:dyDescent="0.4">
      <c r="A1094" t="str">
        <f t="shared" si="51"/>
        <v/>
      </c>
      <c r="B1094" t="str">
        <f t="shared" si="52"/>
        <v/>
      </c>
      <c r="C1094" t="str">
        <f t="shared" si="53"/>
        <v/>
      </c>
    </row>
    <row r="1095" spans="1:3" x14ac:dyDescent="0.4">
      <c r="A1095" t="str">
        <f t="shared" si="51"/>
        <v/>
      </c>
      <c r="B1095" t="str">
        <f t="shared" si="52"/>
        <v/>
      </c>
      <c r="C1095" t="str">
        <f t="shared" si="53"/>
        <v/>
      </c>
    </row>
    <row r="1096" spans="1:3" x14ac:dyDescent="0.4">
      <c r="A1096" t="str">
        <f t="shared" si="51"/>
        <v/>
      </c>
      <c r="B1096" t="str">
        <f t="shared" si="52"/>
        <v/>
      </c>
      <c r="C1096" t="str">
        <f t="shared" si="53"/>
        <v/>
      </c>
    </row>
    <row r="1097" spans="1:3" x14ac:dyDescent="0.4">
      <c r="A1097" t="str">
        <f t="shared" si="51"/>
        <v/>
      </c>
      <c r="B1097" t="str">
        <f t="shared" si="52"/>
        <v/>
      </c>
      <c r="C1097" t="str">
        <f t="shared" si="53"/>
        <v/>
      </c>
    </row>
    <row r="1098" spans="1:3" x14ac:dyDescent="0.4">
      <c r="A1098" t="str">
        <f t="shared" si="51"/>
        <v/>
      </c>
      <c r="B1098" t="str">
        <f t="shared" si="52"/>
        <v/>
      </c>
      <c r="C1098" t="str">
        <f t="shared" si="53"/>
        <v/>
      </c>
    </row>
    <row r="1099" spans="1:3" x14ac:dyDescent="0.4">
      <c r="A1099" t="str">
        <f t="shared" si="51"/>
        <v/>
      </c>
      <c r="B1099" t="str">
        <f t="shared" si="52"/>
        <v/>
      </c>
      <c r="C1099" t="str">
        <f t="shared" si="53"/>
        <v/>
      </c>
    </row>
    <row r="1100" spans="1:3" x14ac:dyDescent="0.4">
      <c r="A1100" t="str">
        <f t="shared" si="51"/>
        <v/>
      </c>
      <c r="B1100" t="str">
        <f t="shared" si="52"/>
        <v/>
      </c>
      <c r="C1100" t="str">
        <f t="shared" si="53"/>
        <v/>
      </c>
    </row>
    <row r="1101" spans="1:3" x14ac:dyDescent="0.4">
      <c r="A1101" t="str">
        <f t="shared" si="51"/>
        <v/>
      </c>
      <c r="B1101" t="str">
        <f t="shared" si="52"/>
        <v/>
      </c>
      <c r="C1101" t="str">
        <f t="shared" si="53"/>
        <v/>
      </c>
    </row>
    <row r="1102" spans="1:3" x14ac:dyDescent="0.4">
      <c r="A1102" t="str">
        <f t="shared" si="51"/>
        <v/>
      </c>
      <c r="B1102" t="str">
        <f t="shared" si="52"/>
        <v/>
      </c>
      <c r="C1102" t="str">
        <f t="shared" si="53"/>
        <v/>
      </c>
    </row>
    <row r="1103" spans="1:3" x14ac:dyDescent="0.4">
      <c r="A1103" t="str">
        <f t="shared" si="51"/>
        <v/>
      </c>
      <c r="B1103" t="str">
        <f t="shared" si="52"/>
        <v/>
      </c>
      <c r="C1103" t="str">
        <f t="shared" si="53"/>
        <v/>
      </c>
    </row>
    <row r="1104" spans="1:3" x14ac:dyDescent="0.4">
      <c r="A1104" t="str">
        <f t="shared" si="51"/>
        <v/>
      </c>
      <c r="B1104" t="str">
        <f t="shared" si="52"/>
        <v/>
      </c>
      <c r="C1104" t="str">
        <f t="shared" si="53"/>
        <v/>
      </c>
    </row>
    <row r="1105" spans="1:3" x14ac:dyDescent="0.4">
      <c r="A1105" t="str">
        <f t="shared" si="51"/>
        <v/>
      </c>
      <c r="B1105" t="str">
        <f t="shared" si="52"/>
        <v/>
      </c>
      <c r="C1105" t="str">
        <f t="shared" si="53"/>
        <v/>
      </c>
    </row>
    <row r="1106" spans="1:3" x14ac:dyDescent="0.4">
      <c r="A1106" t="str">
        <f t="shared" si="51"/>
        <v/>
      </c>
      <c r="B1106" t="str">
        <f t="shared" si="52"/>
        <v/>
      </c>
      <c r="C1106" t="str">
        <f t="shared" si="53"/>
        <v/>
      </c>
    </row>
    <row r="1107" spans="1:3" x14ac:dyDescent="0.4">
      <c r="A1107" t="str">
        <f t="shared" si="51"/>
        <v/>
      </c>
      <c r="B1107" t="str">
        <f t="shared" si="52"/>
        <v/>
      </c>
      <c r="C1107" t="str">
        <f t="shared" si="53"/>
        <v/>
      </c>
    </row>
    <row r="1108" spans="1:3" x14ac:dyDescent="0.4">
      <c r="A1108" t="str">
        <f t="shared" si="51"/>
        <v/>
      </c>
      <c r="B1108" t="str">
        <f t="shared" si="52"/>
        <v/>
      </c>
      <c r="C1108" t="str">
        <f t="shared" si="53"/>
        <v/>
      </c>
    </row>
    <row r="1109" spans="1:3" x14ac:dyDescent="0.4">
      <c r="A1109" t="str">
        <f t="shared" si="51"/>
        <v/>
      </c>
      <c r="B1109" t="str">
        <f t="shared" si="52"/>
        <v/>
      </c>
      <c r="C1109" t="str">
        <f t="shared" si="53"/>
        <v/>
      </c>
    </row>
    <row r="1110" spans="1:3" x14ac:dyDescent="0.4">
      <c r="A1110" t="str">
        <f t="shared" si="51"/>
        <v/>
      </c>
      <c r="B1110" t="str">
        <f t="shared" si="52"/>
        <v/>
      </c>
      <c r="C1110" t="str">
        <f t="shared" si="53"/>
        <v/>
      </c>
    </row>
    <row r="1111" spans="1:3" x14ac:dyDescent="0.4">
      <c r="A1111" t="str">
        <f t="shared" si="51"/>
        <v/>
      </c>
      <c r="B1111" t="str">
        <f t="shared" si="52"/>
        <v/>
      </c>
      <c r="C1111" t="str">
        <f t="shared" si="53"/>
        <v/>
      </c>
    </row>
    <row r="1112" spans="1:3" x14ac:dyDescent="0.4">
      <c r="A1112" t="str">
        <f t="shared" si="51"/>
        <v/>
      </c>
      <c r="B1112" t="str">
        <f t="shared" si="52"/>
        <v/>
      </c>
      <c r="C1112" t="str">
        <f t="shared" si="53"/>
        <v/>
      </c>
    </row>
    <row r="1113" spans="1:3" x14ac:dyDescent="0.4">
      <c r="A1113" t="str">
        <f t="shared" si="51"/>
        <v/>
      </c>
      <c r="B1113" t="str">
        <f t="shared" si="52"/>
        <v/>
      </c>
      <c r="C1113" t="str">
        <f t="shared" si="53"/>
        <v/>
      </c>
    </row>
    <row r="1114" spans="1:3" x14ac:dyDescent="0.4">
      <c r="A1114" t="str">
        <f t="shared" si="51"/>
        <v/>
      </c>
      <c r="B1114" t="str">
        <f t="shared" si="52"/>
        <v/>
      </c>
      <c r="C1114" t="str">
        <f t="shared" si="53"/>
        <v/>
      </c>
    </row>
    <row r="1115" spans="1:3" x14ac:dyDescent="0.4">
      <c r="A1115" t="str">
        <f t="shared" si="51"/>
        <v/>
      </c>
      <c r="B1115" t="str">
        <f t="shared" si="52"/>
        <v/>
      </c>
      <c r="C1115" t="str">
        <f t="shared" si="53"/>
        <v/>
      </c>
    </row>
    <row r="1116" spans="1:3" x14ac:dyDescent="0.4">
      <c r="A1116" t="str">
        <f t="shared" si="51"/>
        <v/>
      </c>
      <c r="B1116" t="str">
        <f t="shared" si="52"/>
        <v/>
      </c>
      <c r="C1116" t="str">
        <f t="shared" si="53"/>
        <v/>
      </c>
    </row>
    <row r="1117" spans="1:3" x14ac:dyDescent="0.4">
      <c r="A1117" t="str">
        <f t="shared" si="51"/>
        <v/>
      </c>
      <c r="B1117" t="str">
        <f t="shared" si="52"/>
        <v/>
      </c>
      <c r="C1117" t="str">
        <f t="shared" si="53"/>
        <v/>
      </c>
    </row>
    <row r="1118" spans="1:3" x14ac:dyDescent="0.4">
      <c r="A1118" t="str">
        <f t="shared" si="51"/>
        <v/>
      </c>
      <c r="B1118" t="str">
        <f t="shared" si="52"/>
        <v/>
      </c>
      <c r="C1118" t="str">
        <f t="shared" si="53"/>
        <v/>
      </c>
    </row>
    <row r="1119" spans="1:3" x14ac:dyDescent="0.4">
      <c r="A1119" t="str">
        <f t="shared" si="51"/>
        <v/>
      </c>
      <c r="B1119" t="str">
        <f t="shared" si="52"/>
        <v/>
      </c>
      <c r="C1119" t="str">
        <f t="shared" si="53"/>
        <v/>
      </c>
    </row>
    <row r="1120" spans="1:3" x14ac:dyDescent="0.4">
      <c r="A1120" t="str">
        <f t="shared" si="51"/>
        <v/>
      </c>
      <c r="B1120" t="str">
        <f t="shared" si="52"/>
        <v/>
      </c>
      <c r="C1120" t="str">
        <f t="shared" si="53"/>
        <v/>
      </c>
    </row>
    <row r="1121" spans="1:3" x14ac:dyDescent="0.4">
      <c r="A1121" t="str">
        <f t="shared" si="51"/>
        <v/>
      </c>
      <c r="B1121" t="str">
        <f t="shared" si="52"/>
        <v/>
      </c>
      <c r="C1121" t="str">
        <f t="shared" si="53"/>
        <v/>
      </c>
    </row>
    <row r="1122" spans="1:3" x14ac:dyDescent="0.4">
      <c r="A1122" t="str">
        <f t="shared" si="51"/>
        <v/>
      </c>
      <c r="B1122" t="str">
        <f t="shared" si="52"/>
        <v/>
      </c>
      <c r="C1122" t="str">
        <f t="shared" si="53"/>
        <v/>
      </c>
    </row>
    <row r="1123" spans="1:3" x14ac:dyDescent="0.4">
      <c r="A1123" t="str">
        <f t="shared" si="51"/>
        <v/>
      </c>
      <c r="B1123" t="str">
        <f t="shared" si="52"/>
        <v/>
      </c>
      <c r="C1123" t="str">
        <f t="shared" si="53"/>
        <v/>
      </c>
    </row>
    <row r="1124" spans="1:3" x14ac:dyDescent="0.4">
      <c r="A1124" t="str">
        <f t="shared" si="51"/>
        <v/>
      </c>
      <c r="B1124" t="str">
        <f t="shared" si="52"/>
        <v/>
      </c>
      <c r="C1124" t="str">
        <f t="shared" si="53"/>
        <v/>
      </c>
    </row>
    <row r="1125" spans="1:3" x14ac:dyDescent="0.4">
      <c r="A1125" t="str">
        <f t="shared" si="51"/>
        <v/>
      </c>
      <c r="B1125" t="str">
        <f t="shared" si="52"/>
        <v/>
      </c>
      <c r="C1125" t="str">
        <f t="shared" si="53"/>
        <v/>
      </c>
    </row>
    <row r="1126" spans="1:3" x14ac:dyDescent="0.4">
      <c r="A1126" t="str">
        <f t="shared" si="51"/>
        <v/>
      </c>
      <c r="B1126" t="str">
        <f t="shared" si="52"/>
        <v/>
      </c>
      <c r="C1126" t="str">
        <f t="shared" si="53"/>
        <v/>
      </c>
    </row>
    <row r="1127" spans="1:3" x14ac:dyDescent="0.4">
      <c r="A1127" t="str">
        <f t="shared" si="51"/>
        <v/>
      </c>
      <c r="B1127" t="str">
        <f t="shared" si="52"/>
        <v/>
      </c>
      <c r="C1127" t="str">
        <f t="shared" si="53"/>
        <v/>
      </c>
    </row>
    <row r="1128" spans="1:3" x14ac:dyDescent="0.4">
      <c r="A1128" t="str">
        <f t="shared" si="51"/>
        <v/>
      </c>
      <c r="B1128" t="str">
        <f t="shared" si="52"/>
        <v/>
      </c>
      <c r="C1128" t="str">
        <f t="shared" si="53"/>
        <v/>
      </c>
    </row>
    <row r="1129" spans="1:3" x14ac:dyDescent="0.4">
      <c r="A1129" t="str">
        <f t="shared" si="51"/>
        <v/>
      </c>
      <c r="B1129" t="str">
        <f t="shared" si="52"/>
        <v/>
      </c>
      <c r="C1129" t="str">
        <f t="shared" si="53"/>
        <v/>
      </c>
    </row>
    <row r="1130" spans="1:3" x14ac:dyDescent="0.4">
      <c r="A1130" t="str">
        <f t="shared" si="51"/>
        <v/>
      </c>
      <c r="B1130" t="str">
        <f t="shared" si="52"/>
        <v/>
      </c>
      <c r="C1130" t="str">
        <f t="shared" si="53"/>
        <v/>
      </c>
    </row>
    <row r="1131" spans="1:3" x14ac:dyDescent="0.4">
      <c r="A1131" t="str">
        <f t="shared" si="51"/>
        <v/>
      </c>
      <c r="B1131" t="str">
        <f t="shared" si="52"/>
        <v/>
      </c>
      <c r="C1131" t="str">
        <f t="shared" si="53"/>
        <v/>
      </c>
    </row>
    <row r="1132" spans="1:3" x14ac:dyDescent="0.4">
      <c r="A1132" t="str">
        <f t="shared" si="51"/>
        <v/>
      </c>
      <c r="B1132" t="str">
        <f t="shared" si="52"/>
        <v/>
      </c>
      <c r="C1132" t="str">
        <f t="shared" si="53"/>
        <v/>
      </c>
    </row>
    <row r="1133" spans="1:3" x14ac:dyDescent="0.4">
      <c r="A1133" t="str">
        <f t="shared" si="51"/>
        <v/>
      </c>
      <c r="B1133" t="str">
        <f t="shared" si="52"/>
        <v/>
      </c>
      <c r="C1133" t="str">
        <f t="shared" si="53"/>
        <v/>
      </c>
    </row>
    <row r="1134" spans="1:3" x14ac:dyDescent="0.4">
      <c r="A1134" t="str">
        <f t="shared" si="51"/>
        <v/>
      </c>
      <c r="B1134" t="str">
        <f t="shared" si="52"/>
        <v/>
      </c>
      <c r="C1134" t="str">
        <f t="shared" si="53"/>
        <v/>
      </c>
    </row>
    <row r="1135" spans="1:3" x14ac:dyDescent="0.4">
      <c r="A1135" t="str">
        <f t="shared" si="51"/>
        <v/>
      </c>
      <c r="B1135" t="str">
        <f t="shared" si="52"/>
        <v/>
      </c>
      <c r="C1135" t="str">
        <f t="shared" si="53"/>
        <v/>
      </c>
    </row>
    <row r="1136" spans="1:3" x14ac:dyDescent="0.4">
      <c r="A1136" t="str">
        <f t="shared" si="51"/>
        <v/>
      </c>
      <c r="B1136" t="str">
        <f t="shared" si="52"/>
        <v/>
      </c>
      <c r="C1136" t="str">
        <f t="shared" si="53"/>
        <v/>
      </c>
    </row>
    <row r="1137" spans="1:3" x14ac:dyDescent="0.4">
      <c r="A1137" t="str">
        <f t="shared" si="51"/>
        <v/>
      </c>
      <c r="B1137" t="str">
        <f t="shared" si="52"/>
        <v/>
      </c>
      <c r="C1137" t="str">
        <f t="shared" si="53"/>
        <v/>
      </c>
    </row>
    <row r="1138" spans="1:3" x14ac:dyDescent="0.4">
      <c r="A1138" t="str">
        <f t="shared" si="51"/>
        <v/>
      </c>
      <c r="B1138" t="str">
        <f t="shared" si="52"/>
        <v/>
      </c>
      <c r="C1138" t="str">
        <f t="shared" si="53"/>
        <v/>
      </c>
    </row>
    <row r="1139" spans="1:3" x14ac:dyDescent="0.4">
      <c r="A1139" t="str">
        <f t="shared" si="51"/>
        <v/>
      </c>
      <c r="B1139" t="str">
        <f t="shared" si="52"/>
        <v/>
      </c>
      <c r="C1139" t="str">
        <f t="shared" si="53"/>
        <v/>
      </c>
    </row>
    <row r="1140" spans="1:3" x14ac:dyDescent="0.4">
      <c r="A1140" t="str">
        <f t="shared" si="51"/>
        <v/>
      </c>
      <c r="B1140" t="str">
        <f t="shared" si="52"/>
        <v/>
      </c>
      <c r="C1140" t="str">
        <f t="shared" si="53"/>
        <v/>
      </c>
    </row>
    <row r="1141" spans="1:3" x14ac:dyDescent="0.4">
      <c r="A1141" t="str">
        <f t="shared" si="51"/>
        <v/>
      </c>
      <c r="B1141" t="str">
        <f t="shared" si="52"/>
        <v/>
      </c>
      <c r="C1141" t="str">
        <f t="shared" si="53"/>
        <v/>
      </c>
    </row>
    <row r="1142" spans="1:3" x14ac:dyDescent="0.4">
      <c r="A1142" t="str">
        <f t="shared" si="51"/>
        <v/>
      </c>
      <c r="B1142" t="str">
        <f t="shared" si="52"/>
        <v/>
      </c>
      <c r="C1142" t="str">
        <f t="shared" si="53"/>
        <v/>
      </c>
    </row>
    <row r="1143" spans="1:3" x14ac:dyDescent="0.4">
      <c r="A1143" t="str">
        <f t="shared" si="51"/>
        <v/>
      </c>
      <c r="B1143" t="str">
        <f t="shared" si="52"/>
        <v/>
      </c>
      <c r="C1143" t="str">
        <f t="shared" si="53"/>
        <v/>
      </c>
    </row>
    <row r="1144" spans="1:3" x14ac:dyDescent="0.4">
      <c r="A1144" t="str">
        <f t="shared" si="51"/>
        <v/>
      </c>
      <c r="B1144" t="str">
        <f t="shared" si="52"/>
        <v/>
      </c>
      <c r="C1144" t="str">
        <f t="shared" si="53"/>
        <v/>
      </c>
    </row>
    <row r="1145" spans="1:3" x14ac:dyDescent="0.4">
      <c r="A1145" t="str">
        <f t="shared" si="51"/>
        <v/>
      </c>
      <c r="B1145" t="str">
        <f t="shared" si="52"/>
        <v/>
      </c>
      <c r="C1145" t="str">
        <f t="shared" si="53"/>
        <v/>
      </c>
    </row>
    <row r="1146" spans="1:3" x14ac:dyDescent="0.4">
      <c r="A1146" t="str">
        <f t="shared" si="51"/>
        <v/>
      </c>
      <c r="B1146" t="str">
        <f t="shared" si="52"/>
        <v/>
      </c>
      <c r="C1146" t="str">
        <f t="shared" si="53"/>
        <v/>
      </c>
    </row>
    <row r="1147" spans="1:3" x14ac:dyDescent="0.4">
      <c r="A1147" t="str">
        <f t="shared" si="51"/>
        <v/>
      </c>
      <c r="B1147" t="str">
        <f t="shared" si="52"/>
        <v/>
      </c>
      <c r="C1147" t="str">
        <f t="shared" si="53"/>
        <v/>
      </c>
    </row>
    <row r="1148" spans="1:3" x14ac:dyDescent="0.4">
      <c r="A1148" t="str">
        <f t="shared" si="51"/>
        <v/>
      </c>
      <c r="B1148" t="str">
        <f t="shared" si="52"/>
        <v/>
      </c>
      <c r="C1148" t="str">
        <f t="shared" si="53"/>
        <v/>
      </c>
    </row>
    <row r="1149" spans="1:3" x14ac:dyDescent="0.4">
      <c r="A1149" t="str">
        <f t="shared" si="51"/>
        <v/>
      </c>
      <c r="B1149" t="str">
        <f t="shared" si="52"/>
        <v/>
      </c>
      <c r="C1149" t="str">
        <f t="shared" si="53"/>
        <v/>
      </c>
    </row>
    <row r="1150" spans="1:3" x14ac:dyDescent="0.4">
      <c r="A1150" t="str">
        <f t="shared" si="51"/>
        <v/>
      </c>
      <c r="B1150" t="str">
        <f t="shared" si="52"/>
        <v/>
      </c>
      <c r="C1150" t="str">
        <f t="shared" si="53"/>
        <v/>
      </c>
    </row>
    <row r="1151" spans="1:3" x14ac:dyDescent="0.4">
      <c r="A1151" t="str">
        <f t="shared" si="51"/>
        <v/>
      </c>
      <c r="B1151" t="str">
        <f t="shared" si="52"/>
        <v/>
      </c>
      <c r="C1151" t="str">
        <f t="shared" si="53"/>
        <v/>
      </c>
    </row>
    <row r="1152" spans="1:3" x14ac:dyDescent="0.4">
      <c r="A1152" t="str">
        <f t="shared" si="51"/>
        <v/>
      </c>
      <c r="B1152" t="str">
        <f t="shared" si="52"/>
        <v/>
      </c>
      <c r="C1152" t="str">
        <f t="shared" si="53"/>
        <v/>
      </c>
    </row>
    <row r="1153" spans="1:3" x14ac:dyDescent="0.4">
      <c r="A1153" t="str">
        <f t="shared" si="51"/>
        <v/>
      </c>
      <c r="B1153" t="str">
        <f t="shared" si="52"/>
        <v/>
      </c>
      <c r="C1153" t="str">
        <f t="shared" si="53"/>
        <v/>
      </c>
    </row>
    <row r="1154" spans="1:3" x14ac:dyDescent="0.4">
      <c r="A1154" t="str">
        <f t="shared" si="51"/>
        <v/>
      </c>
      <c r="B1154" t="str">
        <f t="shared" si="52"/>
        <v/>
      </c>
      <c r="C1154" t="str">
        <f t="shared" si="53"/>
        <v/>
      </c>
    </row>
    <row r="1155" spans="1:3" x14ac:dyDescent="0.4">
      <c r="A1155" t="str">
        <f t="shared" ref="A1155:A1218" si="54">IF($F1155="","",$F1155&amp;"|"&amp;$H1155)</f>
        <v/>
      </c>
      <c r="B1155" t="str">
        <f t="shared" ref="B1155:B1218" si="55">IF(F1155&lt;&gt;"",F1155,"")</f>
        <v/>
      </c>
      <c r="C1155" t="str">
        <f t="shared" ref="C1155:C1218" si="56">IF(H1155&lt;&gt;"", H1155, "")</f>
        <v/>
      </c>
    </row>
    <row r="1156" spans="1:3" x14ac:dyDescent="0.4">
      <c r="A1156" t="str">
        <f t="shared" si="54"/>
        <v/>
      </c>
      <c r="B1156" t="str">
        <f t="shared" si="55"/>
        <v/>
      </c>
      <c r="C1156" t="str">
        <f t="shared" si="56"/>
        <v/>
      </c>
    </row>
    <row r="1157" spans="1:3" x14ac:dyDescent="0.4">
      <c r="A1157" t="str">
        <f t="shared" si="54"/>
        <v/>
      </c>
      <c r="B1157" t="str">
        <f t="shared" si="55"/>
        <v/>
      </c>
      <c r="C1157" t="str">
        <f t="shared" si="56"/>
        <v/>
      </c>
    </row>
    <row r="1158" spans="1:3" x14ac:dyDescent="0.4">
      <c r="A1158" t="str">
        <f t="shared" si="54"/>
        <v/>
      </c>
      <c r="B1158" t="str">
        <f t="shared" si="55"/>
        <v/>
      </c>
      <c r="C1158" t="str">
        <f t="shared" si="56"/>
        <v/>
      </c>
    </row>
    <row r="1159" spans="1:3" x14ac:dyDescent="0.4">
      <c r="A1159" t="str">
        <f t="shared" si="54"/>
        <v/>
      </c>
      <c r="B1159" t="str">
        <f t="shared" si="55"/>
        <v/>
      </c>
      <c r="C1159" t="str">
        <f t="shared" si="56"/>
        <v/>
      </c>
    </row>
    <row r="1160" spans="1:3" x14ac:dyDescent="0.4">
      <c r="A1160" t="str">
        <f t="shared" si="54"/>
        <v/>
      </c>
      <c r="B1160" t="str">
        <f t="shared" si="55"/>
        <v/>
      </c>
      <c r="C1160" t="str">
        <f t="shared" si="56"/>
        <v/>
      </c>
    </row>
    <row r="1161" spans="1:3" x14ac:dyDescent="0.4">
      <c r="A1161" t="str">
        <f t="shared" si="54"/>
        <v/>
      </c>
      <c r="B1161" t="str">
        <f t="shared" si="55"/>
        <v/>
      </c>
      <c r="C1161" t="str">
        <f t="shared" si="56"/>
        <v/>
      </c>
    </row>
    <row r="1162" spans="1:3" x14ac:dyDescent="0.4">
      <c r="A1162" t="str">
        <f t="shared" si="54"/>
        <v/>
      </c>
      <c r="B1162" t="str">
        <f t="shared" si="55"/>
        <v/>
      </c>
      <c r="C1162" t="str">
        <f t="shared" si="56"/>
        <v/>
      </c>
    </row>
    <row r="1163" spans="1:3" x14ac:dyDescent="0.4">
      <c r="A1163" t="str">
        <f t="shared" si="54"/>
        <v/>
      </c>
      <c r="B1163" t="str">
        <f t="shared" si="55"/>
        <v/>
      </c>
      <c r="C1163" t="str">
        <f t="shared" si="56"/>
        <v/>
      </c>
    </row>
    <row r="1164" spans="1:3" x14ac:dyDescent="0.4">
      <c r="A1164" t="str">
        <f t="shared" si="54"/>
        <v/>
      </c>
      <c r="B1164" t="str">
        <f t="shared" si="55"/>
        <v/>
      </c>
      <c r="C1164" t="str">
        <f t="shared" si="56"/>
        <v/>
      </c>
    </row>
    <row r="1165" spans="1:3" x14ac:dyDescent="0.4">
      <c r="A1165" t="str">
        <f t="shared" si="54"/>
        <v/>
      </c>
      <c r="B1165" t="str">
        <f t="shared" si="55"/>
        <v/>
      </c>
      <c r="C1165" t="str">
        <f t="shared" si="56"/>
        <v/>
      </c>
    </row>
    <row r="1166" spans="1:3" x14ac:dyDescent="0.4">
      <c r="A1166" t="str">
        <f t="shared" si="54"/>
        <v/>
      </c>
      <c r="B1166" t="str">
        <f t="shared" si="55"/>
        <v/>
      </c>
      <c r="C1166" t="str">
        <f t="shared" si="56"/>
        <v/>
      </c>
    </row>
    <row r="1167" spans="1:3" x14ac:dyDescent="0.4">
      <c r="A1167" t="str">
        <f t="shared" si="54"/>
        <v/>
      </c>
      <c r="B1167" t="str">
        <f t="shared" si="55"/>
        <v/>
      </c>
      <c r="C1167" t="str">
        <f t="shared" si="56"/>
        <v/>
      </c>
    </row>
    <row r="1168" spans="1:3" x14ac:dyDescent="0.4">
      <c r="A1168" t="str">
        <f t="shared" si="54"/>
        <v/>
      </c>
      <c r="B1168" t="str">
        <f t="shared" si="55"/>
        <v/>
      </c>
      <c r="C1168" t="str">
        <f t="shared" si="56"/>
        <v/>
      </c>
    </row>
    <row r="1169" spans="1:3" x14ac:dyDescent="0.4">
      <c r="A1169" t="str">
        <f t="shared" si="54"/>
        <v/>
      </c>
      <c r="B1169" t="str">
        <f t="shared" si="55"/>
        <v/>
      </c>
      <c r="C1169" t="str">
        <f t="shared" si="56"/>
        <v/>
      </c>
    </row>
    <row r="1170" spans="1:3" x14ac:dyDescent="0.4">
      <c r="A1170" t="str">
        <f t="shared" si="54"/>
        <v/>
      </c>
      <c r="B1170" t="str">
        <f t="shared" si="55"/>
        <v/>
      </c>
      <c r="C1170" t="str">
        <f t="shared" si="56"/>
        <v/>
      </c>
    </row>
    <row r="1171" spans="1:3" x14ac:dyDescent="0.4">
      <c r="A1171" t="str">
        <f t="shared" si="54"/>
        <v/>
      </c>
      <c r="B1171" t="str">
        <f t="shared" si="55"/>
        <v/>
      </c>
      <c r="C1171" t="str">
        <f t="shared" si="56"/>
        <v/>
      </c>
    </row>
    <row r="1172" spans="1:3" x14ac:dyDescent="0.4">
      <c r="A1172" t="str">
        <f t="shared" si="54"/>
        <v/>
      </c>
      <c r="B1172" t="str">
        <f t="shared" si="55"/>
        <v/>
      </c>
      <c r="C1172" t="str">
        <f t="shared" si="56"/>
        <v/>
      </c>
    </row>
    <row r="1173" spans="1:3" x14ac:dyDescent="0.4">
      <c r="A1173" t="str">
        <f t="shared" si="54"/>
        <v/>
      </c>
      <c r="B1173" t="str">
        <f t="shared" si="55"/>
        <v/>
      </c>
      <c r="C1173" t="str">
        <f t="shared" si="56"/>
        <v/>
      </c>
    </row>
    <row r="1174" spans="1:3" x14ac:dyDescent="0.4">
      <c r="A1174" t="str">
        <f t="shared" si="54"/>
        <v/>
      </c>
      <c r="B1174" t="str">
        <f t="shared" si="55"/>
        <v/>
      </c>
      <c r="C1174" t="str">
        <f t="shared" si="56"/>
        <v/>
      </c>
    </row>
    <row r="1175" spans="1:3" x14ac:dyDescent="0.4">
      <c r="A1175" t="str">
        <f t="shared" si="54"/>
        <v/>
      </c>
      <c r="B1175" t="str">
        <f t="shared" si="55"/>
        <v/>
      </c>
      <c r="C1175" t="str">
        <f t="shared" si="56"/>
        <v/>
      </c>
    </row>
    <row r="1176" spans="1:3" x14ac:dyDescent="0.4">
      <c r="A1176" t="str">
        <f t="shared" si="54"/>
        <v/>
      </c>
      <c r="B1176" t="str">
        <f t="shared" si="55"/>
        <v/>
      </c>
      <c r="C1176" t="str">
        <f t="shared" si="56"/>
        <v/>
      </c>
    </row>
    <row r="1177" spans="1:3" x14ac:dyDescent="0.4">
      <c r="A1177" t="str">
        <f t="shared" si="54"/>
        <v/>
      </c>
      <c r="B1177" t="str">
        <f t="shared" si="55"/>
        <v/>
      </c>
      <c r="C1177" t="str">
        <f t="shared" si="56"/>
        <v/>
      </c>
    </row>
    <row r="1178" spans="1:3" x14ac:dyDescent="0.4">
      <c r="A1178" t="str">
        <f t="shared" si="54"/>
        <v/>
      </c>
      <c r="B1178" t="str">
        <f t="shared" si="55"/>
        <v/>
      </c>
      <c r="C1178" t="str">
        <f t="shared" si="56"/>
        <v/>
      </c>
    </row>
    <row r="1179" spans="1:3" x14ac:dyDescent="0.4">
      <c r="A1179" t="str">
        <f t="shared" si="54"/>
        <v/>
      </c>
      <c r="B1179" t="str">
        <f t="shared" si="55"/>
        <v/>
      </c>
      <c r="C1179" t="str">
        <f t="shared" si="56"/>
        <v/>
      </c>
    </row>
    <row r="1180" spans="1:3" x14ac:dyDescent="0.4">
      <c r="A1180" t="str">
        <f t="shared" si="54"/>
        <v/>
      </c>
      <c r="B1180" t="str">
        <f t="shared" si="55"/>
        <v/>
      </c>
      <c r="C1180" t="str">
        <f t="shared" si="56"/>
        <v/>
      </c>
    </row>
    <row r="1181" spans="1:3" x14ac:dyDescent="0.4">
      <c r="A1181" t="str">
        <f t="shared" si="54"/>
        <v/>
      </c>
      <c r="B1181" t="str">
        <f t="shared" si="55"/>
        <v/>
      </c>
      <c r="C1181" t="str">
        <f t="shared" si="56"/>
        <v/>
      </c>
    </row>
    <row r="1182" spans="1:3" x14ac:dyDescent="0.4">
      <c r="A1182" t="str">
        <f t="shared" si="54"/>
        <v/>
      </c>
      <c r="B1182" t="str">
        <f t="shared" si="55"/>
        <v/>
      </c>
      <c r="C1182" t="str">
        <f t="shared" si="56"/>
        <v/>
      </c>
    </row>
    <row r="1183" spans="1:3" x14ac:dyDescent="0.4">
      <c r="A1183" t="str">
        <f t="shared" si="54"/>
        <v/>
      </c>
      <c r="B1183" t="str">
        <f t="shared" si="55"/>
        <v/>
      </c>
      <c r="C1183" t="str">
        <f t="shared" si="56"/>
        <v/>
      </c>
    </row>
    <row r="1184" spans="1:3" x14ac:dyDescent="0.4">
      <c r="A1184" t="str">
        <f t="shared" si="54"/>
        <v/>
      </c>
      <c r="B1184" t="str">
        <f t="shared" si="55"/>
        <v/>
      </c>
      <c r="C1184" t="str">
        <f t="shared" si="56"/>
        <v/>
      </c>
    </row>
    <row r="1185" spans="1:3" x14ac:dyDescent="0.4">
      <c r="A1185" t="str">
        <f t="shared" si="54"/>
        <v/>
      </c>
      <c r="B1185" t="str">
        <f t="shared" si="55"/>
        <v/>
      </c>
      <c r="C1185" t="str">
        <f t="shared" si="56"/>
        <v/>
      </c>
    </row>
    <row r="1186" spans="1:3" x14ac:dyDescent="0.4">
      <c r="A1186" t="str">
        <f t="shared" si="54"/>
        <v/>
      </c>
      <c r="B1186" t="str">
        <f t="shared" si="55"/>
        <v/>
      </c>
      <c r="C1186" t="str">
        <f t="shared" si="56"/>
        <v/>
      </c>
    </row>
    <row r="1187" spans="1:3" x14ac:dyDescent="0.4">
      <c r="A1187" t="str">
        <f t="shared" si="54"/>
        <v/>
      </c>
      <c r="B1187" t="str">
        <f t="shared" si="55"/>
        <v/>
      </c>
      <c r="C1187" t="str">
        <f t="shared" si="56"/>
        <v/>
      </c>
    </row>
    <row r="1188" spans="1:3" x14ac:dyDescent="0.4">
      <c r="A1188" t="str">
        <f t="shared" si="54"/>
        <v/>
      </c>
      <c r="B1188" t="str">
        <f t="shared" si="55"/>
        <v/>
      </c>
      <c r="C1188" t="str">
        <f t="shared" si="56"/>
        <v/>
      </c>
    </row>
    <row r="1189" spans="1:3" x14ac:dyDescent="0.4">
      <c r="A1189" t="str">
        <f t="shared" si="54"/>
        <v/>
      </c>
      <c r="B1189" t="str">
        <f t="shared" si="55"/>
        <v/>
      </c>
      <c r="C1189" t="str">
        <f t="shared" si="56"/>
        <v/>
      </c>
    </row>
    <row r="1190" spans="1:3" x14ac:dyDescent="0.4">
      <c r="A1190" t="str">
        <f t="shared" si="54"/>
        <v/>
      </c>
      <c r="B1190" t="str">
        <f t="shared" si="55"/>
        <v/>
      </c>
      <c r="C1190" t="str">
        <f t="shared" si="56"/>
        <v/>
      </c>
    </row>
    <row r="1191" spans="1:3" x14ac:dyDescent="0.4">
      <c r="A1191" t="str">
        <f t="shared" si="54"/>
        <v/>
      </c>
      <c r="B1191" t="str">
        <f t="shared" si="55"/>
        <v/>
      </c>
      <c r="C1191" t="str">
        <f t="shared" si="56"/>
        <v/>
      </c>
    </row>
    <row r="1192" spans="1:3" x14ac:dyDescent="0.4">
      <c r="A1192" t="str">
        <f t="shared" si="54"/>
        <v/>
      </c>
      <c r="B1192" t="str">
        <f t="shared" si="55"/>
        <v/>
      </c>
      <c r="C1192" t="str">
        <f t="shared" si="56"/>
        <v/>
      </c>
    </row>
    <row r="1193" spans="1:3" x14ac:dyDescent="0.4">
      <c r="A1193" t="str">
        <f t="shared" si="54"/>
        <v/>
      </c>
      <c r="B1193" t="str">
        <f t="shared" si="55"/>
        <v/>
      </c>
      <c r="C1193" t="str">
        <f t="shared" si="56"/>
        <v/>
      </c>
    </row>
    <row r="1194" spans="1:3" x14ac:dyDescent="0.4">
      <c r="A1194" t="str">
        <f t="shared" si="54"/>
        <v/>
      </c>
      <c r="B1194" t="str">
        <f t="shared" si="55"/>
        <v/>
      </c>
      <c r="C1194" t="str">
        <f t="shared" si="56"/>
        <v/>
      </c>
    </row>
    <row r="1195" spans="1:3" x14ac:dyDescent="0.4">
      <c r="A1195" t="str">
        <f t="shared" si="54"/>
        <v/>
      </c>
      <c r="B1195" t="str">
        <f t="shared" si="55"/>
        <v/>
      </c>
      <c r="C1195" t="str">
        <f t="shared" si="56"/>
        <v/>
      </c>
    </row>
    <row r="1196" spans="1:3" x14ac:dyDescent="0.4">
      <c r="A1196" t="str">
        <f t="shared" si="54"/>
        <v/>
      </c>
      <c r="B1196" t="str">
        <f t="shared" si="55"/>
        <v/>
      </c>
      <c r="C1196" t="str">
        <f t="shared" si="56"/>
        <v/>
      </c>
    </row>
    <row r="1197" spans="1:3" x14ac:dyDescent="0.4">
      <c r="A1197" t="str">
        <f t="shared" si="54"/>
        <v/>
      </c>
      <c r="B1197" t="str">
        <f t="shared" si="55"/>
        <v/>
      </c>
      <c r="C1197" t="str">
        <f t="shared" si="56"/>
        <v/>
      </c>
    </row>
    <row r="1198" spans="1:3" x14ac:dyDescent="0.4">
      <c r="A1198" t="str">
        <f t="shared" si="54"/>
        <v/>
      </c>
      <c r="B1198" t="str">
        <f t="shared" si="55"/>
        <v/>
      </c>
      <c r="C1198" t="str">
        <f t="shared" si="56"/>
        <v/>
      </c>
    </row>
    <row r="1199" spans="1:3" x14ac:dyDescent="0.4">
      <c r="A1199" t="str">
        <f t="shared" si="54"/>
        <v/>
      </c>
      <c r="B1199" t="str">
        <f t="shared" si="55"/>
        <v/>
      </c>
      <c r="C1199" t="str">
        <f t="shared" si="56"/>
        <v/>
      </c>
    </row>
    <row r="1200" spans="1:3" x14ac:dyDescent="0.4">
      <c r="A1200" t="str">
        <f t="shared" si="54"/>
        <v/>
      </c>
      <c r="B1200" t="str">
        <f t="shared" si="55"/>
        <v/>
      </c>
      <c r="C1200" t="str">
        <f t="shared" si="56"/>
        <v/>
      </c>
    </row>
    <row r="1201" spans="1:3" x14ac:dyDescent="0.4">
      <c r="A1201" t="str">
        <f t="shared" si="54"/>
        <v/>
      </c>
      <c r="B1201" t="str">
        <f t="shared" si="55"/>
        <v/>
      </c>
      <c r="C1201" t="str">
        <f t="shared" si="56"/>
        <v/>
      </c>
    </row>
    <row r="1202" spans="1:3" x14ac:dyDescent="0.4">
      <c r="A1202" t="str">
        <f t="shared" si="54"/>
        <v/>
      </c>
      <c r="B1202" t="str">
        <f t="shared" si="55"/>
        <v/>
      </c>
      <c r="C1202" t="str">
        <f t="shared" si="56"/>
        <v/>
      </c>
    </row>
    <row r="1203" spans="1:3" x14ac:dyDescent="0.4">
      <c r="A1203" t="str">
        <f t="shared" si="54"/>
        <v/>
      </c>
      <c r="B1203" t="str">
        <f t="shared" si="55"/>
        <v/>
      </c>
      <c r="C1203" t="str">
        <f t="shared" si="56"/>
        <v/>
      </c>
    </row>
    <row r="1204" spans="1:3" x14ac:dyDescent="0.4">
      <c r="A1204" t="str">
        <f t="shared" si="54"/>
        <v/>
      </c>
      <c r="B1204" t="str">
        <f t="shared" si="55"/>
        <v/>
      </c>
      <c r="C1204" t="str">
        <f t="shared" si="56"/>
        <v/>
      </c>
    </row>
    <row r="1205" spans="1:3" x14ac:dyDescent="0.4">
      <c r="A1205" t="str">
        <f t="shared" si="54"/>
        <v/>
      </c>
      <c r="B1205" t="str">
        <f t="shared" si="55"/>
        <v/>
      </c>
      <c r="C1205" t="str">
        <f t="shared" si="56"/>
        <v/>
      </c>
    </row>
    <row r="1206" spans="1:3" x14ac:dyDescent="0.4">
      <c r="A1206" t="str">
        <f t="shared" si="54"/>
        <v/>
      </c>
      <c r="B1206" t="str">
        <f t="shared" si="55"/>
        <v/>
      </c>
      <c r="C1206" t="str">
        <f t="shared" si="56"/>
        <v/>
      </c>
    </row>
    <row r="1207" spans="1:3" x14ac:dyDescent="0.4">
      <c r="A1207" t="str">
        <f t="shared" si="54"/>
        <v/>
      </c>
      <c r="B1207" t="str">
        <f t="shared" si="55"/>
        <v/>
      </c>
      <c r="C1207" t="str">
        <f t="shared" si="56"/>
        <v/>
      </c>
    </row>
    <row r="1208" spans="1:3" x14ac:dyDescent="0.4">
      <c r="A1208" t="str">
        <f t="shared" si="54"/>
        <v/>
      </c>
      <c r="B1208" t="str">
        <f t="shared" si="55"/>
        <v/>
      </c>
      <c r="C1208" t="str">
        <f t="shared" si="56"/>
        <v/>
      </c>
    </row>
    <row r="1209" spans="1:3" x14ac:dyDescent="0.4">
      <c r="A1209" t="str">
        <f t="shared" si="54"/>
        <v/>
      </c>
      <c r="B1209" t="str">
        <f t="shared" si="55"/>
        <v/>
      </c>
      <c r="C1209" t="str">
        <f t="shared" si="56"/>
        <v/>
      </c>
    </row>
    <row r="1210" spans="1:3" x14ac:dyDescent="0.4">
      <c r="A1210" t="str">
        <f t="shared" si="54"/>
        <v/>
      </c>
      <c r="B1210" t="str">
        <f t="shared" si="55"/>
        <v/>
      </c>
      <c r="C1210" t="str">
        <f t="shared" si="56"/>
        <v/>
      </c>
    </row>
    <row r="1211" spans="1:3" x14ac:dyDescent="0.4">
      <c r="A1211" t="str">
        <f t="shared" si="54"/>
        <v/>
      </c>
      <c r="B1211" t="str">
        <f t="shared" si="55"/>
        <v/>
      </c>
      <c r="C1211" t="str">
        <f t="shared" si="56"/>
        <v/>
      </c>
    </row>
    <row r="1212" spans="1:3" x14ac:dyDescent="0.4">
      <c r="A1212" t="str">
        <f t="shared" si="54"/>
        <v/>
      </c>
      <c r="B1212" t="str">
        <f t="shared" si="55"/>
        <v/>
      </c>
      <c r="C1212" t="str">
        <f t="shared" si="56"/>
        <v/>
      </c>
    </row>
    <row r="1213" spans="1:3" x14ac:dyDescent="0.4">
      <c r="A1213" t="str">
        <f t="shared" si="54"/>
        <v/>
      </c>
      <c r="B1213" t="str">
        <f t="shared" si="55"/>
        <v/>
      </c>
      <c r="C1213" t="str">
        <f t="shared" si="56"/>
        <v/>
      </c>
    </row>
    <row r="1214" spans="1:3" x14ac:dyDescent="0.4">
      <c r="A1214" t="str">
        <f t="shared" si="54"/>
        <v/>
      </c>
      <c r="B1214" t="str">
        <f t="shared" si="55"/>
        <v/>
      </c>
      <c r="C1214" t="str">
        <f t="shared" si="56"/>
        <v/>
      </c>
    </row>
    <row r="1215" spans="1:3" x14ac:dyDescent="0.4">
      <c r="A1215" t="str">
        <f t="shared" si="54"/>
        <v/>
      </c>
      <c r="B1215" t="str">
        <f t="shared" si="55"/>
        <v/>
      </c>
      <c r="C1215" t="str">
        <f t="shared" si="56"/>
        <v/>
      </c>
    </row>
    <row r="1216" spans="1:3" x14ac:dyDescent="0.4">
      <c r="A1216" t="str">
        <f t="shared" si="54"/>
        <v/>
      </c>
      <c r="B1216" t="str">
        <f t="shared" si="55"/>
        <v/>
      </c>
      <c r="C1216" t="str">
        <f t="shared" si="56"/>
        <v/>
      </c>
    </row>
    <row r="1217" spans="1:3" x14ac:dyDescent="0.4">
      <c r="A1217" t="str">
        <f t="shared" si="54"/>
        <v/>
      </c>
      <c r="B1217" t="str">
        <f t="shared" si="55"/>
        <v/>
      </c>
      <c r="C1217" t="str">
        <f t="shared" si="56"/>
        <v/>
      </c>
    </row>
    <row r="1218" spans="1:3" x14ac:dyDescent="0.4">
      <c r="A1218" t="str">
        <f t="shared" si="54"/>
        <v/>
      </c>
      <c r="B1218" t="str">
        <f t="shared" si="55"/>
        <v/>
      </c>
      <c r="C1218" t="str">
        <f t="shared" si="56"/>
        <v/>
      </c>
    </row>
    <row r="1219" spans="1:3" x14ac:dyDescent="0.4">
      <c r="A1219" t="str">
        <f t="shared" ref="A1219:A1282" si="57">IF($F1219="","",$F1219&amp;"|"&amp;$H1219)</f>
        <v/>
      </c>
      <c r="B1219" t="str">
        <f t="shared" ref="B1219:B1282" si="58">IF(F1219&lt;&gt;"",F1219,"")</f>
        <v/>
      </c>
      <c r="C1219" t="str">
        <f t="shared" ref="C1219:C1282" si="59">IF(H1219&lt;&gt;"", H1219, "")</f>
        <v/>
      </c>
    </row>
    <row r="1220" spans="1:3" x14ac:dyDescent="0.4">
      <c r="A1220" t="str">
        <f t="shared" si="57"/>
        <v/>
      </c>
      <c r="B1220" t="str">
        <f t="shared" si="58"/>
        <v/>
      </c>
      <c r="C1220" t="str">
        <f t="shared" si="59"/>
        <v/>
      </c>
    </row>
    <row r="1221" spans="1:3" x14ac:dyDescent="0.4">
      <c r="A1221" t="str">
        <f t="shared" si="57"/>
        <v/>
      </c>
      <c r="B1221" t="str">
        <f t="shared" si="58"/>
        <v/>
      </c>
      <c r="C1221" t="str">
        <f t="shared" si="59"/>
        <v/>
      </c>
    </row>
    <row r="1222" spans="1:3" x14ac:dyDescent="0.4">
      <c r="A1222" t="str">
        <f t="shared" si="57"/>
        <v/>
      </c>
      <c r="B1222" t="str">
        <f t="shared" si="58"/>
        <v/>
      </c>
      <c r="C1222" t="str">
        <f t="shared" si="59"/>
        <v/>
      </c>
    </row>
    <row r="1223" spans="1:3" x14ac:dyDescent="0.4">
      <c r="A1223" t="str">
        <f t="shared" si="57"/>
        <v/>
      </c>
      <c r="B1223" t="str">
        <f t="shared" si="58"/>
        <v/>
      </c>
      <c r="C1223" t="str">
        <f t="shared" si="59"/>
        <v/>
      </c>
    </row>
    <row r="1224" spans="1:3" x14ac:dyDescent="0.4">
      <c r="A1224" t="str">
        <f t="shared" si="57"/>
        <v/>
      </c>
      <c r="B1224" t="str">
        <f t="shared" si="58"/>
        <v/>
      </c>
      <c r="C1224" t="str">
        <f t="shared" si="59"/>
        <v/>
      </c>
    </row>
    <row r="1225" spans="1:3" x14ac:dyDescent="0.4">
      <c r="A1225" t="str">
        <f t="shared" si="57"/>
        <v/>
      </c>
      <c r="B1225" t="str">
        <f t="shared" si="58"/>
        <v/>
      </c>
      <c r="C1225" t="str">
        <f t="shared" si="59"/>
        <v/>
      </c>
    </row>
    <row r="1226" spans="1:3" x14ac:dyDescent="0.4">
      <c r="A1226" t="str">
        <f t="shared" si="57"/>
        <v/>
      </c>
      <c r="B1226" t="str">
        <f t="shared" si="58"/>
        <v/>
      </c>
      <c r="C1226" t="str">
        <f t="shared" si="59"/>
        <v/>
      </c>
    </row>
    <row r="1227" spans="1:3" x14ac:dyDescent="0.4">
      <c r="A1227" t="str">
        <f t="shared" si="57"/>
        <v/>
      </c>
      <c r="B1227" t="str">
        <f t="shared" si="58"/>
        <v/>
      </c>
      <c r="C1227" t="str">
        <f t="shared" si="59"/>
        <v/>
      </c>
    </row>
    <row r="1228" spans="1:3" x14ac:dyDescent="0.4">
      <c r="A1228" t="str">
        <f t="shared" si="57"/>
        <v/>
      </c>
      <c r="B1228" t="str">
        <f t="shared" si="58"/>
        <v/>
      </c>
      <c r="C1228" t="str">
        <f t="shared" si="59"/>
        <v/>
      </c>
    </row>
    <row r="1229" spans="1:3" x14ac:dyDescent="0.4">
      <c r="A1229" t="str">
        <f t="shared" si="57"/>
        <v/>
      </c>
      <c r="B1229" t="str">
        <f t="shared" si="58"/>
        <v/>
      </c>
      <c r="C1229" t="str">
        <f t="shared" si="59"/>
        <v/>
      </c>
    </row>
    <row r="1230" spans="1:3" x14ac:dyDescent="0.4">
      <c r="A1230" t="str">
        <f t="shared" si="57"/>
        <v/>
      </c>
      <c r="B1230" t="str">
        <f t="shared" si="58"/>
        <v/>
      </c>
      <c r="C1230" t="str">
        <f t="shared" si="59"/>
        <v/>
      </c>
    </row>
    <row r="1231" spans="1:3" x14ac:dyDescent="0.4">
      <c r="A1231" t="str">
        <f t="shared" si="57"/>
        <v/>
      </c>
      <c r="B1231" t="str">
        <f t="shared" si="58"/>
        <v/>
      </c>
      <c r="C1231" t="str">
        <f t="shared" si="59"/>
        <v/>
      </c>
    </row>
    <row r="1232" spans="1:3" x14ac:dyDescent="0.4">
      <c r="A1232" t="str">
        <f t="shared" si="57"/>
        <v/>
      </c>
      <c r="B1232" t="str">
        <f t="shared" si="58"/>
        <v/>
      </c>
      <c r="C1232" t="str">
        <f t="shared" si="59"/>
        <v/>
      </c>
    </row>
    <row r="1233" spans="1:3" x14ac:dyDescent="0.4">
      <c r="A1233" t="str">
        <f t="shared" si="57"/>
        <v/>
      </c>
      <c r="B1233" t="str">
        <f t="shared" si="58"/>
        <v/>
      </c>
      <c r="C1233" t="str">
        <f t="shared" si="59"/>
        <v/>
      </c>
    </row>
    <row r="1234" spans="1:3" x14ac:dyDescent="0.4">
      <c r="A1234" t="str">
        <f t="shared" si="57"/>
        <v/>
      </c>
      <c r="B1234" t="str">
        <f t="shared" si="58"/>
        <v/>
      </c>
      <c r="C1234" t="str">
        <f t="shared" si="59"/>
        <v/>
      </c>
    </row>
    <row r="1235" spans="1:3" x14ac:dyDescent="0.4">
      <c r="A1235" t="str">
        <f t="shared" si="57"/>
        <v/>
      </c>
      <c r="B1235" t="str">
        <f t="shared" si="58"/>
        <v/>
      </c>
      <c r="C1235" t="str">
        <f t="shared" si="59"/>
        <v/>
      </c>
    </row>
    <row r="1236" spans="1:3" x14ac:dyDescent="0.4">
      <c r="A1236" t="str">
        <f t="shared" si="57"/>
        <v/>
      </c>
      <c r="B1236" t="str">
        <f t="shared" si="58"/>
        <v/>
      </c>
      <c r="C1236" t="str">
        <f t="shared" si="59"/>
        <v/>
      </c>
    </row>
    <row r="1237" spans="1:3" x14ac:dyDescent="0.4">
      <c r="A1237" t="str">
        <f t="shared" si="57"/>
        <v/>
      </c>
      <c r="B1237" t="str">
        <f t="shared" si="58"/>
        <v/>
      </c>
      <c r="C1237" t="str">
        <f t="shared" si="59"/>
        <v/>
      </c>
    </row>
    <row r="1238" spans="1:3" x14ac:dyDescent="0.4">
      <c r="A1238" t="str">
        <f t="shared" si="57"/>
        <v/>
      </c>
      <c r="B1238" t="str">
        <f t="shared" si="58"/>
        <v/>
      </c>
      <c r="C1238" t="str">
        <f t="shared" si="59"/>
        <v/>
      </c>
    </row>
    <row r="1239" spans="1:3" x14ac:dyDescent="0.4">
      <c r="A1239" t="str">
        <f t="shared" si="57"/>
        <v/>
      </c>
      <c r="B1239" t="str">
        <f t="shared" si="58"/>
        <v/>
      </c>
      <c r="C1239" t="str">
        <f t="shared" si="59"/>
        <v/>
      </c>
    </row>
    <row r="1240" spans="1:3" x14ac:dyDescent="0.4">
      <c r="A1240" t="str">
        <f t="shared" si="57"/>
        <v/>
      </c>
      <c r="B1240" t="str">
        <f t="shared" si="58"/>
        <v/>
      </c>
      <c r="C1240" t="str">
        <f t="shared" si="59"/>
        <v/>
      </c>
    </row>
    <row r="1241" spans="1:3" x14ac:dyDescent="0.4">
      <c r="A1241" t="str">
        <f t="shared" si="57"/>
        <v/>
      </c>
      <c r="B1241" t="str">
        <f t="shared" si="58"/>
        <v/>
      </c>
      <c r="C1241" t="str">
        <f t="shared" si="59"/>
        <v/>
      </c>
    </row>
    <row r="1242" spans="1:3" x14ac:dyDescent="0.4">
      <c r="A1242" t="str">
        <f t="shared" si="57"/>
        <v/>
      </c>
      <c r="B1242" t="str">
        <f t="shared" si="58"/>
        <v/>
      </c>
      <c r="C1242" t="str">
        <f t="shared" si="59"/>
        <v/>
      </c>
    </row>
    <row r="1243" spans="1:3" x14ac:dyDescent="0.4">
      <c r="A1243" t="str">
        <f t="shared" si="57"/>
        <v/>
      </c>
      <c r="B1243" t="str">
        <f t="shared" si="58"/>
        <v/>
      </c>
      <c r="C1243" t="str">
        <f t="shared" si="59"/>
        <v/>
      </c>
    </row>
    <row r="1244" spans="1:3" x14ac:dyDescent="0.4">
      <c r="A1244" t="str">
        <f t="shared" si="57"/>
        <v/>
      </c>
      <c r="B1244" t="str">
        <f t="shared" si="58"/>
        <v/>
      </c>
      <c r="C1244" t="str">
        <f t="shared" si="59"/>
        <v/>
      </c>
    </row>
    <row r="1245" spans="1:3" x14ac:dyDescent="0.4">
      <c r="A1245" t="str">
        <f t="shared" si="57"/>
        <v/>
      </c>
      <c r="B1245" t="str">
        <f t="shared" si="58"/>
        <v/>
      </c>
      <c r="C1245" t="str">
        <f t="shared" si="59"/>
        <v/>
      </c>
    </row>
    <row r="1246" spans="1:3" x14ac:dyDescent="0.4">
      <c r="A1246" t="str">
        <f t="shared" si="57"/>
        <v/>
      </c>
      <c r="B1246" t="str">
        <f t="shared" si="58"/>
        <v/>
      </c>
      <c r="C1246" t="str">
        <f t="shared" si="59"/>
        <v/>
      </c>
    </row>
    <row r="1247" spans="1:3" x14ac:dyDescent="0.4">
      <c r="A1247" t="str">
        <f t="shared" si="57"/>
        <v/>
      </c>
      <c r="B1247" t="str">
        <f t="shared" si="58"/>
        <v/>
      </c>
      <c r="C1247" t="str">
        <f t="shared" si="59"/>
        <v/>
      </c>
    </row>
    <row r="1248" spans="1:3" x14ac:dyDescent="0.4">
      <c r="A1248" t="str">
        <f t="shared" si="57"/>
        <v/>
      </c>
      <c r="B1248" t="str">
        <f t="shared" si="58"/>
        <v/>
      </c>
      <c r="C1248" t="str">
        <f t="shared" si="59"/>
        <v/>
      </c>
    </row>
    <row r="1249" spans="1:3" x14ac:dyDescent="0.4">
      <c r="A1249" t="str">
        <f t="shared" si="57"/>
        <v/>
      </c>
      <c r="B1249" t="str">
        <f t="shared" si="58"/>
        <v/>
      </c>
      <c r="C1249" t="str">
        <f t="shared" si="59"/>
        <v/>
      </c>
    </row>
    <row r="1250" spans="1:3" x14ac:dyDescent="0.4">
      <c r="A1250" t="str">
        <f t="shared" si="57"/>
        <v/>
      </c>
      <c r="B1250" t="str">
        <f t="shared" si="58"/>
        <v/>
      </c>
      <c r="C1250" t="str">
        <f t="shared" si="59"/>
        <v/>
      </c>
    </row>
    <row r="1251" spans="1:3" x14ac:dyDescent="0.4">
      <c r="A1251" t="str">
        <f t="shared" si="57"/>
        <v/>
      </c>
      <c r="B1251" t="str">
        <f t="shared" si="58"/>
        <v/>
      </c>
      <c r="C1251" t="str">
        <f t="shared" si="59"/>
        <v/>
      </c>
    </row>
    <row r="1252" spans="1:3" x14ac:dyDescent="0.4">
      <c r="A1252" t="str">
        <f t="shared" si="57"/>
        <v/>
      </c>
      <c r="B1252" t="str">
        <f t="shared" si="58"/>
        <v/>
      </c>
      <c r="C1252" t="str">
        <f t="shared" si="59"/>
        <v/>
      </c>
    </row>
    <row r="1253" spans="1:3" x14ac:dyDescent="0.4">
      <c r="A1253" t="str">
        <f t="shared" si="57"/>
        <v/>
      </c>
      <c r="B1253" t="str">
        <f t="shared" si="58"/>
        <v/>
      </c>
      <c r="C1253" t="str">
        <f t="shared" si="59"/>
        <v/>
      </c>
    </row>
    <row r="1254" spans="1:3" x14ac:dyDescent="0.4">
      <c r="A1254" t="str">
        <f t="shared" si="57"/>
        <v/>
      </c>
      <c r="B1254" t="str">
        <f t="shared" si="58"/>
        <v/>
      </c>
      <c r="C1254" t="str">
        <f t="shared" si="59"/>
        <v/>
      </c>
    </row>
    <row r="1255" spans="1:3" x14ac:dyDescent="0.4">
      <c r="A1255" t="str">
        <f t="shared" si="57"/>
        <v/>
      </c>
      <c r="B1255" t="str">
        <f t="shared" si="58"/>
        <v/>
      </c>
      <c r="C1255" t="str">
        <f t="shared" si="59"/>
        <v/>
      </c>
    </row>
    <row r="1256" spans="1:3" x14ac:dyDescent="0.4">
      <c r="A1256" t="str">
        <f t="shared" si="57"/>
        <v/>
      </c>
      <c r="B1256" t="str">
        <f t="shared" si="58"/>
        <v/>
      </c>
      <c r="C1256" t="str">
        <f t="shared" si="59"/>
        <v/>
      </c>
    </row>
    <row r="1257" spans="1:3" x14ac:dyDescent="0.4">
      <c r="A1257" t="str">
        <f t="shared" si="57"/>
        <v/>
      </c>
      <c r="B1257" t="str">
        <f t="shared" si="58"/>
        <v/>
      </c>
      <c r="C1257" t="str">
        <f t="shared" si="59"/>
        <v/>
      </c>
    </row>
    <row r="1258" spans="1:3" x14ac:dyDescent="0.4">
      <c r="A1258" t="str">
        <f t="shared" si="57"/>
        <v/>
      </c>
      <c r="B1258" t="str">
        <f t="shared" si="58"/>
        <v/>
      </c>
      <c r="C1258" t="str">
        <f t="shared" si="59"/>
        <v/>
      </c>
    </row>
    <row r="1259" spans="1:3" x14ac:dyDescent="0.4">
      <c r="A1259" t="str">
        <f t="shared" si="57"/>
        <v/>
      </c>
      <c r="B1259" t="str">
        <f t="shared" si="58"/>
        <v/>
      </c>
      <c r="C1259" t="str">
        <f t="shared" si="59"/>
        <v/>
      </c>
    </row>
    <row r="1260" spans="1:3" x14ac:dyDescent="0.4">
      <c r="A1260" t="str">
        <f t="shared" si="57"/>
        <v/>
      </c>
      <c r="B1260" t="str">
        <f t="shared" si="58"/>
        <v/>
      </c>
      <c r="C1260" t="str">
        <f t="shared" si="59"/>
        <v/>
      </c>
    </row>
    <row r="1261" spans="1:3" x14ac:dyDescent="0.4">
      <c r="A1261" t="str">
        <f t="shared" si="57"/>
        <v/>
      </c>
      <c r="B1261" t="str">
        <f t="shared" si="58"/>
        <v/>
      </c>
      <c r="C1261" t="str">
        <f t="shared" si="59"/>
        <v/>
      </c>
    </row>
    <row r="1262" spans="1:3" x14ac:dyDescent="0.4">
      <c r="A1262" t="str">
        <f t="shared" si="57"/>
        <v/>
      </c>
      <c r="B1262" t="str">
        <f t="shared" si="58"/>
        <v/>
      </c>
      <c r="C1262" t="str">
        <f t="shared" si="59"/>
        <v/>
      </c>
    </row>
    <row r="1263" spans="1:3" x14ac:dyDescent="0.4">
      <c r="A1263" t="str">
        <f t="shared" si="57"/>
        <v/>
      </c>
      <c r="B1263" t="str">
        <f t="shared" si="58"/>
        <v/>
      </c>
      <c r="C1263" t="str">
        <f t="shared" si="59"/>
        <v/>
      </c>
    </row>
    <row r="1264" spans="1:3" x14ac:dyDescent="0.4">
      <c r="A1264" t="str">
        <f t="shared" si="57"/>
        <v/>
      </c>
      <c r="B1264" t="str">
        <f t="shared" si="58"/>
        <v/>
      </c>
      <c r="C1264" t="str">
        <f t="shared" si="59"/>
        <v/>
      </c>
    </row>
    <row r="1265" spans="1:3" x14ac:dyDescent="0.4">
      <c r="A1265" t="str">
        <f t="shared" si="57"/>
        <v/>
      </c>
      <c r="B1265" t="str">
        <f t="shared" si="58"/>
        <v/>
      </c>
      <c r="C1265" t="str">
        <f t="shared" si="59"/>
        <v/>
      </c>
    </row>
    <row r="1266" spans="1:3" x14ac:dyDescent="0.4">
      <c r="A1266" t="str">
        <f t="shared" si="57"/>
        <v/>
      </c>
      <c r="B1266" t="str">
        <f t="shared" si="58"/>
        <v/>
      </c>
      <c r="C1266" t="str">
        <f t="shared" si="59"/>
        <v/>
      </c>
    </row>
    <row r="1267" spans="1:3" x14ac:dyDescent="0.4">
      <c r="A1267" t="str">
        <f t="shared" si="57"/>
        <v/>
      </c>
      <c r="B1267" t="str">
        <f t="shared" si="58"/>
        <v/>
      </c>
      <c r="C1267" t="str">
        <f t="shared" si="59"/>
        <v/>
      </c>
    </row>
    <row r="1268" spans="1:3" x14ac:dyDescent="0.4">
      <c r="A1268" t="str">
        <f t="shared" si="57"/>
        <v/>
      </c>
      <c r="B1268" t="str">
        <f t="shared" si="58"/>
        <v/>
      </c>
      <c r="C1268" t="str">
        <f t="shared" si="59"/>
        <v/>
      </c>
    </row>
    <row r="1269" spans="1:3" x14ac:dyDescent="0.4">
      <c r="A1269" t="str">
        <f t="shared" si="57"/>
        <v/>
      </c>
      <c r="B1269" t="str">
        <f t="shared" si="58"/>
        <v/>
      </c>
      <c r="C1269" t="str">
        <f t="shared" si="59"/>
        <v/>
      </c>
    </row>
    <row r="1270" spans="1:3" x14ac:dyDescent="0.4">
      <c r="A1270" t="str">
        <f t="shared" si="57"/>
        <v/>
      </c>
      <c r="B1270" t="str">
        <f t="shared" si="58"/>
        <v/>
      </c>
      <c r="C1270" t="str">
        <f t="shared" si="59"/>
        <v/>
      </c>
    </row>
    <row r="1271" spans="1:3" x14ac:dyDescent="0.4">
      <c r="A1271" t="str">
        <f t="shared" si="57"/>
        <v/>
      </c>
      <c r="B1271" t="str">
        <f t="shared" si="58"/>
        <v/>
      </c>
      <c r="C1271" t="str">
        <f t="shared" si="59"/>
        <v/>
      </c>
    </row>
    <row r="1272" spans="1:3" x14ac:dyDescent="0.4">
      <c r="A1272" t="str">
        <f t="shared" si="57"/>
        <v/>
      </c>
      <c r="B1272" t="str">
        <f t="shared" si="58"/>
        <v/>
      </c>
      <c r="C1272" t="str">
        <f t="shared" si="59"/>
        <v/>
      </c>
    </row>
    <row r="1273" spans="1:3" x14ac:dyDescent="0.4">
      <c r="A1273" t="str">
        <f t="shared" si="57"/>
        <v/>
      </c>
      <c r="B1273" t="str">
        <f t="shared" si="58"/>
        <v/>
      </c>
      <c r="C1273" t="str">
        <f t="shared" si="59"/>
        <v/>
      </c>
    </row>
    <row r="1274" spans="1:3" x14ac:dyDescent="0.4">
      <c r="A1274" t="str">
        <f t="shared" si="57"/>
        <v/>
      </c>
      <c r="B1274" t="str">
        <f t="shared" si="58"/>
        <v/>
      </c>
      <c r="C1274" t="str">
        <f t="shared" si="59"/>
        <v/>
      </c>
    </row>
    <row r="1275" spans="1:3" x14ac:dyDescent="0.4">
      <c r="A1275" t="str">
        <f t="shared" si="57"/>
        <v/>
      </c>
      <c r="B1275" t="str">
        <f t="shared" si="58"/>
        <v/>
      </c>
      <c r="C1275" t="str">
        <f t="shared" si="59"/>
        <v/>
      </c>
    </row>
    <row r="1276" spans="1:3" x14ac:dyDescent="0.4">
      <c r="A1276" t="str">
        <f t="shared" si="57"/>
        <v/>
      </c>
      <c r="B1276" t="str">
        <f t="shared" si="58"/>
        <v/>
      </c>
      <c r="C1276" t="str">
        <f t="shared" si="59"/>
        <v/>
      </c>
    </row>
    <row r="1277" spans="1:3" x14ac:dyDescent="0.4">
      <c r="A1277" t="str">
        <f t="shared" si="57"/>
        <v/>
      </c>
      <c r="B1277" t="str">
        <f t="shared" si="58"/>
        <v/>
      </c>
      <c r="C1277" t="str">
        <f t="shared" si="59"/>
        <v/>
      </c>
    </row>
    <row r="1278" spans="1:3" x14ac:dyDescent="0.4">
      <c r="A1278" t="str">
        <f t="shared" si="57"/>
        <v/>
      </c>
      <c r="B1278" t="str">
        <f t="shared" si="58"/>
        <v/>
      </c>
      <c r="C1278" t="str">
        <f t="shared" si="59"/>
        <v/>
      </c>
    </row>
    <row r="1279" spans="1:3" x14ac:dyDescent="0.4">
      <c r="A1279" t="str">
        <f t="shared" si="57"/>
        <v/>
      </c>
      <c r="B1279" t="str">
        <f t="shared" si="58"/>
        <v/>
      </c>
      <c r="C1279" t="str">
        <f t="shared" si="59"/>
        <v/>
      </c>
    </row>
    <row r="1280" spans="1:3" x14ac:dyDescent="0.4">
      <c r="A1280" t="str">
        <f t="shared" si="57"/>
        <v/>
      </c>
      <c r="B1280" t="str">
        <f t="shared" si="58"/>
        <v/>
      </c>
      <c r="C1280" t="str">
        <f t="shared" si="59"/>
        <v/>
      </c>
    </row>
    <row r="1281" spans="1:3" x14ac:dyDescent="0.4">
      <c r="A1281" t="str">
        <f t="shared" si="57"/>
        <v/>
      </c>
      <c r="B1281" t="str">
        <f t="shared" si="58"/>
        <v/>
      </c>
      <c r="C1281" t="str">
        <f t="shared" si="59"/>
        <v/>
      </c>
    </row>
    <row r="1282" spans="1:3" x14ac:dyDescent="0.4">
      <c r="A1282" t="str">
        <f t="shared" si="57"/>
        <v/>
      </c>
      <c r="B1282" t="str">
        <f t="shared" si="58"/>
        <v/>
      </c>
      <c r="C1282" t="str">
        <f t="shared" si="59"/>
        <v/>
      </c>
    </row>
    <row r="1283" spans="1:3" x14ac:dyDescent="0.4">
      <c r="A1283" t="str">
        <f t="shared" ref="A1283:A1346" si="60">IF($F1283="","",$F1283&amp;"|"&amp;$H1283)</f>
        <v/>
      </c>
      <c r="B1283" t="str">
        <f t="shared" ref="B1283:B1346" si="61">IF(F1283&lt;&gt;"",F1283,"")</f>
        <v/>
      </c>
      <c r="C1283" t="str">
        <f t="shared" ref="C1283:C1346" si="62">IF(H1283&lt;&gt;"", H1283, "")</f>
        <v/>
      </c>
    </row>
    <row r="1284" spans="1:3" x14ac:dyDescent="0.4">
      <c r="A1284" t="str">
        <f t="shared" si="60"/>
        <v/>
      </c>
      <c r="B1284" t="str">
        <f t="shared" si="61"/>
        <v/>
      </c>
      <c r="C1284" t="str">
        <f t="shared" si="62"/>
        <v/>
      </c>
    </row>
    <row r="1285" spans="1:3" x14ac:dyDescent="0.4">
      <c r="A1285" t="str">
        <f t="shared" si="60"/>
        <v/>
      </c>
      <c r="B1285" t="str">
        <f t="shared" si="61"/>
        <v/>
      </c>
      <c r="C1285" t="str">
        <f t="shared" si="62"/>
        <v/>
      </c>
    </row>
    <row r="1286" spans="1:3" x14ac:dyDescent="0.4">
      <c r="A1286" t="str">
        <f t="shared" si="60"/>
        <v/>
      </c>
      <c r="B1286" t="str">
        <f t="shared" si="61"/>
        <v/>
      </c>
      <c r="C1286" t="str">
        <f t="shared" si="62"/>
        <v/>
      </c>
    </row>
    <row r="1287" spans="1:3" x14ac:dyDescent="0.4">
      <c r="A1287" t="str">
        <f t="shared" si="60"/>
        <v/>
      </c>
      <c r="B1287" t="str">
        <f t="shared" si="61"/>
        <v/>
      </c>
      <c r="C1287" t="str">
        <f t="shared" si="62"/>
        <v/>
      </c>
    </row>
    <row r="1288" spans="1:3" x14ac:dyDescent="0.4">
      <c r="A1288" t="str">
        <f t="shared" si="60"/>
        <v/>
      </c>
      <c r="B1288" t="str">
        <f t="shared" si="61"/>
        <v/>
      </c>
      <c r="C1288" t="str">
        <f t="shared" si="62"/>
        <v/>
      </c>
    </row>
    <row r="1289" spans="1:3" x14ac:dyDescent="0.4">
      <c r="A1289" t="str">
        <f t="shared" si="60"/>
        <v/>
      </c>
      <c r="B1289" t="str">
        <f t="shared" si="61"/>
        <v/>
      </c>
      <c r="C1289" t="str">
        <f t="shared" si="62"/>
        <v/>
      </c>
    </row>
    <row r="1290" spans="1:3" x14ac:dyDescent="0.4">
      <c r="A1290" t="str">
        <f t="shared" si="60"/>
        <v/>
      </c>
      <c r="B1290" t="str">
        <f t="shared" si="61"/>
        <v/>
      </c>
      <c r="C1290" t="str">
        <f t="shared" si="62"/>
        <v/>
      </c>
    </row>
    <row r="1291" spans="1:3" x14ac:dyDescent="0.4">
      <c r="A1291" t="str">
        <f t="shared" si="60"/>
        <v/>
      </c>
      <c r="B1291" t="str">
        <f t="shared" si="61"/>
        <v/>
      </c>
      <c r="C1291" t="str">
        <f t="shared" si="62"/>
        <v/>
      </c>
    </row>
    <row r="1292" spans="1:3" x14ac:dyDescent="0.4">
      <c r="A1292" t="str">
        <f t="shared" si="60"/>
        <v/>
      </c>
      <c r="B1292" t="str">
        <f t="shared" si="61"/>
        <v/>
      </c>
      <c r="C1292" t="str">
        <f t="shared" si="62"/>
        <v/>
      </c>
    </row>
    <row r="1293" spans="1:3" x14ac:dyDescent="0.4">
      <c r="A1293" t="str">
        <f t="shared" si="60"/>
        <v/>
      </c>
      <c r="B1293" t="str">
        <f t="shared" si="61"/>
        <v/>
      </c>
      <c r="C1293" t="str">
        <f t="shared" si="62"/>
        <v/>
      </c>
    </row>
    <row r="1294" spans="1:3" x14ac:dyDescent="0.4">
      <c r="A1294" t="str">
        <f t="shared" si="60"/>
        <v/>
      </c>
      <c r="B1294" t="str">
        <f t="shared" si="61"/>
        <v/>
      </c>
      <c r="C1294" t="str">
        <f t="shared" si="62"/>
        <v/>
      </c>
    </row>
    <row r="1295" spans="1:3" x14ac:dyDescent="0.4">
      <c r="A1295" t="str">
        <f t="shared" si="60"/>
        <v/>
      </c>
      <c r="B1295" t="str">
        <f t="shared" si="61"/>
        <v/>
      </c>
      <c r="C1295" t="str">
        <f t="shared" si="62"/>
        <v/>
      </c>
    </row>
    <row r="1296" spans="1:3" x14ac:dyDescent="0.4">
      <c r="A1296" t="str">
        <f t="shared" si="60"/>
        <v/>
      </c>
      <c r="B1296" t="str">
        <f t="shared" si="61"/>
        <v/>
      </c>
      <c r="C1296" t="str">
        <f t="shared" si="62"/>
        <v/>
      </c>
    </row>
    <row r="1297" spans="1:3" x14ac:dyDescent="0.4">
      <c r="A1297" t="str">
        <f t="shared" si="60"/>
        <v/>
      </c>
      <c r="B1297" t="str">
        <f t="shared" si="61"/>
        <v/>
      </c>
      <c r="C1297" t="str">
        <f t="shared" si="62"/>
        <v/>
      </c>
    </row>
    <row r="1298" spans="1:3" x14ac:dyDescent="0.4">
      <c r="A1298" t="str">
        <f t="shared" si="60"/>
        <v/>
      </c>
      <c r="B1298" t="str">
        <f t="shared" si="61"/>
        <v/>
      </c>
      <c r="C1298" t="str">
        <f t="shared" si="62"/>
        <v/>
      </c>
    </row>
    <row r="1299" spans="1:3" x14ac:dyDescent="0.4">
      <c r="A1299" t="str">
        <f t="shared" si="60"/>
        <v/>
      </c>
      <c r="B1299" t="str">
        <f t="shared" si="61"/>
        <v/>
      </c>
      <c r="C1299" t="str">
        <f t="shared" si="62"/>
        <v/>
      </c>
    </row>
    <row r="1300" spans="1:3" x14ac:dyDescent="0.4">
      <c r="A1300" t="str">
        <f t="shared" si="60"/>
        <v/>
      </c>
      <c r="B1300" t="str">
        <f t="shared" si="61"/>
        <v/>
      </c>
      <c r="C1300" t="str">
        <f t="shared" si="62"/>
        <v/>
      </c>
    </row>
    <row r="1301" spans="1:3" x14ac:dyDescent="0.4">
      <c r="A1301" t="str">
        <f t="shared" si="60"/>
        <v/>
      </c>
      <c r="B1301" t="str">
        <f t="shared" si="61"/>
        <v/>
      </c>
      <c r="C1301" t="str">
        <f t="shared" si="62"/>
        <v/>
      </c>
    </row>
    <row r="1302" spans="1:3" x14ac:dyDescent="0.4">
      <c r="A1302" t="str">
        <f t="shared" si="60"/>
        <v/>
      </c>
      <c r="B1302" t="str">
        <f t="shared" si="61"/>
        <v/>
      </c>
      <c r="C1302" t="str">
        <f t="shared" si="62"/>
        <v/>
      </c>
    </row>
    <row r="1303" spans="1:3" x14ac:dyDescent="0.4">
      <c r="A1303" t="str">
        <f t="shared" si="60"/>
        <v/>
      </c>
      <c r="B1303" t="str">
        <f t="shared" si="61"/>
        <v/>
      </c>
      <c r="C1303" t="str">
        <f t="shared" si="62"/>
        <v/>
      </c>
    </row>
    <row r="1304" spans="1:3" x14ac:dyDescent="0.4">
      <c r="A1304" t="str">
        <f t="shared" si="60"/>
        <v/>
      </c>
      <c r="B1304" t="str">
        <f t="shared" si="61"/>
        <v/>
      </c>
      <c r="C1304" t="str">
        <f t="shared" si="62"/>
        <v/>
      </c>
    </row>
    <row r="1305" spans="1:3" x14ac:dyDescent="0.4">
      <c r="A1305" t="str">
        <f t="shared" si="60"/>
        <v/>
      </c>
      <c r="B1305" t="str">
        <f t="shared" si="61"/>
        <v/>
      </c>
      <c r="C1305" t="str">
        <f t="shared" si="62"/>
        <v/>
      </c>
    </row>
    <row r="1306" spans="1:3" x14ac:dyDescent="0.4">
      <c r="A1306" t="str">
        <f t="shared" si="60"/>
        <v/>
      </c>
      <c r="B1306" t="str">
        <f t="shared" si="61"/>
        <v/>
      </c>
      <c r="C1306" t="str">
        <f t="shared" si="62"/>
        <v/>
      </c>
    </row>
    <row r="1307" spans="1:3" x14ac:dyDescent="0.4">
      <c r="A1307" t="str">
        <f t="shared" si="60"/>
        <v/>
      </c>
      <c r="B1307" t="str">
        <f t="shared" si="61"/>
        <v/>
      </c>
      <c r="C1307" t="str">
        <f t="shared" si="62"/>
        <v/>
      </c>
    </row>
    <row r="1308" spans="1:3" x14ac:dyDescent="0.4">
      <c r="A1308" t="str">
        <f t="shared" si="60"/>
        <v/>
      </c>
      <c r="B1308" t="str">
        <f t="shared" si="61"/>
        <v/>
      </c>
      <c r="C1308" t="str">
        <f t="shared" si="62"/>
        <v/>
      </c>
    </row>
    <row r="1309" spans="1:3" x14ac:dyDescent="0.4">
      <c r="A1309" t="str">
        <f t="shared" si="60"/>
        <v/>
      </c>
      <c r="B1309" t="str">
        <f t="shared" si="61"/>
        <v/>
      </c>
      <c r="C1309" t="str">
        <f t="shared" si="62"/>
        <v/>
      </c>
    </row>
    <row r="1310" spans="1:3" x14ac:dyDescent="0.4">
      <c r="A1310" t="str">
        <f t="shared" si="60"/>
        <v/>
      </c>
      <c r="B1310" t="str">
        <f t="shared" si="61"/>
        <v/>
      </c>
      <c r="C1310" t="str">
        <f t="shared" si="62"/>
        <v/>
      </c>
    </row>
    <row r="1311" spans="1:3" x14ac:dyDescent="0.4">
      <c r="A1311" t="str">
        <f t="shared" si="60"/>
        <v/>
      </c>
      <c r="B1311" t="str">
        <f t="shared" si="61"/>
        <v/>
      </c>
      <c r="C1311" t="str">
        <f t="shared" si="62"/>
        <v/>
      </c>
    </row>
    <row r="1312" spans="1:3" x14ac:dyDescent="0.4">
      <c r="A1312" t="str">
        <f t="shared" si="60"/>
        <v/>
      </c>
      <c r="B1312" t="str">
        <f t="shared" si="61"/>
        <v/>
      </c>
      <c r="C1312" t="str">
        <f t="shared" si="62"/>
        <v/>
      </c>
    </row>
    <row r="1313" spans="1:3" x14ac:dyDescent="0.4">
      <c r="A1313" t="str">
        <f t="shared" si="60"/>
        <v/>
      </c>
      <c r="B1313" t="str">
        <f t="shared" si="61"/>
        <v/>
      </c>
      <c r="C1313" t="str">
        <f t="shared" si="62"/>
        <v/>
      </c>
    </row>
    <row r="1314" spans="1:3" x14ac:dyDescent="0.4">
      <c r="A1314" t="str">
        <f t="shared" si="60"/>
        <v/>
      </c>
      <c r="B1314" t="str">
        <f t="shared" si="61"/>
        <v/>
      </c>
      <c r="C1314" t="str">
        <f t="shared" si="62"/>
        <v/>
      </c>
    </row>
    <row r="1315" spans="1:3" x14ac:dyDescent="0.4">
      <c r="A1315" t="str">
        <f t="shared" si="60"/>
        <v/>
      </c>
      <c r="B1315" t="str">
        <f t="shared" si="61"/>
        <v/>
      </c>
      <c r="C1315" t="str">
        <f t="shared" si="62"/>
        <v/>
      </c>
    </row>
    <row r="1316" spans="1:3" x14ac:dyDescent="0.4">
      <c r="A1316" t="str">
        <f t="shared" si="60"/>
        <v/>
      </c>
      <c r="B1316" t="str">
        <f t="shared" si="61"/>
        <v/>
      </c>
      <c r="C1316" t="str">
        <f t="shared" si="62"/>
        <v/>
      </c>
    </row>
    <row r="1317" spans="1:3" x14ac:dyDescent="0.4">
      <c r="A1317" t="str">
        <f t="shared" si="60"/>
        <v/>
      </c>
      <c r="B1317" t="str">
        <f t="shared" si="61"/>
        <v/>
      </c>
      <c r="C1317" t="str">
        <f t="shared" si="62"/>
        <v/>
      </c>
    </row>
    <row r="1318" spans="1:3" x14ac:dyDescent="0.4">
      <c r="A1318" t="str">
        <f t="shared" si="60"/>
        <v/>
      </c>
      <c r="B1318" t="str">
        <f t="shared" si="61"/>
        <v/>
      </c>
      <c r="C1318" t="str">
        <f t="shared" si="62"/>
        <v/>
      </c>
    </row>
    <row r="1319" spans="1:3" x14ac:dyDescent="0.4">
      <c r="A1319" t="str">
        <f t="shared" si="60"/>
        <v/>
      </c>
      <c r="B1319" t="str">
        <f t="shared" si="61"/>
        <v/>
      </c>
      <c r="C1319" t="str">
        <f t="shared" si="62"/>
        <v/>
      </c>
    </row>
    <row r="1320" spans="1:3" x14ac:dyDescent="0.4">
      <c r="A1320" t="str">
        <f t="shared" si="60"/>
        <v/>
      </c>
      <c r="B1320" t="str">
        <f t="shared" si="61"/>
        <v/>
      </c>
      <c r="C1320" t="str">
        <f t="shared" si="62"/>
        <v/>
      </c>
    </row>
    <row r="1321" spans="1:3" x14ac:dyDescent="0.4">
      <c r="A1321" t="str">
        <f t="shared" si="60"/>
        <v/>
      </c>
      <c r="B1321" t="str">
        <f t="shared" si="61"/>
        <v/>
      </c>
      <c r="C1321" t="str">
        <f t="shared" si="62"/>
        <v/>
      </c>
    </row>
    <row r="1322" spans="1:3" x14ac:dyDescent="0.4">
      <c r="A1322" t="str">
        <f t="shared" si="60"/>
        <v/>
      </c>
      <c r="B1322" t="str">
        <f t="shared" si="61"/>
        <v/>
      </c>
      <c r="C1322" t="str">
        <f t="shared" si="62"/>
        <v/>
      </c>
    </row>
    <row r="1323" spans="1:3" x14ac:dyDescent="0.4">
      <c r="A1323" t="str">
        <f t="shared" si="60"/>
        <v/>
      </c>
      <c r="B1323" t="str">
        <f t="shared" si="61"/>
        <v/>
      </c>
      <c r="C1323" t="str">
        <f t="shared" si="62"/>
        <v/>
      </c>
    </row>
    <row r="1324" spans="1:3" x14ac:dyDescent="0.4">
      <c r="A1324" t="str">
        <f t="shared" si="60"/>
        <v/>
      </c>
      <c r="B1324" t="str">
        <f t="shared" si="61"/>
        <v/>
      </c>
      <c r="C1324" t="str">
        <f t="shared" si="62"/>
        <v/>
      </c>
    </row>
    <row r="1325" spans="1:3" x14ac:dyDescent="0.4">
      <c r="A1325" t="str">
        <f t="shared" si="60"/>
        <v/>
      </c>
      <c r="B1325" t="str">
        <f t="shared" si="61"/>
        <v/>
      </c>
      <c r="C1325" t="str">
        <f t="shared" si="62"/>
        <v/>
      </c>
    </row>
    <row r="1326" spans="1:3" x14ac:dyDescent="0.4">
      <c r="A1326" t="str">
        <f t="shared" si="60"/>
        <v/>
      </c>
      <c r="B1326" t="str">
        <f t="shared" si="61"/>
        <v/>
      </c>
      <c r="C1326" t="str">
        <f t="shared" si="62"/>
        <v/>
      </c>
    </row>
    <row r="1327" spans="1:3" x14ac:dyDescent="0.4">
      <c r="A1327" t="str">
        <f t="shared" si="60"/>
        <v/>
      </c>
      <c r="B1327" t="str">
        <f t="shared" si="61"/>
        <v/>
      </c>
      <c r="C1327" t="str">
        <f t="shared" si="62"/>
        <v/>
      </c>
    </row>
    <row r="1328" spans="1:3" x14ac:dyDescent="0.4">
      <c r="A1328" t="str">
        <f t="shared" si="60"/>
        <v/>
      </c>
      <c r="B1328" t="str">
        <f t="shared" si="61"/>
        <v/>
      </c>
      <c r="C1328" t="str">
        <f t="shared" si="62"/>
        <v/>
      </c>
    </row>
    <row r="1329" spans="1:3" x14ac:dyDescent="0.4">
      <c r="A1329" t="str">
        <f t="shared" si="60"/>
        <v/>
      </c>
      <c r="B1329" t="str">
        <f t="shared" si="61"/>
        <v/>
      </c>
      <c r="C1329" t="str">
        <f t="shared" si="62"/>
        <v/>
      </c>
    </row>
    <row r="1330" spans="1:3" x14ac:dyDescent="0.4">
      <c r="A1330" t="str">
        <f t="shared" si="60"/>
        <v/>
      </c>
      <c r="B1330" t="str">
        <f t="shared" si="61"/>
        <v/>
      </c>
      <c r="C1330" t="str">
        <f t="shared" si="62"/>
        <v/>
      </c>
    </row>
    <row r="1331" spans="1:3" x14ac:dyDescent="0.4">
      <c r="A1331" t="str">
        <f t="shared" si="60"/>
        <v/>
      </c>
      <c r="B1331" t="str">
        <f t="shared" si="61"/>
        <v/>
      </c>
      <c r="C1331" t="str">
        <f t="shared" si="62"/>
        <v/>
      </c>
    </row>
    <row r="1332" spans="1:3" x14ac:dyDescent="0.4">
      <c r="A1332" t="str">
        <f t="shared" si="60"/>
        <v/>
      </c>
      <c r="B1332" t="str">
        <f t="shared" si="61"/>
        <v/>
      </c>
      <c r="C1332" t="str">
        <f t="shared" si="62"/>
        <v/>
      </c>
    </row>
    <row r="1333" spans="1:3" x14ac:dyDescent="0.4">
      <c r="A1333" t="str">
        <f t="shared" si="60"/>
        <v/>
      </c>
      <c r="B1333" t="str">
        <f t="shared" si="61"/>
        <v/>
      </c>
      <c r="C1333" t="str">
        <f t="shared" si="62"/>
        <v/>
      </c>
    </row>
    <row r="1334" spans="1:3" x14ac:dyDescent="0.4">
      <c r="A1334" t="str">
        <f t="shared" si="60"/>
        <v/>
      </c>
      <c r="B1334" t="str">
        <f t="shared" si="61"/>
        <v/>
      </c>
      <c r="C1334" t="str">
        <f t="shared" si="62"/>
        <v/>
      </c>
    </row>
    <row r="1335" spans="1:3" x14ac:dyDescent="0.4">
      <c r="A1335" t="str">
        <f t="shared" si="60"/>
        <v/>
      </c>
      <c r="B1335" t="str">
        <f t="shared" si="61"/>
        <v/>
      </c>
      <c r="C1335" t="str">
        <f t="shared" si="62"/>
        <v/>
      </c>
    </row>
    <row r="1336" spans="1:3" x14ac:dyDescent="0.4">
      <c r="A1336" t="str">
        <f t="shared" si="60"/>
        <v/>
      </c>
      <c r="B1336" t="str">
        <f t="shared" si="61"/>
        <v/>
      </c>
      <c r="C1336" t="str">
        <f t="shared" si="62"/>
        <v/>
      </c>
    </row>
    <row r="1337" spans="1:3" x14ac:dyDescent="0.4">
      <c r="A1337" t="str">
        <f t="shared" si="60"/>
        <v/>
      </c>
      <c r="B1337" t="str">
        <f t="shared" si="61"/>
        <v/>
      </c>
      <c r="C1337" t="str">
        <f t="shared" si="62"/>
        <v/>
      </c>
    </row>
    <row r="1338" spans="1:3" x14ac:dyDescent="0.4">
      <c r="A1338" t="str">
        <f t="shared" si="60"/>
        <v/>
      </c>
      <c r="B1338" t="str">
        <f t="shared" si="61"/>
        <v/>
      </c>
      <c r="C1338" t="str">
        <f t="shared" si="62"/>
        <v/>
      </c>
    </row>
    <row r="1339" spans="1:3" x14ac:dyDescent="0.4">
      <c r="A1339" t="str">
        <f t="shared" si="60"/>
        <v/>
      </c>
      <c r="B1339" t="str">
        <f t="shared" si="61"/>
        <v/>
      </c>
      <c r="C1339" t="str">
        <f t="shared" si="62"/>
        <v/>
      </c>
    </row>
    <row r="1340" spans="1:3" x14ac:dyDescent="0.4">
      <c r="A1340" t="str">
        <f t="shared" si="60"/>
        <v/>
      </c>
      <c r="B1340" t="str">
        <f t="shared" si="61"/>
        <v/>
      </c>
      <c r="C1340" t="str">
        <f t="shared" si="62"/>
        <v/>
      </c>
    </row>
    <row r="1341" spans="1:3" x14ac:dyDescent="0.4">
      <c r="A1341" t="str">
        <f t="shared" si="60"/>
        <v/>
      </c>
      <c r="B1341" t="str">
        <f t="shared" si="61"/>
        <v/>
      </c>
      <c r="C1341" t="str">
        <f t="shared" si="62"/>
        <v/>
      </c>
    </row>
    <row r="1342" spans="1:3" x14ac:dyDescent="0.4">
      <c r="A1342" t="str">
        <f t="shared" si="60"/>
        <v/>
      </c>
      <c r="B1342" t="str">
        <f t="shared" si="61"/>
        <v/>
      </c>
      <c r="C1342" t="str">
        <f t="shared" si="62"/>
        <v/>
      </c>
    </row>
    <row r="1343" spans="1:3" x14ac:dyDescent="0.4">
      <c r="A1343" t="str">
        <f t="shared" si="60"/>
        <v/>
      </c>
      <c r="B1343" t="str">
        <f t="shared" si="61"/>
        <v/>
      </c>
      <c r="C1343" t="str">
        <f t="shared" si="62"/>
        <v/>
      </c>
    </row>
    <row r="1344" spans="1:3" x14ac:dyDescent="0.4">
      <c r="A1344" t="str">
        <f t="shared" si="60"/>
        <v/>
      </c>
      <c r="B1344" t="str">
        <f t="shared" si="61"/>
        <v/>
      </c>
      <c r="C1344" t="str">
        <f t="shared" si="62"/>
        <v/>
      </c>
    </row>
    <row r="1345" spans="1:3" x14ac:dyDescent="0.4">
      <c r="A1345" t="str">
        <f t="shared" si="60"/>
        <v/>
      </c>
      <c r="B1345" t="str">
        <f t="shared" si="61"/>
        <v/>
      </c>
      <c r="C1345" t="str">
        <f t="shared" si="62"/>
        <v/>
      </c>
    </row>
    <row r="1346" spans="1:3" x14ac:dyDescent="0.4">
      <c r="A1346" t="str">
        <f t="shared" si="60"/>
        <v/>
      </c>
      <c r="B1346" t="str">
        <f t="shared" si="61"/>
        <v/>
      </c>
      <c r="C1346" t="str">
        <f t="shared" si="62"/>
        <v/>
      </c>
    </row>
    <row r="1347" spans="1:3" x14ac:dyDescent="0.4">
      <c r="A1347" t="str">
        <f t="shared" ref="A1347:A1410" si="63">IF($F1347="","",$F1347&amp;"|"&amp;$H1347)</f>
        <v/>
      </c>
      <c r="B1347" t="str">
        <f t="shared" ref="B1347:B1410" si="64">IF(F1347&lt;&gt;"",F1347,"")</f>
        <v/>
      </c>
      <c r="C1347" t="str">
        <f t="shared" ref="C1347:C1410" si="65">IF(H1347&lt;&gt;"", H1347, "")</f>
        <v/>
      </c>
    </row>
    <row r="1348" spans="1:3" x14ac:dyDescent="0.4">
      <c r="A1348" t="str">
        <f t="shared" si="63"/>
        <v/>
      </c>
      <c r="B1348" t="str">
        <f t="shared" si="64"/>
        <v/>
      </c>
      <c r="C1348" t="str">
        <f t="shared" si="65"/>
        <v/>
      </c>
    </row>
    <row r="1349" spans="1:3" x14ac:dyDescent="0.4">
      <c r="A1349" t="str">
        <f t="shared" si="63"/>
        <v/>
      </c>
      <c r="B1349" t="str">
        <f t="shared" si="64"/>
        <v/>
      </c>
      <c r="C1349" t="str">
        <f t="shared" si="65"/>
        <v/>
      </c>
    </row>
    <row r="1350" spans="1:3" x14ac:dyDescent="0.4">
      <c r="A1350" t="str">
        <f t="shared" si="63"/>
        <v/>
      </c>
      <c r="B1350" t="str">
        <f t="shared" si="64"/>
        <v/>
      </c>
      <c r="C1350" t="str">
        <f t="shared" si="65"/>
        <v/>
      </c>
    </row>
    <row r="1351" spans="1:3" x14ac:dyDescent="0.4">
      <c r="A1351" t="str">
        <f t="shared" si="63"/>
        <v/>
      </c>
      <c r="B1351" t="str">
        <f t="shared" si="64"/>
        <v/>
      </c>
      <c r="C1351" t="str">
        <f t="shared" si="65"/>
        <v/>
      </c>
    </row>
    <row r="1352" spans="1:3" x14ac:dyDescent="0.4">
      <c r="A1352" t="str">
        <f t="shared" si="63"/>
        <v/>
      </c>
      <c r="B1352" t="str">
        <f t="shared" si="64"/>
        <v/>
      </c>
      <c r="C1352" t="str">
        <f t="shared" si="65"/>
        <v/>
      </c>
    </row>
    <row r="1353" spans="1:3" x14ac:dyDescent="0.4">
      <c r="A1353" t="str">
        <f t="shared" si="63"/>
        <v/>
      </c>
      <c r="B1353" t="str">
        <f t="shared" si="64"/>
        <v/>
      </c>
      <c r="C1353" t="str">
        <f t="shared" si="65"/>
        <v/>
      </c>
    </row>
    <row r="1354" spans="1:3" x14ac:dyDescent="0.4">
      <c r="A1354" t="str">
        <f t="shared" si="63"/>
        <v/>
      </c>
      <c r="B1354" t="str">
        <f t="shared" si="64"/>
        <v/>
      </c>
      <c r="C1354" t="str">
        <f t="shared" si="65"/>
        <v/>
      </c>
    </row>
    <row r="1355" spans="1:3" x14ac:dyDescent="0.4">
      <c r="A1355" t="str">
        <f t="shared" si="63"/>
        <v/>
      </c>
      <c r="B1355" t="str">
        <f t="shared" si="64"/>
        <v/>
      </c>
      <c r="C1355" t="str">
        <f t="shared" si="65"/>
        <v/>
      </c>
    </row>
    <row r="1356" spans="1:3" x14ac:dyDescent="0.4">
      <c r="A1356" t="str">
        <f t="shared" si="63"/>
        <v/>
      </c>
      <c r="B1356" t="str">
        <f t="shared" si="64"/>
        <v/>
      </c>
      <c r="C1356" t="str">
        <f t="shared" si="65"/>
        <v/>
      </c>
    </row>
    <row r="1357" spans="1:3" x14ac:dyDescent="0.4">
      <c r="A1357" t="str">
        <f t="shared" si="63"/>
        <v/>
      </c>
      <c r="B1357" t="str">
        <f t="shared" si="64"/>
        <v/>
      </c>
      <c r="C1357" t="str">
        <f t="shared" si="65"/>
        <v/>
      </c>
    </row>
    <row r="1358" spans="1:3" x14ac:dyDescent="0.4">
      <c r="A1358" t="str">
        <f t="shared" si="63"/>
        <v/>
      </c>
      <c r="B1358" t="str">
        <f t="shared" si="64"/>
        <v/>
      </c>
      <c r="C1358" t="str">
        <f t="shared" si="65"/>
        <v/>
      </c>
    </row>
    <row r="1359" spans="1:3" x14ac:dyDescent="0.4">
      <c r="A1359" t="str">
        <f t="shared" si="63"/>
        <v/>
      </c>
      <c r="B1359" t="str">
        <f t="shared" si="64"/>
        <v/>
      </c>
      <c r="C1359" t="str">
        <f t="shared" si="65"/>
        <v/>
      </c>
    </row>
    <row r="1360" spans="1:3" x14ac:dyDescent="0.4">
      <c r="A1360" t="str">
        <f t="shared" si="63"/>
        <v/>
      </c>
      <c r="B1360" t="str">
        <f t="shared" si="64"/>
        <v/>
      </c>
      <c r="C1360" t="str">
        <f t="shared" si="65"/>
        <v/>
      </c>
    </row>
    <row r="1361" spans="1:3" x14ac:dyDescent="0.4">
      <c r="A1361" t="str">
        <f t="shared" si="63"/>
        <v/>
      </c>
      <c r="B1361" t="str">
        <f t="shared" si="64"/>
        <v/>
      </c>
      <c r="C1361" t="str">
        <f t="shared" si="65"/>
        <v/>
      </c>
    </row>
    <row r="1362" spans="1:3" x14ac:dyDescent="0.4">
      <c r="A1362" t="str">
        <f t="shared" si="63"/>
        <v/>
      </c>
      <c r="B1362" t="str">
        <f t="shared" si="64"/>
        <v/>
      </c>
      <c r="C1362" t="str">
        <f t="shared" si="65"/>
        <v/>
      </c>
    </row>
    <row r="1363" spans="1:3" x14ac:dyDescent="0.4">
      <c r="A1363" t="str">
        <f t="shared" si="63"/>
        <v/>
      </c>
      <c r="B1363" t="str">
        <f t="shared" si="64"/>
        <v/>
      </c>
      <c r="C1363" t="str">
        <f t="shared" si="65"/>
        <v/>
      </c>
    </row>
    <row r="1364" spans="1:3" x14ac:dyDescent="0.4">
      <c r="A1364" t="str">
        <f t="shared" si="63"/>
        <v/>
      </c>
      <c r="B1364" t="str">
        <f t="shared" si="64"/>
        <v/>
      </c>
      <c r="C1364" t="str">
        <f t="shared" si="65"/>
        <v/>
      </c>
    </row>
    <row r="1365" spans="1:3" x14ac:dyDescent="0.4">
      <c r="A1365" t="str">
        <f t="shared" si="63"/>
        <v/>
      </c>
      <c r="B1365" t="str">
        <f t="shared" si="64"/>
        <v/>
      </c>
      <c r="C1365" t="str">
        <f t="shared" si="65"/>
        <v/>
      </c>
    </row>
    <row r="1366" spans="1:3" x14ac:dyDescent="0.4">
      <c r="A1366" t="str">
        <f t="shared" si="63"/>
        <v/>
      </c>
      <c r="B1366" t="str">
        <f t="shared" si="64"/>
        <v/>
      </c>
      <c r="C1366" t="str">
        <f t="shared" si="65"/>
        <v/>
      </c>
    </row>
    <row r="1367" spans="1:3" x14ac:dyDescent="0.4">
      <c r="A1367" t="str">
        <f t="shared" si="63"/>
        <v/>
      </c>
      <c r="B1367" t="str">
        <f t="shared" si="64"/>
        <v/>
      </c>
      <c r="C1367" t="str">
        <f t="shared" si="65"/>
        <v/>
      </c>
    </row>
    <row r="1368" spans="1:3" x14ac:dyDescent="0.4">
      <c r="A1368" t="str">
        <f t="shared" si="63"/>
        <v/>
      </c>
      <c r="B1368" t="str">
        <f t="shared" si="64"/>
        <v/>
      </c>
      <c r="C1368" t="str">
        <f t="shared" si="65"/>
        <v/>
      </c>
    </row>
    <row r="1369" spans="1:3" x14ac:dyDescent="0.4">
      <c r="A1369" t="str">
        <f t="shared" si="63"/>
        <v/>
      </c>
      <c r="B1369" t="str">
        <f t="shared" si="64"/>
        <v/>
      </c>
      <c r="C1369" t="str">
        <f t="shared" si="65"/>
        <v/>
      </c>
    </row>
    <row r="1370" spans="1:3" x14ac:dyDescent="0.4">
      <c r="A1370" t="str">
        <f t="shared" si="63"/>
        <v/>
      </c>
      <c r="B1370" t="str">
        <f t="shared" si="64"/>
        <v/>
      </c>
      <c r="C1370" t="str">
        <f t="shared" si="65"/>
        <v/>
      </c>
    </row>
    <row r="1371" spans="1:3" x14ac:dyDescent="0.4">
      <c r="A1371" t="str">
        <f t="shared" si="63"/>
        <v/>
      </c>
      <c r="B1371" t="str">
        <f t="shared" si="64"/>
        <v/>
      </c>
      <c r="C1371" t="str">
        <f t="shared" si="65"/>
        <v/>
      </c>
    </row>
    <row r="1372" spans="1:3" x14ac:dyDescent="0.4">
      <c r="A1372" t="str">
        <f t="shared" si="63"/>
        <v/>
      </c>
      <c r="B1372" t="str">
        <f t="shared" si="64"/>
        <v/>
      </c>
      <c r="C1372" t="str">
        <f t="shared" si="65"/>
        <v/>
      </c>
    </row>
    <row r="1373" spans="1:3" x14ac:dyDescent="0.4">
      <c r="A1373" t="str">
        <f t="shared" si="63"/>
        <v/>
      </c>
      <c r="B1373" t="str">
        <f t="shared" si="64"/>
        <v/>
      </c>
      <c r="C1373" t="str">
        <f t="shared" si="65"/>
        <v/>
      </c>
    </row>
    <row r="1374" spans="1:3" x14ac:dyDescent="0.4">
      <c r="A1374" t="str">
        <f t="shared" si="63"/>
        <v/>
      </c>
      <c r="B1374" t="str">
        <f t="shared" si="64"/>
        <v/>
      </c>
      <c r="C1374" t="str">
        <f t="shared" si="65"/>
        <v/>
      </c>
    </row>
    <row r="1375" spans="1:3" x14ac:dyDescent="0.4">
      <c r="A1375" t="str">
        <f t="shared" si="63"/>
        <v/>
      </c>
      <c r="B1375" t="str">
        <f t="shared" si="64"/>
        <v/>
      </c>
      <c r="C1375" t="str">
        <f t="shared" si="65"/>
        <v/>
      </c>
    </row>
    <row r="1376" spans="1:3" x14ac:dyDescent="0.4">
      <c r="A1376" t="str">
        <f t="shared" si="63"/>
        <v/>
      </c>
      <c r="B1376" t="str">
        <f t="shared" si="64"/>
        <v/>
      </c>
      <c r="C1376" t="str">
        <f t="shared" si="65"/>
        <v/>
      </c>
    </row>
    <row r="1377" spans="1:3" x14ac:dyDescent="0.4">
      <c r="A1377" t="str">
        <f t="shared" si="63"/>
        <v/>
      </c>
      <c r="B1377" t="str">
        <f t="shared" si="64"/>
        <v/>
      </c>
      <c r="C1377" t="str">
        <f t="shared" si="65"/>
        <v/>
      </c>
    </row>
    <row r="1378" spans="1:3" x14ac:dyDescent="0.4">
      <c r="A1378" t="str">
        <f t="shared" si="63"/>
        <v/>
      </c>
      <c r="B1378" t="str">
        <f t="shared" si="64"/>
        <v/>
      </c>
      <c r="C1378" t="str">
        <f t="shared" si="65"/>
        <v/>
      </c>
    </row>
    <row r="1379" spans="1:3" x14ac:dyDescent="0.4">
      <c r="A1379" t="str">
        <f t="shared" si="63"/>
        <v/>
      </c>
      <c r="B1379" t="str">
        <f t="shared" si="64"/>
        <v/>
      </c>
      <c r="C1379" t="str">
        <f t="shared" si="65"/>
        <v/>
      </c>
    </row>
    <row r="1380" spans="1:3" x14ac:dyDescent="0.4">
      <c r="A1380" t="str">
        <f t="shared" si="63"/>
        <v/>
      </c>
      <c r="B1380" t="str">
        <f t="shared" si="64"/>
        <v/>
      </c>
      <c r="C1380" t="str">
        <f t="shared" si="65"/>
        <v/>
      </c>
    </row>
    <row r="1381" spans="1:3" x14ac:dyDescent="0.4">
      <c r="A1381" t="str">
        <f t="shared" si="63"/>
        <v/>
      </c>
      <c r="B1381" t="str">
        <f t="shared" si="64"/>
        <v/>
      </c>
      <c r="C1381" t="str">
        <f t="shared" si="65"/>
        <v/>
      </c>
    </row>
    <row r="1382" spans="1:3" x14ac:dyDescent="0.4">
      <c r="A1382" t="str">
        <f t="shared" si="63"/>
        <v/>
      </c>
      <c r="B1382" t="str">
        <f t="shared" si="64"/>
        <v/>
      </c>
      <c r="C1382" t="str">
        <f t="shared" si="65"/>
        <v/>
      </c>
    </row>
    <row r="1383" spans="1:3" x14ac:dyDescent="0.4">
      <c r="A1383" t="str">
        <f t="shared" si="63"/>
        <v/>
      </c>
      <c r="B1383" t="str">
        <f t="shared" si="64"/>
        <v/>
      </c>
      <c r="C1383" t="str">
        <f t="shared" si="65"/>
        <v/>
      </c>
    </row>
    <row r="1384" spans="1:3" x14ac:dyDescent="0.4">
      <c r="A1384" t="str">
        <f t="shared" si="63"/>
        <v/>
      </c>
      <c r="B1384" t="str">
        <f t="shared" si="64"/>
        <v/>
      </c>
      <c r="C1384" t="str">
        <f t="shared" si="65"/>
        <v/>
      </c>
    </row>
    <row r="1385" spans="1:3" x14ac:dyDescent="0.4">
      <c r="A1385" t="str">
        <f t="shared" si="63"/>
        <v/>
      </c>
      <c r="B1385" t="str">
        <f t="shared" si="64"/>
        <v/>
      </c>
      <c r="C1385" t="str">
        <f t="shared" si="65"/>
        <v/>
      </c>
    </row>
    <row r="1386" spans="1:3" x14ac:dyDescent="0.4">
      <c r="A1386" t="str">
        <f t="shared" si="63"/>
        <v/>
      </c>
      <c r="B1386" t="str">
        <f t="shared" si="64"/>
        <v/>
      </c>
      <c r="C1386" t="str">
        <f t="shared" si="65"/>
        <v/>
      </c>
    </row>
    <row r="1387" spans="1:3" x14ac:dyDescent="0.4">
      <c r="A1387" t="str">
        <f t="shared" si="63"/>
        <v/>
      </c>
      <c r="B1387" t="str">
        <f t="shared" si="64"/>
        <v/>
      </c>
      <c r="C1387" t="str">
        <f t="shared" si="65"/>
        <v/>
      </c>
    </row>
    <row r="1388" spans="1:3" x14ac:dyDescent="0.4">
      <c r="A1388" t="str">
        <f t="shared" si="63"/>
        <v/>
      </c>
      <c r="B1388" t="str">
        <f t="shared" si="64"/>
        <v/>
      </c>
      <c r="C1388" t="str">
        <f t="shared" si="65"/>
        <v/>
      </c>
    </row>
    <row r="1389" spans="1:3" x14ac:dyDescent="0.4">
      <c r="A1389" t="str">
        <f t="shared" si="63"/>
        <v/>
      </c>
      <c r="B1389" t="str">
        <f t="shared" si="64"/>
        <v/>
      </c>
      <c r="C1389" t="str">
        <f t="shared" si="65"/>
        <v/>
      </c>
    </row>
    <row r="1390" spans="1:3" x14ac:dyDescent="0.4">
      <c r="A1390" t="str">
        <f t="shared" si="63"/>
        <v/>
      </c>
      <c r="B1390" t="str">
        <f t="shared" si="64"/>
        <v/>
      </c>
      <c r="C1390" t="str">
        <f t="shared" si="65"/>
        <v/>
      </c>
    </row>
    <row r="1391" spans="1:3" x14ac:dyDescent="0.4">
      <c r="A1391" t="str">
        <f t="shared" si="63"/>
        <v/>
      </c>
      <c r="B1391" t="str">
        <f t="shared" si="64"/>
        <v/>
      </c>
      <c r="C1391" t="str">
        <f t="shared" si="65"/>
        <v/>
      </c>
    </row>
    <row r="1392" spans="1:3" x14ac:dyDescent="0.4">
      <c r="A1392" t="str">
        <f t="shared" si="63"/>
        <v/>
      </c>
      <c r="B1392" t="str">
        <f t="shared" si="64"/>
        <v/>
      </c>
      <c r="C1392" t="str">
        <f t="shared" si="65"/>
        <v/>
      </c>
    </row>
    <row r="1393" spans="1:3" x14ac:dyDescent="0.4">
      <c r="A1393" t="str">
        <f t="shared" si="63"/>
        <v/>
      </c>
      <c r="B1393" t="str">
        <f t="shared" si="64"/>
        <v/>
      </c>
      <c r="C1393" t="str">
        <f t="shared" si="65"/>
        <v/>
      </c>
    </row>
    <row r="1394" spans="1:3" x14ac:dyDescent="0.4">
      <c r="A1394" t="str">
        <f t="shared" si="63"/>
        <v/>
      </c>
      <c r="B1394" t="str">
        <f t="shared" si="64"/>
        <v/>
      </c>
      <c r="C1394" t="str">
        <f t="shared" si="65"/>
        <v/>
      </c>
    </row>
    <row r="1395" spans="1:3" x14ac:dyDescent="0.4">
      <c r="A1395" t="str">
        <f t="shared" si="63"/>
        <v/>
      </c>
      <c r="B1395" t="str">
        <f t="shared" si="64"/>
        <v/>
      </c>
      <c r="C1395" t="str">
        <f t="shared" si="65"/>
        <v/>
      </c>
    </row>
    <row r="1396" spans="1:3" x14ac:dyDescent="0.4">
      <c r="A1396" t="str">
        <f t="shared" si="63"/>
        <v/>
      </c>
      <c r="B1396" t="str">
        <f t="shared" si="64"/>
        <v/>
      </c>
      <c r="C1396" t="str">
        <f t="shared" si="65"/>
        <v/>
      </c>
    </row>
    <row r="1397" spans="1:3" x14ac:dyDescent="0.4">
      <c r="A1397" t="str">
        <f t="shared" si="63"/>
        <v/>
      </c>
      <c r="B1397" t="str">
        <f t="shared" si="64"/>
        <v/>
      </c>
      <c r="C1397" t="str">
        <f t="shared" si="65"/>
        <v/>
      </c>
    </row>
    <row r="1398" spans="1:3" x14ac:dyDescent="0.4">
      <c r="A1398" t="str">
        <f t="shared" si="63"/>
        <v/>
      </c>
      <c r="B1398" t="str">
        <f t="shared" si="64"/>
        <v/>
      </c>
      <c r="C1398" t="str">
        <f t="shared" si="65"/>
        <v/>
      </c>
    </row>
    <row r="1399" spans="1:3" x14ac:dyDescent="0.4">
      <c r="A1399" t="str">
        <f t="shared" si="63"/>
        <v/>
      </c>
      <c r="B1399" t="str">
        <f t="shared" si="64"/>
        <v/>
      </c>
      <c r="C1399" t="str">
        <f t="shared" si="65"/>
        <v/>
      </c>
    </row>
    <row r="1400" spans="1:3" x14ac:dyDescent="0.4">
      <c r="A1400" t="str">
        <f t="shared" si="63"/>
        <v/>
      </c>
      <c r="B1400" t="str">
        <f t="shared" si="64"/>
        <v/>
      </c>
      <c r="C1400" t="str">
        <f t="shared" si="65"/>
        <v/>
      </c>
    </row>
    <row r="1401" spans="1:3" x14ac:dyDescent="0.4">
      <c r="A1401" t="str">
        <f t="shared" si="63"/>
        <v/>
      </c>
      <c r="B1401" t="str">
        <f t="shared" si="64"/>
        <v/>
      </c>
      <c r="C1401" t="str">
        <f t="shared" si="65"/>
        <v/>
      </c>
    </row>
    <row r="1402" spans="1:3" x14ac:dyDescent="0.4">
      <c r="A1402" t="str">
        <f t="shared" si="63"/>
        <v/>
      </c>
      <c r="B1402" t="str">
        <f t="shared" si="64"/>
        <v/>
      </c>
      <c r="C1402" t="str">
        <f t="shared" si="65"/>
        <v/>
      </c>
    </row>
    <row r="1403" spans="1:3" x14ac:dyDescent="0.4">
      <c r="A1403" t="str">
        <f t="shared" si="63"/>
        <v/>
      </c>
      <c r="B1403" t="str">
        <f t="shared" si="64"/>
        <v/>
      </c>
      <c r="C1403" t="str">
        <f t="shared" si="65"/>
        <v/>
      </c>
    </row>
    <row r="1404" spans="1:3" x14ac:dyDescent="0.4">
      <c r="A1404" t="str">
        <f t="shared" si="63"/>
        <v/>
      </c>
      <c r="B1404" t="str">
        <f t="shared" si="64"/>
        <v/>
      </c>
      <c r="C1404" t="str">
        <f t="shared" si="65"/>
        <v/>
      </c>
    </row>
    <row r="1405" spans="1:3" x14ac:dyDescent="0.4">
      <c r="A1405" t="str">
        <f t="shared" si="63"/>
        <v/>
      </c>
      <c r="B1405" t="str">
        <f t="shared" si="64"/>
        <v/>
      </c>
      <c r="C1405" t="str">
        <f t="shared" si="65"/>
        <v/>
      </c>
    </row>
    <row r="1406" spans="1:3" x14ac:dyDescent="0.4">
      <c r="A1406" t="str">
        <f t="shared" si="63"/>
        <v/>
      </c>
      <c r="B1406" t="str">
        <f t="shared" si="64"/>
        <v/>
      </c>
      <c r="C1406" t="str">
        <f t="shared" si="65"/>
        <v/>
      </c>
    </row>
    <row r="1407" spans="1:3" x14ac:dyDescent="0.4">
      <c r="A1407" t="str">
        <f t="shared" si="63"/>
        <v/>
      </c>
      <c r="B1407" t="str">
        <f t="shared" si="64"/>
        <v/>
      </c>
      <c r="C1407" t="str">
        <f t="shared" si="65"/>
        <v/>
      </c>
    </row>
    <row r="1408" spans="1:3" x14ac:dyDescent="0.4">
      <c r="A1408" t="str">
        <f t="shared" si="63"/>
        <v/>
      </c>
      <c r="B1408" t="str">
        <f t="shared" si="64"/>
        <v/>
      </c>
      <c r="C1408" t="str">
        <f t="shared" si="65"/>
        <v/>
      </c>
    </row>
    <row r="1409" spans="1:3" x14ac:dyDescent="0.4">
      <c r="A1409" t="str">
        <f t="shared" si="63"/>
        <v/>
      </c>
      <c r="B1409" t="str">
        <f t="shared" si="64"/>
        <v/>
      </c>
      <c r="C1409" t="str">
        <f t="shared" si="65"/>
        <v/>
      </c>
    </row>
    <row r="1410" spans="1:3" x14ac:dyDescent="0.4">
      <c r="A1410" t="str">
        <f t="shared" si="63"/>
        <v/>
      </c>
      <c r="B1410" t="str">
        <f t="shared" si="64"/>
        <v/>
      </c>
      <c r="C1410" t="str">
        <f t="shared" si="65"/>
        <v/>
      </c>
    </row>
    <row r="1411" spans="1:3" x14ac:dyDescent="0.4">
      <c r="A1411" t="str">
        <f t="shared" ref="A1411:A1474" si="66">IF($F1411="","",$F1411&amp;"|"&amp;$H1411)</f>
        <v/>
      </c>
      <c r="B1411" t="str">
        <f t="shared" ref="B1411:B1474" si="67">IF(F1411&lt;&gt;"",F1411,"")</f>
        <v/>
      </c>
      <c r="C1411" t="str">
        <f t="shared" ref="C1411:C1474" si="68">IF(H1411&lt;&gt;"", H1411, "")</f>
        <v/>
      </c>
    </row>
    <row r="1412" spans="1:3" x14ac:dyDescent="0.4">
      <c r="A1412" t="str">
        <f t="shared" si="66"/>
        <v/>
      </c>
      <c r="B1412" t="str">
        <f t="shared" si="67"/>
        <v/>
      </c>
      <c r="C1412" t="str">
        <f t="shared" si="68"/>
        <v/>
      </c>
    </row>
    <row r="1413" spans="1:3" x14ac:dyDescent="0.4">
      <c r="A1413" t="str">
        <f t="shared" si="66"/>
        <v/>
      </c>
      <c r="B1413" t="str">
        <f t="shared" si="67"/>
        <v/>
      </c>
      <c r="C1413" t="str">
        <f t="shared" si="68"/>
        <v/>
      </c>
    </row>
    <row r="1414" spans="1:3" x14ac:dyDescent="0.4">
      <c r="A1414" t="str">
        <f t="shared" si="66"/>
        <v/>
      </c>
      <c r="B1414" t="str">
        <f t="shared" si="67"/>
        <v/>
      </c>
      <c r="C1414" t="str">
        <f t="shared" si="68"/>
        <v/>
      </c>
    </row>
    <row r="1415" spans="1:3" x14ac:dyDescent="0.4">
      <c r="A1415" t="str">
        <f t="shared" si="66"/>
        <v/>
      </c>
      <c r="B1415" t="str">
        <f t="shared" si="67"/>
        <v/>
      </c>
      <c r="C1415" t="str">
        <f t="shared" si="68"/>
        <v/>
      </c>
    </row>
    <row r="1416" spans="1:3" x14ac:dyDescent="0.4">
      <c r="A1416" t="str">
        <f t="shared" si="66"/>
        <v/>
      </c>
      <c r="B1416" t="str">
        <f t="shared" si="67"/>
        <v/>
      </c>
      <c r="C1416" t="str">
        <f t="shared" si="68"/>
        <v/>
      </c>
    </row>
    <row r="1417" spans="1:3" x14ac:dyDescent="0.4">
      <c r="A1417" t="str">
        <f t="shared" si="66"/>
        <v/>
      </c>
      <c r="B1417" t="str">
        <f t="shared" si="67"/>
        <v/>
      </c>
      <c r="C1417" t="str">
        <f t="shared" si="68"/>
        <v/>
      </c>
    </row>
    <row r="1418" spans="1:3" x14ac:dyDescent="0.4">
      <c r="A1418" t="str">
        <f t="shared" si="66"/>
        <v/>
      </c>
      <c r="B1418" t="str">
        <f t="shared" si="67"/>
        <v/>
      </c>
      <c r="C1418" t="str">
        <f t="shared" si="68"/>
        <v/>
      </c>
    </row>
    <row r="1419" spans="1:3" x14ac:dyDescent="0.4">
      <c r="A1419" t="str">
        <f t="shared" si="66"/>
        <v/>
      </c>
      <c r="B1419" t="str">
        <f t="shared" si="67"/>
        <v/>
      </c>
      <c r="C1419" t="str">
        <f t="shared" si="68"/>
        <v/>
      </c>
    </row>
    <row r="1420" spans="1:3" x14ac:dyDescent="0.4">
      <c r="A1420" t="str">
        <f t="shared" si="66"/>
        <v/>
      </c>
      <c r="B1420" t="str">
        <f t="shared" si="67"/>
        <v/>
      </c>
      <c r="C1420" t="str">
        <f t="shared" si="68"/>
        <v/>
      </c>
    </row>
    <row r="1421" spans="1:3" x14ac:dyDescent="0.4">
      <c r="A1421" t="str">
        <f t="shared" si="66"/>
        <v/>
      </c>
      <c r="B1421" t="str">
        <f t="shared" si="67"/>
        <v/>
      </c>
      <c r="C1421" t="str">
        <f t="shared" si="68"/>
        <v/>
      </c>
    </row>
    <row r="1422" spans="1:3" x14ac:dyDescent="0.4">
      <c r="A1422" t="str">
        <f t="shared" si="66"/>
        <v/>
      </c>
      <c r="B1422" t="str">
        <f t="shared" si="67"/>
        <v/>
      </c>
      <c r="C1422" t="str">
        <f t="shared" si="68"/>
        <v/>
      </c>
    </row>
    <row r="1423" spans="1:3" x14ac:dyDescent="0.4">
      <c r="A1423" t="str">
        <f t="shared" si="66"/>
        <v/>
      </c>
      <c r="B1423" t="str">
        <f t="shared" si="67"/>
        <v/>
      </c>
      <c r="C1423" t="str">
        <f t="shared" si="68"/>
        <v/>
      </c>
    </row>
    <row r="1424" spans="1:3" x14ac:dyDescent="0.4">
      <c r="A1424" t="str">
        <f t="shared" si="66"/>
        <v/>
      </c>
      <c r="B1424" t="str">
        <f t="shared" si="67"/>
        <v/>
      </c>
      <c r="C1424" t="str">
        <f t="shared" si="68"/>
        <v/>
      </c>
    </row>
    <row r="1425" spans="1:3" x14ac:dyDescent="0.4">
      <c r="A1425" t="str">
        <f t="shared" si="66"/>
        <v/>
      </c>
      <c r="B1425" t="str">
        <f t="shared" si="67"/>
        <v/>
      </c>
      <c r="C1425" t="str">
        <f t="shared" si="68"/>
        <v/>
      </c>
    </row>
    <row r="1426" spans="1:3" x14ac:dyDescent="0.4">
      <c r="A1426" t="str">
        <f t="shared" si="66"/>
        <v/>
      </c>
      <c r="B1426" t="str">
        <f t="shared" si="67"/>
        <v/>
      </c>
      <c r="C1426" t="str">
        <f t="shared" si="68"/>
        <v/>
      </c>
    </row>
    <row r="1427" spans="1:3" x14ac:dyDescent="0.4">
      <c r="A1427" t="str">
        <f t="shared" si="66"/>
        <v/>
      </c>
      <c r="B1427" t="str">
        <f t="shared" si="67"/>
        <v/>
      </c>
      <c r="C1427" t="str">
        <f t="shared" si="68"/>
        <v/>
      </c>
    </row>
    <row r="1428" spans="1:3" x14ac:dyDescent="0.4">
      <c r="A1428" t="str">
        <f t="shared" si="66"/>
        <v/>
      </c>
      <c r="B1428" t="str">
        <f t="shared" si="67"/>
        <v/>
      </c>
      <c r="C1428" t="str">
        <f t="shared" si="68"/>
        <v/>
      </c>
    </row>
    <row r="1429" spans="1:3" x14ac:dyDescent="0.4">
      <c r="A1429" t="str">
        <f t="shared" si="66"/>
        <v/>
      </c>
      <c r="B1429" t="str">
        <f t="shared" si="67"/>
        <v/>
      </c>
      <c r="C1429" t="str">
        <f t="shared" si="68"/>
        <v/>
      </c>
    </row>
    <row r="1430" spans="1:3" x14ac:dyDescent="0.4">
      <c r="A1430" t="str">
        <f t="shared" si="66"/>
        <v/>
      </c>
      <c r="B1430" t="str">
        <f t="shared" si="67"/>
        <v/>
      </c>
      <c r="C1430" t="str">
        <f t="shared" si="68"/>
        <v/>
      </c>
    </row>
    <row r="1431" spans="1:3" x14ac:dyDescent="0.4">
      <c r="A1431" t="str">
        <f t="shared" si="66"/>
        <v/>
      </c>
      <c r="B1431" t="str">
        <f t="shared" si="67"/>
        <v/>
      </c>
      <c r="C1431" t="str">
        <f t="shared" si="68"/>
        <v/>
      </c>
    </row>
    <row r="1432" spans="1:3" x14ac:dyDescent="0.4">
      <c r="A1432" t="str">
        <f t="shared" si="66"/>
        <v/>
      </c>
      <c r="B1432" t="str">
        <f t="shared" si="67"/>
        <v/>
      </c>
      <c r="C1432" t="str">
        <f t="shared" si="68"/>
        <v/>
      </c>
    </row>
    <row r="1433" spans="1:3" x14ac:dyDescent="0.4">
      <c r="A1433" t="str">
        <f t="shared" si="66"/>
        <v/>
      </c>
      <c r="B1433" t="str">
        <f t="shared" si="67"/>
        <v/>
      </c>
      <c r="C1433" t="str">
        <f t="shared" si="68"/>
        <v/>
      </c>
    </row>
    <row r="1434" spans="1:3" x14ac:dyDescent="0.4">
      <c r="A1434" t="str">
        <f t="shared" si="66"/>
        <v/>
      </c>
      <c r="B1434" t="str">
        <f t="shared" si="67"/>
        <v/>
      </c>
      <c r="C1434" t="str">
        <f t="shared" si="68"/>
        <v/>
      </c>
    </row>
    <row r="1435" spans="1:3" x14ac:dyDescent="0.4">
      <c r="A1435" t="str">
        <f t="shared" si="66"/>
        <v/>
      </c>
      <c r="B1435" t="str">
        <f t="shared" si="67"/>
        <v/>
      </c>
      <c r="C1435" t="str">
        <f t="shared" si="68"/>
        <v/>
      </c>
    </row>
    <row r="1436" spans="1:3" x14ac:dyDescent="0.4">
      <c r="A1436" t="str">
        <f t="shared" si="66"/>
        <v/>
      </c>
      <c r="B1436" t="str">
        <f t="shared" si="67"/>
        <v/>
      </c>
      <c r="C1436" t="str">
        <f t="shared" si="68"/>
        <v/>
      </c>
    </row>
    <row r="1437" spans="1:3" x14ac:dyDescent="0.4">
      <c r="A1437" t="str">
        <f t="shared" si="66"/>
        <v/>
      </c>
      <c r="B1437" t="str">
        <f t="shared" si="67"/>
        <v/>
      </c>
      <c r="C1437" t="str">
        <f t="shared" si="68"/>
        <v/>
      </c>
    </row>
    <row r="1438" spans="1:3" x14ac:dyDescent="0.4">
      <c r="A1438" t="str">
        <f t="shared" si="66"/>
        <v/>
      </c>
      <c r="B1438" t="str">
        <f t="shared" si="67"/>
        <v/>
      </c>
      <c r="C1438" t="str">
        <f t="shared" si="68"/>
        <v/>
      </c>
    </row>
    <row r="1439" spans="1:3" x14ac:dyDescent="0.4">
      <c r="A1439" t="str">
        <f t="shared" si="66"/>
        <v/>
      </c>
      <c r="B1439" t="str">
        <f t="shared" si="67"/>
        <v/>
      </c>
      <c r="C1439" t="str">
        <f t="shared" si="68"/>
        <v/>
      </c>
    </row>
    <row r="1440" spans="1:3" x14ac:dyDescent="0.4">
      <c r="A1440" t="str">
        <f t="shared" si="66"/>
        <v/>
      </c>
      <c r="B1440" t="str">
        <f t="shared" si="67"/>
        <v/>
      </c>
      <c r="C1440" t="str">
        <f t="shared" si="68"/>
        <v/>
      </c>
    </row>
    <row r="1441" spans="1:3" x14ac:dyDescent="0.4">
      <c r="A1441" t="str">
        <f t="shared" si="66"/>
        <v/>
      </c>
      <c r="B1441" t="str">
        <f t="shared" si="67"/>
        <v/>
      </c>
      <c r="C1441" t="str">
        <f t="shared" si="68"/>
        <v/>
      </c>
    </row>
    <row r="1442" spans="1:3" x14ac:dyDescent="0.4">
      <c r="A1442" t="str">
        <f t="shared" si="66"/>
        <v/>
      </c>
      <c r="B1442" t="str">
        <f t="shared" si="67"/>
        <v/>
      </c>
      <c r="C1442" t="str">
        <f t="shared" si="68"/>
        <v/>
      </c>
    </row>
    <row r="1443" spans="1:3" x14ac:dyDescent="0.4">
      <c r="A1443" t="str">
        <f t="shared" si="66"/>
        <v/>
      </c>
      <c r="B1443" t="str">
        <f t="shared" si="67"/>
        <v/>
      </c>
      <c r="C1443" t="str">
        <f t="shared" si="68"/>
        <v/>
      </c>
    </row>
    <row r="1444" spans="1:3" x14ac:dyDescent="0.4">
      <c r="A1444" t="str">
        <f t="shared" si="66"/>
        <v/>
      </c>
      <c r="B1444" t="str">
        <f t="shared" si="67"/>
        <v/>
      </c>
      <c r="C1444" t="str">
        <f t="shared" si="68"/>
        <v/>
      </c>
    </row>
    <row r="1445" spans="1:3" x14ac:dyDescent="0.4">
      <c r="A1445" t="str">
        <f t="shared" si="66"/>
        <v/>
      </c>
      <c r="B1445" t="str">
        <f t="shared" si="67"/>
        <v/>
      </c>
      <c r="C1445" t="str">
        <f t="shared" si="68"/>
        <v/>
      </c>
    </row>
    <row r="1446" spans="1:3" x14ac:dyDescent="0.4">
      <c r="A1446" t="str">
        <f t="shared" si="66"/>
        <v/>
      </c>
      <c r="B1446" t="str">
        <f t="shared" si="67"/>
        <v/>
      </c>
      <c r="C1446" t="str">
        <f t="shared" si="68"/>
        <v/>
      </c>
    </row>
    <row r="1447" spans="1:3" x14ac:dyDescent="0.4">
      <c r="A1447" t="str">
        <f t="shared" si="66"/>
        <v/>
      </c>
      <c r="B1447" t="str">
        <f t="shared" si="67"/>
        <v/>
      </c>
      <c r="C1447" t="str">
        <f t="shared" si="68"/>
        <v/>
      </c>
    </row>
    <row r="1448" spans="1:3" x14ac:dyDescent="0.4">
      <c r="A1448" t="str">
        <f t="shared" si="66"/>
        <v/>
      </c>
      <c r="B1448" t="str">
        <f t="shared" si="67"/>
        <v/>
      </c>
      <c r="C1448" t="str">
        <f t="shared" si="68"/>
        <v/>
      </c>
    </row>
    <row r="1449" spans="1:3" x14ac:dyDescent="0.4">
      <c r="A1449" t="str">
        <f t="shared" si="66"/>
        <v/>
      </c>
      <c r="B1449" t="str">
        <f t="shared" si="67"/>
        <v/>
      </c>
      <c r="C1449" t="str">
        <f t="shared" si="68"/>
        <v/>
      </c>
    </row>
    <row r="1450" spans="1:3" x14ac:dyDescent="0.4">
      <c r="A1450" t="str">
        <f t="shared" si="66"/>
        <v/>
      </c>
      <c r="B1450" t="str">
        <f t="shared" si="67"/>
        <v/>
      </c>
      <c r="C1450" t="str">
        <f t="shared" si="68"/>
        <v/>
      </c>
    </row>
    <row r="1451" spans="1:3" x14ac:dyDescent="0.4">
      <c r="A1451" t="str">
        <f t="shared" si="66"/>
        <v/>
      </c>
      <c r="B1451" t="str">
        <f t="shared" si="67"/>
        <v/>
      </c>
      <c r="C1451" t="str">
        <f t="shared" si="68"/>
        <v/>
      </c>
    </row>
    <row r="1452" spans="1:3" x14ac:dyDescent="0.4">
      <c r="A1452" t="str">
        <f t="shared" si="66"/>
        <v/>
      </c>
      <c r="B1452" t="str">
        <f t="shared" si="67"/>
        <v/>
      </c>
      <c r="C1452" t="str">
        <f t="shared" si="68"/>
        <v/>
      </c>
    </row>
    <row r="1453" spans="1:3" x14ac:dyDescent="0.4">
      <c r="A1453" t="str">
        <f t="shared" si="66"/>
        <v/>
      </c>
      <c r="B1453" t="str">
        <f t="shared" si="67"/>
        <v/>
      </c>
      <c r="C1453" t="str">
        <f t="shared" si="68"/>
        <v/>
      </c>
    </row>
    <row r="1454" spans="1:3" x14ac:dyDescent="0.4">
      <c r="A1454" t="str">
        <f t="shared" si="66"/>
        <v/>
      </c>
      <c r="B1454" t="str">
        <f t="shared" si="67"/>
        <v/>
      </c>
      <c r="C1454" t="str">
        <f t="shared" si="68"/>
        <v/>
      </c>
    </row>
    <row r="1455" spans="1:3" x14ac:dyDescent="0.4">
      <c r="A1455" t="str">
        <f t="shared" si="66"/>
        <v/>
      </c>
      <c r="B1455" t="str">
        <f t="shared" si="67"/>
        <v/>
      </c>
      <c r="C1455" t="str">
        <f t="shared" si="68"/>
        <v/>
      </c>
    </row>
    <row r="1456" spans="1:3" x14ac:dyDescent="0.4">
      <c r="A1456" t="str">
        <f t="shared" si="66"/>
        <v/>
      </c>
      <c r="B1456" t="str">
        <f t="shared" si="67"/>
        <v/>
      </c>
      <c r="C1456" t="str">
        <f t="shared" si="68"/>
        <v/>
      </c>
    </row>
    <row r="1457" spans="1:3" x14ac:dyDescent="0.4">
      <c r="A1457" t="str">
        <f t="shared" si="66"/>
        <v/>
      </c>
      <c r="B1457" t="str">
        <f t="shared" si="67"/>
        <v/>
      </c>
      <c r="C1457" t="str">
        <f t="shared" si="68"/>
        <v/>
      </c>
    </row>
    <row r="1458" spans="1:3" x14ac:dyDescent="0.4">
      <c r="A1458" t="str">
        <f t="shared" si="66"/>
        <v/>
      </c>
      <c r="B1458" t="str">
        <f t="shared" si="67"/>
        <v/>
      </c>
      <c r="C1458" t="str">
        <f t="shared" si="68"/>
        <v/>
      </c>
    </row>
    <row r="1459" spans="1:3" x14ac:dyDescent="0.4">
      <c r="A1459" t="str">
        <f t="shared" si="66"/>
        <v/>
      </c>
      <c r="B1459" t="str">
        <f t="shared" si="67"/>
        <v/>
      </c>
      <c r="C1459" t="str">
        <f t="shared" si="68"/>
        <v/>
      </c>
    </row>
    <row r="1460" spans="1:3" x14ac:dyDescent="0.4">
      <c r="A1460" t="str">
        <f t="shared" si="66"/>
        <v/>
      </c>
      <c r="B1460" t="str">
        <f t="shared" si="67"/>
        <v/>
      </c>
      <c r="C1460" t="str">
        <f t="shared" si="68"/>
        <v/>
      </c>
    </row>
    <row r="1461" spans="1:3" x14ac:dyDescent="0.4">
      <c r="A1461" t="str">
        <f t="shared" si="66"/>
        <v/>
      </c>
      <c r="B1461" t="str">
        <f t="shared" si="67"/>
        <v/>
      </c>
      <c r="C1461" t="str">
        <f t="shared" si="68"/>
        <v/>
      </c>
    </row>
    <row r="1462" spans="1:3" x14ac:dyDescent="0.4">
      <c r="A1462" t="str">
        <f t="shared" si="66"/>
        <v/>
      </c>
      <c r="B1462" t="str">
        <f t="shared" si="67"/>
        <v/>
      </c>
      <c r="C1462" t="str">
        <f t="shared" si="68"/>
        <v/>
      </c>
    </row>
    <row r="1463" spans="1:3" x14ac:dyDescent="0.4">
      <c r="A1463" t="str">
        <f t="shared" si="66"/>
        <v/>
      </c>
      <c r="B1463" t="str">
        <f t="shared" si="67"/>
        <v/>
      </c>
      <c r="C1463" t="str">
        <f t="shared" si="68"/>
        <v/>
      </c>
    </row>
    <row r="1464" spans="1:3" x14ac:dyDescent="0.4">
      <c r="A1464" t="str">
        <f t="shared" si="66"/>
        <v/>
      </c>
      <c r="B1464" t="str">
        <f t="shared" si="67"/>
        <v/>
      </c>
      <c r="C1464" t="str">
        <f t="shared" si="68"/>
        <v/>
      </c>
    </row>
    <row r="1465" spans="1:3" x14ac:dyDescent="0.4">
      <c r="A1465" t="str">
        <f t="shared" si="66"/>
        <v/>
      </c>
      <c r="B1465" t="str">
        <f t="shared" si="67"/>
        <v/>
      </c>
      <c r="C1465" t="str">
        <f t="shared" si="68"/>
        <v/>
      </c>
    </row>
    <row r="1466" spans="1:3" x14ac:dyDescent="0.4">
      <c r="A1466" t="str">
        <f t="shared" si="66"/>
        <v/>
      </c>
      <c r="B1466" t="str">
        <f t="shared" si="67"/>
        <v/>
      </c>
      <c r="C1466" t="str">
        <f t="shared" si="68"/>
        <v/>
      </c>
    </row>
    <row r="1467" spans="1:3" x14ac:dyDescent="0.4">
      <c r="A1467" t="str">
        <f t="shared" si="66"/>
        <v/>
      </c>
      <c r="B1467" t="str">
        <f t="shared" si="67"/>
        <v/>
      </c>
      <c r="C1467" t="str">
        <f t="shared" si="68"/>
        <v/>
      </c>
    </row>
    <row r="1468" spans="1:3" x14ac:dyDescent="0.4">
      <c r="A1468" t="str">
        <f t="shared" si="66"/>
        <v/>
      </c>
      <c r="B1468" t="str">
        <f t="shared" si="67"/>
        <v/>
      </c>
      <c r="C1468" t="str">
        <f t="shared" si="68"/>
        <v/>
      </c>
    </row>
    <row r="1469" spans="1:3" x14ac:dyDescent="0.4">
      <c r="A1469" t="str">
        <f t="shared" si="66"/>
        <v/>
      </c>
      <c r="B1469" t="str">
        <f t="shared" si="67"/>
        <v/>
      </c>
      <c r="C1469" t="str">
        <f t="shared" si="68"/>
        <v/>
      </c>
    </row>
    <row r="1470" spans="1:3" x14ac:dyDescent="0.4">
      <c r="A1470" t="str">
        <f t="shared" si="66"/>
        <v/>
      </c>
      <c r="B1470" t="str">
        <f t="shared" si="67"/>
        <v/>
      </c>
      <c r="C1470" t="str">
        <f t="shared" si="68"/>
        <v/>
      </c>
    </row>
    <row r="1471" spans="1:3" x14ac:dyDescent="0.4">
      <c r="A1471" t="str">
        <f t="shared" si="66"/>
        <v/>
      </c>
      <c r="B1471" t="str">
        <f t="shared" si="67"/>
        <v/>
      </c>
      <c r="C1471" t="str">
        <f t="shared" si="68"/>
        <v/>
      </c>
    </row>
    <row r="1472" spans="1:3" x14ac:dyDescent="0.4">
      <c r="A1472" t="str">
        <f t="shared" si="66"/>
        <v/>
      </c>
      <c r="B1472" t="str">
        <f t="shared" si="67"/>
        <v/>
      </c>
      <c r="C1472" t="str">
        <f t="shared" si="68"/>
        <v/>
      </c>
    </row>
    <row r="1473" spans="1:3" x14ac:dyDescent="0.4">
      <c r="A1473" t="str">
        <f t="shared" si="66"/>
        <v/>
      </c>
      <c r="B1473" t="str">
        <f t="shared" si="67"/>
        <v/>
      </c>
      <c r="C1473" t="str">
        <f t="shared" si="68"/>
        <v/>
      </c>
    </row>
    <row r="1474" spans="1:3" x14ac:dyDescent="0.4">
      <c r="A1474" t="str">
        <f t="shared" si="66"/>
        <v/>
      </c>
      <c r="B1474" t="str">
        <f t="shared" si="67"/>
        <v/>
      </c>
      <c r="C1474" t="str">
        <f t="shared" si="68"/>
        <v/>
      </c>
    </row>
    <row r="1475" spans="1:3" x14ac:dyDescent="0.4">
      <c r="A1475" t="str">
        <f t="shared" ref="A1475:A1538" si="69">IF($F1475="","",$F1475&amp;"|"&amp;$H1475)</f>
        <v/>
      </c>
      <c r="B1475" t="str">
        <f t="shared" ref="B1475:B1538" si="70">IF(F1475&lt;&gt;"",F1475,"")</f>
        <v/>
      </c>
      <c r="C1475" t="str">
        <f t="shared" ref="C1475:C1538" si="71">IF(H1475&lt;&gt;"", H1475, "")</f>
        <v/>
      </c>
    </row>
    <row r="1476" spans="1:3" x14ac:dyDescent="0.4">
      <c r="A1476" t="str">
        <f t="shared" si="69"/>
        <v/>
      </c>
      <c r="B1476" t="str">
        <f t="shared" si="70"/>
        <v/>
      </c>
      <c r="C1476" t="str">
        <f t="shared" si="71"/>
        <v/>
      </c>
    </row>
    <row r="1477" spans="1:3" x14ac:dyDescent="0.4">
      <c r="A1477" t="str">
        <f t="shared" si="69"/>
        <v/>
      </c>
      <c r="B1477" t="str">
        <f t="shared" si="70"/>
        <v/>
      </c>
      <c r="C1477" t="str">
        <f t="shared" si="71"/>
        <v/>
      </c>
    </row>
    <row r="1478" spans="1:3" x14ac:dyDescent="0.4">
      <c r="A1478" t="str">
        <f t="shared" si="69"/>
        <v/>
      </c>
      <c r="B1478" t="str">
        <f t="shared" si="70"/>
        <v/>
      </c>
      <c r="C1478" t="str">
        <f t="shared" si="71"/>
        <v/>
      </c>
    </row>
    <row r="1479" spans="1:3" x14ac:dyDescent="0.4">
      <c r="A1479" t="str">
        <f t="shared" si="69"/>
        <v/>
      </c>
      <c r="B1479" t="str">
        <f t="shared" si="70"/>
        <v/>
      </c>
      <c r="C1479" t="str">
        <f t="shared" si="71"/>
        <v/>
      </c>
    </row>
    <row r="1480" spans="1:3" x14ac:dyDescent="0.4">
      <c r="A1480" t="str">
        <f t="shared" si="69"/>
        <v/>
      </c>
      <c r="B1480" t="str">
        <f t="shared" si="70"/>
        <v/>
      </c>
      <c r="C1480" t="str">
        <f t="shared" si="71"/>
        <v/>
      </c>
    </row>
    <row r="1481" spans="1:3" x14ac:dyDescent="0.4">
      <c r="A1481" t="str">
        <f t="shared" si="69"/>
        <v/>
      </c>
      <c r="B1481" t="str">
        <f t="shared" si="70"/>
        <v/>
      </c>
      <c r="C1481" t="str">
        <f t="shared" si="71"/>
        <v/>
      </c>
    </row>
    <row r="1482" spans="1:3" x14ac:dyDescent="0.4">
      <c r="A1482" t="str">
        <f t="shared" si="69"/>
        <v/>
      </c>
      <c r="B1482" t="str">
        <f t="shared" si="70"/>
        <v/>
      </c>
      <c r="C1482" t="str">
        <f t="shared" si="71"/>
        <v/>
      </c>
    </row>
    <row r="1483" spans="1:3" x14ac:dyDescent="0.4">
      <c r="A1483" t="str">
        <f t="shared" si="69"/>
        <v/>
      </c>
      <c r="B1483" t="str">
        <f t="shared" si="70"/>
        <v/>
      </c>
      <c r="C1483" t="str">
        <f t="shared" si="71"/>
        <v/>
      </c>
    </row>
    <row r="1484" spans="1:3" x14ac:dyDescent="0.4">
      <c r="A1484" t="str">
        <f t="shared" si="69"/>
        <v/>
      </c>
      <c r="B1484" t="str">
        <f t="shared" si="70"/>
        <v/>
      </c>
      <c r="C1484" t="str">
        <f t="shared" si="71"/>
        <v/>
      </c>
    </row>
    <row r="1485" spans="1:3" x14ac:dyDescent="0.4">
      <c r="A1485" t="str">
        <f t="shared" si="69"/>
        <v/>
      </c>
      <c r="B1485" t="str">
        <f t="shared" si="70"/>
        <v/>
      </c>
      <c r="C1485" t="str">
        <f t="shared" si="71"/>
        <v/>
      </c>
    </row>
    <row r="1486" spans="1:3" x14ac:dyDescent="0.4">
      <c r="A1486" t="str">
        <f t="shared" si="69"/>
        <v/>
      </c>
      <c r="B1486" t="str">
        <f t="shared" si="70"/>
        <v/>
      </c>
      <c r="C1486" t="str">
        <f t="shared" si="71"/>
        <v/>
      </c>
    </row>
    <row r="1487" spans="1:3" x14ac:dyDescent="0.4">
      <c r="A1487" t="str">
        <f t="shared" si="69"/>
        <v/>
      </c>
      <c r="B1487" t="str">
        <f t="shared" si="70"/>
        <v/>
      </c>
      <c r="C1487" t="str">
        <f t="shared" si="71"/>
        <v/>
      </c>
    </row>
    <row r="1488" spans="1:3" x14ac:dyDescent="0.4">
      <c r="A1488" t="str">
        <f t="shared" si="69"/>
        <v/>
      </c>
      <c r="B1488" t="str">
        <f t="shared" si="70"/>
        <v/>
      </c>
      <c r="C1488" t="str">
        <f t="shared" si="71"/>
        <v/>
      </c>
    </row>
    <row r="1489" spans="1:3" x14ac:dyDescent="0.4">
      <c r="A1489" t="str">
        <f t="shared" si="69"/>
        <v/>
      </c>
      <c r="B1489" t="str">
        <f t="shared" si="70"/>
        <v/>
      </c>
      <c r="C1489" t="str">
        <f t="shared" si="71"/>
        <v/>
      </c>
    </row>
    <row r="1490" spans="1:3" x14ac:dyDescent="0.4">
      <c r="A1490" t="str">
        <f t="shared" si="69"/>
        <v/>
      </c>
      <c r="B1490" t="str">
        <f t="shared" si="70"/>
        <v/>
      </c>
      <c r="C1490" t="str">
        <f t="shared" si="71"/>
        <v/>
      </c>
    </row>
    <row r="1491" spans="1:3" x14ac:dyDescent="0.4">
      <c r="A1491" t="str">
        <f t="shared" si="69"/>
        <v/>
      </c>
      <c r="B1491" t="str">
        <f t="shared" si="70"/>
        <v/>
      </c>
      <c r="C1491" t="str">
        <f t="shared" si="71"/>
        <v/>
      </c>
    </row>
    <row r="1492" spans="1:3" x14ac:dyDescent="0.4">
      <c r="A1492" t="str">
        <f t="shared" si="69"/>
        <v/>
      </c>
      <c r="B1492" t="str">
        <f t="shared" si="70"/>
        <v/>
      </c>
      <c r="C1492" t="str">
        <f t="shared" si="71"/>
        <v/>
      </c>
    </row>
    <row r="1493" spans="1:3" x14ac:dyDescent="0.4">
      <c r="A1493" t="str">
        <f t="shared" si="69"/>
        <v/>
      </c>
      <c r="B1493" t="str">
        <f t="shared" si="70"/>
        <v/>
      </c>
      <c r="C1493" t="str">
        <f t="shared" si="71"/>
        <v/>
      </c>
    </row>
    <row r="1494" spans="1:3" x14ac:dyDescent="0.4">
      <c r="A1494" t="str">
        <f t="shared" si="69"/>
        <v/>
      </c>
      <c r="B1494" t="str">
        <f t="shared" si="70"/>
        <v/>
      </c>
      <c r="C1494" t="str">
        <f t="shared" si="71"/>
        <v/>
      </c>
    </row>
    <row r="1495" spans="1:3" x14ac:dyDescent="0.4">
      <c r="A1495" t="str">
        <f t="shared" si="69"/>
        <v/>
      </c>
      <c r="B1495" t="str">
        <f t="shared" si="70"/>
        <v/>
      </c>
      <c r="C1495" t="str">
        <f t="shared" si="71"/>
        <v/>
      </c>
    </row>
    <row r="1496" spans="1:3" x14ac:dyDescent="0.4">
      <c r="A1496" t="str">
        <f t="shared" si="69"/>
        <v/>
      </c>
      <c r="B1496" t="str">
        <f t="shared" si="70"/>
        <v/>
      </c>
      <c r="C1496" t="str">
        <f t="shared" si="71"/>
        <v/>
      </c>
    </row>
    <row r="1497" spans="1:3" x14ac:dyDescent="0.4">
      <c r="A1497" t="str">
        <f t="shared" si="69"/>
        <v/>
      </c>
      <c r="B1497" t="str">
        <f t="shared" si="70"/>
        <v/>
      </c>
      <c r="C1497" t="str">
        <f t="shared" si="71"/>
        <v/>
      </c>
    </row>
    <row r="1498" spans="1:3" x14ac:dyDescent="0.4">
      <c r="A1498" t="str">
        <f t="shared" si="69"/>
        <v/>
      </c>
      <c r="B1498" t="str">
        <f t="shared" si="70"/>
        <v/>
      </c>
      <c r="C1498" t="str">
        <f t="shared" si="71"/>
        <v/>
      </c>
    </row>
    <row r="1499" spans="1:3" x14ac:dyDescent="0.4">
      <c r="A1499" t="str">
        <f t="shared" si="69"/>
        <v/>
      </c>
      <c r="B1499" t="str">
        <f t="shared" si="70"/>
        <v/>
      </c>
      <c r="C1499" t="str">
        <f t="shared" si="71"/>
        <v/>
      </c>
    </row>
    <row r="1500" spans="1:3" x14ac:dyDescent="0.4">
      <c r="A1500" t="str">
        <f t="shared" si="69"/>
        <v/>
      </c>
      <c r="B1500" t="str">
        <f t="shared" si="70"/>
        <v/>
      </c>
      <c r="C1500" t="str">
        <f t="shared" si="71"/>
        <v/>
      </c>
    </row>
    <row r="1501" spans="1:3" x14ac:dyDescent="0.4">
      <c r="A1501" t="str">
        <f t="shared" si="69"/>
        <v/>
      </c>
      <c r="B1501" t="str">
        <f t="shared" si="70"/>
        <v/>
      </c>
      <c r="C1501" t="str">
        <f t="shared" si="71"/>
        <v/>
      </c>
    </row>
    <row r="1502" spans="1:3" x14ac:dyDescent="0.4">
      <c r="A1502" t="str">
        <f t="shared" si="69"/>
        <v/>
      </c>
      <c r="B1502" t="str">
        <f t="shared" si="70"/>
        <v/>
      </c>
      <c r="C1502" t="str">
        <f t="shared" si="71"/>
        <v/>
      </c>
    </row>
    <row r="1503" spans="1:3" x14ac:dyDescent="0.4">
      <c r="A1503" t="str">
        <f t="shared" si="69"/>
        <v/>
      </c>
      <c r="B1503" t="str">
        <f t="shared" si="70"/>
        <v/>
      </c>
      <c r="C1503" t="str">
        <f t="shared" si="71"/>
        <v/>
      </c>
    </row>
    <row r="1504" spans="1:3" x14ac:dyDescent="0.4">
      <c r="A1504" t="str">
        <f t="shared" si="69"/>
        <v/>
      </c>
      <c r="B1504" t="str">
        <f t="shared" si="70"/>
        <v/>
      </c>
      <c r="C1504" t="str">
        <f t="shared" si="71"/>
        <v/>
      </c>
    </row>
    <row r="1505" spans="1:3" x14ac:dyDescent="0.4">
      <c r="A1505" t="str">
        <f t="shared" si="69"/>
        <v/>
      </c>
      <c r="B1505" t="str">
        <f t="shared" si="70"/>
        <v/>
      </c>
      <c r="C1505" t="str">
        <f t="shared" si="71"/>
        <v/>
      </c>
    </row>
    <row r="1506" spans="1:3" x14ac:dyDescent="0.4">
      <c r="A1506" t="str">
        <f t="shared" si="69"/>
        <v/>
      </c>
      <c r="B1506" t="str">
        <f t="shared" si="70"/>
        <v/>
      </c>
      <c r="C1506" t="str">
        <f t="shared" si="71"/>
        <v/>
      </c>
    </row>
    <row r="1507" spans="1:3" x14ac:dyDescent="0.4">
      <c r="A1507" t="str">
        <f t="shared" si="69"/>
        <v/>
      </c>
      <c r="B1507" t="str">
        <f t="shared" si="70"/>
        <v/>
      </c>
      <c r="C1507" t="str">
        <f t="shared" si="71"/>
        <v/>
      </c>
    </row>
    <row r="1508" spans="1:3" x14ac:dyDescent="0.4">
      <c r="A1508" t="str">
        <f t="shared" si="69"/>
        <v/>
      </c>
      <c r="B1508" t="str">
        <f t="shared" si="70"/>
        <v/>
      </c>
      <c r="C1508" t="str">
        <f t="shared" si="71"/>
        <v/>
      </c>
    </row>
    <row r="1509" spans="1:3" x14ac:dyDescent="0.4">
      <c r="A1509" t="str">
        <f t="shared" si="69"/>
        <v/>
      </c>
      <c r="B1509" t="str">
        <f t="shared" si="70"/>
        <v/>
      </c>
      <c r="C1509" t="str">
        <f t="shared" si="71"/>
        <v/>
      </c>
    </row>
    <row r="1510" spans="1:3" x14ac:dyDescent="0.4">
      <c r="A1510" t="str">
        <f t="shared" si="69"/>
        <v/>
      </c>
      <c r="B1510" t="str">
        <f t="shared" si="70"/>
        <v/>
      </c>
      <c r="C1510" t="str">
        <f t="shared" si="71"/>
        <v/>
      </c>
    </row>
    <row r="1511" spans="1:3" x14ac:dyDescent="0.4">
      <c r="A1511" t="str">
        <f t="shared" si="69"/>
        <v/>
      </c>
      <c r="B1511" t="str">
        <f t="shared" si="70"/>
        <v/>
      </c>
      <c r="C1511" t="str">
        <f t="shared" si="71"/>
        <v/>
      </c>
    </row>
    <row r="1512" spans="1:3" x14ac:dyDescent="0.4">
      <c r="A1512" t="str">
        <f t="shared" si="69"/>
        <v/>
      </c>
      <c r="B1512" t="str">
        <f t="shared" si="70"/>
        <v/>
      </c>
      <c r="C1512" t="str">
        <f t="shared" si="71"/>
        <v/>
      </c>
    </row>
    <row r="1513" spans="1:3" x14ac:dyDescent="0.4">
      <c r="A1513" t="str">
        <f t="shared" si="69"/>
        <v/>
      </c>
      <c r="B1513" t="str">
        <f t="shared" si="70"/>
        <v/>
      </c>
      <c r="C1513" t="str">
        <f t="shared" si="71"/>
        <v/>
      </c>
    </row>
    <row r="1514" spans="1:3" x14ac:dyDescent="0.4">
      <c r="A1514" t="str">
        <f t="shared" si="69"/>
        <v/>
      </c>
      <c r="B1514" t="str">
        <f t="shared" si="70"/>
        <v/>
      </c>
      <c r="C1514" t="str">
        <f t="shared" si="71"/>
        <v/>
      </c>
    </row>
    <row r="1515" spans="1:3" x14ac:dyDescent="0.4">
      <c r="A1515" t="str">
        <f t="shared" si="69"/>
        <v/>
      </c>
      <c r="B1515" t="str">
        <f t="shared" si="70"/>
        <v/>
      </c>
      <c r="C1515" t="str">
        <f t="shared" si="71"/>
        <v/>
      </c>
    </row>
    <row r="1516" spans="1:3" x14ac:dyDescent="0.4">
      <c r="A1516" t="str">
        <f t="shared" si="69"/>
        <v/>
      </c>
      <c r="B1516" t="str">
        <f t="shared" si="70"/>
        <v/>
      </c>
      <c r="C1516" t="str">
        <f t="shared" si="71"/>
        <v/>
      </c>
    </row>
    <row r="1517" spans="1:3" x14ac:dyDescent="0.4">
      <c r="A1517" t="str">
        <f t="shared" si="69"/>
        <v/>
      </c>
      <c r="B1517" t="str">
        <f t="shared" si="70"/>
        <v/>
      </c>
      <c r="C1517" t="str">
        <f t="shared" si="71"/>
        <v/>
      </c>
    </row>
    <row r="1518" spans="1:3" x14ac:dyDescent="0.4">
      <c r="A1518" t="str">
        <f t="shared" si="69"/>
        <v/>
      </c>
      <c r="B1518" t="str">
        <f t="shared" si="70"/>
        <v/>
      </c>
      <c r="C1518" t="str">
        <f t="shared" si="71"/>
        <v/>
      </c>
    </row>
    <row r="1519" spans="1:3" x14ac:dyDescent="0.4">
      <c r="A1519" t="str">
        <f t="shared" si="69"/>
        <v/>
      </c>
      <c r="B1519" t="str">
        <f t="shared" si="70"/>
        <v/>
      </c>
      <c r="C1519" t="str">
        <f t="shared" si="71"/>
        <v/>
      </c>
    </row>
    <row r="1520" spans="1:3" x14ac:dyDescent="0.4">
      <c r="A1520" t="str">
        <f t="shared" si="69"/>
        <v/>
      </c>
      <c r="B1520" t="str">
        <f t="shared" si="70"/>
        <v/>
      </c>
      <c r="C1520" t="str">
        <f t="shared" si="71"/>
        <v/>
      </c>
    </row>
    <row r="1521" spans="1:3" x14ac:dyDescent="0.4">
      <c r="A1521" t="str">
        <f t="shared" si="69"/>
        <v/>
      </c>
      <c r="B1521" t="str">
        <f t="shared" si="70"/>
        <v/>
      </c>
      <c r="C1521" t="str">
        <f t="shared" si="71"/>
        <v/>
      </c>
    </row>
    <row r="1522" spans="1:3" x14ac:dyDescent="0.4">
      <c r="A1522" t="str">
        <f t="shared" si="69"/>
        <v/>
      </c>
      <c r="B1522" t="str">
        <f t="shared" si="70"/>
        <v/>
      </c>
      <c r="C1522" t="str">
        <f t="shared" si="71"/>
        <v/>
      </c>
    </row>
    <row r="1523" spans="1:3" x14ac:dyDescent="0.4">
      <c r="A1523" t="str">
        <f t="shared" si="69"/>
        <v/>
      </c>
      <c r="B1523" t="str">
        <f t="shared" si="70"/>
        <v/>
      </c>
      <c r="C1523" t="str">
        <f t="shared" si="71"/>
        <v/>
      </c>
    </row>
    <row r="1524" spans="1:3" x14ac:dyDescent="0.4">
      <c r="A1524" t="str">
        <f t="shared" si="69"/>
        <v/>
      </c>
      <c r="B1524" t="str">
        <f t="shared" si="70"/>
        <v/>
      </c>
      <c r="C1524" t="str">
        <f t="shared" si="71"/>
        <v/>
      </c>
    </row>
    <row r="1525" spans="1:3" x14ac:dyDescent="0.4">
      <c r="A1525" t="str">
        <f t="shared" si="69"/>
        <v/>
      </c>
      <c r="B1525" t="str">
        <f t="shared" si="70"/>
        <v/>
      </c>
      <c r="C1525" t="str">
        <f t="shared" si="71"/>
        <v/>
      </c>
    </row>
    <row r="1526" spans="1:3" x14ac:dyDescent="0.4">
      <c r="A1526" t="str">
        <f t="shared" si="69"/>
        <v/>
      </c>
      <c r="B1526" t="str">
        <f t="shared" si="70"/>
        <v/>
      </c>
      <c r="C1526" t="str">
        <f t="shared" si="71"/>
        <v/>
      </c>
    </row>
    <row r="1527" spans="1:3" x14ac:dyDescent="0.4">
      <c r="A1527" t="str">
        <f t="shared" si="69"/>
        <v/>
      </c>
      <c r="B1527" t="str">
        <f t="shared" si="70"/>
        <v/>
      </c>
      <c r="C1527" t="str">
        <f t="shared" si="71"/>
        <v/>
      </c>
    </row>
    <row r="1528" spans="1:3" x14ac:dyDescent="0.4">
      <c r="A1528" t="str">
        <f t="shared" si="69"/>
        <v/>
      </c>
      <c r="B1528" t="str">
        <f t="shared" si="70"/>
        <v/>
      </c>
      <c r="C1528" t="str">
        <f t="shared" si="71"/>
        <v/>
      </c>
    </row>
    <row r="1529" spans="1:3" x14ac:dyDescent="0.4">
      <c r="A1529" t="str">
        <f t="shared" si="69"/>
        <v/>
      </c>
      <c r="B1529" t="str">
        <f t="shared" si="70"/>
        <v/>
      </c>
      <c r="C1529" t="str">
        <f t="shared" si="71"/>
        <v/>
      </c>
    </row>
    <row r="1530" spans="1:3" x14ac:dyDescent="0.4">
      <c r="A1530" t="str">
        <f t="shared" si="69"/>
        <v/>
      </c>
      <c r="B1530" t="str">
        <f t="shared" si="70"/>
        <v/>
      </c>
      <c r="C1530" t="str">
        <f t="shared" si="71"/>
        <v/>
      </c>
    </row>
    <row r="1531" spans="1:3" x14ac:dyDescent="0.4">
      <c r="A1531" t="str">
        <f t="shared" si="69"/>
        <v/>
      </c>
      <c r="B1531" t="str">
        <f t="shared" si="70"/>
        <v/>
      </c>
      <c r="C1531" t="str">
        <f t="shared" si="71"/>
        <v/>
      </c>
    </row>
    <row r="1532" spans="1:3" x14ac:dyDescent="0.4">
      <c r="A1532" t="str">
        <f t="shared" si="69"/>
        <v/>
      </c>
      <c r="B1532" t="str">
        <f t="shared" si="70"/>
        <v/>
      </c>
      <c r="C1532" t="str">
        <f t="shared" si="71"/>
        <v/>
      </c>
    </row>
    <row r="1533" spans="1:3" x14ac:dyDescent="0.4">
      <c r="A1533" t="str">
        <f t="shared" si="69"/>
        <v/>
      </c>
      <c r="B1533" t="str">
        <f t="shared" si="70"/>
        <v/>
      </c>
      <c r="C1533" t="str">
        <f t="shared" si="71"/>
        <v/>
      </c>
    </row>
    <row r="1534" spans="1:3" x14ac:dyDescent="0.4">
      <c r="A1534" t="str">
        <f t="shared" si="69"/>
        <v/>
      </c>
      <c r="B1534" t="str">
        <f t="shared" si="70"/>
        <v/>
      </c>
      <c r="C1534" t="str">
        <f t="shared" si="71"/>
        <v/>
      </c>
    </row>
    <row r="1535" spans="1:3" x14ac:dyDescent="0.4">
      <c r="A1535" t="str">
        <f t="shared" si="69"/>
        <v/>
      </c>
      <c r="B1535" t="str">
        <f t="shared" si="70"/>
        <v/>
      </c>
      <c r="C1535" t="str">
        <f t="shared" si="71"/>
        <v/>
      </c>
    </row>
    <row r="1536" spans="1:3" x14ac:dyDescent="0.4">
      <c r="A1536" t="str">
        <f t="shared" si="69"/>
        <v/>
      </c>
      <c r="B1536" t="str">
        <f t="shared" si="70"/>
        <v/>
      </c>
      <c r="C1536" t="str">
        <f t="shared" si="71"/>
        <v/>
      </c>
    </row>
    <row r="1537" spans="1:3" x14ac:dyDescent="0.4">
      <c r="A1537" t="str">
        <f t="shared" si="69"/>
        <v/>
      </c>
      <c r="B1537" t="str">
        <f t="shared" si="70"/>
        <v/>
      </c>
      <c r="C1537" t="str">
        <f t="shared" si="71"/>
        <v/>
      </c>
    </row>
    <row r="1538" spans="1:3" x14ac:dyDescent="0.4">
      <c r="A1538" t="str">
        <f t="shared" si="69"/>
        <v/>
      </c>
      <c r="B1538" t="str">
        <f t="shared" si="70"/>
        <v/>
      </c>
      <c r="C1538" t="str">
        <f t="shared" si="71"/>
        <v/>
      </c>
    </row>
    <row r="1539" spans="1:3" x14ac:dyDescent="0.4">
      <c r="A1539" t="str">
        <f t="shared" ref="A1539:A1602" si="72">IF($F1539="","",$F1539&amp;"|"&amp;$H1539)</f>
        <v/>
      </c>
      <c r="B1539" t="str">
        <f t="shared" ref="B1539:B1602" si="73">IF(F1539&lt;&gt;"",F1539,"")</f>
        <v/>
      </c>
      <c r="C1539" t="str">
        <f t="shared" ref="C1539:C1602" si="74">IF(H1539&lt;&gt;"", H1539, "")</f>
        <v/>
      </c>
    </row>
    <row r="1540" spans="1:3" x14ac:dyDescent="0.4">
      <c r="A1540" t="str">
        <f t="shared" si="72"/>
        <v/>
      </c>
      <c r="B1540" t="str">
        <f t="shared" si="73"/>
        <v/>
      </c>
      <c r="C1540" t="str">
        <f t="shared" si="74"/>
        <v/>
      </c>
    </row>
    <row r="1541" spans="1:3" x14ac:dyDescent="0.4">
      <c r="A1541" t="str">
        <f t="shared" si="72"/>
        <v/>
      </c>
      <c r="B1541" t="str">
        <f t="shared" si="73"/>
        <v/>
      </c>
      <c r="C1541" t="str">
        <f t="shared" si="74"/>
        <v/>
      </c>
    </row>
    <row r="1542" spans="1:3" x14ac:dyDescent="0.4">
      <c r="A1542" t="str">
        <f t="shared" si="72"/>
        <v/>
      </c>
      <c r="B1542" t="str">
        <f t="shared" si="73"/>
        <v/>
      </c>
      <c r="C1542" t="str">
        <f t="shared" si="74"/>
        <v/>
      </c>
    </row>
    <row r="1543" spans="1:3" x14ac:dyDescent="0.4">
      <c r="A1543" t="str">
        <f t="shared" si="72"/>
        <v/>
      </c>
      <c r="B1543" t="str">
        <f t="shared" si="73"/>
        <v/>
      </c>
      <c r="C1543" t="str">
        <f t="shared" si="74"/>
        <v/>
      </c>
    </row>
    <row r="1544" spans="1:3" x14ac:dyDescent="0.4">
      <c r="A1544" t="str">
        <f t="shared" si="72"/>
        <v/>
      </c>
      <c r="B1544" t="str">
        <f t="shared" si="73"/>
        <v/>
      </c>
      <c r="C1544" t="str">
        <f t="shared" si="74"/>
        <v/>
      </c>
    </row>
    <row r="1545" spans="1:3" x14ac:dyDescent="0.4">
      <c r="A1545" t="str">
        <f t="shared" si="72"/>
        <v/>
      </c>
      <c r="B1545" t="str">
        <f t="shared" si="73"/>
        <v/>
      </c>
      <c r="C1545" t="str">
        <f t="shared" si="74"/>
        <v/>
      </c>
    </row>
    <row r="1546" spans="1:3" x14ac:dyDescent="0.4">
      <c r="A1546" t="str">
        <f t="shared" si="72"/>
        <v/>
      </c>
      <c r="B1546" t="str">
        <f t="shared" si="73"/>
        <v/>
      </c>
      <c r="C1546" t="str">
        <f t="shared" si="74"/>
        <v/>
      </c>
    </row>
    <row r="1547" spans="1:3" x14ac:dyDescent="0.4">
      <c r="A1547" t="str">
        <f t="shared" si="72"/>
        <v/>
      </c>
      <c r="B1547" t="str">
        <f t="shared" si="73"/>
        <v/>
      </c>
      <c r="C1547" t="str">
        <f t="shared" si="74"/>
        <v/>
      </c>
    </row>
    <row r="1548" spans="1:3" x14ac:dyDescent="0.4">
      <c r="A1548" t="str">
        <f t="shared" si="72"/>
        <v/>
      </c>
      <c r="B1548" t="str">
        <f t="shared" si="73"/>
        <v/>
      </c>
      <c r="C1548" t="str">
        <f t="shared" si="74"/>
        <v/>
      </c>
    </row>
    <row r="1549" spans="1:3" x14ac:dyDescent="0.4">
      <c r="A1549" t="str">
        <f t="shared" si="72"/>
        <v/>
      </c>
      <c r="B1549" t="str">
        <f t="shared" si="73"/>
        <v/>
      </c>
      <c r="C1549" t="str">
        <f t="shared" si="74"/>
        <v/>
      </c>
    </row>
    <row r="1550" spans="1:3" x14ac:dyDescent="0.4">
      <c r="A1550" t="str">
        <f t="shared" si="72"/>
        <v/>
      </c>
      <c r="B1550" t="str">
        <f t="shared" si="73"/>
        <v/>
      </c>
      <c r="C1550" t="str">
        <f t="shared" si="74"/>
        <v/>
      </c>
    </row>
    <row r="1551" spans="1:3" x14ac:dyDescent="0.4">
      <c r="A1551" t="str">
        <f t="shared" si="72"/>
        <v/>
      </c>
      <c r="B1551" t="str">
        <f t="shared" si="73"/>
        <v/>
      </c>
      <c r="C1551" t="str">
        <f t="shared" si="74"/>
        <v/>
      </c>
    </row>
    <row r="1552" spans="1:3" x14ac:dyDescent="0.4">
      <c r="A1552" t="str">
        <f t="shared" si="72"/>
        <v/>
      </c>
      <c r="B1552" t="str">
        <f t="shared" si="73"/>
        <v/>
      </c>
      <c r="C1552" t="str">
        <f t="shared" si="74"/>
        <v/>
      </c>
    </row>
    <row r="1553" spans="1:3" x14ac:dyDescent="0.4">
      <c r="A1553" t="str">
        <f t="shared" si="72"/>
        <v/>
      </c>
      <c r="B1553" t="str">
        <f t="shared" si="73"/>
        <v/>
      </c>
      <c r="C1553" t="str">
        <f t="shared" si="74"/>
        <v/>
      </c>
    </row>
    <row r="1554" spans="1:3" x14ac:dyDescent="0.4">
      <c r="A1554" t="str">
        <f t="shared" si="72"/>
        <v/>
      </c>
      <c r="B1554" t="str">
        <f t="shared" si="73"/>
        <v/>
      </c>
      <c r="C1554" t="str">
        <f t="shared" si="74"/>
        <v/>
      </c>
    </row>
    <row r="1555" spans="1:3" x14ac:dyDescent="0.4">
      <c r="A1555" t="str">
        <f t="shared" si="72"/>
        <v/>
      </c>
      <c r="B1555" t="str">
        <f t="shared" si="73"/>
        <v/>
      </c>
      <c r="C1555" t="str">
        <f t="shared" si="74"/>
        <v/>
      </c>
    </row>
    <row r="1556" spans="1:3" x14ac:dyDescent="0.4">
      <c r="A1556" t="str">
        <f t="shared" si="72"/>
        <v/>
      </c>
      <c r="B1556" t="str">
        <f t="shared" si="73"/>
        <v/>
      </c>
      <c r="C1556" t="str">
        <f t="shared" si="74"/>
        <v/>
      </c>
    </row>
    <row r="1557" spans="1:3" x14ac:dyDescent="0.4">
      <c r="A1557" t="str">
        <f t="shared" si="72"/>
        <v/>
      </c>
      <c r="B1557" t="str">
        <f t="shared" si="73"/>
        <v/>
      </c>
      <c r="C1557" t="str">
        <f t="shared" si="74"/>
        <v/>
      </c>
    </row>
    <row r="1558" spans="1:3" x14ac:dyDescent="0.4">
      <c r="A1558" t="str">
        <f t="shared" si="72"/>
        <v/>
      </c>
      <c r="B1558" t="str">
        <f t="shared" si="73"/>
        <v/>
      </c>
      <c r="C1558" t="str">
        <f t="shared" si="74"/>
        <v/>
      </c>
    </row>
    <row r="1559" spans="1:3" x14ac:dyDescent="0.4">
      <c r="A1559" t="str">
        <f t="shared" si="72"/>
        <v/>
      </c>
      <c r="B1559" t="str">
        <f t="shared" si="73"/>
        <v/>
      </c>
      <c r="C1559" t="str">
        <f t="shared" si="74"/>
        <v/>
      </c>
    </row>
    <row r="1560" spans="1:3" x14ac:dyDescent="0.4">
      <c r="A1560" t="str">
        <f t="shared" si="72"/>
        <v/>
      </c>
      <c r="B1560" t="str">
        <f t="shared" si="73"/>
        <v/>
      </c>
      <c r="C1560" t="str">
        <f t="shared" si="74"/>
        <v/>
      </c>
    </row>
    <row r="1561" spans="1:3" x14ac:dyDescent="0.4">
      <c r="A1561" t="str">
        <f t="shared" si="72"/>
        <v/>
      </c>
      <c r="B1561" t="str">
        <f t="shared" si="73"/>
        <v/>
      </c>
      <c r="C1561" t="str">
        <f t="shared" si="74"/>
        <v/>
      </c>
    </row>
    <row r="1562" spans="1:3" x14ac:dyDescent="0.4">
      <c r="A1562" t="str">
        <f t="shared" si="72"/>
        <v/>
      </c>
      <c r="B1562" t="str">
        <f t="shared" si="73"/>
        <v/>
      </c>
      <c r="C1562" t="str">
        <f t="shared" si="74"/>
        <v/>
      </c>
    </row>
    <row r="1563" spans="1:3" x14ac:dyDescent="0.4">
      <c r="A1563" t="str">
        <f t="shared" si="72"/>
        <v/>
      </c>
      <c r="B1563" t="str">
        <f t="shared" si="73"/>
        <v/>
      </c>
      <c r="C1563" t="str">
        <f t="shared" si="74"/>
        <v/>
      </c>
    </row>
    <row r="1564" spans="1:3" x14ac:dyDescent="0.4">
      <c r="A1564" t="str">
        <f t="shared" si="72"/>
        <v/>
      </c>
      <c r="B1564" t="str">
        <f t="shared" si="73"/>
        <v/>
      </c>
      <c r="C1564" t="str">
        <f t="shared" si="74"/>
        <v/>
      </c>
    </row>
    <row r="1565" spans="1:3" x14ac:dyDescent="0.4">
      <c r="A1565" t="str">
        <f t="shared" si="72"/>
        <v/>
      </c>
      <c r="B1565" t="str">
        <f t="shared" si="73"/>
        <v/>
      </c>
      <c r="C1565" t="str">
        <f t="shared" si="74"/>
        <v/>
      </c>
    </row>
    <row r="1566" spans="1:3" x14ac:dyDescent="0.4">
      <c r="A1566" t="str">
        <f t="shared" si="72"/>
        <v/>
      </c>
      <c r="B1566" t="str">
        <f t="shared" si="73"/>
        <v/>
      </c>
      <c r="C1566" t="str">
        <f t="shared" si="74"/>
        <v/>
      </c>
    </row>
    <row r="1567" spans="1:3" x14ac:dyDescent="0.4">
      <c r="A1567" t="str">
        <f t="shared" si="72"/>
        <v/>
      </c>
      <c r="B1567" t="str">
        <f t="shared" si="73"/>
        <v/>
      </c>
      <c r="C1567" t="str">
        <f t="shared" si="74"/>
        <v/>
      </c>
    </row>
    <row r="1568" spans="1:3" x14ac:dyDescent="0.4">
      <c r="A1568" t="str">
        <f t="shared" si="72"/>
        <v/>
      </c>
      <c r="B1568" t="str">
        <f t="shared" si="73"/>
        <v/>
      </c>
      <c r="C1568" t="str">
        <f t="shared" si="74"/>
        <v/>
      </c>
    </row>
    <row r="1569" spans="1:3" x14ac:dyDescent="0.4">
      <c r="A1569" t="str">
        <f t="shared" si="72"/>
        <v/>
      </c>
      <c r="B1569" t="str">
        <f t="shared" si="73"/>
        <v/>
      </c>
      <c r="C1569" t="str">
        <f t="shared" si="74"/>
        <v/>
      </c>
    </row>
    <row r="1570" spans="1:3" x14ac:dyDescent="0.4">
      <c r="A1570" t="str">
        <f t="shared" si="72"/>
        <v/>
      </c>
      <c r="B1570" t="str">
        <f t="shared" si="73"/>
        <v/>
      </c>
      <c r="C1570" t="str">
        <f t="shared" si="74"/>
        <v/>
      </c>
    </row>
    <row r="1571" spans="1:3" x14ac:dyDescent="0.4">
      <c r="A1571" t="str">
        <f t="shared" si="72"/>
        <v/>
      </c>
      <c r="B1571" t="str">
        <f t="shared" si="73"/>
        <v/>
      </c>
      <c r="C1571" t="str">
        <f t="shared" si="74"/>
        <v/>
      </c>
    </row>
    <row r="1572" spans="1:3" x14ac:dyDescent="0.4">
      <c r="A1572" t="str">
        <f t="shared" si="72"/>
        <v/>
      </c>
      <c r="B1572" t="str">
        <f t="shared" si="73"/>
        <v/>
      </c>
      <c r="C1572" t="str">
        <f t="shared" si="74"/>
        <v/>
      </c>
    </row>
    <row r="1573" spans="1:3" x14ac:dyDescent="0.4">
      <c r="A1573" t="str">
        <f t="shared" si="72"/>
        <v/>
      </c>
      <c r="B1573" t="str">
        <f t="shared" si="73"/>
        <v/>
      </c>
      <c r="C1573" t="str">
        <f t="shared" si="74"/>
        <v/>
      </c>
    </row>
    <row r="1574" spans="1:3" x14ac:dyDescent="0.4">
      <c r="A1574" t="str">
        <f t="shared" si="72"/>
        <v/>
      </c>
      <c r="B1574" t="str">
        <f t="shared" si="73"/>
        <v/>
      </c>
      <c r="C1574" t="str">
        <f t="shared" si="74"/>
        <v/>
      </c>
    </row>
    <row r="1575" spans="1:3" x14ac:dyDescent="0.4">
      <c r="A1575" t="str">
        <f t="shared" si="72"/>
        <v/>
      </c>
      <c r="B1575" t="str">
        <f t="shared" si="73"/>
        <v/>
      </c>
      <c r="C1575" t="str">
        <f t="shared" si="74"/>
        <v/>
      </c>
    </row>
    <row r="1576" spans="1:3" x14ac:dyDescent="0.4">
      <c r="A1576" t="str">
        <f t="shared" si="72"/>
        <v/>
      </c>
      <c r="B1576" t="str">
        <f t="shared" si="73"/>
        <v/>
      </c>
      <c r="C1576" t="str">
        <f t="shared" si="74"/>
        <v/>
      </c>
    </row>
    <row r="1577" spans="1:3" x14ac:dyDescent="0.4">
      <c r="A1577" t="str">
        <f t="shared" si="72"/>
        <v/>
      </c>
      <c r="B1577" t="str">
        <f t="shared" si="73"/>
        <v/>
      </c>
      <c r="C1577" t="str">
        <f t="shared" si="74"/>
        <v/>
      </c>
    </row>
    <row r="1578" spans="1:3" x14ac:dyDescent="0.4">
      <c r="A1578" t="str">
        <f t="shared" si="72"/>
        <v/>
      </c>
      <c r="B1578" t="str">
        <f t="shared" si="73"/>
        <v/>
      </c>
      <c r="C1578" t="str">
        <f t="shared" si="74"/>
        <v/>
      </c>
    </row>
    <row r="1579" spans="1:3" x14ac:dyDescent="0.4">
      <c r="A1579" t="str">
        <f t="shared" si="72"/>
        <v/>
      </c>
      <c r="B1579" t="str">
        <f t="shared" si="73"/>
        <v/>
      </c>
      <c r="C1579" t="str">
        <f t="shared" si="74"/>
        <v/>
      </c>
    </row>
    <row r="1580" spans="1:3" x14ac:dyDescent="0.4">
      <c r="A1580" t="str">
        <f t="shared" si="72"/>
        <v/>
      </c>
      <c r="B1580" t="str">
        <f t="shared" si="73"/>
        <v/>
      </c>
      <c r="C1580" t="str">
        <f t="shared" si="74"/>
        <v/>
      </c>
    </row>
    <row r="1581" spans="1:3" x14ac:dyDescent="0.4">
      <c r="A1581" t="str">
        <f t="shared" si="72"/>
        <v/>
      </c>
      <c r="B1581" t="str">
        <f t="shared" si="73"/>
        <v/>
      </c>
      <c r="C1581" t="str">
        <f t="shared" si="74"/>
        <v/>
      </c>
    </row>
    <row r="1582" spans="1:3" x14ac:dyDescent="0.4">
      <c r="A1582" t="str">
        <f t="shared" si="72"/>
        <v/>
      </c>
      <c r="B1582" t="str">
        <f t="shared" si="73"/>
        <v/>
      </c>
      <c r="C1582" t="str">
        <f t="shared" si="74"/>
        <v/>
      </c>
    </row>
    <row r="1583" spans="1:3" x14ac:dyDescent="0.4">
      <c r="A1583" t="str">
        <f t="shared" si="72"/>
        <v/>
      </c>
      <c r="B1583" t="str">
        <f t="shared" si="73"/>
        <v/>
      </c>
      <c r="C1583" t="str">
        <f t="shared" si="74"/>
        <v/>
      </c>
    </row>
    <row r="1584" spans="1:3" x14ac:dyDescent="0.4">
      <c r="A1584" t="str">
        <f t="shared" si="72"/>
        <v/>
      </c>
      <c r="B1584" t="str">
        <f t="shared" si="73"/>
        <v/>
      </c>
      <c r="C1584" t="str">
        <f t="shared" si="74"/>
        <v/>
      </c>
    </row>
    <row r="1585" spans="1:3" x14ac:dyDescent="0.4">
      <c r="A1585" t="str">
        <f t="shared" si="72"/>
        <v/>
      </c>
      <c r="B1585" t="str">
        <f t="shared" si="73"/>
        <v/>
      </c>
      <c r="C1585" t="str">
        <f t="shared" si="74"/>
        <v/>
      </c>
    </row>
    <row r="1586" spans="1:3" x14ac:dyDescent="0.4">
      <c r="A1586" t="str">
        <f t="shared" si="72"/>
        <v/>
      </c>
      <c r="B1586" t="str">
        <f t="shared" si="73"/>
        <v/>
      </c>
      <c r="C1586" t="str">
        <f t="shared" si="74"/>
        <v/>
      </c>
    </row>
    <row r="1587" spans="1:3" x14ac:dyDescent="0.4">
      <c r="A1587" t="str">
        <f t="shared" si="72"/>
        <v/>
      </c>
      <c r="B1587" t="str">
        <f t="shared" si="73"/>
        <v/>
      </c>
      <c r="C1587" t="str">
        <f t="shared" si="74"/>
        <v/>
      </c>
    </row>
    <row r="1588" spans="1:3" x14ac:dyDescent="0.4">
      <c r="A1588" t="str">
        <f t="shared" si="72"/>
        <v/>
      </c>
      <c r="B1588" t="str">
        <f t="shared" si="73"/>
        <v/>
      </c>
      <c r="C1588" t="str">
        <f t="shared" si="74"/>
        <v/>
      </c>
    </row>
    <row r="1589" spans="1:3" x14ac:dyDescent="0.4">
      <c r="A1589" t="str">
        <f t="shared" si="72"/>
        <v/>
      </c>
      <c r="B1589" t="str">
        <f t="shared" si="73"/>
        <v/>
      </c>
      <c r="C1589" t="str">
        <f t="shared" si="74"/>
        <v/>
      </c>
    </row>
    <row r="1590" spans="1:3" x14ac:dyDescent="0.4">
      <c r="A1590" t="str">
        <f t="shared" si="72"/>
        <v/>
      </c>
      <c r="B1590" t="str">
        <f t="shared" si="73"/>
        <v/>
      </c>
      <c r="C1590" t="str">
        <f t="shared" si="74"/>
        <v/>
      </c>
    </row>
    <row r="1591" spans="1:3" x14ac:dyDescent="0.4">
      <c r="A1591" t="str">
        <f t="shared" si="72"/>
        <v/>
      </c>
      <c r="B1591" t="str">
        <f t="shared" si="73"/>
        <v/>
      </c>
      <c r="C1591" t="str">
        <f t="shared" si="74"/>
        <v/>
      </c>
    </row>
    <row r="1592" spans="1:3" x14ac:dyDescent="0.4">
      <c r="A1592" t="str">
        <f t="shared" si="72"/>
        <v/>
      </c>
      <c r="B1592" t="str">
        <f t="shared" si="73"/>
        <v/>
      </c>
      <c r="C1592" t="str">
        <f t="shared" si="74"/>
        <v/>
      </c>
    </row>
    <row r="1593" spans="1:3" x14ac:dyDescent="0.4">
      <c r="A1593" t="str">
        <f t="shared" si="72"/>
        <v/>
      </c>
      <c r="B1593" t="str">
        <f t="shared" si="73"/>
        <v/>
      </c>
      <c r="C1593" t="str">
        <f t="shared" si="74"/>
        <v/>
      </c>
    </row>
    <row r="1594" spans="1:3" x14ac:dyDescent="0.4">
      <c r="A1594" t="str">
        <f t="shared" si="72"/>
        <v/>
      </c>
      <c r="B1594" t="str">
        <f t="shared" si="73"/>
        <v/>
      </c>
      <c r="C1594" t="str">
        <f t="shared" si="74"/>
        <v/>
      </c>
    </row>
    <row r="1595" spans="1:3" x14ac:dyDescent="0.4">
      <c r="A1595" t="str">
        <f t="shared" si="72"/>
        <v/>
      </c>
      <c r="B1595" t="str">
        <f t="shared" si="73"/>
        <v/>
      </c>
      <c r="C1595" t="str">
        <f t="shared" si="74"/>
        <v/>
      </c>
    </row>
    <row r="1596" spans="1:3" x14ac:dyDescent="0.4">
      <c r="A1596" t="str">
        <f t="shared" si="72"/>
        <v/>
      </c>
      <c r="B1596" t="str">
        <f t="shared" si="73"/>
        <v/>
      </c>
      <c r="C1596" t="str">
        <f t="shared" si="74"/>
        <v/>
      </c>
    </row>
    <row r="1597" spans="1:3" x14ac:dyDescent="0.4">
      <c r="A1597" t="str">
        <f t="shared" si="72"/>
        <v/>
      </c>
      <c r="B1597" t="str">
        <f t="shared" si="73"/>
        <v/>
      </c>
      <c r="C1597" t="str">
        <f t="shared" si="74"/>
        <v/>
      </c>
    </row>
    <row r="1598" spans="1:3" x14ac:dyDescent="0.4">
      <c r="A1598" t="str">
        <f t="shared" si="72"/>
        <v/>
      </c>
      <c r="B1598" t="str">
        <f t="shared" si="73"/>
        <v/>
      </c>
      <c r="C1598" t="str">
        <f t="shared" si="74"/>
        <v/>
      </c>
    </row>
    <row r="1599" spans="1:3" x14ac:dyDescent="0.4">
      <c r="A1599" t="str">
        <f t="shared" si="72"/>
        <v/>
      </c>
      <c r="B1599" t="str">
        <f t="shared" si="73"/>
        <v/>
      </c>
      <c r="C1599" t="str">
        <f t="shared" si="74"/>
        <v/>
      </c>
    </row>
    <row r="1600" spans="1:3" x14ac:dyDescent="0.4">
      <c r="A1600" t="str">
        <f t="shared" si="72"/>
        <v/>
      </c>
      <c r="B1600" t="str">
        <f t="shared" si="73"/>
        <v/>
      </c>
      <c r="C1600" t="str">
        <f t="shared" si="74"/>
        <v/>
      </c>
    </row>
    <row r="1601" spans="1:3" x14ac:dyDescent="0.4">
      <c r="A1601" t="str">
        <f t="shared" si="72"/>
        <v/>
      </c>
      <c r="B1601" t="str">
        <f t="shared" si="73"/>
        <v/>
      </c>
      <c r="C1601" t="str">
        <f t="shared" si="74"/>
        <v/>
      </c>
    </row>
    <row r="1602" spans="1:3" x14ac:dyDescent="0.4">
      <c r="A1602" t="str">
        <f t="shared" si="72"/>
        <v/>
      </c>
      <c r="B1602" t="str">
        <f t="shared" si="73"/>
        <v/>
      </c>
      <c r="C1602" t="str">
        <f t="shared" si="74"/>
        <v/>
      </c>
    </row>
    <row r="1603" spans="1:3" x14ac:dyDescent="0.4">
      <c r="A1603" t="str">
        <f t="shared" ref="A1603:A1666" si="75">IF($F1603="","",$F1603&amp;"|"&amp;$H1603)</f>
        <v/>
      </c>
      <c r="B1603" t="str">
        <f t="shared" ref="B1603:B1666" si="76">IF(F1603&lt;&gt;"",F1603,"")</f>
        <v/>
      </c>
      <c r="C1603" t="str">
        <f t="shared" ref="C1603:C1666" si="77">IF(H1603&lt;&gt;"", H1603, "")</f>
        <v/>
      </c>
    </row>
    <row r="1604" spans="1:3" x14ac:dyDescent="0.4">
      <c r="A1604" t="str">
        <f t="shared" si="75"/>
        <v/>
      </c>
      <c r="B1604" t="str">
        <f t="shared" si="76"/>
        <v/>
      </c>
      <c r="C1604" t="str">
        <f t="shared" si="77"/>
        <v/>
      </c>
    </row>
    <row r="1605" spans="1:3" x14ac:dyDescent="0.4">
      <c r="A1605" t="str">
        <f t="shared" si="75"/>
        <v/>
      </c>
      <c r="B1605" t="str">
        <f t="shared" si="76"/>
        <v/>
      </c>
      <c r="C1605" t="str">
        <f t="shared" si="77"/>
        <v/>
      </c>
    </row>
    <row r="1606" spans="1:3" x14ac:dyDescent="0.4">
      <c r="A1606" t="str">
        <f t="shared" si="75"/>
        <v/>
      </c>
      <c r="B1606" t="str">
        <f t="shared" si="76"/>
        <v/>
      </c>
      <c r="C1606" t="str">
        <f t="shared" si="77"/>
        <v/>
      </c>
    </row>
    <row r="1607" spans="1:3" x14ac:dyDescent="0.4">
      <c r="A1607" t="str">
        <f t="shared" si="75"/>
        <v/>
      </c>
      <c r="B1607" t="str">
        <f t="shared" si="76"/>
        <v/>
      </c>
      <c r="C1607" t="str">
        <f t="shared" si="77"/>
        <v/>
      </c>
    </row>
    <row r="1608" spans="1:3" x14ac:dyDescent="0.4">
      <c r="A1608" t="str">
        <f t="shared" si="75"/>
        <v/>
      </c>
      <c r="B1608" t="str">
        <f t="shared" si="76"/>
        <v/>
      </c>
      <c r="C1608" t="str">
        <f t="shared" si="77"/>
        <v/>
      </c>
    </row>
    <row r="1609" spans="1:3" x14ac:dyDescent="0.4">
      <c r="A1609" t="str">
        <f t="shared" si="75"/>
        <v/>
      </c>
      <c r="B1609" t="str">
        <f t="shared" si="76"/>
        <v/>
      </c>
      <c r="C1609" t="str">
        <f t="shared" si="77"/>
        <v/>
      </c>
    </row>
    <row r="1610" spans="1:3" x14ac:dyDescent="0.4">
      <c r="A1610" t="str">
        <f t="shared" si="75"/>
        <v/>
      </c>
      <c r="B1610" t="str">
        <f t="shared" si="76"/>
        <v/>
      </c>
      <c r="C1610" t="str">
        <f t="shared" si="77"/>
        <v/>
      </c>
    </row>
    <row r="1611" spans="1:3" x14ac:dyDescent="0.4">
      <c r="A1611" t="str">
        <f t="shared" si="75"/>
        <v/>
      </c>
      <c r="B1611" t="str">
        <f t="shared" si="76"/>
        <v/>
      </c>
      <c r="C1611" t="str">
        <f t="shared" si="77"/>
        <v/>
      </c>
    </row>
    <row r="1612" spans="1:3" x14ac:dyDescent="0.4">
      <c r="A1612" t="str">
        <f t="shared" si="75"/>
        <v/>
      </c>
      <c r="B1612" t="str">
        <f t="shared" si="76"/>
        <v/>
      </c>
      <c r="C1612" t="str">
        <f t="shared" si="77"/>
        <v/>
      </c>
    </row>
    <row r="1613" spans="1:3" x14ac:dyDescent="0.4">
      <c r="A1613" t="str">
        <f t="shared" si="75"/>
        <v/>
      </c>
      <c r="B1613" t="str">
        <f t="shared" si="76"/>
        <v/>
      </c>
      <c r="C1613" t="str">
        <f t="shared" si="77"/>
        <v/>
      </c>
    </row>
    <row r="1614" spans="1:3" x14ac:dyDescent="0.4">
      <c r="A1614" t="str">
        <f t="shared" si="75"/>
        <v/>
      </c>
      <c r="B1614" t="str">
        <f t="shared" si="76"/>
        <v/>
      </c>
      <c r="C1614" t="str">
        <f t="shared" si="77"/>
        <v/>
      </c>
    </row>
    <row r="1615" spans="1:3" x14ac:dyDescent="0.4">
      <c r="A1615" t="str">
        <f t="shared" si="75"/>
        <v/>
      </c>
      <c r="B1615" t="str">
        <f t="shared" si="76"/>
        <v/>
      </c>
      <c r="C1615" t="str">
        <f t="shared" si="77"/>
        <v/>
      </c>
    </row>
    <row r="1616" spans="1:3" x14ac:dyDescent="0.4">
      <c r="A1616" t="str">
        <f t="shared" si="75"/>
        <v/>
      </c>
      <c r="B1616" t="str">
        <f t="shared" si="76"/>
        <v/>
      </c>
      <c r="C1616" t="str">
        <f t="shared" si="77"/>
        <v/>
      </c>
    </row>
    <row r="1617" spans="1:3" x14ac:dyDescent="0.4">
      <c r="A1617" t="str">
        <f t="shared" si="75"/>
        <v/>
      </c>
      <c r="B1617" t="str">
        <f t="shared" si="76"/>
        <v/>
      </c>
      <c r="C1617" t="str">
        <f t="shared" si="77"/>
        <v/>
      </c>
    </row>
    <row r="1618" spans="1:3" x14ac:dyDescent="0.4">
      <c r="A1618" t="str">
        <f t="shared" si="75"/>
        <v/>
      </c>
      <c r="B1618" t="str">
        <f t="shared" si="76"/>
        <v/>
      </c>
      <c r="C1618" t="str">
        <f t="shared" si="77"/>
        <v/>
      </c>
    </row>
    <row r="1619" spans="1:3" x14ac:dyDescent="0.4">
      <c r="A1619" t="str">
        <f t="shared" si="75"/>
        <v/>
      </c>
      <c r="B1619" t="str">
        <f t="shared" si="76"/>
        <v/>
      </c>
      <c r="C1619" t="str">
        <f t="shared" si="77"/>
        <v/>
      </c>
    </row>
    <row r="1620" spans="1:3" x14ac:dyDescent="0.4">
      <c r="A1620" t="str">
        <f t="shared" si="75"/>
        <v/>
      </c>
      <c r="B1620" t="str">
        <f t="shared" si="76"/>
        <v/>
      </c>
      <c r="C1620" t="str">
        <f t="shared" si="77"/>
        <v/>
      </c>
    </row>
    <row r="1621" spans="1:3" x14ac:dyDescent="0.4">
      <c r="A1621" t="str">
        <f t="shared" si="75"/>
        <v/>
      </c>
      <c r="B1621" t="str">
        <f t="shared" si="76"/>
        <v/>
      </c>
      <c r="C1621" t="str">
        <f t="shared" si="77"/>
        <v/>
      </c>
    </row>
    <row r="1622" spans="1:3" x14ac:dyDescent="0.4">
      <c r="A1622" t="str">
        <f t="shared" si="75"/>
        <v/>
      </c>
      <c r="B1622" t="str">
        <f t="shared" si="76"/>
        <v/>
      </c>
      <c r="C1622" t="str">
        <f t="shared" si="77"/>
        <v/>
      </c>
    </row>
    <row r="1623" spans="1:3" x14ac:dyDescent="0.4">
      <c r="A1623" t="str">
        <f t="shared" si="75"/>
        <v/>
      </c>
      <c r="B1623" t="str">
        <f t="shared" si="76"/>
        <v/>
      </c>
      <c r="C1623" t="str">
        <f t="shared" si="77"/>
        <v/>
      </c>
    </row>
    <row r="1624" spans="1:3" x14ac:dyDescent="0.4">
      <c r="A1624" t="str">
        <f t="shared" si="75"/>
        <v/>
      </c>
      <c r="B1624" t="str">
        <f t="shared" si="76"/>
        <v/>
      </c>
      <c r="C1624" t="str">
        <f t="shared" si="77"/>
        <v/>
      </c>
    </row>
    <row r="1625" spans="1:3" x14ac:dyDescent="0.4">
      <c r="A1625" t="str">
        <f t="shared" si="75"/>
        <v/>
      </c>
      <c r="B1625" t="str">
        <f t="shared" si="76"/>
        <v/>
      </c>
      <c r="C1625" t="str">
        <f t="shared" si="77"/>
        <v/>
      </c>
    </row>
    <row r="1626" spans="1:3" x14ac:dyDescent="0.4">
      <c r="A1626" t="str">
        <f t="shared" si="75"/>
        <v/>
      </c>
      <c r="B1626" t="str">
        <f t="shared" si="76"/>
        <v/>
      </c>
      <c r="C1626" t="str">
        <f t="shared" si="77"/>
        <v/>
      </c>
    </row>
    <row r="1627" spans="1:3" x14ac:dyDescent="0.4">
      <c r="A1627" t="str">
        <f t="shared" si="75"/>
        <v/>
      </c>
      <c r="B1627" t="str">
        <f t="shared" si="76"/>
        <v/>
      </c>
      <c r="C1627" t="str">
        <f t="shared" si="77"/>
        <v/>
      </c>
    </row>
    <row r="1628" spans="1:3" x14ac:dyDescent="0.4">
      <c r="A1628" t="str">
        <f t="shared" si="75"/>
        <v/>
      </c>
      <c r="B1628" t="str">
        <f t="shared" si="76"/>
        <v/>
      </c>
      <c r="C1628" t="str">
        <f t="shared" si="77"/>
        <v/>
      </c>
    </row>
    <row r="1629" spans="1:3" x14ac:dyDescent="0.4">
      <c r="A1629" t="str">
        <f t="shared" si="75"/>
        <v/>
      </c>
      <c r="B1629" t="str">
        <f t="shared" si="76"/>
        <v/>
      </c>
      <c r="C1629" t="str">
        <f t="shared" si="77"/>
        <v/>
      </c>
    </row>
    <row r="1630" spans="1:3" x14ac:dyDescent="0.4">
      <c r="A1630" t="str">
        <f t="shared" si="75"/>
        <v/>
      </c>
      <c r="B1630" t="str">
        <f t="shared" si="76"/>
        <v/>
      </c>
      <c r="C1630" t="str">
        <f t="shared" si="77"/>
        <v/>
      </c>
    </row>
    <row r="1631" spans="1:3" x14ac:dyDescent="0.4">
      <c r="A1631" t="str">
        <f t="shared" si="75"/>
        <v/>
      </c>
      <c r="B1631" t="str">
        <f t="shared" si="76"/>
        <v/>
      </c>
      <c r="C1631" t="str">
        <f t="shared" si="77"/>
        <v/>
      </c>
    </row>
    <row r="1632" spans="1:3" x14ac:dyDescent="0.4">
      <c r="A1632" t="str">
        <f t="shared" si="75"/>
        <v/>
      </c>
      <c r="B1632" t="str">
        <f t="shared" si="76"/>
        <v/>
      </c>
      <c r="C1632" t="str">
        <f t="shared" si="77"/>
        <v/>
      </c>
    </row>
    <row r="1633" spans="1:3" x14ac:dyDescent="0.4">
      <c r="A1633" t="str">
        <f t="shared" si="75"/>
        <v/>
      </c>
      <c r="B1633" t="str">
        <f t="shared" si="76"/>
        <v/>
      </c>
      <c r="C1633" t="str">
        <f t="shared" si="77"/>
        <v/>
      </c>
    </row>
    <row r="1634" spans="1:3" x14ac:dyDescent="0.4">
      <c r="A1634" t="str">
        <f t="shared" si="75"/>
        <v/>
      </c>
      <c r="B1634" t="str">
        <f t="shared" si="76"/>
        <v/>
      </c>
      <c r="C1634" t="str">
        <f t="shared" si="77"/>
        <v/>
      </c>
    </row>
    <row r="1635" spans="1:3" x14ac:dyDescent="0.4">
      <c r="A1635" t="str">
        <f t="shared" si="75"/>
        <v/>
      </c>
      <c r="B1635" t="str">
        <f t="shared" si="76"/>
        <v/>
      </c>
      <c r="C1635" t="str">
        <f t="shared" si="77"/>
        <v/>
      </c>
    </row>
    <row r="1636" spans="1:3" x14ac:dyDescent="0.4">
      <c r="A1636" t="str">
        <f t="shared" si="75"/>
        <v/>
      </c>
      <c r="B1636" t="str">
        <f t="shared" si="76"/>
        <v/>
      </c>
      <c r="C1636" t="str">
        <f t="shared" si="77"/>
        <v/>
      </c>
    </row>
    <row r="1637" spans="1:3" x14ac:dyDescent="0.4">
      <c r="A1637" t="str">
        <f t="shared" si="75"/>
        <v/>
      </c>
      <c r="B1637" t="str">
        <f t="shared" si="76"/>
        <v/>
      </c>
      <c r="C1637" t="str">
        <f t="shared" si="77"/>
        <v/>
      </c>
    </row>
    <row r="1638" spans="1:3" x14ac:dyDescent="0.4">
      <c r="A1638" t="str">
        <f t="shared" si="75"/>
        <v/>
      </c>
      <c r="B1638" t="str">
        <f t="shared" si="76"/>
        <v/>
      </c>
      <c r="C1638" t="str">
        <f t="shared" si="77"/>
        <v/>
      </c>
    </row>
    <row r="1639" spans="1:3" x14ac:dyDescent="0.4">
      <c r="A1639" t="str">
        <f t="shared" si="75"/>
        <v/>
      </c>
      <c r="B1639" t="str">
        <f t="shared" si="76"/>
        <v/>
      </c>
      <c r="C1639" t="str">
        <f t="shared" si="77"/>
        <v/>
      </c>
    </row>
    <row r="1640" spans="1:3" x14ac:dyDescent="0.4">
      <c r="A1640" t="str">
        <f t="shared" si="75"/>
        <v/>
      </c>
      <c r="B1640" t="str">
        <f t="shared" si="76"/>
        <v/>
      </c>
      <c r="C1640" t="str">
        <f t="shared" si="77"/>
        <v/>
      </c>
    </row>
    <row r="1641" spans="1:3" x14ac:dyDescent="0.4">
      <c r="A1641" t="str">
        <f t="shared" si="75"/>
        <v/>
      </c>
      <c r="B1641" t="str">
        <f t="shared" si="76"/>
        <v/>
      </c>
      <c r="C1641" t="str">
        <f t="shared" si="77"/>
        <v/>
      </c>
    </row>
    <row r="1642" spans="1:3" x14ac:dyDescent="0.4">
      <c r="A1642" t="str">
        <f t="shared" si="75"/>
        <v/>
      </c>
      <c r="B1642" t="str">
        <f t="shared" si="76"/>
        <v/>
      </c>
      <c r="C1642" t="str">
        <f t="shared" si="77"/>
        <v/>
      </c>
    </row>
    <row r="1643" spans="1:3" x14ac:dyDescent="0.4">
      <c r="A1643" t="str">
        <f t="shared" si="75"/>
        <v/>
      </c>
      <c r="B1643" t="str">
        <f t="shared" si="76"/>
        <v/>
      </c>
      <c r="C1643" t="str">
        <f t="shared" si="77"/>
        <v/>
      </c>
    </row>
    <row r="1644" spans="1:3" x14ac:dyDescent="0.4">
      <c r="A1644" t="str">
        <f t="shared" si="75"/>
        <v/>
      </c>
      <c r="B1644" t="str">
        <f t="shared" si="76"/>
        <v/>
      </c>
      <c r="C1644" t="str">
        <f t="shared" si="77"/>
        <v/>
      </c>
    </row>
    <row r="1645" spans="1:3" x14ac:dyDescent="0.4">
      <c r="A1645" t="str">
        <f t="shared" si="75"/>
        <v/>
      </c>
      <c r="B1645" t="str">
        <f t="shared" si="76"/>
        <v/>
      </c>
      <c r="C1645" t="str">
        <f t="shared" si="77"/>
        <v/>
      </c>
    </row>
    <row r="1646" spans="1:3" x14ac:dyDescent="0.4">
      <c r="A1646" t="str">
        <f t="shared" si="75"/>
        <v/>
      </c>
      <c r="B1646" t="str">
        <f t="shared" si="76"/>
        <v/>
      </c>
      <c r="C1646" t="str">
        <f t="shared" si="77"/>
        <v/>
      </c>
    </row>
    <row r="1647" spans="1:3" x14ac:dyDescent="0.4">
      <c r="A1647" t="str">
        <f t="shared" si="75"/>
        <v/>
      </c>
      <c r="B1647" t="str">
        <f t="shared" si="76"/>
        <v/>
      </c>
      <c r="C1647" t="str">
        <f t="shared" si="77"/>
        <v/>
      </c>
    </row>
    <row r="1648" spans="1:3" x14ac:dyDescent="0.4">
      <c r="A1648" t="str">
        <f t="shared" si="75"/>
        <v/>
      </c>
      <c r="B1648" t="str">
        <f t="shared" si="76"/>
        <v/>
      </c>
      <c r="C1648" t="str">
        <f t="shared" si="77"/>
        <v/>
      </c>
    </row>
    <row r="1649" spans="1:3" x14ac:dyDescent="0.4">
      <c r="A1649" t="str">
        <f t="shared" si="75"/>
        <v/>
      </c>
      <c r="B1649" t="str">
        <f t="shared" si="76"/>
        <v/>
      </c>
      <c r="C1649" t="str">
        <f t="shared" si="77"/>
        <v/>
      </c>
    </row>
    <row r="1650" spans="1:3" x14ac:dyDescent="0.4">
      <c r="A1650" t="str">
        <f t="shared" si="75"/>
        <v/>
      </c>
      <c r="B1650" t="str">
        <f t="shared" si="76"/>
        <v/>
      </c>
      <c r="C1650" t="str">
        <f t="shared" si="77"/>
        <v/>
      </c>
    </row>
    <row r="1651" spans="1:3" x14ac:dyDescent="0.4">
      <c r="A1651" t="str">
        <f t="shared" si="75"/>
        <v/>
      </c>
      <c r="B1651" t="str">
        <f t="shared" si="76"/>
        <v/>
      </c>
      <c r="C1651" t="str">
        <f t="shared" si="77"/>
        <v/>
      </c>
    </row>
    <row r="1652" spans="1:3" x14ac:dyDescent="0.4">
      <c r="A1652" t="str">
        <f t="shared" si="75"/>
        <v/>
      </c>
      <c r="B1652" t="str">
        <f t="shared" si="76"/>
        <v/>
      </c>
      <c r="C1652" t="str">
        <f t="shared" si="77"/>
        <v/>
      </c>
    </row>
    <row r="1653" spans="1:3" x14ac:dyDescent="0.4">
      <c r="A1653" t="str">
        <f t="shared" si="75"/>
        <v/>
      </c>
      <c r="B1653" t="str">
        <f t="shared" si="76"/>
        <v/>
      </c>
      <c r="C1653" t="str">
        <f t="shared" si="77"/>
        <v/>
      </c>
    </row>
    <row r="1654" spans="1:3" x14ac:dyDescent="0.4">
      <c r="A1654" t="str">
        <f t="shared" si="75"/>
        <v/>
      </c>
      <c r="B1654" t="str">
        <f t="shared" si="76"/>
        <v/>
      </c>
      <c r="C1654" t="str">
        <f t="shared" si="77"/>
        <v/>
      </c>
    </row>
    <row r="1655" spans="1:3" x14ac:dyDescent="0.4">
      <c r="A1655" t="str">
        <f t="shared" si="75"/>
        <v/>
      </c>
      <c r="B1655" t="str">
        <f t="shared" si="76"/>
        <v/>
      </c>
      <c r="C1655" t="str">
        <f t="shared" si="77"/>
        <v/>
      </c>
    </row>
    <row r="1656" spans="1:3" x14ac:dyDescent="0.4">
      <c r="A1656" t="str">
        <f t="shared" si="75"/>
        <v/>
      </c>
      <c r="B1656" t="str">
        <f t="shared" si="76"/>
        <v/>
      </c>
      <c r="C1656" t="str">
        <f t="shared" si="77"/>
        <v/>
      </c>
    </row>
    <row r="1657" spans="1:3" x14ac:dyDescent="0.4">
      <c r="A1657" t="str">
        <f t="shared" si="75"/>
        <v/>
      </c>
      <c r="B1657" t="str">
        <f t="shared" si="76"/>
        <v/>
      </c>
      <c r="C1657" t="str">
        <f t="shared" si="77"/>
        <v/>
      </c>
    </row>
    <row r="1658" spans="1:3" x14ac:dyDescent="0.4">
      <c r="A1658" t="str">
        <f t="shared" si="75"/>
        <v/>
      </c>
      <c r="B1658" t="str">
        <f t="shared" si="76"/>
        <v/>
      </c>
      <c r="C1658" t="str">
        <f t="shared" si="77"/>
        <v/>
      </c>
    </row>
    <row r="1659" spans="1:3" x14ac:dyDescent="0.4">
      <c r="A1659" t="str">
        <f t="shared" si="75"/>
        <v/>
      </c>
      <c r="B1659" t="str">
        <f t="shared" si="76"/>
        <v/>
      </c>
      <c r="C1659" t="str">
        <f t="shared" si="77"/>
        <v/>
      </c>
    </row>
    <row r="1660" spans="1:3" x14ac:dyDescent="0.4">
      <c r="A1660" t="str">
        <f t="shared" si="75"/>
        <v/>
      </c>
      <c r="B1660" t="str">
        <f t="shared" si="76"/>
        <v/>
      </c>
      <c r="C1660" t="str">
        <f t="shared" si="77"/>
        <v/>
      </c>
    </row>
    <row r="1661" spans="1:3" x14ac:dyDescent="0.4">
      <c r="A1661" t="str">
        <f t="shared" si="75"/>
        <v/>
      </c>
      <c r="B1661" t="str">
        <f t="shared" si="76"/>
        <v/>
      </c>
      <c r="C1661" t="str">
        <f t="shared" si="77"/>
        <v/>
      </c>
    </row>
    <row r="1662" spans="1:3" x14ac:dyDescent="0.4">
      <c r="A1662" t="str">
        <f t="shared" si="75"/>
        <v/>
      </c>
      <c r="B1662" t="str">
        <f t="shared" si="76"/>
        <v/>
      </c>
      <c r="C1662" t="str">
        <f t="shared" si="77"/>
        <v/>
      </c>
    </row>
    <row r="1663" spans="1:3" x14ac:dyDescent="0.4">
      <c r="A1663" t="str">
        <f t="shared" si="75"/>
        <v/>
      </c>
      <c r="B1663" t="str">
        <f t="shared" si="76"/>
        <v/>
      </c>
      <c r="C1663" t="str">
        <f t="shared" si="77"/>
        <v/>
      </c>
    </row>
    <row r="1664" spans="1:3" x14ac:dyDescent="0.4">
      <c r="A1664" t="str">
        <f t="shared" si="75"/>
        <v/>
      </c>
      <c r="B1664" t="str">
        <f t="shared" si="76"/>
        <v/>
      </c>
      <c r="C1664" t="str">
        <f t="shared" si="77"/>
        <v/>
      </c>
    </row>
    <row r="1665" spans="1:3" x14ac:dyDescent="0.4">
      <c r="A1665" t="str">
        <f t="shared" si="75"/>
        <v/>
      </c>
      <c r="B1665" t="str">
        <f t="shared" si="76"/>
        <v/>
      </c>
      <c r="C1665" t="str">
        <f t="shared" si="77"/>
        <v/>
      </c>
    </row>
    <row r="1666" spans="1:3" x14ac:dyDescent="0.4">
      <c r="A1666" t="str">
        <f t="shared" si="75"/>
        <v/>
      </c>
      <c r="B1666" t="str">
        <f t="shared" si="76"/>
        <v/>
      </c>
      <c r="C1666" t="str">
        <f t="shared" si="77"/>
        <v/>
      </c>
    </row>
    <row r="1667" spans="1:3" x14ac:dyDescent="0.4">
      <c r="A1667" t="str">
        <f t="shared" ref="A1667:A1730" si="78">IF($F1667="","",$F1667&amp;"|"&amp;$H1667)</f>
        <v/>
      </c>
      <c r="B1667" t="str">
        <f t="shared" ref="B1667:B1730" si="79">IF(F1667&lt;&gt;"",F1667,"")</f>
        <v/>
      </c>
      <c r="C1667" t="str">
        <f t="shared" ref="C1667:C1730" si="80">IF(H1667&lt;&gt;"", H1667, "")</f>
        <v/>
      </c>
    </row>
    <row r="1668" spans="1:3" x14ac:dyDescent="0.4">
      <c r="A1668" t="str">
        <f t="shared" si="78"/>
        <v/>
      </c>
      <c r="B1668" t="str">
        <f t="shared" si="79"/>
        <v/>
      </c>
      <c r="C1668" t="str">
        <f t="shared" si="80"/>
        <v/>
      </c>
    </row>
    <row r="1669" spans="1:3" x14ac:dyDescent="0.4">
      <c r="A1669" t="str">
        <f t="shared" si="78"/>
        <v/>
      </c>
      <c r="B1669" t="str">
        <f t="shared" si="79"/>
        <v/>
      </c>
      <c r="C1669" t="str">
        <f t="shared" si="80"/>
        <v/>
      </c>
    </row>
    <row r="1670" spans="1:3" x14ac:dyDescent="0.4">
      <c r="A1670" t="str">
        <f t="shared" si="78"/>
        <v/>
      </c>
      <c r="B1670" t="str">
        <f t="shared" si="79"/>
        <v/>
      </c>
      <c r="C1670" t="str">
        <f t="shared" si="80"/>
        <v/>
      </c>
    </row>
    <row r="1671" spans="1:3" x14ac:dyDescent="0.4">
      <c r="A1671" t="str">
        <f t="shared" si="78"/>
        <v/>
      </c>
      <c r="B1671" t="str">
        <f t="shared" si="79"/>
        <v/>
      </c>
      <c r="C1671" t="str">
        <f t="shared" si="80"/>
        <v/>
      </c>
    </row>
    <row r="1672" spans="1:3" x14ac:dyDescent="0.4">
      <c r="A1672" t="str">
        <f t="shared" si="78"/>
        <v/>
      </c>
      <c r="B1672" t="str">
        <f t="shared" si="79"/>
        <v/>
      </c>
      <c r="C1672" t="str">
        <f t="shared" si="80"/>
        <v/>
      </c>
    </row>
    <row r="1673" spans="1:3" x14ac:dyDescent="0.4">
      <c r="A1673" t="str">
        <f t="shared" si="78"/>
        <v/>
      </c>
      <c r="B1673" t="str">
        <f t="shared" si="79"/>
        <v/>
      </c>
      <c r="C1673" t="str">
        <f t="shared" si="80"/>
        <v/>
      </c>
    </row>
    <row r="1674" spans="1:3" x14ac:dyDescent="0.4">
      <c r="A1674" t="str">
        <f t="shared" si="78"/>
        <v/>
      </c>
      <c r="B1674" t="str">
        <f t="shared" si="79"/>
        <v/>
      </c>
      <c r="C1674" t="str">
        <f t="shared" si="80"/>
        <v/>
      </c>
    </row>
    <row r="1675" spans="1:3" x14ac:dyDescent="0.4">
      <c r="A1675" t="str">
        <f t="shared" si="78"/>
        <v/>
      </c>
      <c r="B1675" t="str">
        <f t="shared" si="79"/>
        <v/>
      </c>
      <c r="C1675" t="str">
        <f t="shared" si="80"/>
        <v/>
      </c>
    </row>
    <row r="1676" spans="1:3" x14ac:dyDescent="0.4">
      <c r="A1676" t="str">
        <f t="shared" si="78"/>
        <v/>
      </c>
      <c r="B1676" t="str">
        <f t="shared" si="79"/>
        <v/>
      </c>
      <c r="C1676" t="str">
        <f t="shared" si="80"/>
        <v/>
      </c>
    </row>
    <row r="1677" spans="1:3" x14ac:dyDescent="0.4">
      <c r="A1677" t="str">
        <f t="shared" si="78"/>
        <v/>
      </c>
      <c r="B1677" t="str">
        <f t="shared" si="79"/>
        <v/>
      </c>
      <c r="C1677" t="str">
        <f t="shared" si="80"/>
        <v/>
      </c>
    </row>
    <row r="1678" spans="1:3" x14ac:dyDescent="0.4">
      <c r="A1678" t="str">
        <f t="shared" si="78"/>
        <v/>
      </c>
      <c r="B1678" t="str">
        <f t="shared" si="79"/>
        <v/>
      </c>
      <c r="C1678" t="str">
        <f t="shared" si="80"/>
        <v/>
      </c>
    </row>
    <row r="1679" spans="1:3" x14ac:dyDescent="0.4">
      <c r="A1679" t="str">
        <f t="shared" si="78"/>
        <v/>
      </c>
      <c r="B1679" t="str">
        <f t="shared" si="79"/>
        <v/>
      </c>
      <c r="C1679" t="str">
        <f t="shared" si="80"/>
        <v/>
      </c>
    </row>
    <row r="1680" spans="1:3" x14ac:dyDescent="0.4">
      <c r="A1680" t="str">
        <f t="shared" si="78"/>
        <v/>
      </c>
      <c r="B1680" t="str">
        <f t="shared" si="79"/>
        <v/>
      </c>
      <c r="C1680" t="str">
        <f t="shared" si="80"/>
        <v/>
      </c>
    </row>
    <row r="1681" spans="1:3" x14ac:dyDescent="0.4">
      <c r="A1681" t="str">
        <f t="shared" si="78"/>
        <v/>
      </c>
      <c r="B1681" t="str">
        <f t="shared" si="79"/>
        <v/>
      </c>
      <c r="C1681" t="str">
        <f t="shared" si="80"/>
        <v/>
      </c>
    </row>
    <row r="1682" spans="1:3" x14ac:dyDescent="0.4">
      <c r="A1682" t="str">
        <f t="shared" si="78"/>
        <v/>
      </c>
      <c r="B1682" t="str">
        <f t="shared" si="79"/>
        <v/>
      </c>
      <c r="C1682" t="str">
        <f t="shared" si="80"/>
        <v/>
      </c>
    </row>
    <row r="1683" spans="1:3" x14ac:dyDescent="0.4">
      <c r="A1683" t="str">
        <f t="shared" si="78"/>
        <v/>
      </c>
      <c r="B1683" t="str">
        <f t="shared" si="79"/>
        <v/>
      </c>
      <c r="C1683" t="str">
        <f t="shared" si="80"/>
        <v/>
      </c>
    </row>
    <row r="1684" spans="1:3" x14ac:dyDescent="0.4">
      <c r="A1684" t="str">
        <f t="shared" si="78"/>
        <v/>
      </c>
      <c r="B1684" t="str">
        <f t="shared" si="79"/>
        <v/>
      </c>
      <c r="C1684" t="str">
        <f t="shared" si="80"/>
        <v/>
      </c>
    </row>
    <row r="1685" spans="1:3" x14ac:dyDescent="0.4">
      <c r="A1685" t="str">
        <f t="shared" si="78"/>
        <v/>
      </c>
      <c r="B1685" t="str">
        <f t="shared" si="79"/>
        <v/>
      </c>
      <c r="C1685" t="str">
        <f t="shared" si="80"/>
        <v/>
      </c>
    </row>
    <row r="1686" spans="1:3" x14ac:dyDescent="0.4">
      <c r="A1686" t="str">
        <f t="shared" si="78"/>
        <v/>
      </c>
      <c r="B1686" t="str">
        <f t="shared" si="79"/>
        <v/>
      </c>
      <c r="C1686" t="str">
        <f t="shared" si="80"/>
        <v/>
      </c>
    </row>
    <row r="1687" spans="1:3" x14ac:dyDescent="0.4">
      <c r="A1687" t="str">
        <f t="shared" si="78"/>
        <v/>
      </c>
      <c r="B1687" t="str">
        <f t="shared" si="79"/>
        <v/>
      </c>
      <c r="C1687" t="str">
        <f t="shared" si="80"/>
        <v/>
      </c>
    </row>
    <row r="1688" spans="1:3" x14ac:dyDescent="0.4">
      <c r="A1688" t="str">
        <f t="shared" si="78"/>
        <v/>
      </c>
      <c r="B1688" t="str">
        <f t="shared" si="79"/>
        <v/>
      </c>
      <c r="C1688" t="str">
        <f t="shared" si="80"/>
        <v/>
      </c>
    </row>
    <row r="1689" spans="1:3" x14ac:dyDescent="0.4">
      <c r="A1689" t="str">
        <f t="shared" si="78"/>
        <v/>
      </c>
      <c r="B1689" t="str">
        <f t="shared" si="79"/>
        <v/>
      </c>
      <c r="C1689" t="str">
        <f t="shared" si="80"/>
        <v/>
      </c>
    </row>
    <row r="1690" spans="1:3" x14ac:dyDescent="0.4">
      <c r="A1690" t="str">
        <f t="shared" si="78"/>
        <v/>
      </c>
      <c r="B1690" t="str">
        <f t="shared" si="79"/>
        <v/>
      </c>
      <c r="C1690" t="str">
        <f t="shared" si="80"/>
        <v/>
      </c>
    </row>
    <row r="1691" spans="1:3" x14ac:dyDescent="0.4">
      <c r="A1691" t="str">
        <f t="shared" si="78"/>
        <v/>
      </c>
      <c r="B1691" t="str">
        <f t="shared" si="79"/>
        <v/>
      </c>
      <c r="C1691" t="str">
        <f t="shared" si="80"/>
        <v/>
      </c>
    </row>
    <row r="1692" spans="1:3" x14ac:dyDescent="0.4">
      <c r="A1692" t="str">
        <f t="shared" si="78"/>
        <v/>
      </c>
      <c r="B1692" t="str">
        <f t="shared" si="79"/>
        <v/>
      </c>
      <c r="C1692" t="str">
        <f t="shared" si="80"/>
        <v/>
      </c>
    </row>
    <row r="1693" spans="1:3" x14ac:dyDescent="0.4">
      <c r="A1693" t="str">
        <f t="shared" si="78"/>
        <v/>
      </c>
      <c r="B1693" t="str">
        <f t="shared" si="79"/>
        <v/>
      </c>
      <c r="C1693" t="str">
        <f t="shared" si="80"/>
        <v/>
      </c>
    </row>
    <row r="1694" spans="1:3" x14ac:dyDescent="0.4">
      <c r="A1694" t="str">
        <f t="shared" si="78"/>
        <v/>
      </c>
      <c r="B1694" t="str">
        <f t="shared" si="79"/>
        <v/>
      </c>
      <c r="C1694" t="str">
        <f t="shared" si="80"/>
        <v/>
      </c>
    </row>
    <row r="1695" spans="1:3" x14ac:dyDescent="0.4">
      <c r="A1695" t="str">
        <f t="shared" si="78"/>
        <v/>
      </c>
      <c r="B1695" t="str">
        <f t="shared" si="79"/>
        <v/>
      </c>
      <c r="C1695" t="str">
        <f t="shared" si="80"/>
        <v/>
      </c>
    </row>
    <row r="1696" spans="1:3" x14ac:dyDescent="0.4">
      <c r="A1696" t="str">
        <f t="shared" si="78"/>
        <v/>
      </c>
      <c r="B1696" t="str">
        <f t="shared" si="79"/>
        <v/>
      </c>
      <c r="C1696" t="str">
        <f t="shared" si="80"/>
        <v/>
      </c>
    </row>
    <row r="1697" spans="1:3" x14ac:dyDescent="0.4">
      <c r="A1697" t="str">
        <f t="shared" si="78"/>
        <v/>
      </c>
      <c r="B1697" t="str">
        <f t="shared" si="79"/>
        <v/>
      </c>
      <c r="C1697" t="str">
        <f t="shared" si="80"/>
        <v/>
      </c>
    </row>
    <row r="1698" spans="1:3" x14ac:dyDescent="0.4">
      <c r="A1698" t="str">
        <f t="shared" si="78"/>
        <v/>
      </c>
      <c r="B1698" t="str">
        <f t="shared" si="79"/>
        <v/>
      </c>
      <c r="C1698" t="str">
        <f t="shared" si="80"/>
        <v/>
      </c>
    </row>
    <row r="1699" spans="1:3" x14ac:dyDescent="0.4">
      <c r="A1699" t="str">
        <f t="shared" si="78"/>
        <v/>
      </c>
      <c r="B1699" t="str">
        <f t="shared" si="79"/>
        <v/>
      </c>
      <c r="C1699" t="str">
        <f t="shared" si="80"/>
        <v/>
      </c>
    </row>
    <row r="1700" spans="1:3" x14ac:dyDescent="0.4">
      <c r="A1700" t="str">
        <f t="shared" si="78"/>
        <v/>
      </c>
      <c r="B1700" t="str">
        <f t="shared" si="79"/>
        <v/>
      </c>
      <c r="C1700" t="str">
        <f t="shared" si="80"/>
        <v/>
      </c>
    </row>
    <row r="1701" spans="1:3" x14ac:dyDescent="0.4">
      <c r="A1701" t="str">
        <f t="shared" si="78"/>
        <v/>
      </c>
      <c r="B1701" t="str">
        <f t="shared" si="79"/>
        <v/>
      </c>
      <c r="C1701" t="str">
        <f t="shared" si="80"/>
        <v/>
      </c>
    </row>
    <row r="1702" spans="1:3" x14ac:dyDescent="0.4">
      <c r="A1702" t="str">
        <f t="shared" si="78"/>
        <v/>
      </c>
      <c r="B1702" t="str">
        <f t="shared" si="79"/>
        <v/>
      </c>
      <c r="C1702" t="str">
        <f t="shared" si="80"/>
        <v/>
      </c>
    </row>
    <row r="1703" spans="1:3" x14ac:dyDescent="0.4">
      <c r="A1703" t="str">
        <f t="shared" si="78"/>
        <v/>
      </c>
      <c r="B1703" t="str">
        <f t="shared" si="79"/>
        <v/>
      </c>
      <c r="C1703" t="str">
        <f t="shared" si="80"/>
        <v/>
      </c>
    </row>
    <row r="1704" spans="1:3" x14ac:dyDescent="0.4">
      <c r="A1704" t="str">
        <f t="shared" si="78"/>
        <v/>
      </c>
      <c r="B1704" t="str">
        <f t="shared" si="79"/>
        <v/>
      </c>
      <c r="C1704" t="str">
        <f t="shared" si="80"/>
        <v/>
      </c>
    </row>
    <row r="1705" spans="1:3" x14ac:dyDescent="0.4">
      <c r="A1705" t="str">
        <f t="shared" si="78"/>
        <v/>
      </c>
      <c r="B1705" t="str">
        <f t="shared" si="79"/>
        <v/>
      </c>
      <c r="C1705" t="str">
        <f t="shared" si="80"/>
        <v/>
      </c>
    </row>
    <row r="1706" spans="1:3" x14ac:dyDescent="0.4">
      <c r="A1706" t="str">
        <f t="shared" si="78"/>
        <v/>
      </c>
      <c r="B1706" t="str">
        <f t="shared" si="79"/>
        <v/>
      </c>
      <c r="C1706" t="str">
        <f t="shared" si="80"/>
        <v/>
      </c>
    </row>
    <row r="1707" spans="1:3" x14ac:dyDescent="0.4">
      <c r="A1707" t="str">
        <f t="shared" si="78"/>
        <v/>
      </c>
      <c r="B1707" t="str">
        <f t="shared" si="79"/>
        <v/>
      </c>
      <c r="C1707" t="str">
        <f t="shared" si="80"/>
        <v/>
      </c>
    </row>
    <row r="1708" spans="1:3" x14ac:dyDescent="0.4">
      <c r="A1708" t="str">
        <f t="shared" si="78"/>
        <v/>
      </c>
      <c r="B1708" t="str">
        <f t="shared" si="79"/>
        <v/>
      </c>
      <c r="C1708" t="str">
        <f t="shared" si="80"/>
        <v/>
      </c>
    </row>
    <row r="1709" spans="1:3" x14ac:dyDescent="0.4">
      <c r="A1709" t="str">
        <f t="shared" si="78"/>
        <v/>
      </c>
      <c r="B1709" t="str">
        <f t="shared" si="79"/>
        <v/>
      </c>
      <c r="C1709" t="str">
        <f t="shared" si="80"/>
        <v/>
      </c>
    </row>
    <row r="1710" spans="1:3" x14ac:dyDescent="0.4">
      <c r="A1710" t="str">
        <f t="shared" si="78"/>
        <v/>
      </c>
      <c r="B1710" t="str">
        <f t="shared" si="79"/>
        <v/>
      </c>
      <c r="C1710" t="str">
        <f t="shared" si="80"/>
        <v/>
      </c>
    </row>
    <row r="1711" spans="1:3" x14ac:dyDescent="0.4">
      <c r="A1711" t="str">
        <f t="shared" si="78"/>
        <v/>
      </c>
      <c r="B1711" t="str">
        <f t="shared" si="79"/>
        <v/>
      </c>
      <c r="C1711" t="str">
        <f t="shared" si="80"/>
        <v/>
      </c>
    </row>
    <row r="1712" spans="1:3" x14ac:dyDescent="0.4">
      <c r="A1712" t="str">
        <f t="shared" si="78"/>
        <v/>
      </c>
      <c r="B1712" t="str">
        <f t="shared" si="79"/>
        <v/>
      </c>
      <c r="C1712" t="str">
        <f t="shared" si="80"/>
        <v/>
      </c>
    </row>
    <row r="1713" spans="1:3" x14ac:dyDescent="0.4">
      <c r="A1713" t="str">
        <f t="shared" si="78"/>
        <v/>
      </c>
      <c r="B1713" t="str">
        <f t="shared" si="79"/>
        <v/>
      </c>
      <c r="C1713" t="str">
        <f t="shared" si="80"/>
        <v/>
      </c>
    </row>
    <row r="1714" spans="1:3" x14ac:dyDescent="0.4">
      <c r="A1714" t="str">
        <f t="shared" si="78"/>
        <v/>
      </c>
      <c r="B1714" t="str">
        <f t="shared" si="79"/>
        <v/>
      </c>
      <c r="C1714" t="str">
        <f t="shared" si="80"/>
        <v/>
      </c>
    </row>
    <row r="1715" spans="1:3" x14ac:dyDescent="0.4">
      <c r="A1715" t="str">
        <f t="shared" si="78"/>
        <v/>
      </c>
      <c r="B1715" t="str">
        <f t="shared" si="79"/>
        <v/>
      </c>
      <c r="C1715" t="str">
        <f t="shared" si="80"/>
        <v/>
      </c>
    </row>
    <row r="1716" spans="1:3" x14ac:dyDescent="0.4">
      <c r="A1716" t="str">
        <f t="shared" si="78"/>
        <v/>
      </c>
      <c r="B1716" t="str">
        <f t="shared" si="79"/>
        <v/>
      </c>
      <c r="C1716" t="str">
        <f t="shared" si="80"/>
        <v/>
      </c>
    </row>
    <row r="1717" spans="1:3" x14ac:dyDescent="0.4">
      <c r="A1717" t="str">
        <f t="shared" si="78"/>
        <v/>
      </c>
      <c r="B1717" t="str">
        <f t="shared" si="79"/>
        <v/>
      </c>
      <c r="C1717" t="str">
        <f t="shared" si="80"/>
        <v/>
      </c>
    </row>
    <row r="1718" spans="1:3" x14ac:dyDescent="0.4">
      <c r="A1718" t="str">
        <f t="shared" si="78"/>
        <v/>
      </c>
      <c r="B1718" t="str">
        <f t="shared" si="79"/>
        <v/>
      </c>
      <c r="C1718" t="str">
        <f t="shared" si="80"/>
        <v/>
      </c>
    </row>
    <row r="1719" spans="1:3" x14ac:dyDescent="0.4">
      <c r="A1719" t="str">
        <f t="shared" si="78"/>
        <v/>
      </c>
      <c r="B1719" t="str">
        <f t="shared" si="79"/>
        <v/>
      </c>
      <c r="C1719" t="str">
        <f t="shared" si="80"/>
        <v/>
      </c>
    </row>
    <row r="1720" spans="1:3" x14ac:dyDescent="0.4">
      <c r="A1720" t="str">
        <f t="shared" si="78"/>
        <v/>
      </c>
      <c r="B1720" t="str">
        <f t="shared" si="79"/>
        <v/>
      </c>
      <c r="C1720" t="str">
        <f t="shared" si="80"/>
        <v/>
      </c>
    </row>
    <row r="1721" spans="1:3" x14ac:dyDescent="0.4">
      <c r="A1721" t="str">
        <f t="shared" si="78"/>
        <v/>
      </c>
      <c r="B1721" t="str">
        <f t="shared" si="79"/>
        <v/>
      </c>
      <c r="C1721" t="str">
        <f t="shared" si="80"/>
        <v/>
      </c>
    </row>
    <row r="1722" spans="1:3" x14ac:dyDescent="0.4">
      <c r="A1722" t="str">
        <f t="shared" si="78"/>
        <v/>
      </c>
      <c r="B1722" t="str">
        <f t="shared" si="79"/>
        <v/>
      </c>
      <c r="C1722" t="str">
        <f t="shared" si="80"/>
        <v/>
      </c>
    </row>
    <row r="1723" spans="1:3" x14ac:dyDescent="0.4">
      <c r="A1723" t="str">
        <f t="shared" si="78"/>
        <v/>
      </c>
      <c r="B1723" t="str">
        <f t="shared" si="79"/>
        <v/>
      </c>
      <c r="C1723" t="str">
        <f t="shared" si="80"/>
        <v/>
      </c>
    </row>
    <row r="1724" spans="1:3" x14ac:dyDescent="0.4">
      <c r="A1724" t="str">
        <f t="shared" si="78"/>
        <v/>
      </c>
      <c r="B1724" t="str">
        <f t="shared" si="79"/>
        <v/>
      </c>
      <c r="C1724" t="str">
        <f t="shared" si="80"/>
        <v/>
      </c>
    </row>
    <row r="1725" spans="1:3" x14ac:dyDescent="0.4">
      <c r="A1725" t="str">
        <f t="shared" si="78"/>
        <v/>
      </c>
      <c r="B1725" t="str">
        <f t="shared" si="79"/>
        <v/>
      </c>
      <c r="C1725" t="str">
        <f t="shared" si="80"/>
        <v/>
      </c>
    </row>
    <row r="1726" spans="1:3" x14ac:dyDescent="0.4">
      <c r="A1726" t="str">
        <f t="shared" si="78"/>
        <v/>
      </c>
      <c r="B1726" t="str">
        <f t="shared" si="79"/>
        <v/>
      </c>
      <c r="C1726" t="str">
        <f t="shared" si="80"/>
        <v/>
      </c>
    </row>
    <row r="1727" spans="1:3" x14ac:dyDescent="0.4">
      <c r="A1727" t="str">
        <f t="shared" si="78"/>
        <v/>
      </c>
      <c r="B1727" t="str">
        <f t="shared" si="79"/>
        <v/>
      </c>
      <c r="C1727" t="str">
        <f t="shared" si="80"/>
        <v/>
      </c>
    </row>
    <row r="1728" spans="1:3" x14ac:dyDescent="0.4">
      <c r="A1728" t="str">
        <f t="shared" si="78"/>
        <v/>
      </c>
      <c r="B1728" t="str">
        <f t="shared" si="79"/>
        <v/>
      </c>
      <c r="C1728" t="str">
        <f t="shared" si="80"/>
        <v/>
      </c>
    </row>
    <row r="1729" spans="1:3" x14ac:dyDescent="0.4">
      <c r="A1729" t="str">
        <f t="shared" si="78"/>
        <v/>
      </c>
      <c r="B1729" t="str">
        <f t="shared" si="79"/>
        <v/>
      </c>
      <c r="C1729" t="str">
        <f t="shared" si="80"/>
        <v/>
      </c>
    </row>
    <row r="1730" spans="1:3" x14ac:dyDescent="0.4">
      <c r="A1730" t="str">
        <f t="shared" si="78"/>
        <v/>
      </c>
      <c r="B1730" t="str">
        <f t="shared" si="79"/>
        <v/>
      </c>
      <c r="C1730" t="str">
        <f t="shared" si="80"/>
        <v/>
      </c>
    </row>
    <row r="1731" spans="1:3" x14ac:dyDescent="0.4">
      <c r="A1731" t="str">
        <f t="shared" ref="A1731:A1794" si="81">IF($F1731="","",$F1731&amp;"|"&amp;$H1731)</f>
        <v/>
      </c>
      <c r="B1731" t="str">
        <f t="shared" ref="B1731:B1794" si="82">IF(F1731&lt;&gt;"",F1731,"")</f>
        <v/>
      </c>
      <c r="C1731" t="str">
        <f t="shared" ref="C1731:C1794" si="83">IF(H1731&lt;&gt;"", H1731, "")</f>
        <v/>
      </c>
    </row>
    <row r="1732" spans="1:3" x14ac:dyDescent="0.4">
      <c r="A1732" t="str">
        <f t="shared" si="81"/>
        <v/>
      </c>
      <c r="B1732" t="str">
        <f t="shared" si="82"/>
        <v/>
      </c>
      <c r="C1732" t="str">
        <f t="shared" si="83"/>
        <v/>
      </c>
    </row>
    <row r="1733" spans="1:3" x14ac:dyDescent="0.4">
      <c r="A1733" t="str">
        <f t="shared" si="81"/>
        <v/>
      </c>
      <c r="B1733" t="str">
        <f t="shared" si="82"/>
        <v/>
      </c>
      <c r="C1733" t="str">
        <f t="shared" si="83"/>
        <v/>
      </c>
    </row>
    <row r="1734" spans="1:3" x14ac:dyDescent="0.4">
      <c r="A1734" t="str">
        <f t="shared" si="81"/>
        <v/>
      </c>
      <c r="B1734" t="str">
        <f t="shared" si="82"/>
        <v/>
      </c>
      <c r="C1734" t="str">
        <f t="shared" si="83"/>
        <v/>
      </c>
    </row>
    <row r="1735" spans="1:3" x14ac:dyDescent="0.4">
      <c r="A1735" t="str">
        <f t="shared" si="81"/>
        <v/>
      </c>
      <c r="B1735" t="str">
        <f t="shared" si="82"/>
        <v/>
      </c>
      <c r="C1735" t="str">
        <f t="shared" si="83"/>
        <v/>
      </c>
    </row>
    <row r="1736" spans="1:3" x14ac:dyDescent="0.4">
      <c r="A1736" t="str">
        <f t="shared" si="81"/>
        <v/>
      </c>
      <c r="B1736" t="str">
        <f t="shared" si="82"/>
        <v/>
      </c>
      <c r="C1736" t="str">
        <f t="shared" si="83"/>
        <v/>
      </c>
    </row>
    <row r="1737" spans="1:3" x14ac:dyDescent="0.4">
      <c r="A1737" t="str">
        <f t="shared" si="81"/>
        <v/>
      </c>
      <c r="B1737" t="str">
        <f t="shared" si="82"/>
        <v/>
      </c>
      <c r="C1737" t="str">
        <f t="shared" si="83"/>
        <v/>
      </c>
    </row>
    <row r="1738" spans="1:3" x14ac:dyDescent="0.4">
      <c r="A1738" t="str">
        <f t="shared" si="81"/>
        <v/>
      </c>
      <c r="B1738" t="str">
        <f t="shared" si="82"/>
        <v/>
      </c>
      <c r="C1738" t="str">
        <f t="shared" si="83"/>
        <v/>
      </c>
    </row>
    <row r="1739" spans="1:3" x14ac:dyDescent="0.4">
      <c r="A1739" t="str">
        <f t="shared" si="81"/>
        <v/>
      </c>
      <c r="B1739" t="str">
        <f t="shared" si="82"/>
        <v/>
      </c>
      <c r="C1739" t="str">
        <f t="shared" si="83"/>
        <v/>
      </c>
    </row>
    <row r="1740" spans="1:3" x14ac:dyDescent="0.4">
      <c r="A1740" t="str">
        <f t="shared" si="81"/>
        <v/>
      </c>
      <c r="B1740" t="str">
        <f t="shared" si="82"/>
        <v/>
      </c>
      <c r="C1740" t="str">
        <f t="shared" si="83"/>
        <v/>
      </c>
    </row>
    <row r="1741" spans="1:3" x14ac:dyDescent="0.4">
      <c r="A1741" t="str">
        <f t="shared" si="81"/>
        <v/>
      </c>
      <c r="B1741" t="str">
        <f t="shared" si="82"/>
        <v/>
      </c>
      <c r="C1741" t="str">
        <f t="shared" si="83"/>
        <v/>
      </c>
    </row>
    <row r="1742" spans="1:3" x14ac:dyDescent="0.4">
      <c r="A1742" t="str">
        <f t="shared" si="81"/>
        <v/>
      </c>
      <c r="B1742" t="str">
        <f t="shared" si="82"/>
        <v/>
      </c>
      <c r="C1742" t="str">
        <f t="shared" si="83"/>
        <v/>
      </c>
    </row>
    <row r="1743" spans="1:3" x14ac:dyDescent="0.4">
      <c r="A1743" t="str">
        <f t="shared" si="81"/>
        <v/>
      </c>
      <c r="B1743" t="str">
        <f t="shared" si="82"/>
        <v/>
      </c>
      <c r="C1743" t="str">
        <f t="shared" si="83"/>
        <v/>
      </c>
    </row>
    <row r="1744" spans="1:3" x14ac:dyDescent="0.4">
      <c r="A1744" t="str">
        <f t="shared" si="81"/>
        <v/>
      </c>
      <c r="B1744" t="str">
        <f t="shared" si="82"/>
        <v/>
      </c>
      <c r="C1744" t="str">
        <f t="shared" si="83"/>
        <v/>
      </c>
    </row>
    <row r="1745" spans="1:3" x14ac:dyDescent="0.4">
      <c r="A1745" t="str">
        <f t="shared" si="81"/>
        <v/>
      </c>
      <c r="B1745" t="str">
        <f t="shared" si="82"/>
        <v/>
      </c>
      <c r="C1745" t="str">
        <f t="shared" si="83"/>
        <v/>
      </c>
    </row>
    <row r="1746" spans="1:3" x14ac:dyDescent="0.4">
      <c r="A1746" t="str">
        <f t="shared" si="81"/>
        <v/>
      </c>
      <c r="B1746" t="str">
        <f t="shared" si="82"/>
        <v/>
      </c>
      <c r="C1746" t="str">
        <f t="shared" si="83"/>
        <v/>
      </c>
    </row>
    <row r="1747" spans="1:3" x14ac:dyDescent="0.4">
      <c r="A1747" t="str">
        <f t="shared" si="81"/>
        <v/>
      </c>
      <c r="B1747" t="str">
        <f t="shared" si="82"/>
        <v/>
      </c>
      <c r="C1747" t="str">
        <f t="shared" si="83"/>
        <v/>
      </c>
    </row>
    <row r="1748" spans="1:3" x14ac:dyDescent="0.4">
      <c r="A1748" t="str">
        <f t="shared" si="81"/>
        <v/>
      </c>
      <c r="B1748" t="str">
        <f t="shared" si="82"/>
        <v/>
      </c>
      <c r="C1748" t="str">
        <f t="shared" si="83"/>
        <v/>
      </c>
    </row>
    <row r="1749" spans="1:3" x14ac:dyDescent="0.4">
      <c r="A1749" t="str">
        <f t="shared" si="81"/>
        <v/>
      </c>
      <c r="B1749" t="str">
        <f t="shared" si="82"/>
        <v/>
      </c>
      <c r="C1749" t="str">
        <f t="shared" si="83"/>
        <v/>
      </c>
    </row>
    <row r="1750" spans="1:3" x14ac:dyDescent="0.4">
      <c r="A1750" t="str">
        <f t="shared" si="81"/>
        <v/>
      </c>
      <c r="B1750" t="str">
        <f t="shared" si="82"/>
        <v/>
      </c>
      <c r="C1750" t="str">
        <f t="shared" si="83"/>
        <v/>
      </c>
    </row>
    <row r="1751" spans="1:3" x14ac:dyDescent="0.4">
      <c r="A1751" t="str">
        <f t="shared" si="81"/>
        <v/>
      </c>
      <c r="B1751" t="str">
        <f t="shared" si="82"/>
        <v/>
      </c>
      <c r="C1751" t="str">
        <f t="shared" si="83"/>
        <v/>
      </c>
    </row>
    <row r="1752" spans="1:3" x14ac:dyDescent="0.4">
      <c r="A1752" t="str">
        <f t="shared" si="81"/>
        <v/>
      </c>
      <c r="B1752" t="str">
        <f t="shared" si="82"/>
        <v/>
      </c>
      <c r="C1752" t="str">
        <f t="shared" si="83"/>
        <v/>
      </c>
    </row>
    <row r="1753" spans="1:3" x14ac:dyDescent="0.4">
      <c r="A1753" t="str">
        <f t="shared" si="81"/>
        <v/>
      </c>
      <c r="B1753" t="str">
        <f t="shared" si="82"/>
        <v/>
      </c>
      <c r="C1753" t="str">
        <f t="shared" si="83"/>
        <v/>
      </c>
    </row>
    <row r="1754" spans="1:3" x14ac:dyDescent="0.4">
      <c r="A1754" t="str">
        <f t="shared" si="81"/>
        <v/>
      </c>
      <c r="B1754" t="str">
        <f t="shared" si="82"/>
        <v/>
      </c>
      <c r="C1754" t="str">
        <f t="shared" si="83"/>
        <v/>
      </c>
    </row>
    <row r="1755" spans="1:3" x14ac:dyDescent="0.4">
      <c r="A1755" t="str">
        <f t="shared" si="81"/>
        <v/>
      </c>
      <c r="B1755" t="str">
        <f t="shared" si="82"/>
        <v/>
      </c>
      <c r="C1755" t="str">
        <f t="shared" si="83"/>
        <v/>
      </c>
    </row>
    <row r="1756" spans="1:3" x14ac:dyDescent="0.4">
      <c r="A1756" t="str">
        <f t="shared" si="81"/>
        <v/>
      </c>
      <c r="B1756" t="str">
        <f t="shared" si="82"/>
        <v/>
      </c>
      <c r="C1756" t="str">
        <f t="shared" si="83"/>
        <v/>
      </c>
    </row>
    <row r="1757" spans="1:3" x14ac:dyDescent="0.4">
      <c r="A1757" t="str">
        <f t="shared" si="81"/>
        <v/>
      </c>
      <c r="B1757" t="str">
        <f t="shared" si="82"/>
        <v/>
      </c>
      <c r="C1757" t="str">
        <f t="shared" si="83"/>
        <v/>
      </c>
    </row>
    <row r="1758" spans="1:3" x14ac:dyDescent="0.4">
      <c r="A1758" t="str">
        <f t="shared" si="81"/>
        <v/>
      </c>
      <c r="B1758" t="str">
        <f t="shared" si="82"/>
        <v/>
      </c>
      <c r="C1758" t="str">
        <f t="shared" si="83"/>
        <v/>
      </c>
    </row>
    <row r="1759" spans="1:3" x14ac:dyDescent="0.4">
      <c r="A1759" t="str">
        <f t="shared" si="81"/>
        <v/>
      </c>
      <c r="B1759" t="str">
        <f t="shared" si="82"/>
        <v/>
      </c>
      <c r="C1759" t="str">
        <f t="shared" si="83"/>
        <v/>
      </c>
    </row>
    <row r="1760" spans="1:3" x14ac:dyDescent="0.4">
      <c r="A1760" t="str">
        <f t="shared" si="81"/>
        <v/>
      </c>
      <c r="B1760" t="str">
        <f t="shared" si="82"/>
        <v/>
      </c>
      <c r="C1760" t="str">
        <f t="shared" si="83"/>
        <v/>
      </c>
    </row>
    <row r="1761" spans="1:3" x14ac:dyDescent="0.4">
      <c r="A1761" t="str">
        <f t="shared" si="81"/>
        <v/>
      </c>
      <c r="B1761" t="str">
        <f t="shared" si="82"/>
        <v/>
      </c>
      <c r="C1761" t="str">
        <f t="shared" si="83"/>
        <v/>
      </c>
    </row>
    <row r="1762" spans="1:3" x14ac:dyDescent="0.4">
      <c r="A1762" t="str">
        <f t="shared" si="81"/>
        <v/>
      </c>
      <c r="B1762" t="str">
        <f t="shared" si="82"/>
        <v/>
      </c>
      <c r="C1762" t="str">
        <f t="shared" si="83"/>
        <v/>
      </c>
    </row>
    <row r="1763" spans="1:3" x14ac:dyDescent="0.4">
      <c r="A1763" t="str">
        <f t="shared" si="81"/>
        <v/>
      </c>
      <c r="B1763" t="str">
        <f t="shared" si="82"/>
        <v/>
      </c>
      <c r="C1763" t="str">
        <f t="shared" si="83"/>
        <v/>
      </c>
    </row>
    <row r="1764" spans="1:3" x14ac:dyDescent="0.4">
      <c r="A1764" t="str">
        <f t="shared" si="81"/>
        <v/>
      </c>
      <c r="B1764" t="str">
        <f t="shared" si="82"/>
        <v/>
      </c>
      <c r="C1764" t="str">
        <f t="shared" si="83"/>
        <v/>
      </c>
    </row>
    <row r="1765" spans="1:3" x14ac:dyDescent="0.4">
      <c r="A1765" t="str">
        <f t="shared" si="81"/>
        <v/>
      </c>
      <c r="B1765" t="str">
        <f t="shared" si="82"/>
        <v/>
      </c>
      <c r="C1765" t="str">
        <f t="shared" si="83"/>
        <v/>
      </c>
    </row>
    <row r="1766" spans="1:3" x14ac:dyDescent="0.4">
      <c r="A1766" t="str">
        <f t="shared" si="81"/>
        <v/>
      </c>
      <c r="B1766" t="str">
        <f t="shared" si="82"/>
        <v/>
      </c>
      <c r="C1766" t="str">
        <f t="shared" si="83"/>
        <v/>
      </c>
    </row>
    <row r="1767" spans="1:3" x14ac:dyDescent="0.4">
      <c r="A1767" t="str">
        <f t="shared" si="81"/>
        <v/>
      </c>
      <c r="B1767" t="str">
        <f t="shared" si="82"/>
        <v/>
      </c>
      <c r="C1767" t="str">
        <f t="shared" si="83"/>
        <v/>
      </c>
    </row>
    <row r="1768" spans="1:3" x14ac:dyDescent="0.4">
      <c r="A1768" t="str">
        <f t="shared" si="81"/>
        <v/>
      </c>
      <c r="B1768" t="str">
        <f t="shared" si="82"/>
        <v/>
      </c>
      <c r="C1768" t="str">
        <f t="shared" si="83"/>
        <v/>
      </c>
    </row>
    <row r="1769" spans="1:3" x14ac:dyDescent="0.4">
      <c r="A1769" t="str">
        <f t="shared" si="81"/>
        <v/>
      </c>
      <c r="B1769" t="str">
        <f t="shared" si="82"/>
        <v/>
      </c>
      <c r="C1769" t="str">
        <f t="shared" si="83"/>
        <v/>
      </c>
    </row>
    <row r="1770" spans="1:3" x14ac:dyDescent="0.4">
      <c r="A1770" t="str">
        <f t="shared" si="81"/>
        <v/>
      </c>
      <c r="B1770" t="str">
        <f t="shared" si="82"/>
        <v/>
      </c>
      <c r="C1770" t="str">
        <f t="shared" si="83"/>
        <v/>
      </c>
    </row>
    <row r="1771" spans="1:3" x14ac:dyDescent="0.4">
      <c r="A1771" t="str">
        <f t="shared" si="81"/>
        <v/>
      </c>
      <c r="B1771" t="str">
        <f t="shared" si="82"/>
        <v/>
      </c>
      <c r="C1771" t="str">
        <f t="shared" si="83"/>
        <v/>
      </c>
    </row>
    <row r="1772" spans="1:3" x14ac:dyDescent="0.4">
      <c r="A1772" t="str">
        <f t="shared" si="81"/>
        <v/>
      </c>
      <c r="B1772" t="str">
        <f t="shared" si="82"/>
        <v/>
      </c>
      <c r="C1772" t="str">
        <f t="shared" si="83"/>
        <v/>
      </c>
    </row>
    <row r="1773" spans="1:3" x14ac:dyDescent="0.4">
      <c r="A1773" t="str">
        <f t="shared" si="81"/>
        <v/>
      </c>
      <c r="B1773" t="str">
        <f t="shared" si="82"/>
        <v/>
      </c>
      <c r="C1773" t="str">
        <f t="shared" si="83"/>
        <v/>
      </c>
    </row>
    <row r="1774" spans="1:3" x14ac:dyDescent="0.4">
      <c r="A1774" t="str">
        <f t="shared" si="81"/>
        <v/>
      </c>
      <c r="B1774" t="str">
        <f t="shared" si="82"/>
        <v/>
      </c>
      <c r="C1774" t="str">
        <f t="shared" si="83"/>
        <v/>
      </c>
    </row>
    <row r="1775" spans="1:3" x14ac:dyDescent="0.4">
      <c r="A1775" t="str">
        <f t="shared" si="81"/>
        <v/>
      </c>
      <c r="B1775" t="str">
        <f t="shared" si="82"/>
        <v/>
      </c>
      <c r="C1775" t="str">
        <f t="shared" si="83"/>
        <v/>
      </c>
    </row>
    <row r="1776" spans="1:3" x14ac:dyDescent="0.4">
      <c r="A1776" t="str">
        <f t="shared" si="81"/>
        <v/>
      </c>
      <c r="B1776" t="str">
        <f t="shared" si="82"/>
        <v/>
      </c>
      <c r="C1776" t="str">
        <f t="shared" si="83"/>
        <v/>
      </c>
    </row>
    <row r="1777" spans="1:3" x14ac:dyDescent="0.4">
      <c r="A1777" t="str">
        <f t="shared" si="81"/>
        <v/>
      </c>
      <c r="B1777" t="str">
        <f t="shared" si="82"/>
        <v/>
      </c>
      <c r="C1777" t="str">
        <f t="shared" si="83"/>
        <v/>
      </c>
    </row>
    <row r="1778" spans="1:3" x14ac:dyDescent="0.4">
      <c r="A1778" t="str">
        <f t="shared" si="81"/>
        <v/>
      </c>
      <c r="B1778" t="str">
        <f t="shared" si="82"/>
        <v/>
      </c>
      <c r="C1778" t="str">
        <f t="shared" si="83"/>
        <v/>
      </c>
    </row>
    <row r="1779" spans="1:3" x14ac:dyDescent="0.4">
      <c r="A1779" t="str">
        <f t="shared" si="81"/>
        <v/>
      </c>
      <c r="B1779" t="str">
        <f t="shared" si="82"/>
        <v/>
      </c>
      <c r="C1779" t="str">
        <f t="shared" si="83"/>
        <v/>
      </c>
    </row>
    <row r="1780" spans="1:3" x14ac:dyDescent="0.4">
      <c r="A1780" t="str">
        <f t="shared" si="81"/>
        <v/>
      </c>
      <c r="B1780" t="str">
        <f t="shared" si="82"/>
        <v/>
      </c>
      <c r="C1780" t="str">
        <f t="shared" si="83"/>
        <v/>
      </c>
    </row>
    <row r="1781" spans="1:3" x14ac:dyDescent="0.4">
      <c r="A1781" t="str">
        <f t="shared" si="81"/>
        <v/>
      </c>
      <c r="B1781" t="str">
        <f t="shared" si="82"/>
        <v/>
      </c>
      <c r="C1781" t="str">
        <f t="shared" si="83"/>
        <v/>
      </c>
    </row>
    <row r="1782" spans="1:3" x14ac:dyDescent="0.4">
      <c r="A1782" t="str">
        <f t="shared" si="81"/>
        <v/>
      </c>
      <c r="B1782" t="str">
        <f t="shared" si="82"/>
        <v/>
      </c>
      <c r="C1782" t="str">
        <f t="shared" si="83"/>
        <v/>
      </c>
    </row>
    <row r="1783" spans="1:3" x14ac:dyDescent="0.4">
      <c r="A1783" t="str">
        <f t="shared" si="81"/>
        <v/>
      </c>
      <c r="B1783" t="str">
        <f t="shared" si="82"/>
        <v/>
      </c>
      <c r="C1783" t="str">
        <f t="shared" si="83"/>
        <v/>
      </c>
    </row>
    <row r="1784" spans="1:3" x14ac:dyDescent="0.4">
      <c r="A1784" t="str">
        <f t="shared" si="81"/>
        <v/>
      </c>
      <c r="B1784" t="str">
        <f t="shared" si="82"/>
        <v/>
      </c>
      <c r="C1784" t="str">
        <f t="shared" si="83"/>
        <v/>
      </c>
    </row>
    <row r="1785" spans="1:3" x14ac:dyDescent="0.4">
      <c r="A1785" t="str">
        <f t="shared" si="81"/>
        <v/>
      </c>
      <c r="B1785" t="str">
        <f t="shared" si="82"/>
        <v/>
      </c>
      <c r="C1785" t="str">
        <f t="shared" si="83"/>
        <v/>
      </c>
    </row>
    <row r="1786" spans="1:3" x14ac:dyDescent="0.4">
      <c r="A1786" t="str">
        <f t="shared" si="81"/>
        <v/>
      </c>
      <c r="B1786" t="str">
        <f t="shared" si="82"/>
        <v/>
      </c>
      <c r="C1786" t="str">
        <f t="shared" si="83"/>
        <v/>
      </c>
    </row>
    <row r="1787" spans="1:3" x14ac:dyDescent="0.4">
      <c r="A1787" t="str">
        <f t="shared" si="81"/>
        <v/>
      </c>
      <c r="B1787" t="str">
        <f t="shared" si="82"/>
        <v/>
      </c>
      <c r="C1787" t="str">
        <f t="shared" si="83"/>
        <v/>
      </c>
    </row>
    <row r="1788" spans="1:3" x14ac:dyDescent="0.4">
      <c r="A1788" t="str">
        <f t="shared" si="81"/>
        <v/>
      </c>
      <c r="B1788" t="str">
        <f t="shared" si="82"/>
        <v/>
      </c>
      <c r="C1788" t="str">
        <f t="shared" si="83"/>
        <v/>
      </c>
    </row>
    <row r="1789" spans="1:3" x14ac:dyDescent="0.4">
      <c r="A1789" t="str">
        <f t="shared" si="81"/>
        <v/>
      </c>
      <c r="B1789" t="str">
        <f t="shared" si="82"/>
        <v/>
      </c>
      <c r="C1789" t="str">
        <f t="shared" si="83"/>
        <v/>
      </c>
    </row>
    <row r="1790" spans="1:3" x14ac:dyDescent="0.4">
      <c r="A1790" t="str">
        <f t="shared" si="81"/>
        <v/>
      </c>
      <c r="B1790" t="str">
        <f t="shared" si="82"/>
        <v/>
      </c>
      <c r="C1790" t="str">
        <f t="shared" si="83"/>
        <v/>
      </c>
    </row>
    <row r="1791" spans="1:3" x14ac:dyDescent="0.4">
      <c r="A1791" t="str">
        <f t="shared" si="81"/>
        <v/>
      </c>
      <c r="B1791" t="str">
        <f t="shared" si="82"/>
        <v/>
      </c>
      <c r="C1791" t="str">
        <f t="shared" si="83"/>
        <v/>
      </c>
    </row>
    <row r="1792" spans="1:3" x14ac:dyDescent="0.4">
      <c r="A1792" t="str">
        <f t="shared" si="81"/>
        <v/>
      </c>
      <c r="B1792" t="str">
        <f t="shared" si="82"/>
        <v/>
      </c>
      <c r="C1792" t="str">
        <f t="shared" si="83"/>
        <v/>
      </c>
    </row>
    <row r="1793" spans="1:3" x14ac:dyDescent="0.4">
      <c r="A1793" t="str">
        <f t="shared" si="81"/>
        <v/>
      </c>
      <c r="B1793" t="str">
        <f t="shared" si="82"/>
        <v/>
      </c>
      <c r="C1793" t="str">
        <f t="shared" si="83"/>
        <v/>
      </c>
    </row>
    <row r="1794" spans="1:3" x14ac:dyDescent="0.4">
      <c r="A1794" t="str">
        <f t="shared" si="81"/>
        <v/>
      </c>
      <c r="B1794" t="str">
        <f t="shared" si="82"/>
        <v/>
      </c>
      <c r="C1794" t="str">
        <f t="shared" si="83"/>
        <v/>
      </c>
    </row>
    <row r="1795" spans="1:3" x14ac:dyDescent="0.4">
      <c r="A1795" t="str">
        <f t="shared" ref="A1795:A1858" si="84">IF($F1795="","",$F1795&amp;"|"&amp;$H1795)</f>
        <v/>
      </c>
      <c r="B1795" t="str">
        <f t="shared" ref="B1795:B1858" si="85">IF(F1795&lt;&gt;"",F1795,"")</f>
        <v/>
      </c>
      <c r="C1795" t="str">
        <f t="shared" ref="C1795:C1858" si="86">IF(H1795&lt;&gt;"", H1795, "")</f>
        <v/>
      </c>
    </row>
    <row r="1796" spans="1:3" x14ac:dyDescent="0.4">
      <c r="A1796" t="str">
        <f t="shared" si="84"/>
        <v/>
      </c>
      <c r="B1796" t="str">
        <f t="shared" si="85"/>
        <v/>
      </c>
      <c r="C1796" t="str">
        <f t="shared" si="86"/>
        <v/>
      </c>
    </row>
    <row r="1797" spans="1:3" x14ac:dyDescent="0.4">
      <c r="A1797" t="str">
        <f t="shared" si="84"/>
        <v/>
      </c>
      <c r="B1797" t="str">
        <f t="shared" si="85"/>
        <v/>
      </c>
      <c r="C1797" t="str">
        <f t="shared" si="86"/>
        <v/>
      </c>
    </row>
    <row r="1798" spans="1:3" x14ac:dyDescent="0.4">
      <c r="A1798" t="str">
        <f t="shared" si="84"/>
        <v/>
      </c>
      <c r="B1798" t="str">
        <f t="shared" si="85"/>
        <v/>
      </c>
      <c r="C1798" t="str">
        <f t="shared" si="86"/>
        <v/>
      </c>
    </row>
    <row r="1799" spans="1:3" x14ac:dyDescent="0.4">
      <c r="A1799" t="str">
        <f t="shared" si="84"/>
        <v/>
      </c>
      <c r="B1799" t="str">
        <f t="shared" si="85"/>
        <v/>
      </c>
      <c r="C1799" t="str">
        <f t="shared" si="86"/>
        <v/>
      </c>
    </row>
    <row r="1800" spans="1:3" x14ac:dyDescent="0.4">
      <c r="A1800" t="str">
        <f t="shared" si="84"/>
        <v/>
      </c>
      <c r="B1800" t="str">
        <f t="shared" si="85"/>
        <v/>
      </c>
      <c r="C1800" t="str">
        <f t="shared" si="86"/>
        <v/>
      </c>
    </row>
    <row r="1801" spans="1:3" x14ac:dyDescent="0.4">
      <c r="A1801" t="str">
        <f t="shared" si="84"/>
        <v/>
      </c>
      <c r="B1801" t="str">
        <f t="shared" si="85"/>
        <v/>
      </c>
      <c r="C1801" t="str">
        <f t="shared" si="86"/>
        <v/>
      </c>
    </row>
    <row r="1802" spans="1:3" x14ac:dyDescent="0.4">
      <c r="A1802" t="str">
        <f t="shared" si="84"/>
        <v/>
      </c>
      <c r="B1802" t="str">
        <f t="shared" si="85"/>
        <v/>
      </c>
      <c r="C1802" t="str">
        <f t="shared" si="86"/>
        <v/>
      </c>
    </row>
    <row r="1803" spans="1:3" x14ac:dyDescent="0.4">
      <c r="A1803" t="str">
        <f t="shared" si="84"/>
        <v/>
      </c>
      <c r="B1803" t="str">
        <f t="shared" si="85"/>
        <v/>
      </c>
      <c r="C1803" t="str">
        <f t="shared" si="86"/>
        <v/>
      </c>
    </row>
    <row r="1804" spans="1:3" x14ac:dyDescent="0.4">
      <c r="A1804" t="str">
        <f t="shared" si="84"/>
        <v/>
      </c>
      <c r="B1804" t="str">
        <f t="shared" si="85"/>
        <v/>
      </c>
      <c r="C1804" t="str">
        <f t="shared" si="86"/>
        <v/>
      </c>
    </row>
    <row r="1805" spans="1:3" x14ac:dyDescent="0.4">
      <c r="A1805" t="str">
        <f t="shared" si="84"/>
        <v/>
      </c>
      <c r="B1805" t="str">
        <f t="shared" si="85"/>
        <v/>
      </c>
      <c r="C1805" t="str">
        <f t="shared" si="86"/>
        <v/>
      </c>
    </row>
    <row r="1806" spans="1:3" x14ac:dyDescent="0.4">
      <c r="A1806" t="str">
        <f t="shared" si="84"/>
        <v/>
      </c>
      <c r="B1806" t="str">
        <f t="shared" si="85"/>
        <v/>
      </c>
      <c r="C1806" t="str">
        <f t="shared" si="86"/>
        <v/>
      </c>
    </row>
    <row r="1807" spans="1:3" x14ac:dyDescent="0.4">
      <c r="A1807" t="str">
        <f t="shared" si="84"/>
        <v/>
      </c>
      <c r="B1807" t="str">
        <f t="shared" si="85"/>
        <v/>
      </c>
      <c r="C1807" t="str">
        <f t="shared" si="86"/>
        <v/>
      </c>
    </row>
    <row r="1808" spans="1:3" x14ac:dyDescent="0.4">
      <c r="A1808" t="str">
        <f t="shared" si="84"/>
        <v/>
      </c>
      <c r="B1808" t="str">
        <f t="shared" si="85"/>
        <v/>
      </c>
      <c r="C1808" t="str">
        <f t="shared" si="86"/>
        <v/>
      </c>
    </row>
    <row r="1809" spans="1:3" x14ac:dyDescent="0.4">
      <c r="A1809" t="str">
        <f t="shared" si="84"/>
        <v/>
      </c>
      <c r="B1809" t="str">
        <f t="shared" si="85"/>
        <v/>
      </c>
      <c r="C1809" t="str">
        <f t="shared" si="86"/>
        <v/>
      </c>
    </row>
    <row r="1810" spans="1:3" x14ac:dyDescent="0.4">
      <c r="A1810" t="str">
        <f t="shared" si="84"/>
        <v/>
      </c>
      <c r="B1810" t="str">
        <f t="shared" si="85"/>
        <v/>
      </c>
      <c r="C1810" t="str">
        <f t="shared" si="86"/>
        <v/>
      </c>
    </row>
    <row r="1811" spans="1:3" x14ac:dyDescent="0.4">
      <c r="A1811" t="str">
        <f t="shared" si="84"/>
        <v/>
      </c>
      <c r="B1811" t="str">
        <f t="shared" si="85"/>
        <v/>
      </c>
      <c r="C1811" t="str">
        <f t="shared" si="86"/>
        <v/>
      </c>
    </row>
    <row r="1812" spans="1:3" x14ac:dyDescent="0.4">
      <c r="A1812" t="str">
        <f t="shared" si="84"/>
        <v/>
      </c>
      <c r="B1812" t="str">
        <f t="shared" si="85"/>
        <v/>
      </c>
      <c r="C1812" t="str">
        <f t="shared" si="86"/>
        <v/>
      </c>
    </row>
    <row r="1813" spans="1:3" x14ac:dyDescent="0.4">
      <c r="A1813" t="str">
        <f t="shared" si="84"/>
        <v/>
      </c>
      <c r="B1813" t="str">
        <f t="shared" si="85"/>
        <v/>
      </c>
      <c r="C1813" t="str">
        <f t="shared" si="86"/>
        <v/>
      </c>
    </row>
    <row r="1814" spans="1:3" x14ac:dyDescent="0.4">
      <c r="A1814" t="str">
        <f t="shared" si="84"/>
        <v/>
      </c>
      <c r="B1814" t="str">
        <f t="shared" si="85"/>
        <v/>
      </c>
      <c r="C1814" t="str">
        <f t="shared" si="86"/>
        <v/>
      </c>
    </row>
    <row r="1815" spans="1:3" x14ac:dyDescent="0.4">
      <c r="A1815" t="str">
        <f t="shared" si="84"/>
        <v/>
      </c>
      <c r="B1815" t="str">
        <f t="shared" si="85"/>
        <v/>
      </c>
      <c r="C1815" t="str">
        <f t="shared" si="86"/>
        <v/>
      </c>
    </row>
    <row r="1816" spans="1:3" x14ac:dyDescent="0.4">
      <c r="A1816" t="str">
        <f t="shared" si="84"/>
        <v/>
      </c>
      <c r="B1816" t="str">
        <f t="shared" si="85"/>
        <v/>
      </c>
      <c r="C1816" t="str">
        <f t="shared" si="86"/>
        <v/>
      </c>
    </row>
    <row r="1817" spans="1:3" x14ac:dyDescent="0.4">
      <c r="A1817" t="str">
        <f t="shared" si="84"/>
        <v/>
      </c>
      <c r="B1817" t="str">
        <f t="shared" si="85"/>
        <v/>
      </c>
      <c r="C1817" t="str">
        <f t="shared" si="86"/>
        <v/>
      </c>
    </row>
    <row r="1818" spans="1:3" x14ac:dyDescent="0.4">
      <c r="A1818" t="str">
        <f t="shared" si="84"/>
        <v/>
      </c>
      <c r="B1818" t="str">
        <f t="shared" si="85"/>
        <v/>
      </c>
      <c r="C1818" t="str">
        <f t="shared" si="86"/>
        <v/>
      </c>
    </row>
    <row r="1819" spans="1:3" x14ac:dyDescent="0.4">
      <c r="A1819" t="str">
        <f t="shared" si="84"/>
        <v/>
      </c>
      <c r="B1819" t="str">
        <f t="shared" si="85"/>
        <v/>
      </c>
      <c r="C1819" t="str">
        <f t="shared" si="86"/>
        <v/>
      </c>
    </row>
    <row r="1820" spans="1:3" x14ac:dyDescent="0.4">
      <c r="A1820" t="str">
        <f t="shared" si="84"/>
        <v/>
      </c>
      <c r="B1820" t="str">
        <f t="shared" si="85"/>
        <v/>
      </c>
      <c r="C1820" t="str">
        <f t="shared" si="86"/>
        <v/>
      </c>
    </row>
    <row r="1821" spans="1:3" x14ac:dyDescent="0.4">
      <c r="A1821" t="str">
        <f t="shared" si="84"/>
        <v/>
      </c>
      <c r="B1821" t="str">
        <f t="shared" si="85"/>
        <v/>
      </c>
      <c r="C1821" t="str">
        <f t="shared" si="86"/>
        <v/>
      </c>
    </row>
    <row r="1822" spans="1:3" x14ac:dyDescent="0.4">
      <c r="A1822" t="str">
        <f t="shared" si="84"/>
        <v/>
      </c>
      <c r="B1822" t="str">
        <f t="shared" si="85"/>
        <v/>
      </c>
      <c r="C1822" t="str">
        <f t="shared" si="86"/>
        <v/>
      </c>
    </row>
    <row r="1823" spans="1:3" x14ac:dyDescent="0.4">
      <c r="A1823" t="str">
        <f t="shared" si="84"/>
        <v/>
      </c>
      <c r="B1823" t="str">
        <f t="shared" si="85"/>
        <v/>
      </c>
      <c r="C1823" t="str">
        <f t="shared" si="86"/>
        <v/>
      </c>
    </row>
    <row r="1824" spans="1:3" x14ac:dyDescent="0.4">
      <c r="A1824" t="str">
        <f t="shared" si="84"/>
        <v/>
      </c>
      <c r="B1824" t="str">
        <f t="shared" si="85"/>
        <v/>
      </c>
      <c r="C1824" t="str">
        <f t="shared" si="86"/>
        <v/>
      </c>
    </row>
    <row r="1825" spans="1:3" x14ac:dyDescent="0.4">
      <c r="A1825" t="str">
        <f t="shared" si="84"/>
        <v/>
      </c>
      <c r="B1825" t="str">
        <f t="shared" si="85"/>
        <v/>
      </c>
      <c r="C1825" t="str">
        <f t="shared" si="86"/>
        <v/>
      </c>
    </row>
    <row r="1826" spans="1:3" x14ac:dyDescent="0.4">
      <c r="A1826" t="str">
        <f t="shared" si="84"/>
        <v/>
      </c>
      <c r="B1826" t="str">
        <f t="shared" si="85"/>
        <v/>
      </c>
      <c r="C1826" t="str">
        <f t="shared" si="86"/>
        <v/>
      </c>
    </row>
    <row r="1827" spans="1:3" x14ac:dyDescent="0.4">
      <c r="A1827" t="str">
        <f t="shared" si="84"/>
        <v/>
      </c>
      <c r="B1827" t="str">
        <f t="shared" si="85"/>
        <v/>
      </c>
      <c r="C1827" t="str">
        <f t="shared" si="86"/>
        <v/>
      </c>
    </row>
    <row r="1828" spans="1:3" x14ac:dyDescent="0.4">
      <c r="A1828" t="str">
        <f t="shared" si="84"/>
        <v/>
      </c>
      <c r="B1828" t="str">
        <f t="shared" si="85"/>
        <v/>
      </c>
      <c r="C1828" t="str">
        <f t="shared" si="86"/>
        <v/>
      </c>
    </row>
    <row r="1829" spans="1:3" x14ac:dyDescent="0.4">
      <c r="A1829" t="str">
        <f t="shared" si="84"/>
        <v/>
      </c>
      <c r="B1829" t="str">
        <f t="shared" si="85"/>
        <v/>
      </c>
      <c r="C1829" t="str">
        <f t="shared" si="86"/>
        <v/>
      </c>
    </row>
    <row r="1830" spans="1:3" x14ac:dyDescent="0.4">
      <c r="A1830" t="str">
        <f t="shared" si="84"/>
        <v/>
      </c>
      <c r="B1830" t="str">
        <f t="shared" si="85"/>
        <v/>
      </c>
      <c r="C1830" t="str">
        <f t="shared" si="86"/>
        <v/>
      </c>
    </row>
    <row r="1831" spans="1:3" x14ac:dyDescent="0.4">
      <c r="A1831" t="str">
        <f t="shared" si="84"/>
        <v/>
      </c>
      <c r="B1831" t="str">
        <f t="shared" si="85"/>
        <v/>
      </c>
      <c r="C1831" t="str">
        <f t="shared" si="86"/>
        <v/>
      </c>
    </row>
    <row r="1832" spans="1:3" x14ac:dyDescent="0.4">
      <c r="A1832" t="str">
        <f t="shared" si="84"/>
        <v/>
      </c>
      <c r="B1832" t="str">
        <f t="shared" si="85"/>
        <v/>
      </c>
      <c r="C1832" t="str">
        <f t="shared" si="86"/>
        <v/>
      </c>
    </row>
    <row r="1833" spans="1:3" x14ac:dyDescent="0.4">
      <c r="A1833" t="str">
        <f t="shared" si="84"/>
        <v/>
      </c>
      <c r="B1833" t="str">
        <f t="shared" si="85"/>
        <v/>
      </c>
      <c r="C1833" t="str">
        <f t="shared" si="86"/>
        <v/>
      </c>
    </row>
    <row r="1834" spans="1:3" x14ac:dyDescent="0.4">
      <c r="A1834" t="str">
        <f t="shared" si="84"/>
        <v/>
      </c>
      <c r="B1834" t="str">
        <f t="shared" si="85"/>
        <v/>
      </c>
      <c r="C1834" t="str">
        <f t="shared" si="86"/>
        <v/>
      </c>
    </row>
    <row r="1835" spans="1:3" x14ac:dyDescent="0.4">
      <c r="A1835" t="str">
        <f t="shared" si="84"/>
        <v/>
      </c>
      <c r="B1835" t="str">
        <f t="shared" si="85"/>
        <v/>
      </c>
      <c r="C1835" t="str">
        <f t="shared" si="86"/>
        <v/>
      </c>
    </row>
    <row r="1836" spans="1:3" x14ac:dyDescent="0.4">
      <c r="A1836" t="str">
        <f t="shared" si="84"/>
        <v/>
      </c>
      <c r="B1836" t="str">
        <f t="shared" si="85"/>
        <v/>
      </c>
      <c r="C1836" t="str">
        <f t="shared" si="86"/>
        <v/>
      </c>
    </row>
    <row r="1837" spans="1:3" x14ac:dyDescent="0.4">
      <c r="A1837" t="str">
        <f t="shared" si="84"/>
        <v/>
      </c>
      <c r="B1837" t="str">
        <f t="shared" si="85"/>
        <v/>
      </c>
      <c r="C1837" t="str">
        <f t="shared" si="86"/>
        <v/>
      </c>
    </row>
    <row r="1838" spans="1:3" x14ac:dyDescent="0.4">
      <c r="A1838" t="str">
        <f t="shared" si="84"/>
        <v/>
      </c>
      <c r="B1838" t="str">
        <f t="shared" si="85"/>
        <v/>
      </c>
      <c r="C1838" t="str">
        <f t="shared" si="86"/>
        <v/>
      </c>
    </row>
    <row r="1839" spans="1:3" x14ac:dyDescent="0.4">
      <c r="A1839" t="str">
        <f t="shared" si="84"/>
        <v/>
      </c>
      <c r="B1839" t="str">
        <f t="shared" si="85"/>
        <v/>
      </c>
      <c r="C1839" t="str">
        <f t="shared" si="86"/>
        <v/>
      </c>
    </row>
    <row r="1840" spans="1:3" x14ac:dyDescent="0.4">
      <c r="A1840" t="str">
        <f t="shared" si="84"/>
        <v/>
      </c>
      <c r="B1840" t="str">
        <f t="shared" si="85"/>
        <v/>
      </c>
      <c r="C1840" t="str">
        <f t="shared" si="86"/>
        <v/>
      </c>
    </row>
    <row r="1841" spans="1:3" x14ac:dyDescent="0.4">
      <c r="A1841" t="str">
        <f t="shared" si="84"/>
        <v/>
      </c>
      <c r="B1841" t="str">
        <f t="shared" si="85"/>
        <v/>
      </c>
      <c r="C1841" t="str">
        <f t="shared" si="86"/>
        <v/>
      </c>
    </row>
    <row r="1842" spans="1:3" x14ac:dyDescent="0.4">
      <c r="A1842" t="str">
        <f t="shared" si="84"/>
        <v/>
      </c>
      <c r="B1842" t="str">
        <f t="shared" si="85"/>
        <v/>
      </c>
      <c r="C1842" t="str">
        <f t="shared" si="86"/>
        <v/>
      </c>
    </row>
    <row r="1843" spans="1:3" x14ac:dyDescent="0.4">
      <c r="A1843" t="str">
        <f t="shared" si="84"/>
        <v/>
      </c>
      <c r="B1843" t="str">
        <f t="shared" si="85"/>
        <v/>
      </c>
      <c r="C1843" t="str">
        <f t="shared" si="86"/>
        <v/>
      </c>
    </row>
    <row r="1844" spans="1:3" x14ac:dyDescent="0.4">
      <c r="A1844" t="str">
        <f t="shared" si="84"/>
        <v/>
      </c>
      <c r="B1844" t="str">
        <f t="shared" si="85"/>
        <v/>
      </c>
      <c r="C1844" t="str">
        <f t="shared" si="86"/>
        <v/>
      </c>
    </row>
    <row r="1845" spans="1:3" x14ac:dyDescent="0.4">
      <c r="A1845" t="str">
        <f t="shared" si="84"/>
        <v/>
      </c>
      <c r="B1845" t="str">
        <f t="shared" si="85"/>
        <v/>
      </c>
      <c r="C1845" t="str">
        <f t="shared" si="86"/>
        <v/>
      </c>
    </row>
    <row r="1846" spans="1:3" x14ac:dyDescent="0.4">
      <c r="A1846" t="str">
        <f t="shared" si="84"/>
        <v/>
      </c>
      <c r="B1846" t="str">
        <f t="shared" si="85"/>
        <v/>
      </c>
      <c r="C1846" t="str">
        <f t="shared" si="86"/>
        <v/>
      </c>
    </row>
    <row r="1847" spans="1:3" x14ac:dyDescent="0.4">
      <c r="A1847" t="str">
        <f t="shared" si="84"/>
        <v/>
      </c>
      <c r="B1847" t="str">
        <f t="shared" si="85"/>
        <v/>
      </c>
      <c r="C1847" t="str">
        <f t="shared" si="86"/>
        <v/>
      </c>
    </row>
    <row r="1848" spans="1:3" x14ac:dyDescent="0.4">
      <c r="A1848" t="str">
        <f t="shared" si="84"/>
        <v/>
      </c>
      <c r="B1848" t="str">
        <f t="shared" si="85"/>
        <v/>
      </c>
      <c r="C1848" t="str">
        <f t="shared" si="86"/>
        <v/>
      </c>
    </row>
    <row r="1849" spans="1:3" x14ac:dyDescent="0.4">
      <c r="A1849" t="str">
        <f t="shared" si="84"/>
        <v/>
      </c>
      <c r="B1849" t="str">
        <f t="shared" si="85"/>
        <v/>
      </c>
      <c r="C1849" t="str">
        <f t="shared" si="86"/>
        <v/>
      </c>
    </row>
    <row r="1850" spans="1:3" x14ac:dyDescent="0.4">
      <c r="A1850" t="str">
        <f t="shared" si="84"/>
        <v/>
      </c>
      <c r="B1850" t="str">
        <f t="shared" si="85"/>
        <v/>
      </c>
      <c r="C1850" t="str">
        <f t="shared" si="86"/>
        <v/>
      </c>
    </row>
    <row r="1851" spans="1:3" x14ac:dyDescent="0.4">
      <c r="A1851" t="str">
        <f t="shared" si="84"/>
        <v/>
      </c>
      <c r="B1851" t="str">
        <f t="shared" si="85"/>
        <v/>
      </c>
      <c r="C1851" t="str">
        <f t="shared" si="86"/>
        <v/>
      </c>
    </row>
    <row r="1852" spans="1:3" x14ac:dyDescent="0.4">
      <c r="A1852" t="str">
        <f t="shared" si="84"/>
        <v/>
      </c>
      <c r="B1852" t="str">
        <f t="shared" si="85"/>
        <v/>
      </c>
      <c r="C1852" t="str">
        <f t="shared" si="86"/>
        <v/>
      </c>
    </row>
    <row r="1853" spans="1:3" x14ac:dyDescent="0.4">
      <c r="A1853" t="str">
        <f t="shared" si="84"/>
        <v/>
      </c>
      <c r="B1853" t="str">
        <f t="shared" si="85"/>
        <v/>
      </c>
      <c r="C1853" t="str">
        <f t="shared" si="86"/>
        <v/>
      </c>
    </row>
    <row r="1854" spans="1:3" x14ac:dyDescent="0.4">
      <c r="A1854" t="str">
        <f t="shared" si="84"/>
        <v/>
      </c>
      <c r="B1854" t="str">
        <f t="shared" si="85"/>
        <v/>
      </c>
      <c r="C1854" t="str">
        <f t="shared" si="86"/>
        <v/>
      </c>
    </row>
    <row r="1855" spans="1:3" x14ac:dyDescent="0.4">
      <c r="A1855" t="str">
        <f t="shared" si="84"/>
        <v/>
      </c>
      <c r="B1855" t="str">
        <f t="shared" si="85"/>
        <v/>
      </c>
      <c r="C1855" t="str">
        <f t="shared" si="86"/>
        <v/>
      </c>
    </row>
    <row r="1856" spans="1:3" x14ac:dyDescent="0.4">
      <c r="A1856" t="str">
        <f t="shared" si="84"/>
        <v/>
      </c>
      <c r="B1856" t="str">
        <f t="shared" si="85"/>
        <v/>
      </c>
      <c r="C1856" t="str">
        <f t="shared" si="86"/>
        <v/>
      </c>
    </row>
    <row r="1857" spans="1:3" x14ac:dyDescent="0.4">
      <c r="A1857" t="str">
        <f t="shared" si="84"/>
        <v/>
      </c>
      <c r="B1857" t="str">
        <f t="shared" si="85"/>
        <v/>
      </c>
      <c r="C1857" t="str">
        <f t="shared" si="86"/>
        <v/>
      </c>
    </row>
    <row r="1858" spans="1:3" x14ac:dyDescent="0.4">
      <c r="A1858" t="str">
        <f t="shared" si="84"/>
        <v/>
      </c>
      <c r="B1858" t="str">
        <f t="shared" si="85"/>
        <v/>
      </c>
      <c r="C1858" t="str">
        <f t="shared" si="86"/>
        <v/>
      </c>
    </row>
    <row r="1859" spans="1:3" x14ac:dyDescent="0.4">
      <c r="A1859" t="str">
        <f t="shared" ref="A1859:A1922" si="87">IF($F1859="","",$F1859&amp;"|"&amp;$H1859)</f>
        <v/>
      </c>
      <c r="B1859" t="str">
        <f t="shared" ref="B1859:B1922" si="88">IF(F1859&lt;&gt;"",F1859,"")</f>
        <v/>
      </c>
      <c r="C1859" t="str">
        <f t="shared" ref="C1859:C1922" si="89">IF(H1859&lt;&gt;"", H1859, "")</f>
        <v/>
      </c>
    </row>
    <row r="1860" spans="1:3" x14ac:dyDescent="0.4">
      <c r="A1860" t="str">
        <f t="shared" si="87"/>
        <v/>
      </c>
      <c r="B1860" t="str">
        <f t="shared" si="88"/>
        <v/>
      </c>
      <c r="C1860" t="str">
        <f t="shared" si="89"/>
        <v/>
      </c>
    </row>
    <row r="1861" spans="1:3" x14ac:dyDescent="0.4">
      <c r="A1861" t="str">
        <f t="shared" si="87"/>
        <v/>
      </c>
      <c r="B1861" t="str">
        <f t="shared" si="88"/>
        <v/>
      </c>
      <c r="C1861" t="str">
        <f t="shared" si="89"/>
        <v/>
      </c>
    </row>
    <row r="1862" spans="1:3" x14ac:dyDescent="0.4">
      <c r="A1862" t="str">
        <f t="shared" si="87"/>
        <v/>
      </c>
      <c r="B1862" t="str">
        <f t="shared" si="88"/>
        <v/>
      </c>
      <c r="C1862" t="str">
        <f t="shared" si="89"/>
        <v/>
      </c>
    </row>
    <row r="1863" spans="1:3" x14ac:dyDescent="0.4">
      <c r="A1863" t="str">
        <f t="shared" si="87"/>
        <v/>
      </c>
      <c r="B1863" t="str">
        <f t="shared" si="88"/>
        <v/>
      </c>
      <c r="C1863" t="str">
        <f t="shared" si="89"/>
        <v/>
      </c>
    </row>
    <row r="1864" spans="1:3" x14ac:dyDescent="0.4">
      <c r="A1864" t="str">
        <f t="shared" si="87"/>
        <v/>
      </c>
      <c r="B1864" t="str">
        <f t="shared" si="88"/>
        <v/>
      </c>
      <c r="C1864" t="str">
        <f t="shared" si="89"/>
        <v/>
      </c>
    </row>
    <row r="1865" spans="1:3" x14ac:dyDescent="0.4">
      <c r="A1865" t="str">
        <f t="shared" si="87"/>
        <v/>
      </c>
      <c r="B1865" t="str">
        <f t="shared" si="88"/>
        <v/>
      </c>
      <c r="C1865" t="str">
        <f t="shared" si="89"/>
        <v/>
      </c>
    </row>
    <row r="1866" spans="1:3" x14ac:dyDescent="0.4">
      <c r="A1866" t="str">
        <f t="shared" si="87"/>
        <v/>
      </c>
      <c r="B1866" t="str">
        <f t="shared" si="88"/>
        <v/>
      </c>
      <c r="C1866" t="str">
        <f t="shared" si="89"/>
        <v/>
      </c>
    </row>
    <row r="1867" spans="1:3" x14ac:dyDescent="0.4">
      <c r="A1867" t="str">
        <f t="shared" si="87"/>
        <v/>
      </c>
      <c r="B1867" t="str">
        <f t="shared" si="88"/>
        <v/>
      </c>
      <c r="C1867" t="str">
        <f t="shared" si="89"/>
        <v/>
      </c>
    </row>
    <row r="1868" spans="1:3" x14ac:dyDescent="0.4">
      <c r="A1868" t="str">
        <f t="shared" si="87"/>
        <v/>
      </c>
      <c r="B1868" t="str">
        <f t="shared" si="88"/>
        <v/>
      </c>
      <c r="C1868" t="str">
        <f t="shared" si="89"/>
        <v/>
      </c>
    </row>
    <row r="1869" spans="1:3" x14ac:dyDescent="0.4">
      <c r="A1869" t="str">
        <f t="shared" si="87"/>
        <v/>
      </c>
      <c r="B1869" t="str">
        <f t="shared" si="88"/>
        <v/>
      </c>
      <c r="C1869" t="str">
        <f t="shared" si="89"/>
        <v/>
      </c>
    </row>
    <row r="1870" spans="1:3" x14ac:dyDescent="0.4">
      <c r="A1870" t="str">
        <f t="shared" si="87"/>
        <v/>
      </c>
      <c r="B1870" t="str">
        <f t="shared" si="88"/>
        <v/>
      </c>
      <c r="C1870" t="str">
        <f t="shared" si="89"/>
        <v/>
      </c>
    </row>
    <row r="1871" spans="1:3" x14ac:dyDescent="0.4">
      <c r="A1871" t="str">
        <f t="shared" si="87"/>
        <v/>
      </c>
      <c r="B1871" t="str">
        <f t="shared" si="88"/>
        <v/>
      </c>
      <c r="C1871" t="str">
        <f t="shared" si="89"/>
        <v/>
      </c>
    </row>
    <row r="1872" spans="1:3" x14ac:dyDescent="0.4">
      <c r="A1872" t="str">
        <f t="shared" si="87"/>
        <v/>
      </c>
      <c r="B1872" t="str">
        <f t="shared" si="88"/>
        <v/>
      </c>
      <c r="C1872" t="str">
        <f t="shared" si="89"/>
        <v/>
      </c>
    </row>
    <row r="1873" spans="1:3" x14ac:dyDescent="0.4">
      <c r="A1873" t="str">
        <f t="shared" si="87"/>
        <v/>
      </c>
      <c r="B1873" t="str">
        <f t="shared" si="88"/>
        <v/>
      </c>
      <c r="C1873" t="str">
        <f t="shared" si="89"/>
        <v/>
      </c>
    </row>
    <row r="1874" spans="1:3" x14ac:dyDescent="0.4">
      <c r="A1874" t="str">
        <f t="shared" si="87"/>
        <v/>
      </c>
      <c r="B1874" t="str">
        <f t="shared" si="88"/>
        <v/>
      </c>
      <c r="C1874" t="str">
        <f t="shared" si="89"/>
        <v/>
      </c>
    </row>
    <row r="1875" spans="1:3" x14ac:dyDescent="0.4">
      <c r="A1875" t="str">
        <f t="shared" si="87"/>
        <v/>
      </c>
      <c r="B1875" t="str">
        <f t="shared" si="88"/>
        <v/>
      </c>
      <c r="C1875" t="str">
        <f t="shared" si="89"/>
        <v/>
      </c>
    </row>
    <row r="1876" spans="1:3" x14ac:dyDescent="0.4">
      <c r="A1876" t="str">
        <f t="shared" si="87"/>
        <v/>
      </c>
      <c r="B1876" t="str">
        <f t="shared" si="88"/>
        <v/>
      </c>
      <c r="C1876" t="str">
        <f t="shared" si="89"/>
        <v/>
      </c>
    </row>
    <row r="1877" spans="1:3" x14ac:dyDescent="0.4">
      <c r="A1877" t="str">
        <f t="shared" si="87"/>
        <v/>
      </c>
      <c r="B1877" t="str">
        <f t="shared" si="88"/>
        <v/>
      </c>
      <c r="C1877" t="str">
        <f t="shared" si="89"/>
        <v/>
      </c>
    </row>
    <row r="1878" spans="1:3" x14ac:dyDescent="0.4">
      <c r="A1878" t="str">
        <f t="shared" si="87"/>
        <v/>
      </c>
      <c r="B1878" t="str">
        <f t="shared" si="88"/>
        <v/>
      </c>
      <c r="C1878" t="str">
        <f t="shared" si="89"/>
        <v/>
      </c>
    </row>
    <row r="1879" spans="1:3" x14ac:dyDescent="0.4">
      <c r="A1879" t="str">
        <f t="shared" si="87"/>
        <v/>
      </c>
      <c r="B1879" t="str">
        <f t="shared" si="88"/>
        <v/>
      </c>
      <c r="C1879" t="str">
        <f t="shared" si="89"/>
        <v/>
      </c>
    </row>
    <row r="1880" spans="1:3" x14ac:dyDescent="0.4">
      <c r="A1880" t="str">
        <f t="shared" si="87"/>
        <v/>
      </c>
      <c r="B1880" t="str">
        <f t="shared" si="88"/>
        <v/>
      </c>
      <c r="C1880" t="str">
        <f t="shared" si="89"/>
        <v/>
      </c>
    </row>
    <row r="1881" spans="1:3" x14ac:dyDescent="0.4">
      <c r="A1881" t="str">
        <f t="shared" si="87"/>
        <v/>
      </c>
      <c r="B1881" t="str">
        <f t="shared" si="88"/>
        <v/>
      </c>
      <c r="C1881" t="str">
        <f t="shared" si="89"/>
        <v/>
      </c>
    </row>
    <row r="1882" spans="1:3" x14ac:dyDescent="0.4">
      <c r="A1882" t="str">
        <f t="shared" si="87"/>
        <v/>
      </c>
      <c r="B1882" t="str">
        <f t="shared" si="88"/>
        <v/>
      </c>
      <c r="C1882" t="str">
        <f t="shared" si="89"/>
        <v/>
      </c>
    </row>
    <row r="1883" spans="1:3" x14ac:dyDescent="0.4">
      <c r="A1883" t="str">
        <f t="shared" si="87"/>
        <v/>
      </c>
      <c r="B1883" t="str">
        <f t="shared" si="88"/>
        <v/>
      </c>
      <c r="C1883" t="str">
        <f t="shared" si="89"/>
        <v/>
      </c>
    </row>
    <row r="1884" spans="1:3" x14ac:dyDescent="0.4">
      <c r="A1884" t="str">
        <f t="shared" si="87"/>
        <v/>
      </c>
      <c r="B1884" t="str">
        <f t="shared" si="88"/>
        <v/>
      </c>
      <c r="C1884" t="str">
        <f t="shared" si="89"/>
        <v/>
      </c>
    </row>
    <row r="1885" spans="1:3" x14ac:dyDescent="0.4">
      <c r="A1885" t="str">
        <f t="shared" si="87"/>
        <v/>
      </c>
      <c r="B1885" t="str">
        <f t="shared" si="88"/>
        <v/>
      </c>
      <c r="C1885" t="str">
        <f t="shared" si="89"/>
        <v/>
      </c>
    </row>
    <row r="1886" spans="1:3" x14ac:dyDescent="0.4">
      <c r="A1886" t="str">
        <f t="shared" si="87"/>
        <v/>
      </c>
      <c r="B1886" t="str">
        <f t="shared" si="88"/>
        <v/>
      </c>
      <c r="C1886" t="str">
        <f t="shared" si="89"/>
        <v/>
      </c>
    </row>
    <row r="1887" spans="1:3" x14ac:dyDescent="0.4">
      <c r="A1887" t="str">
        <f t="shared" si="87"/>
        <v/>
      </c>
      <c r="B1887" t="str">
        <f t="shared" si="88"/>
        <v/>
      </c>
      <c r="C1887" t="str">
        <f t="shared" si="89"/>
        <v/>
      </c>
    </row>
    <row r="1888" spans="1:3" x14ac:dyDescent="0.4">
      <c r="A1888" t="str">
        <f t="shared" si="87"/>
        <v/>
      </c>
      <c r="B1888" t="str">
        <f t="shared" si="88"/>
        <v/>
      </c>
      <c r="C1888" t="str">
        <f t="shared" si="89"/>
        <v/>
      </c>
    </row>
    <row r="1889" spans="1:3" x14ac:dyDescent="0.4">
      <c r="A1889" t="str">
        <f t="shared" si="87"/>
        <v/>
      </c>
      <c r="B1889" t="str">
        <f t="shared" si="88"/>
        <v/>
      </c>
      <c r="C1889" t="str">
        <f t="shared" si="89"/>
        <v/>
      </c>
    </row>
    <row r="1890" spans="1:3" x14ac:dyDescent="0.4">
      <c r="A1890" t="str">
        <f t="shared" si="87"/>
        <v/>
      </c>
      <c r="B1890" t="str">
        <f t="shared" si="88"/>
        <v/>
      </c>
      <c r="C1890" t="str">
        <f t="shared" si="89"/>
        <v/>
      </c>
    </row>
    <row r="1891" spans="1:3" x14ac:dyDescent="0.4">
      <c r="A1891" t="str">
        <f t="shared" si="87"/>
        <v/>
      </c>
      <c r="B1891" t="str">
        <f t="shared" si="88"/>
        <v/>
      </c>
      <c r="C1891" t="str">
        <f t="shared" si="89"/>
        <v/>
      </c>
    </row>
    <row r="1892" spans="1:3" x14ac:dyDescent="0.4">
      <c r="A1892" t="str">
        <f t="shared" si="87"/>
        <v/>
      </c>
      <c r="B1892" t="str">
        <f t="shared" si="88"/>
        <v/>
      </c>
      <c r="C1892" t="str">
        <f t="shared" si="89"/>
        <v/>
      </c>
    </row>
    <row r="1893" spans="1:3" x14ac:dyDescent="0.4">
      <c r="A1893" t="str">
        <f t="shared" si="87"/>
        <v/>
      </c>
      <c r="B1893" t="str">
        <f t="shared" si="88"/>
        <v/>
      </c>
      <c r="C1893" t="str">
        <f t="shared" si="89"/>
        <v/>
      </c>
    </row>
    <row r="1894" spans="1:3" x14ac:dyDescent="0.4">
      <c r="A1894" t="str">
        <f t="shared" si="87"/>
        <v/>
      </c>
      <c r="B1894" t="str">
        <f t="shared" si="88"/>
        <v/>
      </c>
      <c r="C1894" t="str">
        <f t="shared" si="89"/>
        <v/>
      </c>
    </row>
    <row r="1895" spans="1:3" x14ac:dyDescent="0.4">
      <c r="A1895" t="str">
        <f t="shared" si="87"/>
        <v/>
      </c>
      <c r="B1895" t="str">
        <f t="shared" si="88"/>
        <v/>
      </c>
      <c r="C1895" t="str">
        <f t="shared" si="89"/>
        <v/>
      </c>
    </row>
    <row r="1896" spans="1:3" x14ac:dyDescent="0.4">
      <c r="A1896" t="str">
        <f t="shared" si="87"/>
        <v/>
      </c>
      <c r="B1896" t="str">
        <f t="shared" si="88"/>
        <v/>
      </c>
      <c r="C1896" t="str">
        <f t="shared" si="89"/>
        <v/>
      </c>
    </row>
    <row r="1897" spans="1:3" x14ac:dyDescent="0.4">
      <c r="A1897" t="str">
        <f t="shared" si="87"/>
        <v/>
      </c>
      <c r="B1897" t="str">
        <f t="shared" si="88"/>
        <v/>
      </c>
      <c r="C1897" t="str">
        <f t="shared" si="89"/>
        <v/>
      </c>
    </row>
    <row r="1898" spans="1:3" x14ac:dyDescent="0.4">
      <c r="A1898" t="str">
        <f t="shared" si="87"/>
        <v/>
      </c>
      <c r="B1898" t="str">
        <f t="shared" si="88"/>
        <v/>
      </c>
      <c r="C1898" t="str">
        <f t="shared" si="89"/>
        <v/>
      </c>
    </row>
    <row r="1899" spans="1:3" x14ac:dyDescent="0.4">
      <c r="A1899" t="str">
        <f t="shared" si="87"/>
        <v/>
      </c>
      <c r="B1899" t="str">
        <f t="shared" si="88"/>
        <v/>
      </c>
      <c r="C1899" t="str">
        <f t="shared" si="89"/>
        <v/>
      </c>
    </row>
    <row r="1900" spans="1:3" x14ac:dyDescent="0.4">
      <c r="A1900" t="str">
        <f t="shared" si="87"/>
        <v/>
      </c>
      <c r="B1900" t="str">
        <f t="shared" si="88"/>
        <v/>
      </c>
      <c r="C1900" t="str">
        <f t="shared" si="89"/>
        <v/>
      </c>
    </row>
    <row r="1901" spans="1:3" x14ac:dyDescent="0.4">
      <c r="A1901" t="str">
        <f t="shared" si="87"/>
        <v/>
      </c>
      <c r="B1901" t="str">
        <f t="shared" si="88"/>
        <v/>
      </c>
      <c r="C1901" t="str">
        <f t="shared" si="89"/>
        <v/>
      </c>
    </row>
    <row r="1902" spans="1:3" x14ac:dyDescent="0.4">
      <c r="A1902" t="str">
        <f t="shared" si="87"/>
        <v/>
      </c>
      <c r="B1902" t="str">
        <f t="shared" si="88"/>
        <v/>
      </c>
      <c r="C1902" t="str">
        <f t="shared" si="89"/>
        <v/>
      </c>
    </row>
    <row r="1903" spans="1:3" x14ac:dyDescent="0.4">
      <c r="A1903" t="str">
        <f t="shared" si="87"/>
        <v/>
      </c>
      <c r="B1903" t="str">
        <f t="shared" si="88"/>
        <v/>
      </c>
      <c r="C1903" t="str">
        <f t="shared" si="89"/>
        <v/>
      </c>
    </row>
    <row r="1904" spans="1:3" x14ac:dyDescent="0.4">
      <c r="A1904" t="str">
        <f t="shared" si="87"/>
        <v/>
      </c>
      <c r="B1904" t="str">
        <f t="shared" si="88"/>
        <v/>
      </c>
      <c r="C1904" t="str">
        <f t="shared" si="89"/>
        <v/>
      </c>
    </row>
    <row r="1905" spans="1:3" x14ac:dyDescent="0.4">
      <c r="A1905" t="str">
        <f t="shared" si="87"/>
        <v/>
      </c>
      <c r="B1905" t="str">
        <f t="shared" si="88"/>
        <v/>
      </c>
      <c r="C1905" t="str">
        <f t="shared" si="89"/>
        <v/>
      </c>
    </row>
    <row r="1906" spans="1:3" x14ac:dyDescent="0.4">
      <c r="A1906" t="str">
        <f t="shared" si="87"/>
        <v/>
      </c>
      <c r="B1906" t="str">
        <f t="shared" si="88"/>
        <v/>
      </c>
      <c r="C1906" t="str">
        <f t="shared" si="89"/>
        <v/>
      </c>
    </row>
    <row r="1907" spans="1:3" x14ac:dyDescent="0.4">
      <c r="A1907" t="str">
        <f t="shared" si="87"/>
        <v/>
      </c>
      <c r="B1907" t="str">
        <f t="shared" si="88"/>
        <v/>
      </c>
      <c r="C1907" t="str">
        <f t="shared" si="89"/>
        <v/>
      </c>
    </row>
    <row r="1908" spans="1:3" x14ac:dyDescent="0.4">
      <c r="A1908" t="str">
        <f t="shared" si="87"/>
        <v/>
      </c>
      <c r="B1908" t="str">
        <f t="shared" si="88"/>
        <v/>
      </c>
      <c r="C1908" t="str">
        <f t="shared" si="89"/>
        <v/>
      </c>
    </row>
    <row r="1909" spans="1:3" x14ac:dyDescent="0.4">
      <c r="A1909" t="str">
        <f t="shared" si="87"/>
        <v/>
      </c>
      <c r="B1909" t="str">
        <f t="shared" si="88"/>
        <v/>
      </c>
      <c r="C1909" t="str">
        <f t="shared" si="89"/>
        <v/>
      </c>
    </row>
    <row r="1910" spans="1:3" x14ac:dyDescent="0.4">
      <c r="A1910" t="str">
        <f t="shared" si="87"/>
        <v/>
      </c>
      <c r="B1910" t="str">
        <f t="shared" si="88"/>
        <v/>
      </c>
      <c r="C1910" t="str">
        <f t="shared" si="89"/>
        <v/>
      </c>
    </row>
    <row r="1911" spans="1:3" x14ac:dyDescent="0.4">
      <c r="A1911" t="str">
        <f t="shared" si="87"/>
        <v/>
      </c>
      <c r="B1911" t="str">
        <f t="shared" si="88"/>
        <v/>
      </c>
      <c r="C1911" t="str">
        <f t="shared" si="89"/>
        <v/>
      </c>
    </row>
    <row r="1912" spans="1:3" x14ac:dyDescent="0.4">
      <c r="A1912" t="str">
        <f t="shared" si="87"/>
        <v/>
      </c>
      <c r="B1912" t="str">
        <f t="shared" si="88"/>
        <v/>
      </c>
      <c r="C1912" t="str">
        <f t="shared" si="89"/>
        <v/>
      </c>
    </row>
    <row r="1913" spans="1:3" x14ac:dyDescent="0.4">
      <c r="A1913" t="str">
        <f t="shared" si="87"/>
        <v/>
      </c>
      <c r="B1913" t="str">
        <f t="shared" si="88"/>
        <v/>
      </c>
      <c r="C1913" t="str">
        <f t="shared" si="89"/>
        <v/>
      </c>
    </row>
    <row r="1914" spans="1:3" x14ac:dyDescent="0.4">
      <c r="A1914" t="str">
        <f t="shared" si="87"/>
        <v/>
      </c>
      <c r="B1914" t="str">
        <f t="shared" si="88"/>
        <v/>
      </c>
      <c r="C1914" t="str">
        <f t="shared" si="89"/>
        <v/>
      </c>
    </row>
    <row r="1915" spans="1:3" x14ac:dyDescent="0.4">
      <c r="A1915" t="str">
        <f t="shared" si="87"/>
        <v/>
      </c>
      <c r="B1915" t="str">
        <f t="shared" si="88"/>
        <v/>
      </c>
      <c r="C1915" t="str">
        <f t="shared" si="89"/>
        <v/>
      </c>
    </row>
    <row r="1916" spans="1:3" x14ac:dyDescent="0.4">
      <c r="A1916" t="str">
        <f t="shared" si="87"/>
        <v/>
      </c>
      <c r="B1916" t="str">
        <f t="shared" si="88"/>
        <v/>
      </c>
      <c r="C1916" t="str">
        <f t="shared" si="89"/>
        <v/>
      </c>
    </row>
    <row r="1917" spans="1:3" x14ac:dyDescent="0.4">
      <c r="A1917" t="str">
        <f t="shared" si="87"/>
        <v/>
      </c>
      <c r="B1917" t="str">
        <f t="shared" si="88"/>
        <v/>
      </c>
      <c r="C1917" t="str">
        <f t="shared" si="89"/>
        <v/>
      </c>
    </row>
    <row r="1918" spans="1:3" x14ac:dyDescent="0.4">
      <c r="A1918" t="str">
        <f t="shared" si="87"/>
        <v/>
      </c>
      <c r="B1918" t="str">
        <f t="shared" si="88"/>
        <v/>
      </c>
      <c r="C1918" t="str">
        <f t="shared" si="89"/>
        <v/>
      </c>
    </row>
    <row r="1919" spans="1:3" x14ac:dyDescent="0.4">
      <c r="A1919" t="str">
        <f t="shared" si="87"/>
        <v/>
      </c>
      <c r="B1919" t="str">
        <f t="shared" si="88"/>
        <v/>
      </c>
      <c r="C1919" t="str">
        <f t="shared" si="89"/>
        <v/>
      </c>
    </row>
    <row r="1920" spans="1:3" x14ac:dyDescent="0.4">
      <c r="A1920" t="str">
        <f t="shared" si="87"/>
        <v/>
      </c>
      <c r="B1920" t="str">
        <f t="shared" si="88"/>
        <v/>
      </c>
      <c r="C1920" t="str">
        <f t="shared" si="89"/>
        <v/>
      </c>
    </row>
    <row r="1921" spans="1:3" x14ac:dyDescent="0.4">
      <c r="A1921" t="str">
        <f t="shared" si="87"/>
        <v/>
      </c>
      <c r="B1921" t="str">
        <f t="shared" si="88"/>
        <v/>
      </c>
      <c r="C1921" t="str">
        <f t="shared" si="89"/>
        <v/>
      </c>
    </row>
    <row r="1922" spans="1:3" x14ac:dyDescent="0.4">
      <c r="A1922" t="str">
        <f t="shared" si="87"/>
        <v/>
      </c>
      <c r="B1922" t="str">
        <f t="shared" si="88"/>
        <v/>
      </c>
      <c r="C1922" t="str">
        <f t="shared" si="89"/>
        <v/>
      </c>
    </row>
    <row r="1923" spans="1:3" x14ac:dyDescent="0.4">
      <c r="A1923" t="str">
        <f t="shared" ref="A1923:A1986" si="90">IF($F1923="","",$F1923&amp;"|"&amp;$H1923)</f>
        <v/>
      </c>
      <c r="B1923" t="str">
        <f t="shared" ref="B1923:B1986" si="91">IF(F1923&lt;&gt;"",F1923,"")</f>
        <v/>
      </c>
      <c r="C1923" t="str">
        <f t="shared" ref="C1923:C1986" si="92">IF(H1923&lt;&gt;"", H1923, "")</f>
        <v/>
      </c>
    </row>
    <row r="1924" spans="1:3" x14ac:dyDescent="0.4">
      <c r="A1924" t="str">
        <f t="shared" si="90"/>
        <v/>
      </c>
      <c r="B1924" t="str">
        <f t="shared" si="91"/>
        <v/>
      </c>
      <c r="C1924" t="str">
        <f t="shared" si="92"/>
        <v/>
      </c>
    </row>
    <row r="1925" spans="1:3" x14ac:dyDescent="0.4">
      <c r="A1925" t="str">
        <f t="shared" si="90"/>
        <v/>
      </c>
      <c r="B1925" t="str">
        <f t="shared" si="91"/>
        <v/>
      </c>
      <c r="C1925" t="str">
        <f t="shared" si="92"/>
        <v/>
      </c>
    </row>
    <row r="1926" spans="1:3" x14ac:dyDescent="0.4">
      <c r="A1926" t="str">
        <f t="shared" si="90"/>
        <v/>
      </c>
      <c r="B1926" t="str">
        <f t="shared" si="91"/>
        <v/>
      </c>
      <c r="C1926" t="str">
        <f t="shared" si="92"/>
        <v/>
      </c>
    </row>
    <row r="1927" spans="1:3" x14ac:dyDescent="0.4">
      <c r="A1927" t="str">
        <f t="shared" si="90"/>
        <v/>
      </c>
      <c r="B1927" t="str">
        <f t="shared" si="91"/>
        <v/>
      </c>
      <c r="C1927" t="str">
        <f t="shared" si="92"/>
        <v/>
      </c>
    </row>
    <row r="1928" spans="1:3" x14ac:dyDescent="0.4">
      <c r="A1928" t="str">
        <f t="shared" si="90"/>
        <v/>
      </c>
      <c r="B1928" t="str">
        <f t="shared" si="91"/>
        <v/>
      </c>
      <c r="C1928" t="str">
        <f t="shared" si="92"/>
        <v/>
      </c>
    </row>
    <row r="1929" spans="1:3" x14ac:dyDescent="0.4">
      <c r="A1929" t="str">
        <f t="shared" si="90"/>
        <v/>
      </c>
      <c r="B1929" t="str">
        <f t="shared" si="91"/>
        <v/>
      </c>
      <c r="C1929" t="str">
        <f t="shared" si="92"/>
        <v/>
      </c>
    </row>
    <row r="1930" spans="1:3" x14ac:dyDescent="0.4">
      <c r="A1930" t="str">
        <f t="shared" si="90"/>
        <v/>
      </c>
      <c r="B1930" t="str">
        <f t="shared" si="91"/>
        <v/>
      </c>
      <c r="C1930" t="str">
        <f t="shared" si="92"/>
        <v/>
      </c>
    </row>
    <row r="1931" spans="1:3" x14ac:dyDescent="0.4">
      <c r="A1931" t="str">
        <f t="shared" si="90"/>
        <v/>
      </c>
      <c r="B1931" t="str">
        <f t="shared" si="91"/>
        <v/>
      </c>
      <c r="C1931" t="str">
        <f t="shared" si="92"/>
        <v/>
      </c>
    </row>
    <row r="1932" spans="1:3" x14ac:dyDescent="0.4">
      <c r="A1932" t="str">
        <f t="shared" si="90"/>
        <v/>
      </c>
      <c r="B1932" t="str">
        <f t="shared" si="91"/>
        <v/>
      </c>
      <c r="C1932" t="str">
        <f t="shared" si="92"/>
        <v/>
      </c>
    </row>
    <row r="1933" spans="1:3" x14ac:dyDescent="0.4">
      <c r="A1933" t="str">
        <f t="shared" si="90"/>
        <v/>
      </c>
      <c r="B1933" t="str">
        <f t="shared" si="91"/>
        <v/>
      </c>
      <c r="C1933" t="str">
        <f t="shared" si="92"/>
        <v/>
      </c>
    </row>
    <row r="1934" spans="1:3" x14ac:dyDescent="0.4">
      <c r="A1934" t="str">
        <f t="shared" si="90"/>
        <v/>
      </c>
      <c r="B1934" t="str">
        <f t="shared" si="91"/>
        <v/>
      </c>
      <c r="C1934" t="str">
        <f t="shared" si="92"/>
        <v/>
      </c>
    </row>
    <row r="1935" spans="1:3" x14ac:dyDescent="0.4">
      <c r="A1935" t="str">
        <f t="shared" si="90"/>
        <v/>
      </c>
      <c r="B1935" t="str">
        <f t="shared" si="91"/>
        <v/>
      </c>
      <c r="C1935" t="str">
        <f t="shared" si="92"/>
        <v/>
      </c>
    </row>
    <row r="1936" spans="1:3" x14ac:dyDescent="0.4">
      <c r="A1936" t="str">
        <f t="shared" si="90"/>
        <v/>
      </c>
      <c r="B1936" t="str">
        <f t="shared" si="91"/>
        <v/>
      </c>
      <c r="C1936" t="str">
        <f t="shared" si="92"/>
        <v/>
      </c>
    </row>
    <row r="1937" spans="1:3" x14ac:dyDescent="0.4">
      <c r="A1937" t="str">
        <f t="shared" si="90"/>
        <v/>
      </c>
      <c r="B1937" t="str">
        <f t="shared" si="91"/>
        <v/>
      </c>
      <c r="C1937" t="str">
        <f t="shared" si="92"/>
        <v/>
      </c>
    </row>
    <row r="1938" spans="1:3" x14ac:dyDescent="0.4">
      <c r="A1938" t="str">
        <f t="shared" si="90"/>
        <v/>
      </c>
      <c r="B1938" t="str">
        <f t="shared" si="91"/>
        <v/>
      </c>
      <c r="C1938" t="str">
        <f t="shared" si="92"/>
        <v/>
      </c>
    </row>
    <row r="1939" spans="1:3" x14ac:dyDescent="0.4">
      <c r="A1939" t="str">
        <f t="shared" si="90"/>
        <v/>
      </c>
      <c r="B1939" t="str">
        <f t="shared" si="91"/>
        <v/>
      </c>
      <c r="C1939" t="str">
        <f t="shared" si="92"/>
        <v/>
      </c>
    </row>
    <row r="1940" spans="1:3" x14ac:dyDescent="0.4">
      <c r="A1940" t="str">
        <f t="shared" si="90"/>
        <v/>
      </c>
      <c r="B1940" t="str">
        <f t="shared" si="91"/>
        <v/>
      </c>
      <c r="C1940" t="str">
        <f t="shared" si="92"/>
        <v/>
      </c>
    </row>
    <row r="1941" spans="1:3" x14ac:dyDescent="0.4">
      <c r="A1941" t="str">
        <f t="shared" si="90"/>
        <v/>
      </c>
      <c r="B1941" t="str">
        <f t="shared" si="91"/>
        <v/>
      </c>
      <c r="C1941" t="str">
        <f t="shared" si="92"/>
        <v/>
      </c>
    </row>
    <row r="1942" spans="1:3" x14ac:dyDescent="0.4">
      <c r="A1942" t="str">
        <f t="shared" si="90"/>
        <v/>
      </c>
      <c r="B1942" t="str">
        <f t="shared" si="91"/>
        <v/>
      </c>
      <c r="C1942" t="str">
        <f t="shared" si="92"/>
        <v/>
      </c>
    </row>
    <row r="1943" spans="1:3" x14ac:dyDescent="0.4">
      <c r="A1943" t="str">
        <f t="shared" si="90"/>
        <v/>
      </c>
      <c r="B1943" t="str">
        <f t="shared" si="91"/>
        <v/>
      </c>
      <c r="C1943" t="str">
        <f t="shared" si="92"/>
        <v/>
      </c>
    </row>
    <row r="1944" spans="1:3" x14ac:dyDescent="0.4">
      <c r="A1944" t="str">
        <f t="shared" si="90"/>
        <v/>
      </c>
      <c r="B1944" t="str">
        <f t="shared" si="91"/>
        <v/>
      </c>
      <c r="C1944" t="str">
        <f t="shared" si="92"/>
        <v/>
      </c>
    </row>
    <row r="1945" spans="1:3" x14ac:dyDescent="0.4">
      <c r="A1945" t="str">
        <f t="shared" si="90"/>
        <v/>
      </c>
      <c r="B1945" t="str">
        <f t="shared" si="91"/>
        <v/>
      </c>
      <c r="C1945" t="str">
        <f t="shared" si="92"/>
        <v/>
      </c>
    </row>
    <row r="1946" spans="1:3" x14ac:dyDescent="0.4">
      <c r="A1946" t="str">
        <f t="shared" si="90"/>
        <v/>
      </c>
      <c r="B1946" t="str">
        <f t="shared" si="91"/>
        <v/>
      </c>
      <c r="C1946" t="str">
        <f t="shared" si="92"/>
        <v/>
      </c>
    </row>
    <row r="1947" spans="1:3" x14ac:dyDescent="0.4">
      <c r="A1947" t="str">
        <f t="shared" si="90"/>
        <v/>
      </c>
      <c r="B1947" t="str">
        <f t="shared" si="91"/>
        <v/>
      </c>
      <c r="C1947" t="str">
        <f t="shared" si="92"/>
        <v/>
      </c>
    </row>
    <row r="1948" spans="1:3" x14ac:dyDescent="0.4">
      <c r="A1948" t="str">
        <f t="shared" si="90"/>
        <v/>
      </c>
      <c r="B1948" t="str">
        <f t="shared" si="91"/>
        <v/>
      </c>
      <c r="C1948" t="str">
        <f t="shared" si="92"/>
        <v/>
      </c>
    </row>
    <row r="1949" spans="1:3" x14ac:dyDescent="0.4">
      <c r="A1949" t="str">
        <f t="shared" si="90"/>
        <v/>
      </c>
      <c r="B1949" t="str">
        <f t="shared" si="91"/>
        <v/>
      </c>
      <c r="C1949" t="str">
        <f t="shared" si="92"/>
        <v/>
      </c>
    </row>
    <row r="1950" spans="1:3" x14ac:dyDescent="0.4">
      <c r="A1950" t="str">
        <f t="shared" si="90"/>
        <v/>
      </c>
      <c r="B1950" t="str">
        <f t="shared" si="91"/>
        <v/>
      </c>
      <c r="C1950" t="str">
        <f t="shared" si="92"/>
        <v/>
      </c>
    </row>
    <row r="1951" spans="1:3" x14ac:dyDescent="0.4">
      <c r="A1951" t="str">
        <f t="shared" si="90"/>
        <v/>
      </c>
      <c r="B1951" t="str">
        <f t="shared" si="91"/>
        <v/>
      </c>
      <c r="C1951" t="str">
        <f t="shared" si="92"/>
        <v/>
      </c>
    </row>
    <row r="1952" spans="1:3" x14ac:dyDescent="0.4">
      <c r="A1952" t="str">
        <f t="shared" si="90"/>
        <v/>
      </c>
      <c r="B1952" t="str">
        <f t="shared" si="91"/>
        <v/>
      </c>
      <c r="C1952" t="str">
        <f t="shared" si="92"/>
        <v/>
      </c>
    </row>
    <row r="1953" spans="1:3" x14ac:dyDescent="0.4">
      <c r="A1953" t="str">
        <f t="shared" si="90"/>
        <v/>
      </c>
      <c r="B1953" t="str">
        <f t="shared" si="91"/>
        <v/>
      </c>
      <c r="C1953" t="str">
        <f t="shared" si="92"/>
        <v/>
      </c>
    </row>
    <row r="1954" spans="1:3" x14ac:dyDescent="0.4">
      <c r="A1954" t="str">
        <f t="shared" si="90"/>
        <v/>
      </c>
      <c r="B1954" t="str">
        <f t="shared" si="91"/>
        <v/>
      </c>
      <c r="C1954" t="str">
        <f t="shared" si="92"/>
        <v/>
      </c>
    </row>
    <row r="1955" spans="1:3" x14ac:dyDescent="0.4">
      <c r="A1955" t="str">
        <f t="shared" si="90"/>
        <v/>
      </c>
      <c r="B1955" t="str">
        <f t="shared" si="91"/>
        <v/>
      </c>
      <c r="C1955" t="str">
        <f t="shared" si="92"/>
        <v/>
      </c>
    </row>
    <row r="1956" spans="1:3" x14ac:dyDescent="0.4">
      <c r="A1956" t="str">
        <f t="shared" si="90"/>
        <v/>
      </c>
      <c r="B1956" t="str">
        <f t="shared" si="91"/>
        <v/>
      </c>
      <c r="C1956" t="str">
        <f t="shared" si="92"/>
        <v/>
      </c>
    </row>
    <row r="1957" spans="1:3" x14ac:dyDescent="0.4">
      <c r="A1957" t="str">
        <f t="shared" si="90"/>
        <v/>
      </c>
      <c r="B1957" t="str">
        <f t="shared" si="91"/>
        <v/>
      </c>
      <c r="C1957" t="str">
        <f t="shared" si="92"/>
        <v/>
      </c>
    </row>
    <row r="1958" spans="1:3" x14ac:dyDescent="0.4">
      <c r="A1958" t="str">
        <f t="shared" si="90"/>
        <v/>
      </c>
      <c r="B1958" t="str">
        <f t="shared" si="91"/>
        <v/>
      </c>
      <c r="C1958" t="str">
        <f t="shared" si="92"/>
        <v/>
      </c>
    </row>
    <row r="1959" spans="1:3" x14ac:dyDescent="0.4">
      <c r="A1959" t="str">
        <f t="shared" si="90"/>
        <v/>
      </c>
      <c r="B1959" t="str">
        <f t="shared" si="91"/>
        <v/>
      </c>
      <c r="C1959" t="str">
        <f t="shared" si="92"/>
        <v/>
      </c>
    </row>
    <row r="1960" spans="1:3" x14ac:dyDescent="0.4">
      <c r="A1960" t="str">
        <f t="shared" si="90"/>
        <v/>
      </c>
      <c r="B1960" t="str">
        <f t="shared" si="91"/>
        <v/>
      </c>
      <c r="C1960" t="str">
        <f t="shared" si="92"/>
        <v/>
      </c>
    </row>
    <row r="1961" spans="1:3" x14ac:dyDescent="0.4">
      <c r="A1961" t="str">
        <f t="shared" si="90"/>
        <v/>
      </c>
      <c r="B1961" t="str">
        <f t="shared" si="91"/>
        <v/>
      </c>
      <c r="C1961" t="str">
        <f t="shared" si="92"/>
        <v/>
      </c>
    </row>
    <row r="1962" spans="1:3" x14ac:dyDescent="0.4">
      <c r="A1962" t="str">
        <f t="shared" si="90"/>
        <v/>
      </c>
      <c r="B1962" t="str">
        <f t="shared" si="91"/>
        <v/>
      </c>
      <c r="C1962" t="str">
        <f t="shared" si="92"/>
        <v/>
      </c>
    </row>
    <row r="1963" spans="1:3" x14ac:dyDescent="0.4">
      <c r="A1963" t="str">
        <f t="shared" si="90"/>
        <v/>
      </c>
      <c r="B1963" t="str">
        <f t="shared" si="91"/>
        <v/>
      </c>
      <c r="C1963" t="str">
        <f t="shared" si="92"/>
        <v/>
      </c>
    </row>
    <row r="1964" spans="1:3" x14ac:dyDescent="0.4">
      <c r="A1964" t="str">
        <f t="shared" si="90"/>
        <v/>
      </c>
      <c r="B1964" t="str">
        <f t="shared" si="91"/>
        <v/>
      </c>
      <c r="C1964" t="str">
        <f t="shared" si="92"/>
        <v/>
      </c>
    </row>
    <row r="1965" spans="1:3" x14ac:dyDescent="0.4">
      <c r="A1965" t="str">
        <f t="shared" si="90"/>
        <v/>
      </c>
      <c r="B1965" t="str">
        <f t="shared" si="91"/>
        <v/>
      </c>
      <c r="C1965" t="str">
        <f t="shared" si="92"/>
        <v/>
      </c>
    </row>
    <row r="1966" spans="1:3" x14ac:dyDescent="0.4">
      <c r="A1966" t="str">
        <f t="shared" si="90"/>
        <v/>
      </c>
      <c r="B1966" t="str">
        <f t="shared" si="91"/>
        <v/>
      </c>
      <c r="C1966" t="str">
        <f t="shared" si="92"/>
        <v/>
      </c>
    </row>
    <row r="1967" spans="1:3" x14ac:dyDescent="0.4">
      <c r="A1967" t="str">
        <f t="shared" si="90"/>
        <v/>
      </c>
      <c r="B1967" t="str">
        <f t="shared" si="91"/>
        <v/>
      </c>
      <c r="C1967" t="str">
        <f t="shared" si="92"/>
        <v/>
      </c>
    </row>
    <row r="1968" spans="1:3" x14ac:dyDescent="0.4">
      <c r="A1968" t="str">
        <f t="shared" si="90"/>
        <v/>
      </c>
      <c r="B1968" t="str">
        <f t="shared" si="91"/>
        <v/>
      </c>
      <c r="C1968" t="str">
        <f t="shared" si="92"/>
        <v/>
      </c>
    </row>
    <row r="1969" spans="1:3" x14ac:dyDescent="0.4">
      <c r="A1969" t="str">
        <f t="shared" si="90"/>
        <v/>
      </c>
      <c r="B1969" t="str">
        <f t="shared" si="91"/>
        <v/>
      </c>
      <c r="C1969" t="str">
        <f t="shared" si="92"/>
        <v/>
      </c>
    </row>
    <row r="1970" spans="1:3" x14ac:dyDescent="0.4">
      <c r="A1970" t="str">
        <f t="shared" si="90"/>
        <v/>
      </c>
      <c r="B1970" t="str">
        <f t="shared" si="91"/>
        <v/>
      </c>
      <c r="C1970" t="str">
        <f t="shared" si="92"/>
        <v/>
      </c>
    </row>
    <row r="1971" spans="1:3" x14ac:dyDescent="0.4">
      <c r="A1971" t="str">
        <f t="shared" si="90"/>
        <v/>
      </c>
      <c r="B1971" t="str">
        <f t="shared" si="91"/>
        <v/>
      </c>
      <c r="C1971" t="str">
        <f t="shared" si="92"/>
        <v/>
      </c>
    </row>
    <row r="1972" spans="1:3" x14ac:dyDescent="0.4">
      <c r="A1972" t="str">
        <f t="shared" si="90"/>
        <v/>
      </c>
      <c r="B1972" t="str">
        <f t="shared" si="91"/>
        <v/>
      </c>
      <c r="C1972" t="str">
        <f t="shared" si="92"/>
        <v/>
      </c>
    </row>
    <row r="1973" spans="1:3" x14ac:dyDescent="0.4">
      <c r="A1973" t="str">
        <f t="shared" si="90"/>
        <v/>
      </c>
      <c r="B1973" t="str">
        <f t="shared" si="91"/>
        <v/>
      </c>
      <c r="C1973" t="str">
        <f t="shared" si="92"/>
        <v/>
      </c>
    </row>
    <row r="1974" spans="1:3" x14ac:dyDescent="0.4">
      <c r="A1974" t="str">
        <f t="shared" si="90"/>
        <v/>
      </c>
      <c r="B1974" t="str">
        <f t="shared" si="91"/>
        <v/>
      </c>
      <c r="C1974" t="str">
        <f t="shared" si="92"/>
        <v/>
      </c>
    </row>
    <row r="1975" spans="1:3" x14ac:dyDescent="0.4">
      <c r="A1975" t="str">
        <f t="shared" si="90"/>
        <v/>
      </c>
      <c r="B1975" t="str">
        <f t="shared" si="91"/>
        <v/>
      </c>
      <c r="C1975" t="str">
        <f t="shared" si="92"/>
        <v/>
      </c>
    </row>
    <row r="1976" spans="1:3" x14ac:dyDescent="0.4">
      <c r="A1976" t="str">
        <f t="shared" si="90"/>
        <v/>
      </c>
      <c r="B1976" t="str">
        <f t="shared" si="91"/>
        <v/>
      </c>
      <c r="C1976" t="str">
        <f t="shared" si="92"/>
        <v/>
      </c>
    </row>
    <row r="1977" spans="1:3" x14ac:dyDescent="0.4">
      <c r="A1977" t="str">
        <f t="shared" si="90"/>
        <v/>
      </c>
      <c r="B1977" t="str">
        <f t="shared" si="91"/>
        <v/>
      </c>
      <c r="C1977" t="str">
        <f t="shared" si="92"/>
        <v/>
      </c>
    </row>
    <row r="1978" spans="1:3" x14ac:dyDescent="0.4">
      <c r="A1978" t="str">
        <f t="shared" si="90"/>
        <v/>
      </c>
      <c r="B1978" t="str">
        <f t="shared" si="91"/>
        <v/>
      </c>
      <c r="C1978" t="str">
        <f t="shared" si="92"/>
        <v/>
      </c>
    </row>
    <row r="1979" spans="1:3" x14ac:dyDescent="0.4">
      <c r="A1979" t="str">
        <f t="shared" si="90"/>
        <v/>
      </c>
      <c r="B1979" t="str">
        <f t="shared" si="91"/>
        <v/>
      </c>
      <c r="C1979" t="str">
        <f t="shared" si="92"/>
        <v/>
      </c>
    </row>
    <row r="1980" spans="1:3" x14ac:dyDescent="0.4">
      <c r="A1980" t="str">
        <f t="shared" si="90"/>
        <v/>
      </c>
      <c r="B1980" t="str">
        <f t="shared" si="91"/>
        <v/>
      </c>
      <c r="C1980" t="str">
        <f t="shared" si="92"/>
        <v/>
      </c>
    </row>
    <row r="1981" spans="1:3" x14ac:dyDescent="0.4">
      <c r="A1981" t="str">
        <f t="shared" si="90"/>
        <v/>
      </c>
      <c r="B1981" t="str">
        <f t="shared" si="91"/>
        <v/>
      </c>
      <c r="C1981" t="str">
        <f t="shared" si="92"/>
        <v/>
      </c>
    </row>
    <row r="1982" spans="1:3" x14ac:dyDescent="0.4">
      <c r="A1982" t="str">
        <f t="shared" si="90"/>
        <v/>
      </c>
      <c r="B1982" t="str">
        <f t="shared" si="91"/>
        <v/>
      </c>
      <c r="C1982" t="str">
        <f t="shared" si="92"/>
        <v/>
      </c>
    </row>
    <row r="1983" spans="1:3" x14ac:dyDescent="0.4">
      <c r="A1983" t="str">
        <f t="shared" si="90"/>
        <v/>
      </c>
      <c r="B1983" t="str">
        <f t="shared" si="91"/>
        <v/>
      </c>
      <c r="C1983" t="str">
        <f t="shared" si="92"/>
        <v/>
      </c>
    </row>
    <row r="1984" spans="1:3" x14ac:dyDescent="0.4">
      <c r="A1984" t="str">
        <f t="shared" si="90"/>
        <v/>
      </c>
      <c r="B1984" t="str">
        <f t="shared" si="91"/>
        <v/>
      </c>
      <c r="C1984" t="str">
        <f t="shared" si="92"/>
        <v/>
      </c>
    </row>
    <row r="1985" spans="1:3" x14ac:dyDescent="0.4">
      <c r="A1985" t="str">
        <f t="shared" si="90"/>
        <v/>
      </c>
      <c r="B1985" t="str">
        <f t="shared" si="91"/>
        <v/>
      </c>
      <c r="C1985" t="str">
        <f t="shared" si="92"/>
        <v/>
      </c>
    </row>
    <row r="1986" spans="1:3" x14ac:dyDescent="0.4">
      <c r="A1986" t="str">
        <f t="shared" si="90"/>
        <v/>
      </c>
      <c r="B1986" t="str">
        <f t="shared" si="91"/>
        <v/>
      </c>
      <c r="C1986" t="str">
        <f t="shared" si="92"/>
        <v/>
      </c>
    </row>
    <row r="1987" spans="1:3" x14ac:dyDescent="0.4">
      <c r="A1987" t="str">
        <f t="shared" ref="A1987:A2050" si="93">IF($F1987="","",$F1987&amp;"|"&amp;$H1987)</f>
        <v/>
      </c>
      <c r="B1987" t="str">
        <f t="shared" ref="B1987:B2050" si="94">IF(F1987&lt;&gt;"",F1987,"")</f>
        <v/>
      </c>
      <c r="C1987" t="str">
        <f t="shared" ref="C1987:C2050" si="95">IF(H1987&lt;&gt;"", H1987, "")</f>
        <v/>
      </c>
    </row>
    <row r="1988" spans="1:3" x14ac:dyDescent="0.4">
      <c r="A1988" t="str">
        <f t="shared" si="93"/>
        <v/>
      </c>
      <c r="B1988" t="str">
        <f t="shared" si="94"/>
        <v/>
      </c>
      <c r="C1988" t="str">
        <f t="shared" si="95"/>
        <v/>
      </c>
    </row>
    <row r="1989" spans="1:3" x14ac:dyDescent="0.4">
      <c r="A1989" t="str">
        <f t="shared" si="93"/>
        <v/>
      </c>
      <c r="B1989" t="str">
        <f t="shared" si="94"/>
        <v/>
      </c>
      <c r="C1989" t="str">
        <f t="shared" si="95"/>
        <v/>
      </c>
    </row>
    <row r="1990" spans="1:3" x14ac:dyDescent="0.4">
      <c r="A1990" t="str">
        <f t="shared" si="93"/>
        <v/>
      </c>
      <c r="B1990" t="str">
        <f t="shared" si="94"/>
        <v/>
      </c>
      <c r="C1990" t="str">
        <f t="shared" si="95"/>
        <v/>
      </c>
    </row>
    <row r="1991" spans="1:3" x14ac:dyDescent="0.4">
      <c r="A1991" t="str">
        <f t="shared" si="93"/>
        <v/>
      </c>
      <c r="B1991" t="str">
        <f t="shared" si="94"/>
        <v/>
      </c>
      <c r="C1991" t="str">
        <f t="shared" si="95"/>
        <v/>
      </c>
    </row>
    <row r="1992" spans="1:3" x14ac:dyDescent="0.4">
      <c r="A1992" t="str">
        <f t="shared" si="93"/>
        <v/>
      </c>
      <c r="B1992" t="str">
        <f t="shared" si="94"/>
        <v/>
      </c>
      <c r="C1992" t="str">
        <f t="shared" si="95"/>
        <v/>
      </c>
    </row>
    <row r="1993" spans="1:3" x14ac:dyDescent="0.4">
      <c r="A1993" t="str">
        <f t="shared" si="93"/>
        <v/>
      </c>
      <c r="B1993" t="str">
        <f t="shared" si="94"/>
        <v/>
      </c>
      <c r="C1993" t="str">
        <f t="shared" si="95"/>
        <v/>
      </c>
    </row>
    <row r="1994" spans="1:3" x14ac:dyDescent="0.4">
      <c r="A1994" t="str">
        <f t="shared" si="93"/>
        <v/>
      </c>
      <c r="B1994" t="str">
        <f t="shared" si="94"/>
        <v/>
      </c>
      <c r="C1994" t="str">
        <f t="shared" si="95"/>
        <v/>
      </c>
    </row>
    <row r="1995" spans="1:3" x14ac:dyDescent="0.4">
      <c r="A1995" t="str">
        <f t="shared" si="93"/>
        <v/>
      </c>
      <c r="B1995" t="str">
        <f t="shared" si="94"/>
        <v/>
      </c>
      <c r="C1995" t="str">
        <f t="shared" si="95"/>
        <v/>
      </c>
    </row>
    <row r="1996" spans="1:3" x14ac:dyDescent="0.4">
      <c r="A1996" t="str">
        <f t="shared" si="93"/>
        <v/>
      </c>
      <c r="B1996" t="str">
        <f t="shared" si="94"/>
        <v/>
      </c>
      <c r="C1996" t="str">
        <f t="shared" si="95"/>
        <v/>
      </c>
    </row>
    <row r="1997" spans="1:3" x14ac:dyDescent="0.4">
      <c r="A1997" t="str">
        <f t="shared" si="93"/>
        <v/>
      </c>
      <c r="B1997" t="str">
        <f t="shared" si="94"/>
        <v/>
      </c>
      <c r="C1997" t="str">
        <f t="shared" si="95"/>
        <v/>
      </c>
    </row>
    <row r="1998" spans="1:3" x14ac:dyDescent="0.4">
      <c r="A1998" t="str">
        <f t="shared" si="93"/>
        <v/>
      </c>
      <c r="B1998" t="str">
        <f t="shared" si="94"/>
        <v/>
      </c>
      <c r="C1998" t="str">
        <f t="shared" si="95"/>
        <v/>
      </c>
    </row>
    <row r="1999" spans="1:3" x14ac:dyDescent="0.4">
      <c r="A1999" t="str">
        <f t="shared" si="93"/>
        <v/>
      </c>
      <c r="B1999" t="str">
        <f t="shared" si="94"/>
        <v/>
      </c>
      <c r="C1999" t="str">
        <f t="shared" si="95"/>
        <v/>
      </c>
    </row>
    <row r="2000" spans="1:3" x14ac:dyDescent="0.4">
      <c r="A2000" t="str">
        <f t="shared" si="93"/>
        <v/>
      </c>
      <c r="B2000" t="str">
        <f t="shared" si="94"/>
        <v/>
      </c>
      <c r="C2000" t="str">
        <f t="shared" si="95"/>
        <v/>
      </c>
    </row>
    <row r="2001" spans="1:3" x14ac:dyDescent="0.4">
      <c r="A2001" t="str">
        <f t="shared" si="93"/>
        <v/>
      </c>
      <c r="B2001" t="str">
        <f t="shared" si="94"/>
        <v/>
      </c>
      <c r="C2001" t="str">
        <f t="shared" si="95"/>
        <v/>
      </c>
    </row>
    <row r="2002" spans="1:3" x14ac:dyDescent="0.4">
      <c r="A2002" t="str">
        <f t="shared" si="93"/>
        <v/>
      </c>
      <c r="B2002" t="str">
        <f t="shared" si="94"/>
        <v/>
      </c>
      <c r="C2002" t="str">
        <f t="shared" si="95"/>
        <v/>
      </c>
    </row>
    <row r="2003" spans="1:3" x14ac:dyDescent="0.4">
      <c r="A2003" t="str">
        <f t="shared" si="93"/>
        <v/>
      </c>
      <c r="B2003" t="str">
        <f t="shared" si="94"/>
        <v/>
      </c>
      <c r="C2003" t="str">
        <f t="shared" si="95"/>
        <v/>
      </c>
    </row>
    <row r="2004" spans="1:3" x14ac:dyDescent="0.4">
      <c r="A2004" t="str">
        <f t="shared" si="93"/>
        <v/>
      </c>
      <c r="B2004" t="str">
        <f t="shared" si="94"/>
        <v/>
      </c>
      <c r="C2004" t="str">
        <f t="shared" si="95"/>
        <v/>
      </c>
    </row>
    <row r="2005" spans="1:3" x14ac:dyDescent="0.4">
      <c r="A2005" t="str">
        <f t="shared" si="93"/>
        <v/>
      </c>
      <c r="B2005" t="str">
        <f t="shared" si="94"/>
        <v/>
      </c>
      <c r="C2005" t="str">
        <f t="shared" si="95"/>
        <v/>
      </c>
    </row>
    <row r="2006" spans="1:3" x14ac:dyDescent="0.4">
      <c r="A2006" t="str">
        <f t="shared" si="93"/>
        <v/>
      </c>
      <c r="B2006" t="str">
        <f t="shared" si="94"/>
        <v/>
      </c>
      <c r="C2006" t="str">
        <f t="shared" si="95"/>
        <v/>
      </c>
    </row>
    <row r="2007" spans="1:3" x14ac:dyDescent="0.4">
      <c r="A2007" t="str">
        <f t="shared" si="93"/>
        <v/>
      </c>
      <c r="B2007" t="str">
        <f t="shared" si="94"/>
        <v/>
      </c>
      <c r="C2007" t="str">
        <f t="shared" si="95"/>
        <v/>
      </c>
    </row>
    <row r="2008" spans="1:3" x14ac:dyDescent="0.4">
      <c r="A2008" t="str">
        <f t="shared" si="93"/>
        <v/>
      </c>
      <c r="B2008" t="str">
        <f t="shared" si="94"/>
        <v/>
      </c>
      <c r="C2008" t="str">
        <f t="shared" si="95"/>
        <v/>
      </c>
    </row>
    <row r="2009" spans="1:3" x14ac:dyDescent="0.4">
      <c r="A2009" t="str">
        <f t="shared" si="93"/>
        <v/>
      </c>
      <c r="B2009" t="str">
        <f t="shared" si="94"/>
        <v/>
      </c>
      <c r="C2009" t="str">
        <f t="shared" si="95"/>
        <v/>
      </c>
    </row>
    <row r="2010" spans="1:3" x14ac:dyDescent="0.4">
      <c r="A2010" t="str">
        <f t="shared" si="93"/>
        <v/>
      </c>
      <c r="B2010" t="str">
        <f t="shared" si="94"/>
        <v/>
      </c>
      <c r="C2010" t="str">
        <f t="shared" si="95"/>
        <v/>
      </c>
    </row>
    <row r="2011" spans="1:3" x14ac:dyDescent="0.4">
      <c r="A2011" t="str">
        <f t="shared" si="93"/>
        <v/>
      </c>
      <c r="B2011" t="str">
        <f t="shared" si="94"/>
        <v/>
      </c>
      <c r="C2011" t="str">
        <f t="shared" si="95"/>
        <v/>
      </c>
    </row>
    <row r="2012" spans="1:3" x14ac:dyDescent="0.4">
      <c r="A2012" t="str">
        <f t="shared" si="93"/>
        <v/>
      </c>
      <c r="B2012" t="str">
        <f t="shared" si="94"/>
        <v/>
      </c>
      <c r="C2012" t="str">
        <f t="shared" si="95"/>
        <v/>
      </c>
    </row>
    <row r="2013" spans="1:3" x14ac:dyDescent="0.4">
      <c r="A2013" t="str">
        <f t="shared" si="93"/>
        <v/>
      </c>
      <c r="B2013" t="str">
        <f t="shared" si="94"/>
        <v/>
      </c>
      <c r="C2013" t="str">
        <f t="shared" si="95"/>
        <v/>
      </c>
    </row>
    <row r="2014" spans="1:3" x14ac:dyDescent="0.4">
      <c r="A2014" t="str">
        <f t="shared" si="93"/>
        <v/>
      </c>
      <c r="B2014" t="str">
        <f t="shared" si="94"/>
        <v/>
      </c>
      <c r="C2014" t="str">
        <f t="shared" si="95"/>
        <v/>
      </c>
    </row>
    <row r="2015" spans="1:3" x14ac:dyDescent="0.4">
      <c r="A2015" t="str">
        <f t="shared" si="93"/>
        <v/>
      </c>
      <c r="B2015" t="str">
        <f t="shared" si="94"/>
        <v/>
      </c>
      <c r="C2015" t="str">
        <f t="shared" si="95"/>
        <v/>
      </c>
    </row>
    <row r="2016" spans="1:3" x14ac:dyDescent="0.4">
      <c r="A2016" t="str">
        <f t="shared" si="93"/>
        <v/>
      </c>
      <c r="B2016" t="str">
        <f t="shared" si="94"/>
        <v/>
      </c>
      <c r="C2016" t="str">
        <f t="shared" si="95"/>
        <v/>
      </c>
    </row>
    <row r="2017" spans="1:3" x14ac:dyDescent="0.4">
      <c r="A2017" t="str">
        <f t="shared" si="93"/>
        <v/>
      </c>
      <c r="B2017" t="str">
        <f t="shared" si="94"/>
        <v/>
      </c>
      <c r="C2017" t="str">
        <f t="shared" si="95"/>
        <v/>
      </c>
    </row>
    <row r="2018" spans="1:3" x14ac:dyDescent="0.4">
      <c r="A2018" t="str">
        <f t="shared" si="93"/>
        <v/>
      </c>
      <c r="B2018" t="str">
        <f t="shared" si="94"/>
        <v/>
      </c>
      <c r="C2018" t="str">
        <f t="shared" si="95"/>
        <v/>
      </c>
    </row>
    <row r="2019" spans="1:3" x14ac:dyDescent="0.4">
      <c r="A2019" t="str">
        <f t="shared" si="93"/>
        <v/>
      </c>
      <c r="B2019" t="str">
        <f t="shared" si="94"/>
        <v/>
      </c>
      <c r="C2019" t="str">
        <f t="shared" si="95"/>
        <v/>
      </c>
    </row>
    <row r="2020" spans="1:3" x14ac:dyDescent="0.4">
      <c r="A2020" t="str">
        <f t="shared" si="93"/>
        <v/>
      </c>
      <c r="B2020" t="str">
        <f t="shared" si="94"/>
        <v/>
      </c>
      <c r="C2020" t="str">
        <f t="shared" si="95"/>
        <v/>
      </c>
    </row>
    <row r="2021" spans="1:3" x14ac:dyDescent="0.4">
      <c r="A2021" t="str">
        <f t="shared" si="93"/>
        <v/>
      </c>
      <c r="B2021" t="str">
        <f t="shared" si="94"/>
        <v/>
      </c>
      <c r="C2021" t="str">
        <f t="shared" si="95"/>
        <v/>
      </c>
    </row>
    <row r="2022" spans="1:3" x14ac:dyDescent="0.4">
      <c r="A2022" t="str">
        <f t="shared" si="93"/>
        <v/>
      </c>
      <c r="B2022" t="str">
        <f t="shared" si="94"/>
        <v/>
      </c>
      <c r="C2022" t="str">
        <f t="shared" si="95"/>
        <v/>
      </c>
    </row>
    <row r="2023" spans="1:3" x14ac:dyDescent="0.4">
      <c r="A2023" t="str">
        <f t="shared" si="93"/>
        <v/>
      </c>
      <c r="B2023" t="str">
        <f t="shared" si="94"/>
        <v/>
      </c>
      <c r="C2023" t="str">
        <f t="shared" si="95"/>
        <v/>
      </c>
    </row>
    <row r="2024" spans="1:3" x14ac:dyDescent="0.4">
      <c r="A2024" t="str">
        <f t="shared" si="93"/>
        <v/>
      </c>
      <c r="B2024" t="str">
        <f t="shared" si="94"/>
        <v/>
      </c>
      <c r="C2024" t="str">
        <f t="shared" si="95"/>
        <v/>
      </c>
    </row>
    <row r="2025" spans="1:3" x14ac:dyDescent="0.4">
      <c r="A2025" t="str">
        <f t="shared" si="93"/>
        <v/>
      </c>
      <c r="B2025" t="str">
        <f t="shared" si="94"/>
        <v/>
      </c>
      <c r="C2025" t="str">
        <f t="shared" si="95"/>
        <v/>
      </c>
    </row>
    <row r="2026" spans="1:3" x14ac:dyDescent="0.4">
      <c r="A2026" t="str">
        <f t="shared" si="93"/>
        <v/>
      </c>
      <c r="B2026" t="str">
        <f t="shared" si="94"/>
        <v/>
      </c>
      <c r="C2026" t="str">
        <f t="shared" si="95"/>
        <v/>
      </c>
    </row>
    <row r="2027" spans="1:3" x14ac:dyDescent="0.4">
      <c r="A2027" t="str">
        <f t="shared" si="93"/>
        <v/>
      </c>
      <c r="B2027" t="str">
        <f t="shared" si="94"/>
        <v/>
      </c>
      <c r="C2027" t="str">
        <f t="shared" si="95"/>
        <v/>
      </c>
    </row>
    <row r="2028" spans="1:3" x14ac:dyDescent="0.4">
      <c r="A2028" t="str">
        <f t="shared" si="93"/>
        <v/>
      </c>
      <c r="B2028" t="str">
        <f t="shared" si="94"/>
        <v/>
      </c>
      <c r="C2028" t="str">
        <f t="shared" si="95"/>
        <v/>
      </c>
    </row>
    <row r="2029" spans="1:3" x14ac:dyDescent="0.4">
      <c r="A2029" t="str">
        <f t="shared" si="93"/>
        <v/>
      </c>
      <c r="B2029" t="str">
        <f t="shared" si="94"/>
        <v/>
      </c>
      <c r="C2029" t="str">
        <f t="shared" si="95"/>
        <v/>
      </c>
    </row>
    <row r="2030" spans="1:3" x14ac:dyDescent="0.4">
      <c r="A2030" t="str">
        <f t="shared" si="93"/>
        <v/>
      </c>
      <c r="B2030" t="str">
        <f t="shared" si="94"/>
        <v/>
      </c>
      <c r="C2030" t="str">
        <f t="shared" si="95"/>
        <v/>
      </c>
    </row>
    <row r="2031" spans="1:3" x14ac:dyDescent="0.4">
      <c r="A2031" t="str">
        <f t="shared" si="93"/>
        <v/>
      </c>
      <c r="B2031" t="str">
        <f t="shared" si="94"/>
        <v/>
      </c>
      <c r="C2031" t="str">
        <f t="shared" si="95"/>
        <v/>
      </c>
    </row>
    <row r="2032" spans="1:3" x14ac:dyDescent="0.4">
      <c r="A2032" t="str">
        <f t="shared" si="93"/>
        <v/>
      </c>
      <c r="B2032" t="str">
        <f t="shared" si="94"/>
        <v/>
      </c>
      <c r="C2032" t="str">
        <f t="shared" si="95"/>
        <v/>
      </c>
    </row>
    <row r="2033" spans="1:3" x14ac:dyDescent="0.4">
      <c r="A2033" t="str">
        <f t="shared" si="93"/>
        <v/>
      </c>
      <c r="B2033" t="str">
        <f t="shared" si="94"/>
        <v/>
      </c>
      <c r="C2033" t="str">
        <f t="shared" si="95"/>
        <v/>
      </c>
    </row>
    <row r="2034" spans="1:3" x14ac:dyDescent="0.4">
      <c r="A2034" t="str">
        <f t="shared" si="93"/>
        <v/>
      </c>
      <c r="B2034" t="str">
        <f t="shared" si="94"/>
        <v/>
      </c>
      <c r="C2034" t="str">
        <f t="shared" si="95"/>
        <v/>
      </c>
    </row>
    <row r="2035" spans="1:3" x14ac:dyDescent="0.4">
      <c r="A2035" t="str">
        <f t="shared" si="93"/>
        <v/>
      </c>
      <c r="B2035" t="str">
        <f t="shared" si="94"/>
        <v/>
      </c>
      <c r="C2035" t="str">
        <f t="shared" si="95"/>
        <v/>
      </c>
    </row>
    <row r="2036" spans="1:3" x14ac:dyDescent="0.4">
      <c r="A2036" t="str">
        <f t="shared" si="93"/>
        <v/>
      </c>
      <c r="B2036" t="str">
        <f t="shared" si="94"/>
        <v/>
      </c>
      <c r="C2036" t="str">
        <f t="shared" si="95"/>
        <v/>
      </c>
    </row>
    <row r="2037" spans="1:3" x14ac:dyDescent="0.4">
      <c r="A2037" t="str">
        <f t="shared" si="93"/>
        <v/>
      </c>
      <c r="B2037" t="str">
        <f t="shared" si="94"/>
        <v/>
      </c>
      <c r="C2037" t="str">
        <f t="shared" si="95"/>
        <v/>
      </c>
    </row>
    <row r="2038" spans="1:3" x14ac:dyDescent="0.4">
      <c r="A2038" t="str">
        <f t="shared" si="93"/>
        <v/>
      </c>
      <c r="B2038" t="str">
        <f t="shared" si="94"/>
        <v/>
      </c>
      <c r="C2038" t="str">
        <f t="shared" si="95"/>
        <v/>
      </c>
    </row>
    <row r="2039" spans="1:3" x14ac:dyDescent="0.4">
      <c r="A2039" t="str">
        <f t="shared" si="93"/>
        <v/>
      </c>
      <c r="B2039" t="str">
        <f t="shared" si="94"/>
        <v/>
      </c>
      <c r="C2039" t="str">
        <f t="shared" si="95"/>
        <v/>
      </c>
    </row>
    <row r="2040" spans="1:3" x14ac:dyDescent="0.4">
      <c r="A2040" t="str">
        <f t="shared" si="93"/>
        <v/>
      </c>
      <c r="B2040" t="str">
        <f t="shared" si="94"/>
        <v/>
      </c>
      <c r="C2040" t="str">
        <f t="shared" si="95"/>
        <v/>
      </c>
    </row>
    <row r="2041" spans="1:3" x14ac:dyDescent="0.4">
      <c r="A2041" t="str">
        <f t="shared" si="93"/>
        <v/>
      </c>
      <c r="B2041" t="str">
        <f t="shared" si="94"/>
        <v/>
      </c>
      <c r="C2041" t="str">
        <f t="shared" si="95"/>
        <v/>
      </c>
    </row>
    <row r="2042" spans="1:3" x14ac:dyDescent="0.4">
      <c r="A2042" t="str">
        <f t="shared" si="93"/>
        <v/>
      </c>
      <c r="B2042" t="str">
        <f t="shared" si="94"/>
        <v/>
      </c>
      <c r="C2042" t="str">
        <f t="shared" si="95"/>
        <v/>
      </c>
    </row>
    <row r="2043" spans="1:3" x14ac:dyDescent="0.4">
      <c r="A2043" t="str">
        <f t="shared" si="93"/>
        <v/>
      </c>
      <c r="B2043" t="str">
        <f t="shared" si="94"/>
        <v/>
      </c>
      <c r="C2043" t="str">
        <f t="shared" si="95"/>
        <v/>
      </c>
    </row>
    <row r="2044" spans="1:3" x14ac:dyDescent="0.4">
      <c r="A2044" t="str">
        <f t="shared" si="93"/>
        <v/>
      </c>
      <c r="B2044" t="str">
        <f t="shared" si="94"/>
        <v/>
      </c>
      <c r="C2044" t="str">
        <f t="shared" si="95"/>
        <v/>
      </c>
    </row>
    <row r="2045" spans="1:3" x14ac:dyDescent="0.4">
      <c r="A2045" t="str">
        <f t="shared" si="93"/>
        <v/>
      </c>
      <c r="B2045" t="str">
        <f t="shared" si="94"/>
        <v/>
      </c>
      <c r="C2045" t="str">
        <f t="shared" si="95"/>
        <v/>
      </c>
    </row>
    <row r="2046" spans="1:3" x14ac:dyDescent="0.4">
      <c r="A2046" t="str">
        <f t="shared" si="93"/>
        <v/>
      </c>
      <c r="B2046" t="str">
        <f t="shared" si="94"/>
        <v/>
      </c>
      <c r="C2046" t="str">
        <f t="shared" si="95"/>
        <v/>
      </c>
    </row>
    <row r="2047" spans="1:3" x14ac:dyDescent="0.4">
      <c r="A2047" t="str">
        <f t="shared" si="93"/>
        <v/>
      </c>
      <c r="B2047" t="str">
        <f t="shared" si="94"/>
        <v/>
      </c>
      <c r="C2047" t="str">
        <f t="shared" si="95"/>
        <v/>
      </c>
    </row>
    <row r="2048" spans="1:3" x14ac:dyDescent="0.4">
      <c r="A2048" t="str">
        <f t="shared" si="93"/>
        <v/>
      </c>
      <c r="B2048" t="str">
        <f t="shared" si="94"/>
        <v/>
      </c>
      <c r="C2048" t="str">
        <f t="shared" si="95"/>
        <v/>
      </c>
    </row>
    <row r="2049" spans="1:3" x14ac:dyDescent="0.4">
      <c r="A2049" t="str">
        <f t="shared" si="93"/>
        <v/>
      </c>
      <c r="B2049" t="str">
        <f t="shared" si="94"/>
        <v/>
      </c>
      <c r="C2049" t="str">
        <f t="shared" si="95"/>
        <v/>
      </c>
    </row>
    <row r="2050" spans="1:3" x14ac:dyDescent="0.4">
      <c r="A2050" t="str">
        <f t="shared" si="93"/>
        <v/>
      </c>
      <c r="B2050" t="str">
        <f t="shared" si="94"/>
        <v/>
      </c>
      <c r="C2050" t="str">
        <f t="shared" si="95"/>
        <v/>
      </c>
    </row>
    <row r="2051" spans="1:3" x14ac:dyDescent="0.4">
      <c r="A2051" t="str">
        <f t="shared" ref="A2051:A2114" si="96">IF($F2051="","",$F2051&amp;"|"&amp;$H2051)</f>
        <v/>
      </c>
      <c r="B2051" t="str">
        <f t="shared" ref="B2051:B2114" si="97">IF(F2051&lt;&gt;"",F2051,"")</f>
        <v/>
      </c>
      <c r="C2051" t="str">
        <f t="shared" ref="C2051:C2114" si="98">IF(H2051&lt;&gt;"", H2051, "")</f>
        <v/>
      </c>
    </row>
    <row r="2052" spans="1:3" x14ac:dyDescent="0.4">
      <c r="A2052" t="str">
        <f t="shared" si="96"/>
        <v/>
      </c>
      <c r="B2052" t="str">
        <f t="shared" si="97"/>
        <v/>
      </c>
      <c r="C2052" t="str">
        <f t="shared" si="98"/>
        <v/>
      </c>
    </row>
    <row r="2053" spans="1:3" x14ac:dyDescent="0.4">
      <c r="A2053" t="str">
        <f t="shared" si="96"/>
        <v/>
      </c>
      <c r="B2053" t="str">
        <f t="shared" si="97"/>
        <v/>
      </c>
      <c r="C2053" t="str">
        <f t="shared" si="98"/>
        <v/>
      </c>
    </row>
    <row r="2054" spans="1:3" x14ac:dyDescent="0.4">
      <c r="A2054" t="str">
        <f t="shared" si="96"/>
        <v/>
      </c>
      <c r="B2054" t="str">
        <f t="shared" si="97"/>
        <v/>
      </c>
      <c r="C2054" t="str">
        <f t="shared" si="98"/>
        <v/>
      </c>
    </row>
    <row r="2055" spans="1:3" x14ac:dyDescent="0.4">
      <c r="A2055" t="str">
        <f t="shared" si="96"/>
        <v/>
      </c>
      <c r="B2055" t="str">
        <f t="shared" si="97"/>
        <v/>
      </c>
      <c r="C2055" t="str">
        <f t="shared" si="98"/>
        <v/>
      </c>
    </row>
    <row r="2056" spans="1:3" x14ac:dyDescent="0.4">
      <c r="A2056" t="str">
        <f t="shared" si="96"/>
        <v/>
      </c>
      <c r="B2056" t="str">
        <f t="shared" si="97"/>
        <v/>
      </c>
      <c r="C2056" t="str">
        <f t="shared" si="98"/>
        <v/>
      </c>
    </row>
    <row r="2057" spans="1:3" x14ac:dyDescent="0.4">
      <c r="A2057" t="str">
        <f t="shared" si="96"/>
        <v/>
      </c>
      <c r="B2057" t="str">
        <f t="shared" si="97"/>
        <v/>
      </c>
      <c r="C2057" t="str">
        <f t="shared" si="98"/>
        <v/>
      </c>
    </row>
    <row r="2058" spans="1:3" x14ac:dyDescent="0.4">
      <c r="A2058" t="str">
        <f t="shared" si="96"/>
        <v/>
      </c>
      <c r="B2058" t="str">
        <f t="shared" si="97"/>
        <v/>
      </c>
      <c r="C2058" t="str">
        <f t="shared" si="98"/>
        <v/>
      </c>
    </row>
    <row r="2059" spans="1:3" x14ac:dyDescent="0.4">
      <c r="A2059" t="str">
        <f t="shared" si="96"/>
        <v/>
      </c>
      <c r="B2059" t="str">
        <f t="shared" si="97"/>
        <v/>
      </c>
      <c r="C2059" t="str">
        <f t="shared" si="98"/>
        <v/>
      </c>
    </row>
    <row r="2060" spans="1:3" x14ac:dyDescent="0.4">
      <c r="A2060" t="str">
        <f t="shared" si="96"/>
        <v/>
      </c>
      <c r="B2060" t="str">
        <f t="shared" si="97"/>
        <v/>
      </c>
      <c r="C2060" t="str">
        <f t="shared" si="98"/>
        <v/>
      </c>
    </row>
    <row r="2061" spans="1:3" x14ac:dyDescent="0.4">
      <c r="A2061" t="str">
        <f t="shared" si="96"/>
        <v/>
      </c>
      <c r="B2061" t="str">
        <f t="shared" si="97"/>
        <v/>
      </c>
      <c r="C2061" t="str">
        <f t="shared" si="98"/>
        <v/>
      </c>
    </row>
    <row r="2062" spans="1:3" x14ac:dyDescent="0.4">
      <c r="A2062" t="str">
        <f t="shared" si="96"/>
        <v/>
      </c>
      <c r="B2062" t="str">
        <f t="shared" si="97"/>
        <v/>
      </c>
      <c r="C2062" t="str">
        <f t="shared" si="98"/>
        <v/>
      </c>
    </row>
    <row r="2063" spans="1:3" x14ac:dyDescent="0.4">
      <c r="A2063" t="str">
        <f t="shared" si="96"/>
        <v/>
      </c>
      <c r="B2063" t="str">
        <f t="shared" si="97"/>
        <v/>
      </c>
      <c r="C2063" t="str">
        <f t="shared" si="98"/>
        <v/>
      </c>
    </row>
    <row r="2064" spans="1:3" x14ac:dyDescent="0.4">
      <c r="A2064" t="str">
        <f t="shared" si="96"/>
        <v/>
      </c>
      <c r="B2064" t="str">
        <f t="shared" si="97"/>
        <v/>
      </c>
      <c r="C2064" t="str">
        <f t="shared" si="98"/>
        <v/>
      </c>
    </row>
    <row r="2065" spans="1:3" x14ac:dyDescent="0.4">
      <c r="A2065" t="str">
        <f t="shared" si="96"/>
        <v/>
      </c>
      <c r="B2065" t="str">
        <f t="shared" si="97"/>
        <v/>
      </c>
      <c r="C2065" t="str">
        <f t="shared" si="98"/>
        <v/>
      </c>
    </row>
    <row r="2066" spans="1:3" x14ac:dyDescent="0.4">
      <c r="A2066" t="str">
        <f t="shared" si="96"/>
        <v/>
      </c>
      <c r="B2066" t="str">
        <f t="shared" si="97"/>
        <v/>
      </c>
      <c r="C2066" t="str">
        <f t="shared" si="98"/>
        <v/>
      </c>
    </row>
    <row r="2067" spans="1:3" x14ac:dyDescent="0.4">
      <c r="A2067" t="str">
        <f t="shared" si="96"/>
        <v/>
      </c>
      <c r="B2067" t="str">
        <f t="shared" si="97"/>
        <v/>
      </c>
      <c r="C2067" t="str">
        <f t="shared" si="98"/>
        <v/>
      </c>
    </row>
    <row r="2068" spans="1:3" x14ac:dyDescent="0.4">
      <c r="A2068" t="str">
        <f t="shared" si="96"/>
        <v/>
      </c>
      <c r="B2068" t="str">
        <f t="shared" si="97"/>
        <v/>
      </c>
      <c r="C2068" t="str">
        <f t="shared" si="98"/>
        <v/>
      </c>
    </row>
    <row r="2069" spans="1:3" x14ac:dyDescent="0.4">
      <c r="A2069" t="str">
        <f t="shared" si="96"/>
        <v/>
      </c>
      <c r="B2069" t="str">
        <f t="shared" si="97"/>
        <v/>
      </c>
      <c r="C2069" t="str">
        <f t="shared" si="98"/>
        <v/>
      </c>
    </row>
    <row r="2070" spans="1:3" x14ac:dyDescent="0.4">
      <c r="A2070" t="str">
        <f t="shared" si="96"/>
        <v/>
      </c>
      <c r="B2070" t="str">
        <f t="shared" si="97"/>
        <v/>
      </c>
      <c r="C2070" t="str">
        <f t="shared" si="98"/>
        <v/>
      </c>
    </row>
    <row r="2071" spans="1:3" x14ac:dyDescent="0.4">
      <c r="A2071" t="str">
        <f t="shared" si="96"/>
        <v/>
      </c>
      <c r="B2071" t="str">
        <f t="shared" si="97"/>
        <v/>
      </c>
      <c r="C2071" t="str">
        <f t="shared" si="98"/>
        <v/>
      </c>
    </row>
    <row r="2072" spans="1:3" x14ac:dyDescent="0.4">
      <c r="A2072" t="str">
        <f t="shared" si="96"/>
        <v/>
      </c>
      <c r="B2072" t="str">
        <f t="shared" si="97"/>
        <v/>
      </c>
      <c r="C2072" t="str">
        <f t="shared" si="98"/>
        <v/>
      </c>
    </row>
    <row r="2073" spans="1:3" x14ac:dyDescent="0.4">
      <c r="A2073" t="str">
        <f t="shared" si="96"/>
        <v/>
      </c>
      <c r="B2073" t="str">
        <f t="shared" si="97"/>
        <v/>
      </c>
      <c r="C2073" t="str">
        <f t="shared" si="98"/>
        <v/>
      </c>
    </row>
    <row r="2074" spans="1:3" x14ac:dyDescent="0.4">
      <c r="A2074" t="str">
        <f t="shared" si="96"/>
        <v/>
      </c>
      <c r="B2074" t="str">
        <f t="shared" si="97"/>
        <v/>
      </c>
      <c r="C2074" t="str">
        <f t="shared" si="98"/>
        <v/>
      </c>
    </row>
    <row r="2075" spans="1:3" x14ac:dyDescent="0.4">
      <c r="A2075" t="str">
        <f t="shared" si="96"/>
        <v/>
      </c>
      <c r="B2075" t="str">
        <f t="shared" si="97"/>
        <v/>
      </c>
      <c r="C2075" t="str">
        <f t="shared" si="98"/>
        <v/>
      </c>
    </row>
    <row r="2076" spans="1:3" x14ac:dyDescent="0.4">
      <c r="A2076" t="str">
        <f t="shared" si="96"/>
        <v/>
      </c>
      <c r="B2076" t="str">
        <f t="shared" si="97"/>
        <v/>
      </c>
      <c r="C2076" t="str">
        <f t="shared" si="98"/>
        <v/>
      </c>
    </row>
    <row r="2077" spans="1:3" x14ac:dyDescent="0.4">
      <c r="A2077" t="str">
        <f t="shared" si="96"/>
        <v/>
      </c>
      <c r="B2077" t="str">
        <f t="shared" si="97"/>
        <v/>
      </c>
      <c r="C2077" t="str">
        <f t="shared" si="98"/>
        <v/>
      </c>
    </row>
    <row r="2078" spans="1:3" x14ac:dyDescent="0.4">
      <c r="A2078" t="str">
        <f t="shared" si="96"/>
        <v/>
      </c>
      <c r="B2078" t="str">
        <f t="shared" si="97"/>
        <v/>
      </c>
      <c r="C2078" t="str">
        <f t="shared" si="98"/>
        <v/>
      </c>
    </row>
    <row r="2079" spans="1:3" x14ac:dyDescent="0.4">
      <c r="A2079" t="str">
        <f t="shared" si="96"/>
        <v/>
      </c>
      <c r="B2079" t="str">
        <f t="shared" si="97"/>
        <v/>
      </c>
      <c r="C2079" t="str">
        <f t="shared" si="98"/>
        <v/>
      </c>
    </row>
    <row r="2080" spans="1:3" x14ac:dyDescent="0.4">
      <c r="A2080" t="str">
        <f t="shared" si="96"/>
        <v/>
      </c>
      <c r="B2080" t="str">
        <f t="shared" si="97"/>
        <v/>
      </c>
      <c r="C2080" t="str">
        <f t="shared" si="98"/>
        <v/>
      </c>
    </row>
    <row r="2081" spans="1:3" x14ac:dyDescent="0.4">
      <c r="A2081" t="str">
        <f t="shared" si="96"/>
        <v/>
      </c>
      <c r="B2081" t="str">
        <f t="shared" si="97"/>
        <v/>
      </c>
      <c r="C2081" t="str">
        <f t="shared" si="98"/>
        <v/>
      </c>
    </row>
    <row r="2082" spans="1:3" x14ac:dyDescent="0.4">
      <c r="A2082" t="str">
        <f t="shared" si="96"/>
        <v/>
      </c>
      <c r="B2082" t="str">
        <f t="shared" si="97"/>
        <v/>
      </c>
      <c r="C2082" t="str">
        <f t="shared" si="98"/>
        <v/>
      </c>
    </row>
    <row r="2083" spans="1:3" x14ac:dyDescent="0.4">
      <c r="A2083" t="str">
        <f t="shared" si="96"/>
        <v/>
      </c>
      <c r="B2083" t="str">
        <f t="shared" si="97"/>
        <v/>
      </c>
      <c r="C2083" t="str">
        <f t="shared" si="98"/>
        <v/>
      </c>
    </row>
    <row r="2084" spans="1:3" x14ac:dyDescent="0.4">
      <c r="A2084" t="str">
        <f t="shared" si="96"/>
        <v/>
      </c>
      <c r="B2084" t="str">
        <f t="shared" si="97"/>
        <v/>
      </c>
      <c r="C2084" t="str">
        <f t="shared" si="98"/>
        <v/>
      </c>
    </row>
    <row r="2085" spans="1:3" x14ac:dyDescent="0.4">
      <c r="A2085" t="str">
        <f t="shared" si="96"/>
        <v/>
      </c>
      <c r="B2085" t="str">
        <f t="shared" si="97"/>
        <v/>
      </c>
      <c r="C2085" t="str">
        <f t="shared" si="98"/>
        <v/>
      </c>
    </row>
    <row r="2086" spans="1:3" x14ac:dyDescent="0.4">
      <c r="A2086" t="str">
        <f t="shared" si="96"/>
        <v/>
      </c>
      <c r="B2086" t="str">
        <f t="shared" si="97"/>
        <v/>
      </c>
      <c r="C2086" t="str">
        <f t="shared" si="98"/>
        <v/>
      </c>
    </row>
    <row r="2087" spans="1:3" x14ac:dyDescent="0.4">
      <c r="A2087" t="str">
        <f t="shared" si="96"/>
        <v/>
      </c>
      <c r="B2087" t="str">
        <f t="shared" si="97"/>
        <v/>
      </c>
      <c r="C2087" t="str">
        <f t="shared" si="98"/>
        <v/>
      </c>
    </row>
    <row r="2088" spans="1:3" x14ac:dyDescent="0.4">
      <c r="A2088" t="str">
        <f t="shared" si="96"/>
        <v/>
      </c>
      <c r="B2088" t="str">
        <f t="shared" si="97"/>
        <v/>
      </c>
      <c r="C2088" t="str">
        <f t="shared" si="98"/>
        <v/>
      </c>
    </row>
    <row r="2089" spans="1:3" x14ac:dyDescent="0.4">
      <c r="A2089" t="str">
        <f t="shared" si="96"/>
        <v/>
      </c>
      <c r="B2089" t="str">
        <f t="shared" si="97"/>
        <v/>
      </c>
      <c r="C2089" t="str">
        <f t="shared" si="98"/>
        <v/>
      </c>
    </row>
    <row r="2090" spans="1:3" x14ac:dyDescent="0.4">
      <c r="A2090" t="str">
        <f t="shared" si="96"/>
        <v/>
      </c>
      <c r="B2090" t="str">
        <f t="shared" si="97"/>
        <v/>
      </c>
      <c r="C2090" t="str">
        <f t="shared" si="98"/>
        <v/>
      </c>
    </row>
    <row r="2091" spans="1:3" x14ac:dyDescent="0.4">
      <c r="A2091" t="str">
        <f t="shared" si="96"/>
        <v/>
      </c>
      <c r="B2091" t="str">
        <f t="shared" si="97"/>
        <v/>
      </c>
      <c r="C2091" t="str">
        <f t="shared" si="98"/>
        <v/>
      </c>
    </row>
    <row r="2092" spans="1:3" x14ac:dyDescent="0.4">
      <c r="A2092" t="str">
        <f t="shared" si="96"/>
        <v/>
      </c>
      <c r="B2092" t="str">
        <f t="shared" si="97"/>
        <v/>
      </c>
      <c r="C2092" t="str">
        <f t="shared" si="98"/>
        <v/>
      </c>
    </row>
    <row r="2093" spans="1:3" x14ac:dyDescent="0.4">
      <c r="A2093" t="str">
        <f t="shared" si="96"/>
        <v/>
      </c>
      <c r="B2093" t="str">
        <f t="shared" si="97"/>
        <v/>
      </c>
      <c r="C2093" t="str">
        <f t="shared" si="98"/>
        <v/>
      </c>
    </row>
    <row r="2094" spans="1:3" x14ac:dyDescent="0.4">
      <c r="A2094" t="str">
        <f t="shared" si="96"/>
        <v/>
      </c>
      <c r="B2094" t="str">
        <f t="shared" si="97"/>
        <v/>
      </c>
      <c r="C2094" t="str">
        <f t="shared" si="98"/>
        <v/>
      </c>
    </row>
    <row r="2095" spans="1:3" x14ac:dyDescent="0.4">
      <c r="A2095" t="str">
        <f t="shared" si="96"/>
        <v/>
      </c>
      <c r="B2095" t="str">
        <f t="shared" si="97"/>
        <v/>
      </c>
      <c r="C2095" t="str">
        <f t="shared" si="98"/>
        <v/>
      </c>
    </row>
    <row r="2096" spans="1:3" x14ac:dyDescent="0.4">
      <c r="A2096" t="str">
        <f t="shared" si="96"/>
        <v/>
      </c>
      <c r="B2096" t="str">
        <f t="shared" si="97"/>
        <v/>
      </c>
      <c r="C2096" t="str">
        <f t="shared" si="98"/>
        <v/>
      </c>
    </row>
    <row r="2097" spans="1:3" x14ac:dyDescent="0.4">
      <c r="A2097" t="str">
        <f t="shared" si="96"/>
        <v/>
      </c>
      <c r="B2097" t="str">
        <f t="shared" si="97"/>
        <v/>
      </c>
      <c r="C2097" t="str">
        <f t="shared" si="98"/>
        <v/>
      </c>
    </row>
    <row r="2098" spans="1:3" x14ac:dyDescent="0.4">
      <c r="A2098" t="str">
        <f t="shared" si="96"/>
        <v/>
      </c>
      <c r="B2098" t="str">
        <f t="shared" si="97"/>
        <v/>
      </c>
      <c r="C2098" t="str">
        <f t="shared" si="98"/>
        <v/>
      </c>
    </row>
    <row r="2099" spans="1:3" x14ac:dyDescent="0.4">
      <c r="A2099" t="str">
        <f t="shared" si="96"/>
        <v/>
      </c>
      <c r="B2099" t="str">
        <f t="shared" si="97"/>
        <v/>
      </c>
      <c r="C2099" t="str">
        <f t="shared" si="98"/>
        <v/>
      </c>
    </row>
    <row r="2100" spans="1:3" x14ac:dyDescent="0.4">
      <c r="A2100" t="str">
        <f t="shared" si="96"/>
        <v/>
      </c>
      <c r="B2100" t="str">
        <f t="shared" si="97"/>
        <v/>
      </c>
      <c r="C2100" t="str">
        <f t="shared" si="98"/>
        <v/>
      </c>
    </row>
    <row r="2101" spans="1:3" x14ac:dyDescent="0.4">
      <c r="A2101" t="str">
        <f t="shared" si="96"/>
        <v/>
      </c>
      <c r="B2101" t="str">
        <f t="shared" si="97"/>
        <v/>
      </c>
      <c r="C2101" t="str">
        <f t="shared" si="98"/>
        <v/>
      </c>
    </row>
    <row r="2102" spans="1:3" x14ac:dyDescent="0.4">
      <c r="A2102" t="str">
        <f t="shared" si="96"/>
        <v/>
      </c>
      <c r="B2102" t="str">
        <f t="shared" si="97"/>
        <v/>
      </c>
      <c r="C2102" t="str">
        <f t="shared" si="98"/>
        <v/>
      </c>
    </row>
    <row r="2103" spans="1:3" x14ac:dyDescent="0.4">
      <c r="A2103" t="str">
        <f t="shared" si="96"/>
        <v/>
      </c>
      <c r="B2103" t="str">
        <f t="shared" si="97"/>
        <v/>
      </c>
      <c r="C2103" t="str">
        <f t="shared" si="98"/>
        <v/>
      </c>
    </row>
    <row r="2104" spans="1:3" x14ac:dyDescent="0.4">
      <c r="A2104" t="str">
        <f t="shared" si="96"/>
        <v/>
      </c>
      <c r="B2104" t="str">
        <f t="shared" si="97"/>
        <v/>
      </c>
      <c r="C2104" t="str">
        <f t="shared" si="98"/>
        <v/>
      </c>
    </row>
    <row r="2105" spans="1:3" x14ac:dyDescent="0.4">
      <c r="A2105" t="str">
        <f t="shared" si="96"/>
        <v/>
      </c>
      <c r="B2105" t="str">
        <f t="shared" si="97"/>
        <v/>
      </c>
      <c r="C2105" t="str">
        <f t="shared" si="98"/>
        <v/>
      </c>
    </row>
    <row r="2106" spans="1:3" x14ac:dyDescent="0.4">
      <c r="A2106" t="str">
        <f t="shared" si="96"/>
        <v/>
      </c>
      <c r="B2106" t="str">
        <f t="shared" si="97"/>
        <v/>
      </c>
      <c r="C2106" t="str">
        <f t="shared" si="98"/>
        <v/>
      </c>
    </row>
    <row r="2107" spans="1:3" x14ac:dyDescent="0.4">
      <c r="A2107" t="str">
        <f t="shared" si="96"/>
        <v/>
      </c>
      <c r="B2107" t="str">
        <f t="shared" si="97"/>
        <v/>
      </c>
      <c r="C2107" t="str">
        <f t="shared" si="98"/>
        <v/>
      </c>
    </row>
    <row r="2108" spans="1:3" x14ac:dyDescent="0.4">
      <c r="A2108" t="str">
        <f t="shared" si="96"/>
        <v/>
      </c>
      <c r="B2108" t="str">
        <f t="shared" si="97"/>
        <v/>
      </c>
      <c r="C2108" t="str">
        <f t="shared" si="98"/>
        <v/>
      </c>
    </row>
    <row r="2109" spans="1:3" x14ac:dyDescent="0.4">
      <c r="A2109" t="str">
        <f t="shared" si="96"/>
        <v/>
      </c>
      <c r="B2109" t="str">
        <f t="shared" si="97"/>
        <v/>
      </c>
      <c r="C2109" t="str">
        <f t="shared" si="98"/>
        <v/>
      </c>
    </row>
    <row r="2110" spans="1:3" x14ac:dyDescent="0.4">
      <c r="A2110" t="str">
        <f t="shared" si="96"/>
        <v/>
      </c>
      <c r="B2110" t="str">
        <f t="shared" si="97"/>
        <v/>
      </c>
      <c r="C2110" t="str">
        <f t="shared" si="98"/>
        <v/>
      </c>
    </row>
    <row r="2111" spans="1:3" x14ac:dyDescent="0.4">
      <c r="A2111" t="str">
        <f t="shared" si="96"/>
        <v/>
      </c>
      <c r="B2111" t="str">
        <f t="shared" si="97"/>
        <v/>
      </c>
      <c r="C2111" t="str">
        <f t="shared" si="98"/>
        <v/>
      </c>
    </row>
    <row r="2112" spans="1:3" x14ac:dyDescent="0.4">
      <c r="A2112" t="str">
        <f t="shared" si="96"/>
        <v/>
      </c>
      <c r="B2112" t="str">
        <f t="shared" si="97"/>
        <v/>
      </c>
      <c r="C2112" t="str">
        <f t="shared" si="98"/>
        <v/>
      </c>
    </row>
    <row r="2113" spans="1:3" x14ac:dyDescent="0.4">
      <c r="A2113" t="str">
        <f t="shared" si="96"/>
        <v/>
      </c>
      <c r="B2113" t="str">
        <f t="shared" si="97"/>
        <v/>
      </c>
      <c r="C2113" t="str">
        <f t="shared" si="98"/>
        <v/>
      </c>
    </row>
    <row r="2114" spans="1:3" x14ac:dyDescent="0.4">
      <c r="A2114" t="str">
        <f t="shared" si="96"/>
        <v/>
      </c>
      <c r="B2114" t="str">
        <f t="shared" si="97"/>
        <v/>
      </c>
      <c r="C2114" t="str">
        <f t="shared" si="98"/>
        <v/>
      </c>
    </row>
    <row r="2115" spans="1:3" x14ac:dyDescent="0.4">
      <c r="A2115" t="str">
        <f t="shared" ref="A2115:A2178" si="99">IF($F2115="","",$F2115&amp;"|"&amp;$H2115)</f>
        <v/>
      </c>
      <c r="B2115" t="str">
        <f t="shared" ref="B2115:B2178" si="100">IF(F2115&lt;&gt;"",F2115,"")</f>
        <v/>
      </c>
      <c r="C2115" t="str">
        <f t="shared" ref="C2115:C2178" si="101">IF(H2115&lt;&gt;"", H2115, "")</f>
        <v/>
      </c>
    </row>
    <row r="2116" spans="1:3" x14ac:dyDescent="0.4">
      <c r="A2116" t="str">
        <f t="shared" si="99"/>
        <v/>
      </c>
      <c r="B2116" t="str">
        <f t="shared" si="100"/>
        <v/>
      </c>
      <c r="C2116" t="str">
        <f t="shared" si="101"/>
        <v/>
      </c>
    </row>
    <row r="2117" spans="1:3" x14ac:dyDescent="0.4">
      <c r="A2117" t="str">
        <f t="shared" si="99"/>
        <v/>
      </c>
      <c r="B2117" t="str">
        <f t="shared" si="100"/>
        <v/>
      </c>
      <c r="C2117" t="str">
        <f t="shared" si="101"/>
        <v/>
      </c>
    </row>
    <row r="2118" spans="1:3" x14ac:dyDescent="0.4">
      <c r="A2118" t="str">
        <f t="shared" si="99"/>
        <v/>
      </c>
      <c r="B2118" t="str">
        <f t="shared" si="100"/>
        <v/>
      </c>
      <c r="C2118" t="str">
        <f t="shared" si="101"/>
        <v/>
      </c>
    </row>
    <row r="2119" spans="1:3" x14ac:dyDescent="0.4">
      <c r="A2119" t="str">
        <f t="shared" si="99"/>
        <v/>
      </c>
      <c r="B2119" t="str">
        <f t="shared" si="100"/>
        <v/>
      </c>
      <c r="C2119" t="str">
        <f t="shared" si="101"/>
        <v/>
      </c>
    </row>
    <row r="2120" spans="1:3" x14ac:dyDescent="0.4">
      <c r="A2120" t="str">
        <f t="shared" si="99"/>
        <v/>
      </c>
      <c r="B2120" t="str">
        <f t="shared" si="100"/>
        <v/>
      </c>
      <c r="C2120" t="str">
        <f t="shared" si="101"/>
        <v/>
      </c>
    </row>
    <row r="2121" spans="1:3" x14ac:dyDescent="0.4">
      <c r="A2121" t="str">
        <f t="shared" si="99"/>
        <v/>
      </c>
      <c r="B2121" t="str">
        <f t="shared" si="100"/>
        <v/>
      </c>
      <c r="C2121" t="str">
        <f t="shared" si="101"/>
        <v/>
      </c>
    </row>
    <row r="2122" spans="1:3" x14ac:dyDescent="0.4">
      <c r="A2122" t="str">
        <f t="shared" si="99"/>
        <v/>
      </c>
      <c r="B2122" t="str">
        <f t="shared" si="100"/>
        <v/>
      </c>
      <c r="C2122" t="str">
        <f t="shared" si="101"/>
        <v/>
      </c>
    </row>
    <row r="2123" spans="1:3" x14ac:dyDescent="0.4">
      <c r="A2123" t="str">
        <f t="shared" si="99"/>
        <v/>
      </c>
      <c r="B2123" t="str">
        <f t="shared" si="100"/>
        <v/>
      </c>
      <c r="C2123" t="str">
        <f t="shared" si="101"/>
        <v/>
      </c>
    </row>
    <row r="2124" spans="1:3" x14ac:dyDescent="0.4">
      <c r="A2124" t="str">
        <f t="shared" si="99"/>
        <v/>
      </c>
      <c r="B2124" t="str">
        <f t="shared" si="100"/>
        <v/>
      </c>
      <c r="C2124" t="str">
        <f t="shared" si="101"/>
        <v/>
      </c>
    </row>
    <row r="2125" spans="1:3" x14ac:dyDescent="0.4">
      <c r="A2125" t="str">
        <f t="shared" si="99"/>
        <v/>
      </c>
      <c r="B2125" t="str">
        <f t="shared" si="100"/>
        <v/>
      </c>
      <c r="C2125" t="str">
        <f t="shared" si="101"/>
        <v/>
      </c>
    </row>
    <row r="2126" spans="1:3" x14ac:dyDescent="0.4">
      <c r="A2126" t="str">
        <f t="shared" si="99"/>
        <v/>
      </c>
      <c r="B2126" t="str">
        <f t="shared" si="100"/>
        <v/>
      </c>
      <c r="C2126" t="str">
        <f t="shared" si="101"/>
        <v/>
      </c>
    </row>
    <row r="2127" spans="1:3" x14ac:dyDescent="0.4">
      <c r="A2127" t="str">
        <f t="shared" si="99"/>
        <v/>
      </c>
      <c r="B2127" t="str">
        <f t="shared" si="100"/>
        <v/>
      </c>
      <c r="C2127" t="str">
        <f t="shared" si="101"/>
        <v/>
      </c>
    </row>
    <row r="2128" spans="1:3" x14ac:dyDescent="0.4">
      <c r="A2128" t="str">
        <f t="shared" si="99"/>
        <v/>
      </c>
      <c r="B2128" t="str">
        <f t="shared" si="100"/>
        <v/>
      </c>
      <c r="C2128" t="str">
        <f t="shared" si="101"/>
        <v/>
      </c>
    </row>
    <row r="2129" spans="1:3" x14ac:dyDescent="0.4">
      <c r="A2129" t="str">
        <f t="shared" si="99"/>
        <v/>
      </c>
      <c r="B2129" t="str">
        <f t="shared" si="100"/>
        <v/>
      </c>
      <c r="C2129" t="str">
        <f t="shared" si="101"/>
        <v/>
      </c>
    </row>
    <row r="2130" spans="1:3" x14ac:dyDescent="0.4">
      <c r="A2130" t="str">
        <f t="shared" si="99"/>
        <v/>
      </c>
      <c r="B2130" t="str">
        <f t="shared" si="100"/>
        <v/>
      </c>
      <c r="C2130" t="str">
        <f t="shared" si="101"/>
        <v/>
      </c>
    </row>
    <row r="2131" spans="1:3" x14ac:dyDescent="0.4">
      <c r="A2131" t="str">
        <f t="shared" si="99"/>
        <v/>
      </c>
      <c r="B2131" t="str">
        <f t="shared" si="100"/>
        <v/>
      </c>
      <c r="C2131" t="str">
        <f t="shared" si="101"/>
        <v/>
      </c>
    </row>
    <row r="2132" spans="1:3" x14ac:dyDescent="0.4">
      <c r="A2132" t="str">
        <f t="shared" si="99"/>
        <v/>
      </c>
      <c r="B2132" t="str">
        <f t="shared" si="100"/>
        <v/>
      </c>
      <c r="C2132" t="str">
        <f t="shared" si="101"/>
        <v/>
      </c>
    </row>
    <row r="2133" spans="1:3" x14ac:dyDescent="0.4">
      <c r="A2133" t="str">
        <f t="shared" si="99"/>
        <v/>
      </c>
      <c r="B2133" t="str">
        <f t="shared" si="100"/>
        <v/>
      </c>
      <c r="C2133" t="str">
        <f t="shared" si="101"/>
        <v/>
      </c>
    </row>
    <row r="2134" spans="1:3" x14ac:dyDescent="0.4">
      <c r="A2134" t="str">
        <f t="shared" si="99"/>
        <v/>
      </c>
      <c r="B2134" t="str">
        <f t="shared" si="100"/>
        <v/>
      </c>
      <c r="C2134" t="str">
        <f t="shared" si="101"/>
        <v/>
      </c>
    </row>
    <row r="2135" spans="1:3" x14ac:dyDescent="0.4">
      <c r="A2135" t="str">
        <f t="shared" si="99"/>
        <v/>
      </c>
      <c r="B2135" t="str">
        <f t="shared" si="100"/>
        <v/>
      </c>
      <c r="C2135" t="str">
        <f t="shared" si="101"/>
        <v/>
      </c>
    </row>
    <row r="2136" spans="1:3" x14ac:dyDescent="0.4">
      <c r="A2136" t="str">
        <f t="shared" si="99"/>
        <v/>
      </c>
      <c r="B2136" t="str">
        <f t="shared" si="100"/>
        <v/>
      </c>
      <c r="C2136" t="str">
        <f t="shared" si="101"/>
        <v/>
      </c>
    </row>
    <row r="2137" spans="1:3" x14ac:dyDescent="0.4">
      <c r="A2137" t="str">
        <f t="shared" si="99"/>
        <v/>
      </c>
      <c r="B2137" t="str">
        <f t="shared" si="100"/>
        <v/>
      </c>
      <c r="C2137" t="str">
        <f t="shared" si="101"/>
        <v/>
      </c>
    </row>
    <row r="2138" spans="1:3" x14ac:dyDescent="0.4">
      <c r="A2138" t="str">
        <f t="shared" si="99"/>
        <v/>
      </c>
      <c r="B2138" t="str">
        <f t="shared" si="100"/>
        <v/>
      </c>
      <c r="C2138" t="str">
        <f t="shared" si="101"/>
        <v/>
      </c>
    </row>
    <row r="2139" spans="1:3" x14ac:dyDescent="0.4">
      <c r="A2139" t="str">
        <f t="shared" si="99"/>
        <v/>
      </c>
      <c r="B2139" t="str">
        <f t="shared" si="100"/>
        <v/>
      </c>
      <c r="C2139" t="str">
        <f t="shared" si="101"/>
        <v/>
      </c>
    </row>
    <row r="2140" spans="1:3" x14ac:dyDescent="0.4">
      <c r="A2140" t="str">
        <f t="shared" si="99"/>
        <v/>
      </c>
      <c r="B2140" t="str">
        <f t="shared" si="100"/>
        <v/>
      </c>
      <c r="C2140" t="str">
        <f t="shared" si="101"/>
        <v/>
      </c>
    </row>
    <row r="2141" spans="1:3" x14ac:dyDescent="0.4">
      <c r="A2141" t="str">
        <f t="shared" si="99"/>
        <v/>
      </c>
      <c r="B2141" t="str">
        <f t="shared" si="100"/>
        <v/>
      </c>
      <c r="C2141" t="str">
        <f t="shared" si="101"/>
        <v/>
      </c>
    </row>
    <row r="2142" spans="1:3" x14ac:dyDescent="0.4">
      <c r="A2142" t="str">
        <f t="shared" si="99"/>
        <v/>
      </c>
      <c r="B2142" t="str">
        <f t="shared" si="100"/>
        <v/>
      </c>
      <c r="C2142" t="str">
        <f t="shared" si="101"/>
        <v/>
      </c>
    </row>
    <row r="2143" spans="1:3" x14ac:dyDescent="0.4">
      <c r="A2143" t="str">
        <f t="shared" si="99"/>
        <v/>
      </c>
      <c r="B2143" t="str">
        <f t="shared" si="100"/>
        <v/>
      </c>
      <c r="C2143" t="str">
        <f t="shared" si="101"/>
        <v/>
      </c>
    </row>
    <row r="2144" spans="1:3" x14ac:dyDescent="0.4">
      <c r="A2144" t="str">
        <f t="shared" si="99"/>
        <v/>
      </c>
      <c r="B2144" t="str">
        <f t="shared" si="100"/>
        <v/>
      </c>
      <c r="C2144" t="str">
        <f t="shared" si="101"/>
        <v/>
      </c>
    </row>
    <row r="2145" spans="1:3" x14ac:dyDescent="0.4">
      <c r="A2145" t="str">
        <f t="shared" si="99"/>
        <v/>
      </c>
      <c r="B2145" t="str">
        <f t="shared" si="100"/>
        <v/>
      </c>
      <c r="C2145" t="str">
        <f t="shared" si="101"/>
        <v/>
      </c>
    </row>
    <row r="2146" spans="1:3" x14ac:dyDescent="0.4">
      <c r="A2146" t="str">
        <f t="shared" si="99"/>
        <v/>
      </c>
      <c r="B2146" t="str">
        <f t="shared" si="100"/>
        <v/>
      </c>
      <c r="C2146" t="str">
        <f t="shared" si="101"/>
        <v/>
      </c>
    </row>
    <row r="2147" spans="1:3" x14ac:dyDescent="0.4">
      <c r="A2147" t="str">
        <f t="shared" si="99"/>
        <v/>
      </c>
      <c r="B2147" t="str">
        <f t="shared" si="100"/>
        <v/>
      </c>
      <c r="C2147" t="str">
        <f t="shared" si="101"/>
        <v/>
      </c>
    </row>
    <row r="2148" spans="1:3" x14ac:dyDescent="0.4">
      <c r="A2148" t="str">
        <f t="shared" si="99"/>
        <v/>
      </c>
      <c r="B2148" t="str">
        <f t="shared" si="100"/>
        <v/>
      </c>
      <c r="C2148" t="str">
        <f t="shared" si="101"/>
        <v/>
      </c>
    </row>
    <row r="2149" spans="1:3" x14ac:dyDescent="0.4">
      <c r="A2149" t="str">
        <f t="shared" si="99"/>
        <v/>
      </c>
      <c r="B2149" t="str">
        <f t="shared" si="100"/>
        <v/>
      </c>
      <c r="C2149" t="str">
        <f t="shared" si="101"/>
        <v/>
      </c>
    </row>
    <row r="2150" spans="1:3" x14ac:dyDescent="0.4">
      <c r="A2150" t="str">
        <f t="shared" si="99"/>
        <v/>
      </c>
      <c r="B2150" t="str">
        <f t="shared" si="100"/>
        <v/>
      </c>
      <c r="C2150" t="str">
        <f t="shared" si="101"/>
        <v/>
      </c>
    </row>
    <row r="2151" spans="1:3" x14ac:dyDescent="0.4">
      <c r="A2151" t="str">
        <f t="shared" si="99"/>
        <v/>
      </c>
      <c r="B2151" t="str">
        <f t="shared" si="100"/>
        <v/>
      </c>
      <c r="C2151" t="str">
        <f t="shared" si="101"/>
        <v/>
      </c>
    </row>
    <row r="2152" spans="1:3" x14ac:dyDescent="0.4">
      <c r="A2152" t="str">
        <f t="shared" si="99"/>
        <v/>
      </c>
      <c r="B2152" t="str">
        <f t="shared" si="100"/>
        <v/>
      </c>
      <c r="C2152" t="str">
        <f t="shared" si="101"/>
        <v/>
      </c>
    </row>
    <row r="2153" spans="1:3" x14ac:dyDescent="0.4">
      <c r="A2153" t="str">
        <f t="shared" si="99"/>
        <v/>
      </c>
      <c r="B2153" t="str">
        <f t="shared" si="100"/>
        <v/>
      </c>
      <c r="C2153" t="str">
        <f t="shared" si="101"/>
        <v/>
      </c>
    </row>
    <row r="2154" spans="1:3" x14ac:dyDescent="0.4">
      <c r="A2154" t="str">
        <f t="shared" si="99"/>
        <v/>
      </c>
      <c r="B2154" t="str">
        <f t="shared" si="100"/>
        <v/>
      </c>
      <c r="C2154" t="str">
        <f t="shared" si="101"/>
        <v/>
      </c>
    </row>
    <row r="2155" spans="1:3" x14ac:dyDescent="0.4">
      <c r="A2155" t="str">
        <f t="shared" si="99"/>
        <v/>
      </c>
      <c r="B2155" t="str">
        <f t="shared" si="100"/>
        <v/>
      </c>
      <c r="C2155" t="str">
        <f t="shared" si="101"/>
        <v/>
      </c>
    </row>
    <row r="2156" spans="1:3" x14ac:dyDescent="0.4">
      <c r="A2156" t="str">
        <f t="shared" si="99"/>
        <v/>
      </c>
      <c r="B2156" t="str">
        <f t="shared" si="100"/>
        <v/>
      </c>
      <c r="C2156" t="str">
        <f t="shared" si="101"/>
        <v/>
      </c>
    </row>
    <row r="2157" spans="1:3" x14ac:dyDescent="0.4">
      <c r="A2157" t="str">
        <f t="shared" si="99"/>
        <v/>
      </c>
      <c r="B2157" t="str">
        <f t="shared" si="100"/>
        <v/>
      </c>
      <c r="C2157" t="str">
        <f t="shared" si="101"/>
        <v/>
      </c>
    </row>
    <row r="2158" spans="1:3" x14ac:dyDescent="0.4">
      <c r="A2158" t="str">
        <f t="shared" si="99"/>
        <v/>
      </c>
      <c r="B2158" t="str">
        <f t="shared" si="100"/>
        <v/>
      </c>
      <c r="C2158" t="str">
        <f t="shared" si="101"/>
        <v/>
      </c>
    </row>
    <row r="2159" spans="1:3" x14ac:dyDescent="0.4">
      <c r="A2159" t="str">
        <f t="shared" si="99"/>
        <v/>
      </c>
      <c r="B2159" t="str">
        <f t="shared" si="100"/>
        <v/>
      </c>
      <c r="C2159" t="str">
        <f t="shared" si="101"/>
        <v/>
      </c>
    </row>
    <row r="2160" spans="1:3" x14ac:dyDescent="0.4">
      <c r="A2160" t="str">
        <f t="shared" si="99"/>
        <v/>
      </c>
      <c r="B2160" t="str">
        <f t="shared" si="100"/>
        <v/>
      </c>
      <c r="C2160" t="str">
        <f t="shared" si="101"/>
        <v/>
      </c>
    </row>
    <row r="2161" spans="1:3" x14ac:dyDescent="0.4">
      <c r="A2161" t="str">
        <f t="shared" si="99"/>
        <v/>
      </c>
      <c r="B2161" t="str">
        <f t="shared" si="100"/>
        <v/>
      </c>
      <c r="C2161" t="str">
        <f t="shared" si="101"/>
        <v/>
      </c>
    </row>
    <row r="2162" spans="1:3" x14ac:dyDescent="0.4">
      <c r="A2162" t="str">
        <f t="shared" si="99"/>
        <v/>
      </c>
      <c r="B2162" t="str">
        <f t="shared" si="100"/>
        <v/>
      </c>
      <c r="C2162" t="str">
        <f t="shared" si="101"/>
        <v/>
      </c>
    </row>
    <row r="2163" spans="1:3" x14ac:dyDescent="0.4">
      <c r="A2163" t="str">
        <f t="shared" si="99"/>
        <v/>
      </c>
      <c r="B2163" t="str">
        <f t="shared" si="100"/>
        <v/>
      </c>
      <c r="C2163" t="str">
        <f t="shared" si="101"/>
        <v/>
      </c>
    </row>
    <row r="2164" spans="1:3" x14ac:dyDescent="0.4">
      <c r="A2164" t="str">
        <f t="shared" si="99"/>
        <v/>
      </c>
      <c r="B2164" t="str">
        <f t="shared" si="100"/>
        <v/>
      </c>
      <c r="C2164" t="str">
        <f t="shared" si="101"/>
        <v/>
      </c>
    </row>
    <row r="2165" spans="1:3" x14ac:dyDescent="0.4">
      <c r="A2165" t="str">
        <f t="shared" si="99"/>
        <v/>
      </c>
      <c r="B2165" t="str">
        <f t="shared" si="100"/>
        <v/>
      </c>
      <c r="C2165" t="str">
        <f t="shared" si="101"/>
        <v/>
      </c>
    </row>
    <row r="2166" spans="1:3" x14ac:dyDescent="0.4">
      <c r="A2166" t="str">
        <f t="shared" si="99"/>
        <v/>
      </c>
      <c r="B2166" t="str">
        <f t="shared" si="100"/>
        <v/>
      </c>
      <c r="C2166" t="str">
        <f t="shared" si="101"/>
        <v/>
      </c>
    </row>
    <row r="2167" spans="1:3" x14ac:dyDescent="0.4">
      <c r="A2167" t="str">
        <f t="shared" si="99"/>
        <v/>
      </c>
      <c r="B2167" t="str">
        <f t="shared" si="100"/>
        <v/>
      </c>
      <c r="C2167" t="str">
        <f t="shared" si="101"/>
        <v/>
      </c>
    </row>
    <row r="2168" spans="1:3" x14ac:dyDescent="0.4">
      <c r="A2168" t="str">
        <f t="shared" si="99"/>
        <v/>
      </c>
      <c r="B2168" t="str">
        <f t="shared" si="100"/>
        <v/>
      </c>
      <c r="C2168" t="str">
        <f t="shared" si="101"/>
        <v/>
      </c>
    </row>
    <row r="2169" spans="1:3" x14ac:dyDescent="0.4">
      <c r="A2169" t="str">
        <f t="shared" si="99"/>
        <v/>
      </c>
      <c r="B2169" t="str">
        <f t="shared" si="100"/>
        <v/>
      </c>
      <c r="C2169" t="str">
        <f t="shared" si="101"/>
        <v/>
      </c>
    </row>
    <row r="2170" spans="1:3" x14ac:dyDescent="0.4">
      <c r="A2170" t="str">
        <f t="shared" si="99"/>
        <v/>
      </c>
      <c r="B2170" t="str">
        <f t="shared" si="100"/>
        <v/>
      </c>
      <c r="C2170" t="str">
        <f t="shared" si="101"/>
        <v/>
      </c>
    </row>
    <row r="2171" spans="1:3" x14ac:dyDescent="0.4">
      <c r="A2171" t="str">
        <f t="shared" si="99"/>
        <v/>
      </c>
      <c r="B2171" t="str">
        <f t="shared" si="100"/>
        <v/>
      </c>
      <c r="C2171" t="str">
        <f t="shared" si="101"/>
        <v/>
      </c>
    </row>
    <row r="2172" spans="1:3" x14ac:dyDescent="0.4">
      <c r="A2172" t="str">
        <f t="shared" si="99"/>
        <v/>
      </c>
      <c r="B2172" t="str">
        <f t="shared" si="100"/>
        <v/>
      </c>
      <c r="C2172" t="str">
        <f t="shared" si="101"/>
        <v/>
      </c>
    </row>
    <row r="2173" spans="1:3" x14ac:dyDescent="0.4">
      <c r="A2173" t="str">
        <f t="shared" si="99"/>
        <v/>
      </c>
      <c r="B2173" t="str">
        <f t="shared" si="100"/>
        <v/>
      </c>
      <c r="C2173" t="str">
        <f t="shared" si="101"/>
        <v/>
      </c>
    </row>
    <row r="2174" spans="1:3" x14ac:dyDescent="0.4">
      <c r="A2174" t="str">
        <f t="shared" si="99"/>
        <v/>
      </c>
      <c r="B2174" t="str">
        <f t="shared" si="100"/>
        <v/>
      </c>
      <c r="C2174" t="str">
        <f t="shared" si="101"/>
        <v/>
      </c>
    </row>
    <row r="2175" spans="1:3" x14ac:dyDescent="0.4">
      <c r="A2175" t="str">
        <f t="shared" si="99"/>
        <v/>
      </c>
      <c r="B2175" t="str">
        <f t="shared" si="100"/>
        <v/>
      </c>
      <c r="C2175" t="str">
        <f t="shared" si="101"/>
        <v/>
      </c>
    </row>
    <row r="2176" spans="1:3" x14ac:dyDescent="0.4">
      <c r="A2176" t="str">
        <f t="shared" si="99"/>
        <v/>
      </c>
      <c r="B2176" t="str">
        <f t="shared" si="100"/>
        <v/>
      </c>
      <c r="C2176" t="str">
        <f t="shared" si="101"/>
        <v/>
      </c>
    </row>
    <row r="2177" spans="1:3" x14ac:dyDescent="0.4">
      <c r="A2177" t="str">
        <f t="shared" si="99"/>
        <v/>
      </c>
      <c r="B2177" t="str">
        <f t="shared" si="100"/>
        <v/>
      </c>
      <c r="C2177" t="str">
        <f t="shared" si="101"/>
        <v/>
      </c>
    </row>
    <row r="2178" spans="1:3" x14ac:dyDescent="0.4">
      <c r="A2178" t="str">
        <f t="shared" si="99"/>
        <v/>
      </c>
      <c r="B2178" t="str">
        <f t="shared" si="100"/>
        <v/>
      </c>
      <c r="C2178" t="str">
        <f t="shared" si="101"/>
        <v/>
      </c>
    </row>
    <row r="2179" spans="1:3" x14ac:dyDescent="0.4">
      <c r="A2179" t="str">
        <f t="shared" ref="A2179:A2242" si="102">IF($F2179="","",$F2179&amp;"|"&amp;$H2179)</f>
        <v/>
      </c>
      <c r="B2179" t="str">
        <f t="shared" ref="B2179:B2242" si="103">IF(F2179&lt;&gt;"",F2179,"")</f>
        <v/>
      </c>
      <c r="C2179" t="str">
        <f t="shared" ref="C2179:C2242" si="104">IF(H2179&lt;&gt;"", H2179, "")</f>
        <v/>
      </c>
    </row>
    <row r="2180" spans="1:3" x14ac:dyDescent="0.4">
      <c r="A2180" t="str">
        <f t="shared" si="102"/>
        <v/>
      </c>
      <c r="B2180" t="str">
        <f t="shared" si="103"/>
        <v/>
      </c>
      <c r="C2180" t="str">
        <f t="shared" si="104"/>
        <v/>
      </c>
    </row>
    <row r="2181" spans="1:3" x14ac:dyDescent="0.4">
      <c r="A2181" t="str">
        <f t="shared" si="102"/>
        <v/>
      </c>
      <c r="B2181" t="str">
        <f t="shared" si="103"/>
        <v/>
      </c>
      <c r="C2181" t="str">
        <f t="shared" si="104"/>
        <v/>
      </c>
    </row>
    <row r="2182" spans="1:3" x14ac:dyDescent="0.4">
      <c r="A2182" t="str">
        <f t="shared" si="102"/>
        <v/>
      </c>
      <c r="B2182" t="str">
        <f t="shared" si="103"/>
        <v/>
      </c>
      <c r="C2182" t="str">
        <f t="shared" si="104"/>
        <v/>
      </c>
    </row>
    <row r="2183" spans="1:3" x14ac:dyDescent="0.4">
      <c r="A2183" t="str">
        <f t="shared" si="102"/>
        <v/>
      </c>
      <c r="B2183" t="str">
        <f t="shared" si="103"/>
        <v/>
      </c>
      <c r="C2183" t="str">
        <f t="shared" si="104"/>
        <v/>
      </c>
    </row>
    <row r="2184" spans="1:3" x14ac:dyDescent="0.4">
      <c r="A2184" t="str">
        <f t="shared" si="102"/>
        <v/>
      </c>
      <c r="B2184" t="str">
        <f t="shared" si="103"/>
        <v/>
      </c>
      <c r="C2184" t="str">
        <f t="shared" si="104"/>
        <v/>
      </c>
    </row>
    <row r="2185" spans="1:3" x14ac:dyDescent="0.4">
      <c r="A2185" t="str">
        <f t="shared" si="102"/>
        <v/>
      </c>
      <c r="B2185" t="str">
        <f t="shared" si="103"/>
        <v/>
      </c>
      <c r="C2185" t="str">
        <f t="shared" si="104"/>
        <v/>
      </c>
    </row>
    <row r="2186" spans="1:3" x14ac:dyDescent="0.4">
      <c r="A2186" t="str">
        <f t="shared" si="102"/>
        <v/>
      </c>
      <c r="B2186" t="str">
        <f t="shared" si="103"/>
        <v/>
      </c>
      <c r="C2186" t="str">
        <f t="shared" si="104"/>
        <v/>
      </c>
    </row>
    <row r="2187" spans="1:3" x14ac:dyDescent="0.4">
      <c r="A2187" t="str">
        <f t="shared" si="102"/>
        <v/>
      </c>
      <c r="B2187" t="str">
        <f t="shared" si="103"/>
        <v/>
      </c>
      <c r="C2187" t="str">
        <f t="shared" si="104"/>
        <v/>
      </c>
    </row>
    <row r="2188" spans="1:3" x14ac:dyDescent="0.4">
      <c r="A2188" t="str">
        <f t="shared" si="102"/>
        <v/>
      </c>
      <c r="B2188" t="str">
        <f t="shared" si="103"/>
        <v/>
      </c>
      <c r="C2188" t="str">
        <f t="shared" si="104"/>
        <v/>
      </c>
    </row>
    <row r="2189" spans="1:3" x14ac:dyDescent="0.4">
      <c r="A2189" t="str">
        <f t="shared" si="102"/>
        <v/>
      </c>
      <c r="B2189" t="str">
        <f t="shared" si="103"/>
        <v/>
      </c>
      <c r="C2189" t="str">
        <f t="shared" si="104"/>
        <v/>
      </c>
    </row>
    <row r="2190" spans="1:3" x14ac:dyDescent="0.4">
      <c r="A2190" t="str">
        <f t="shared" si="102"/>
        <v/>
      </c>
      <c r="B2190" t="str">
        <f t="shared" si="103"/>
        <v/>
      </c>
      <c r="C2190" t="str">
        <f t="shared" si="104"/>
        <v/>
      </c>
    </row>
    <row r="2191" spans="1:3" x14ac:dyDescent="0.4">
      <c r="A2191" t="str">
        <f t="shared" si="102"/>
        <v/>
      </c>
      <c r="B2191" t="str">
        <f t="shared" si="103"/>
        <v/>
      </c>
      <c r="C2191" t="str">
        <f t="shared" si="104"/>
        <v/>
      </c>
    </row>
    <row r="2192" spans="1:3" x14ac:dyDescent="0.4">
      <c r="A2192" t="str">
        <f t="shared" si="102"/>
        <v/>
      </c>
      <c r="B2192" t="str">
        <f t="shared" si="103"/>
        <v/>
      </c>
      <c r="C2192" t="str">
        <f t="shared" si="104"/>
        <v/>
      </c>
    </row>
    <row r="2193" spans="1:3" x14ac:dyDescent="0.4">
      <c r="A2193" t="str">
        <f t="shared" si="102"/>
        <v/>
      </c>
      <c r="B2193" t="str">
        <f t="shared" si="103"/>
        <v/>
      </c>
      <c r="C2193" t="str">
        <f t="shared" si="104"/>
        <v/>
      </c>
    </row>
    <row r="2194" spans="1:3" x14ac:dyDescent="0.4">
      <c r="A2194" t="str">
        <f t="shared" si="102"/>
        <v/>
      </c>
      <c r="B2194" t="str">
        <f t="shared" si="103"/>
        <v/>
      </c>
      <c r="C2194" t="str">
        <f t="shared" si="104"/>
        <v/>
      </c>
    </row>
    <row r="2195" spans="1:3" x14ac:dyDescent="0.4">
      <c r="A2195" t="str">
        <f t="shared" si="102"/>
        <v/>
      </c>
      <c r="B2195" t="str">
        <f t="shared" si="103"/>
        <v/>
      </c>
      <c r="C2195" t="str">
        <f t="shared" si="104"/>
        <v/>
      </c>
    </row>
    <row r="2196" spans="1:3" x14ac:dyDescent="0.4">
      <c r="A2196" t="str">
        <f t="shared" si="102"/>
        <v/>
      </c>
      <c r="B2196" t="str">
        <f t="shared" si="103"/>
        <v/>
      </c>
      <c r="C2196" t="str">
        <f t="shared" si="104"/>
        <v/>
      </c>
    </row>
    <row r="2197" spans="1:3" x14ac:dyDescent="0.4">
      <c r="A2197" t="str">
        <f t="shared" si="102"/>
        <v/>
      </c>
      <c r="B2197" t="str">
        <f t="shared" si="103"/>
        <v/>
      </c>
      <c r="C2197" t="str">
        <f t="shared" si="104"/>
        <v/>
      </c>
    </row>
    <row r="2198" spans="1:3" x14ac:dyDescent="0.4">
      <c r="A2198" t="str">
        <f t="shared" si="102"/>
        <v/>
      </c>
      <c r="B2198" t="str">
        <f t="shared" si="103"/>
        <v/>
      </c>
      <c r="C2198" t="str">
        <f t="shared" si="104"/>
        <v/>
      </c>
    </row>
    <row r="2199" spans="1:3" x14ac:dyDescent="0.4">
      <c r="A2199" t="str">
        <f t="shared" si="102"/>
        <v/>
      </c>
      <c r="B2199" t="str">
        <f t="shared" si="103"/>
        <v/>
      </c>
      <c r="C2199" t="str">
        <f t="shared" si="104"/>
        <v/>
      </c>
    </row>
    <row r="2200" spans="1:3" x14ac:dyDescent="0.4">
      <c r="A2200" t="str">
        <f t="shared" si="102"/>
        <v/>
      </c>
      <c r="B2200" t="str">
        <f t="shared" si="103"/>
        <v/>
      </c>
      <c r="C2200" t="str">
        <f t="shared" si="104"/>
        <v/>
      </c>
    </row>
    <row r="2201" spans="1:3" x14ac:dyDescent="0.4">
      <c r="A2201" t="str">
        <f t="shared" si="102"/>
        <v/>
      </c>
      <c r="B2201" t="str">
        <f t="shared" si="103"/>
        <v/>
      </c>
      <c r="C2201" t="str">
        <f t="shared" si="104"/>
        <v/>
      </c>
    </row>
    <row r="2202" spans="1:3" x14ac:dyDescent="0.4">
      <c r="A2202" t="str">
        <f t="shared" si="102"/>
        <v/>
      </c>
      <c r="B2202" t="str">
        <f t="shared" si="103"/>
        <v/>
      </c>
      <c r="C2202" t="str">
        <f t="shared" si="104"/>
        <v/>
      </c>
    </row>
    <row r="2203" spans="1:3" x14ac:dyDescent="0.4">
      <c r="A2203" t="str">
        <f t="shared" si="102"/>
        <v/>
      </c>
      <c r="B2203" t="str">
        <f t="shared" si="103"/>
        <v/>
      </c>
      <c r="C2203" t="str">
        <f t="shared" si="104"/>
        <v/>
      </c>
    </row>
    <row r="2204" spans="1:3" x14ac:dyDescent="0.4">
      <c r="A2204" t="str">
        <f t="shared" si="102"/>
        <v/>
      </c>
      <c r="B2204" t="str">
        <f t="shared" si="103"/>
        <v/>
      </c>
      <c r="C2204" t="str">
        <f t="shared" si="104"/>
        <v/>
      </c>
    </row>
    <row r="2205" spans="1:3" x14ac:dyDescent="0.4">
      <c r="A2205" t="str">
        <f t="shared" si="102"/>
        <v/>
      </c>
      <c r="B2205" t="str">
        <f t="shared" si="103"/>
        <v/>
      </c>
      <c r="C2205" t="str">
        <f t="shared" si="104"/>
        <v/>
      </c>
    </row>
    <row r="2206" spans="1:3" x14ac:dyDescent="0.4">
      <c r="A2206" t="str">
        <f t="shared" si="102"/>
        <v/>
      </c>
      <c r="B2206" t="str">
        <f t="shared" si="103"/>
        <v/>
      </c>
      <c r="C2206" t="str">
        <f t="shared" si="104"/>
        <v/>
      </c>
    </row>
    <row r="2207" spans="1:3" x14ac:dyDescent="0.4">
      <c r="A2207" t="str">
        <f t="shared" si="102"/>
        <v/>
      </c>
      <c r="B2207" t="str">
        <f t="shared" si="103"/>
        <v/>
      </c>
      <c r="C2207" t="str">
        <f t="shared" si="104"/>
        <v/>
      </c>
    </row>
    <row r="2208" spans="1:3" x14ac:dyDescent="0.4">
      <c r="A2208" t="str">
        <f t="shared" si="102"/>
        <v/>
      </c>
      <c r="B2208" t="str">
        <f t="shared" si="103"/>
        <v/>
      </c>
      <c r="C2208" t="str">
        <f t="shared" si="104"/>
        <v/>
      </c>
    </row>
    <row r="2209" spans="1:3" x14ac:dyDescent="0.4">
      <c r="A2209" t="str">
        <f t="shared" si="102"/>
        <v/>
      </c>
      <c r="B2209" t="str">
        <f t="shared" si="103"/>
        <v/>
      </c>
      <c r="C2209" t="str">
        <f t="shared" si="104"/>
        <v/>
      </c>
    </row>
    <row r="2210" spans="1:3" x14ac:dyDescent="0.4">
      <c r="A2210" t="str">
        <f t="shared" si="102"/>
        <v/>
      </c>
      <c r="B2210" t="str">
        <f t="shared" si="103"/>
        <v/>
      </c>
      <c r="C2210" t="str">
        <f t="shared" si="104"/>
        <v/>
      </c>
    </row>
    <row r="2211" spans="1:3" x14ac:dyDescent="0.4">
      <c r="A2211" t="str">
        <f t="shared" si="102"/>
        <v/>
      </c>
      <c r="B2211" t="str">
        <f t="shared" si="103"/>
        <v/>
      </c>
      <c r="C2211" t="str">
        <f t="shared" si="104"/>
        <v/>
      </c>
    </row>
    <row r="2212" spans="1:3" x14ac:dyDescent="0.4">
      <c r="A2212" t="str">
        <f t="shared" si="102"/>
        <v/>
      </c>
      <c r="B2212" t="str">
        <f t="shared" si="103"/>
        <v/>
      </c>
      <c r="C2212" t="str">
        <f t="shared" si="104"/>
        <v/>
      </c>
    </row>
    <row r="2213" spans="1:3" x14ac:dyDescent="0.4">
      <c r="A2213" t="str">
        <f t="shared" si="102"/>
        <v/>
      </c>
      <c r="B2213" t="str">
        <f t="shared" si="103"/>
        <v/>
      </c>
      <c r="C2213" t="str">
        <f t="shared" si="104"/>
        <v/>
      </c>
    </row>
    <row r="2214" spans="1:3" x14ac:dyDescent="0.4">
      <c r="A2214" t="str">
        <f t="shared" si="102"/>
        <v/>
      </c>
      <c r="B2214" t="str">
        <f t="shared" si="103"/>
        <v/>
      </c>
      <c r="C2214" t="str">
        <f t="shared" si="104"/>
        <v/>
      </c>
    </row>
    <row r="2215" spans="1:3" x14ac:dyDescent="0.4">
      <c r="A2215" t="str">
        <f t="shared" si="102"/>
        <v/>
      </c>
      <c r="B2215" t="str">
        <f t="shared" si="103"/>
        <v/>
      </c>
      <c r="C2215" t="str">
        <f t="shared" si="104"/>
        <v/>
      </c>
    </row>
    <row r="2216" spans="1:3" x14ac:dyDescent="0.4">
      <c r="A2216" t="str">
        <f t="shared" si="102"/>
        <v/>
      </c>
      <c r="B2216" t="str">
        <f t="shared" si="103"/>
        <v/>
      </c>
      <c r="C2216" t="str">
        <f t="shared" si="104"/>
        <v/>
      </c>
    </row>
    <row r="2217" spans="1:3" x14ac:dyDescent="0.4">
      <c r="A2217" t="str">
        <f t="shared" si="102"/>
        <v/>
      </c>
      <c r="B2217" t="str">
        <f t="shared" si="103"/>
        <v/>
      </c>
      <c r="C2217" t="str">
        <f t="shared" si="104"/>
        <v/>
      </c>
    </row>
    <row r="2218" spans="1:3" x14ac:dyDescent="0.4">
      <c r="A2218" t="str">
        <f t="shared" si="102"/>
        <v/>
      </c>
      <c r="B2218" t="str">
        <f t="shared" si="103"/>
        <v/>
      </c>
      <c r="C2218" t="str">
        <f t="shared" si="104"/>
        <v/>
      </c>
    </row>
    <row r="2219" spans="1:3" x14ac:dyDescent="0.4">
      <c r="A2219" t="str">
        <f t="shared" si="102"/>
        <v/>
      </c>
      <c r="B2219" t="str">
        <f t="shared" si="103"/>
        <v/>
      </c>
      <c r="C2219" t="str">
        <f t="shared" si="104"/>
        <v/>
      </c>
    </row>
    <row r="2220" spans="1:3" x14ac:dyDescent="0.4">
      <c r="A2220" t="str">
        <f t="shared" si="102"/>
        <v/>
      </c>
      <c r="B2220" t="str">
        <f t="shared" si="103"/>
        <v/>
      </c>
      <c r="C2220" t="str">
        <f t="shared" si="104"/>
        <v/>
      </c>
    </row>
    <row r="2221" spans="1:3" x14ac:dyDescent="0.4">
      <c r="A2221" t="str">
        <f t="shared" si="102"/>
        <v/>
      </c>
      <c r="B2221" t="str">
        <f t="shared" si="103"/>
        <v/>
      </c>
      <c r="C2221" t="str">
        <f t="shared" si="104"/>
        <v/>
      </c>
    </row>
    <row r="2222" spans="1:3" x14ac:dyDescent="0.4">
      <c r="A2222" t="str">
        <f t="shared" si="102"/>
        <v/>
      </c>
      <c r="B2222" t="str">
        <f t="shared" si="103"/>
        <v/>
      </c>
      <c r="C2222" t="str">
        <f t="shared" si="104"/>
        <v/>
      </c>
    </row>
    <row r="2223" spans="1:3" x14ac:dyDescent="0.4">
      <c r="A2223" t="str">
        <f t="shared" si="102"/>
        <v/>
      </c>
      <c r="B2223" t="str">
        <f t="shared" si="103"/>
        <v/>
      </c>
      <c r="C2223" t="str">
        <f t="shared" si="104"/>
        <v/>
      </c>
    </row>
    <row r="2224" spans="1:3" x14ac:dyDescent="0.4">
      <c r="A2224" t="str">
        <f t="shared" si="102"/>
        <v/>
      </c>
      <c r="B2224" t="str">
        <f t="shared" si="103"/>
        <v/>
      </c>
      <c r="C2224" t="str">
        <f t="shared" si="104"/>
        <v/>
      </c>
    </row>
    <row r="2225" spans="1:3" x14ac:dyDescent="0.4">
      <c r="A2225" t="str">
        <f t="shared" si="102"/>
        <v/>
      </c>
      <c r="B2225" t="str">
        <f t="shared" si="103"/>
        <v/>
      </c>
      <c r="C2225" t="str">
        <f t="shared" si="104"/>
        <v/>
      </c>
    </row>
    <row r="2226" spans="1:3" x14ac:dyDescent="0.4">
      <c r="A2226" t="str">
        <f t="shared" si="102"/>
        <v/>
      </c>
      <c r="B2226" t="str">
        <f t="shared" si="103"/>
        <v/>
      </c>
      <c r="C2226" t="str">
        <f t="shared" si="104"/>
        <v/>
      </c>
    </row>
    <row r="2227" spans="1:3" x14ac:dyDescent="0.4">
      <c r="A2227" t="str">
        <f t="shared" si="102"/>
        <v/>
      </c>
      <c r="B2227" t="str">
        <f t="shared" si="103"/>
        <v/>
      </c>
      <c r="C2227" t="str">
        <f t="shared" si="104"/>
        <v/>
      </c>
    </row>
    <row r="2228" spans="1:3" x14ac:dyDescent="0.4">
      <c r="A2228" t="str">
        <f t="shared" si="102"/>
        <v/>
      </c>
      <c r="B2228" t="str">
        <f t="shared" si="103"/>
        <v/>
      </c>
      <c r="C2228" t="str">
        <f t="shared" si="104"/>
        <v/>
      </c>
    </row>
    <row r="2229" spans="1:3" x14ac:dyDescent="0.4">
      <c r="A2229" t="str">
        <f t="shared" si="102"/>
        <v/>
      </c>
      <c r="B2229" t="str">
        <f t="shared" si="103"/>
        <v/>
      </c>
      <c r="C2229" t="str">
        <f t="shared" si="104"/>
        <v/>
      </c>
    </row>
    <row r="2230" spans="1:3" x14ac:dyDescent="0.4">
      <c r="A2230" t="str">
        <f t="shared" si="102"/>
        <v/>
      </c>
      <c r="B2230" t="str">
        <f t="shared" si="103"/>
        <v/>
      </c>
      <c r="C2230" t="str">
        <f t="shared" si="104"/>
        <v/>
      </c>
    </row>
    <row r="2231" spans="1:3" x14ac:dyDescent="0.4">
      <c r="A2231" t="str">
        <f t="shared" si="102"/>
        <v/>
      </c>
      <c r="B2231" t="str">
        <f t="shared" si="103"/>
        <v/>
      </c>
      <c r="C2231" t="str">
        <f t="shared" si="104"/>
        <v/>
      </c>
    </row>
    <row r="2232" spans="1:3" x14ac:dyDescent="0.4">
      <c r="A2232" t="str">
        <f t="shared" si="102"/>
        <v/>
      </c>
      <c r="B2232" t="str">
        <f t="shared" si="103"/>
        <v/>
      </c>
      <c r="C2232" t="str">
        <f t="shared" si="104"/>
        <v/>
      </c>
    </row>
    <row r="2233" spans="1:3" x14ac:dyDescent="0.4">
      <c r="A2233" t="str">
        <f t="shared" si="102"/>
        <v/>
      </c>
      <c r="B2233" t="str">
        <f t="shared" si="103"/>
        <v/>
      </c>
      <c r="C2233" t="str">
        <f t="shared" si="104"/>
        <v/>
      </c>
    </row>
    <row r="2234" spans="1:3" x14ac:dyDescent="0.4">
      <c r="A2234" t="str">
        <f t="shared" si="102"/>
        <v/>
      </c>
      <c r="B2234" t="str">
        <f t="shared" si="103"/>
        <v/>
      </c>
      <c r="C2234" t="str">
        <f t="shared" si="104"/>
        <v/>
      </c>
    </row>
    <row r="2235" spans="1:3" x14ac:dyDescent="0.4">
      <c r="A2235" t="str">
        <f t="shared" si="102"/>
        <v/>
      </c>
      <c r="B2235" t="str">
        <f t="shared" si="103"/>
        <v/>
      </c>
      <c r="C2235" t="str">
        <f t="shared" si="104"/>
        <v/>
      </c>
    </row>
    <row r="2236" spans="1:3" x14ac:dyDescent="0.4">
      <c r="A2236" t="str">
        <f t="shared" si="102"/>
        <v/>
      </c>
      <c r="B2236" t="str">
        <f t="shared" si="103"/>
        <v/>
      </c>
      <c r="C2236" t="str">
        <f t="shared" si="104"/>
        <v/>
      </c>
    </row>
    <row r="2237" spans="1:3" x14ac:dyDescent="0.4">
      <c r="A2237" t="str">
        <f t="shared" si="102"/>
        <v/>
      </c>
      <c r="B2237" t="str">
        <f t="shared" si="103"/>
        <v/>
      </c>
      <c r="C2237" t="str">
        <f t="shared" si="104"/>
        <v/>
      </c>
    </row>
    <row r="2238" spans="1:3" x14ac:dyDescent="0.4">
      <c r="A2238" t="str">
        <f t="shared" si="102"/>
        <v/>
      </c>
      <c r="B2238" t="str">
        <f t="shared" si="103"/>
        <v/>
      </c>
      <c r="C2238" t="str">
        <f t="shared" si="104"/>
        <v/>
      </c>
    </row>
    <row r="2239" spans="1:3" x14ac:dyDescent="0.4">
      <c r="A2239" t="str">
        <f t="shared" si="102"/>
        <v/>
      </c>
      <c r="B2239" t="str">
        <f t="shared" si="103"/>
        <v/>
      </c>
      <c r="C2239" t="str">
        <f t="shared" si="104"/>
        <v/>
      </c>
    </row>
    <row r="2240" spans="1:3" x14ac:dyDescent="0.4">
      <c r="A2240" t="str">
        <f t="shared" si="102"/>
        <v/>
      </c>
      <c r="B2240" t="str">
        <f t="shared" si="103"/>
        <v/>
      </c>
      <c r="C2240" t="str">
        <f t="shared" si="104"/>
        <v/>
      </c>
    </row>
    <row r="2241" spans="1:3" x14ac:dyDescent="0.4">
      <c r="A2241" t="str">
        <f t="shared" si="102"/>
        <v/>
      </c>
      <c r="B2241" t="str">
        <f t="shared" si="103"/>
        <v/>
      </c>
      <c r="C2241" t="str">
        <f t="shared" si="104"/>
        <v/>
      </c>
    </row>
    <row r="2242" spans="1:3" x14ac:dyDescent="0.4">
      <c r="A2242" t="str">
        <f t="shared" si="102"/>
        <v/>
      </c>
      <c r="B2242" t="str">
        <f t="shared" si="103"/>
        <v/>
      </c>
      <c r="C2242" t="str">
        <f t="shared" si="104"/>
        <v/>
      </c>
    </row>
    <row r="2243" spans="1:3" x14ac:dyDescent="0.4">
      <c r="A2243" t="str">
        <f t="shared" ref="A2243:A2306" si="105">IF($F2243="","",$F2243&amp;"|"&amp;$H2243)</f>
        <v/>
      </c>
      <c r="B2243" t="str">
        <f t="shared" ref="B2243:B2306" si="106">IF(F2243&lt;&gt;"",F2243,"")</f>
        <v/>
      </c>
      <c r="C2243" t="str">
        <f t="shared" ref="C2243:C2306" si="107">IF(H2243&lt;&gt;"", H2243, "")</f>
        <v/>
      </c>
    </row>
    <row r="2244" spans="1:3" x14ac:dyDescent="0.4">
      <c r="A2244" t="str">
        <f t="shared" si="105"/>
        <v/>
      </c>
      <c r="B2244" t="str">
        <f t="shared" si="106"/>
        <v/>
      </c>
      <c r="C2244" t="str">
        <f t="shared" si="107"/>
        <v/>
      </c>
    </row>
    <row r="2245" spans="1:3" x14ac:dyDescent="0.4">
      <c r="A2245" t="str">
        <f t="shared" si="105"/>
        <v/>
      </c>
      <c r="B2245" t="str">
        <f t="shared" si="106"/>
        <v/>
      </c>
      <c r="C2245" t="str">
        <f t="shared" si="107"/>
        <v/>
      </c>
    </row>
    <row r="2246" spans="1:3" x14ac:dyDescent="0.4">
      <c r="A2246" t="str">
        <f t="shared" si="105"/>
        <v/>
      </c>
      <c r="B2246" t="str">
        <f t="shared" si="106"/>
        <v/>
      </c>
      <c r="C2246" t="str">
        <f t="shared" si="107"/>
        <v/>
      </c>
    </row>
    <row r="2247" spans="1:3" x14ac:dyDescent="0.4">
      <c r="A2247" t="str">
        <f t="shared" si="105"/>
        <v/>
      </c>
      <c r="B2247" t="str">
        <f t="shared" si="106"/>
        <v/>
      </c>
      <c r="C2247" t="str">
        <f t="shared" si="107"/>
        <v/>
      </c>
    </row>
    <row r="2248" spans="1:3" x14ac:dyDescent="0.4">
      <c r="A2248" t="str">
        <f t="shared" si="105"/>
        <v/>
      </c>
      <c r="B2248" t="str">
        <f t="shared" si="106"/>
        <v/>
      </c>
      <c r="C2248" t="str">
        <f t="shared" si="107"/>
        <v/>
      </c>
    </row>
    <row r="2249" spans="1:3" x14ac:dyDescent="0.4">
      <c r="A2249" t="str">
        <f t="shared" si="105"/>
        <v/>
      </c>
      <c r="B2249" t="str">
        <f t="shared" si="106"/>
        <v/>
      </c>
      <c r="C2249" t="str">
        <f t="shared" si="107"/>
        <v/>
      </c>
    </row>
    <row r="2250" spans="1:3" x14ac:dyDescent="0.4">
      <c r="A2250" t="str">
        <f t="shared" si="105"/>
        <v/>
      </c>
      <c r="B2250" t="str">
        <f t="shared" si="106"/>
        <v/>
      </c>
      <c r="C2250" t="str">
        <f t="shared" si="107"/>
        <v/>
      </c>
    </row>
    <row r="2251" spans="1:3" x14ac:dyDescent="0.4">
      <c r="A2251" t="str">
        <f t="shared" si="105"/>
        <v/>
      </c>
      <c r="B2251" t="str">
        <f t="shared" si="106"/>
        <v/>
      </c>
      <c r="C2251" t="str">
        <f t="shared" si="107"/>
        <v/>
      </c>
    </row>
    <row r="2252" spans="1:3" x14ac:dyDescent="0.4">
      <c r="A2252" t="str">
        <f t="shared" si="105"/>
        <v/>
      </c>
      <c r="B2252" t="str">
        <f t="shared" si="106"/>
        <v/>
      </c>
      <c r="C2252" t="str">
        <f t="shared" si="107"/>
        <v/>
      </c>
    </row>
    <row r="2253" spans="1:3" x14ac:dyDescent="0.4">
      <c r="A2253" t="str">
        <f t="shared" si="105"/>
        <v/>
      </c>
      <c r="B2253" t="str">
        <f t="shared" si="106"/>
        <v/>
      </c>
      <c r="C2253" t="str">
        <f t="shared" si="107"/>
        <v/>
      </c>
    </row>
    <row r="2254" spans="1:3" x14ac:dyDescent="0.4">
      <c r="A2254" t="str">
        <f t="shared" si="105"/>
        <v/>
      </c>
      <c r="B2254" t="str">
        <f t="shared" si="106"/>
        <v/>
      </c>
      <c r="C2254" t="str">
        <f t="shared" si="107"/>
        <v/>
      </c>
    </row>
    <row r="2255" spans="1:3" x14ac:dyDescent="0.4">
      <c r="A2255" t="str">
        <f t="shared" si="105"/>
        <v/>
      </c>
      <c r="B2255" t="str">
        <f t="shared" si="106"/>
        <v/>
      </c>
      <c r="C2255" t="str">
        <f t="shared" si="107"/>
        <v/>
      </c>
    </row>
    <row r="2256" spans="1:3" x14ac:dyDescent="0.4">
      <c r="A2256" t="str">
        <f t="shared" si="105"/>
        <v/>
      </c>
      <c r="B2256" t="str">
        <f t="shared" si="106"/>
        <v/>
      </c>
      <c r="C2256" t="str">
        <f t="shared" si="107"/>
        <v/>
      </c>
    </row>
    <row r="2257" spans="1:3" x14ac:dyDescent="0.4">
      <c r="A2257" t="str">
        <f t="shared" si="105"/>
        <v/>
      </c>
      <c r="B2257" t="str">
        <f t="shared" si="106"/>
        <v/>
      </c>
      <c r="C2257" t="str">
        <f t="shared" si="107"/>
        <v/>
      </c>
    </row>
    <row r="2258" spans="1:3" x14ac:dyDescent="0.4">
      <c r="A2258" t="str">
        <f t="shared" si="105"/>
        <v/>
      </c>
      <c r="B2258" t="str">
        <f t="shared" si="106"/>
        <v/>
      </c>
      <c r="C2258" t="str">
        <f t="shared" si="107"/>
        <v/>
      </c>
    </row>
    <row r="2259" spans="1:3" x14ac:dyDescent="0.4">
      <c r="A2259" t="str">
        <f t="shared" si="105"/>
        <v/>
      </c>
      <c r="B2259" t="str">
        <f t="shared" si="106"/>
        <v/>
      </c>
      <c r="C2259" t="str">
        <f t="shared" si="107"/>
        <v/>
      </c>
    </row>
    <row r="2260" spans="1:3" x14ac:dyDescent="0.4">
      <c r="A2260" t="str">
        <f t="shared" si="105"/>
        <v/>
      </c>
      <c r="B2260" t="str">
        <f t="shared" si="106"/>
        <v/>
      </c>
      <c r="C2260" t="str">
        <f t="shared" si="107"/>
        <v/>
      </c>
    </row>
    <row r="2261" spans="1:3" x14ac:dyDescent="0.4">
      <c r="A2261" t="str">
        <f t="shared" si="105"/>
        <v/>
      </c>
      <c r="B2261" t="str">
        <f t="shared" si="106"/>
        <v/>
      </c>
      <c r="C2261" t="str">
        <f t="shared" si="107"/>
        <v/>
      </c>
    </row>
    <row r="2262" spans="1:3" x14ac:dyDescent="0.4">
      <c r="A2262" t="str">
        <f t="shared" si="105"/>
        <v/>
      </c>
      <c r="B2262" t="str">
        <f t="shared" si="106"/>
        <v/>
      </c>
      <c r="C2262" t="str">
        <f t="shared" si="107"/>
        <v/>
      </c>
    </row>
    <row r="2263" spans="1:3" x14ac:dyDescent="0.4">
      <c r="A2263" t="str">
        <f t="shared" si="105"/>
        <v/>
      </c>
      <c r="B2263" t="str">
        <f t="shared" si="106"/>
        <v/>
      </c>
      <c r="C2263" t="str">
        <f t="shared" si="107"/>
        <v/>
      </c>
    </row>
    <row r="2264" spans="1:3" x14ac:dyDescent="0.4">
      <c r="A2264" t="str">
        <f t="shared" si="105"/>
        <v/>
      </c>
      <c r="B2264" t="str">
        <f t="shared" si="106"/>
        <v/>
      </c>
      <c r="C2264" t="str">
        <f t="shared" si="107"/>
        <v/>
      </c>
    </row>
    <row r="2265" spans="1:3" x14ac:dyDescent="0.4">
      <c r="A2265" t="str">
        <f t="shared" si="105"/>
        <v/>
      </c>
      <c r="B2265" t="str">
        <f t="shared" si="106"/>
        <v/>
      </c>
      <c r="C2265" t="str">
        <f t="shared" si="107"/>
        <v/>
      </c>
    </row>
    <row r="2266" spans="1:3" x14ac:dyDescent="0.4">
      <c r="A2266" t="str">
        <f t="shared" si="105"/>
        <v/>
      </c>
      <c r="B2266" t="str">
        <f t="shared" si="106"/>
        <v/>
      </c>
      <c r="C2266" t="str">
        <f t="shared" si="107"/>
        <v/>
      </c>
    </row>
    <row r="2267" spans="1:3" x14ac:dyDescent="0.4">
      <c r="A2267" t="str">
        <f t="shared" si="105"/>
        <v/>
      </c>
      <c r="B2267" t="str">
        <f t="shared" si="106"/>
        <v/>
      </c>
      <c r="C2267" t="str">
        <f t="shared" si="107"/>
        <v/>
      </c>
    </row>
    <row r="2268" spans="1:3" x14ac:dyDescent="0.4">
      <c r="A2268" t="str">
        <f t="shared" si="105"/>
        <v/>
      </c>
      <c r="B2268" t="str">
        <f t="shared" si="106"/>
        <v/>
      </c>
      <c r="C2268" t="str">
        <f t="shared" si="107"/>
        <v/>
      </c>
    </row>
    <row r="2269" spans="1:3" x14ac:dyDescent="0.4">
      <c r="A2269" t="str">
        <f t="shared" si="105"/>
        <v/>
      </c>
      <c r="B2269" t="str">
        <f t="shared" si="106"/>
        <v/>
      </c>
      <c r="C2269" t="str">
        <f t="shared" si="107"/>
        <v/>
      </c>
    </row>
    <row r="2270" spans="1:3" x14ac:dyDescent="0.4">
      <c r="A2270" t="str">
        <f t="shared" si="105"/>
        <v/>
      </c>
      <c r="B2270" t="str">
        <f t="shared" si="106"/>
        <v/>
      </c>
      <c r="C2270" t="str">
        <f t="shared" si="107"/>
        <v/>
      </c>
    </row>
    <row r="2271" spans="1:3" x14ac:dyDescent="0.4">
      <c r="A2271" t="str">
        <f t="shared" si="105"/>
        <v/>
      </c>
      <c r="B2271" t="str">
        <f t="shared" si="106"/>
        <v/>
      </c>
      <c r="C2271" t="str">
        <f t="shared" si="107"/>
        <v/>
      </c>
    </row>
    <row r="2272" spans="1:3" x14ac:dyDescent="0.4">
      <c r="A2272" t="str">
        <f t="shared" si="105"/>
        <v/>
      </c>
      <c r="B2272" t="str">
        <f t="shared" si="106"/>
        <v/>
      </c>
      <c r="C2272" t="str">
        <f t="shared" si="107"/>
        <v/>
      </c>
    </row>
    <row r="2273" spans="1:3" x14ac:dyDescent="0.4">
      <c r="A2273" t="str">
        <f t="shared" si="105"/>
        <v/>
      </c>
      <c r="B2273" t="str">
        <f t="shared" si="106"/>
        <v/>
      </c>
      <c r="C2273" t="str">
        <f t="shared" si="107"/>
        <v/>
      </c>
    </row>
    <row r="2274" spans="1:3" x14ac:dyDescent="0.4">
      <c r="A2274" t="str">
        <f t="shared" si="105"/>
        <v/>
      </c>
      <c r="B2274" t="str">
        <f t="shared" si="106"/>
        <v/>
      </c>
      <c r="C2274" t="str">
        <f t="shared" si="107"/>
        <v/>
      </c>
    </row>
    <row r="2275" spans="1:3" x14ac:dyDescent="0.4">
      <c r="A2275" t="str">
        <f t="shared" si="105"/>
        <v/>
      </c>
      <c r="B2275" t="str">
        <f t="shared" si="106"/>
        <v/>
      </c>
      <c r="C2275" t="str">
        <f t="shared" si="107"/>
        <v/>
      </c>
    </row>
    <row r="2276" spans="1:3" x14ac:dyDescent="0.4">
      <c r="A2276" t="str">
        <f t="shared" si="105"/>
        <v/>
      </c>
      <c r="B2276" t="str">
        <f t="shared" si="106"/>
        <v/>
      </c>
      <c r="C2276" t="str">
        <f t="shared" si="107"/>
        <v/>
      </c>
    </row>
    <row r="2277" spans="1:3" x14ac:dyDescent="0.4">
      <c r="A2277" t="str">
        <f t="shared" si="105"/>
        <v/>
      </c>
      <c r="B2277" t="str">
        <f t="shared" si="106"/>
        <v/>
      </c>
      <c r="C2277" t="str">
        <f t="shared" si="107"/>
        <v/>
      </c>
    </row>
    <row r="2278" spans="1:3" x14ac:dyDescent="0.4">
      <c r="A2278" t="str">
        <f t="shared" si="105"/>
        <v/>
      </c>
      <c r="B2278" t="str">
        <f t="shared" si="106"/>
        <v/>
      </c>
      <c r="C2278" t="str">
        <f t="shared" si="107"/>
        <v/>
      </c>
    </row>
    <row r="2279" spans="1:3" x14ac:dyDescent="0.4">
      <c r="A2279" t="str">
        <f t="shared" si="105"/>
        <v/>
      </c>
      <c r="B2279" t="str">
        <f t="shared" si="106"/>
        <v/>
      </c>
      <c r="C2279" t="str">
        <f t="shared" si="107"/>
        <v/>
      </c>
    </row>
    <row r="2280" spans="1:3" x14ac:dyDescent="0.4">
      <c r="A2280" t="str">
        <f t="shared" si="105"/>
        <v/>
      </c>
      <c r="B2280" t="str">
        <f t="shared" si="106"/>
        <v/>
      </c>
      <c r="C2280" t="str">
        <f t="shared" si="107"/>
        <v/>
      </c>
    </row>
    <row r="2281" spans="1:3" x14ac:dyDescent="0.4">
      <c r="A2281" t="str">
        <f t="shared" si="105"/>
        <v/>
      </c>
      <c r="B2281" t="str">
        <f t="shared" si="106"/>
        <v/>
      </c>
      <c r="C2281" t="str">
        <f t="shared" si="107"/>
        <v/>
      </c>
    </row>
    <row r="2282" spans="1:3" x14ac:dyDescent="0.4">
      <c r="A2282" t="str">
        <f t="shared" si="105"/>
        <v/>
      </c>
      <c r="B2282" t="str">
        <f t="shared" si="106"/>
        <v/>
      </c>
      <c r="C2282" t="str">
        <f t="shared" si="107"/>
        <v/>
      </c>
    </row>
    <row r="2283" spans="1:3" x14ac:dyDescent="0.4">
      <c r="A2283" t="str">
        <f t="shared" si="105"/>
        <v/>
      </c>
      <c r="B2283" t="str">
        <f t="shared" si="106"/>
        <v/>
      </c>
      <c r="C2283" t="str">
        <f t="shared" si="107"/>
        <v/>
      </c>
    </row>
    <row r="2284" spans="1:3" x14ac:dyDescent="0.4">
      <c r="A2284" t="str">
        <f t="shared" si="105"/>
        <v/>
      </c>
      <c r="B2284" t="str">
        <f t="shared" si="106"/>
        <v/>
      </c>
      <c r="C2284" t="str">
        <f t="shared" si="107"/>
        <v/>
      </c>
    </row>
    <row r="2285" spans="1:3" x14ac:dyDescent="0.4">
      <c r="A2285" t="str">
        <f t="shared" si="105"/>
        <v/>
      </c>
      <c r="B2285" t="str">
        <f t="shared" si="106"/>
        <v/>
      </c>
      <c r="C2285" t="str">
        <f t="shared" si="107"/>
        <v/>
      </c>
    </row>
    <row r="2286" spans="1:3" x14ac:dyDescent="0.4">
      <c r="A2286" t="str">
        <f t="shared" si="105"/>
        <v/>
      </c>
      <c r="B2286" t="str">
        <f t="shared" si="106"/>
        <v/>
      </c>
      <c r="C2286" t="str">
        <f t="shared" si="107"/>
        <v/>
      </c>
    </row>
    <row r="2287" spans="1:3" x14ac:dyDescent="0.4">
      <c r="A2287" t="str">
        <f t="shared" si="105"/>
        <v/>
      </c>
      <c r="B2287" t="str">
        <f t="shared" si="106"/>
        <v/>
      </c>
      <c r="C2287" t="str">
        <f t="shared" si="107"/>
        <v/>
      </c>
    </row>
    <row r="2288" spans="1:3" x14ac:dyDescent="0.4">
      <c r="A2288" t="str">
        <f t="shared" si="105"/>
        <v/>
      </c>
      <c r="B2288" t="str">
        <f t="shared" si="106"/>
        <v/>
      </c>
      <c r="C2288" t="str">
        <f t="shared" si="107"/>
        <v/>
      </c>
    </row>
    <row r="2289" spans="1:3" x14ac:dyDescent="0.4">
      <c r="A2289" t="str">
        <f t="shared" si="105"/>
        <v/>
      </c>
      <c r="B2289" t="str">
        <f t="shared" si="106"/>
        <v/>
      </c>
      <c r="C2289" t="str">
        <f t="shared" si="107"/>
        <v/>
      </c>
    </row>
    <row r="2290" spans="1:3" x14ac:dyDescent="0.4">
      <c r="A2290" t="str">
        <f t="shared" si="105"/>
        <v/>
      </c>
      <c r="B2290" t="str">
        <f t="shared" si="106"/>
        <v/>
      </c>
      <c r="C2290" t="str">
        <f t="shared" si="107"/>
        <v/>
      </c>
    </row>
    <row r="2291" spans="1:3" x14ac:dyDescent="0.4">
      <c r="A2291" t="str">
        <f t="shared" si="105"/>
        <v/>
      </c>
      <c r="B2291" t="str">
        <f t="shared" si="106"/>
        <v/>
      </c>
      <c r="C2291" t="str">
        <f t="shared" si="107"/>
        <v/>
      </c>
    </row>
    <row r="2292" spans="1:3" x14ac:dyDescent="0.4">
      <c r="A2292" t="str">
        <f t="shared" si="105"/>
        <v/>
      </c>
      <c r="B2292" t="str">
        <f t="shared" si="106"/>
        <v/>
      </c>
      <c r="C2292" t="str">
        <f t="shared" si="107"/>
        <v/>
      </c>
    </row>
    <row r="2293" spans="1:3" x14ac:dyDescent="0.4">
      <c r="A2293" t="str">
        <f t="shared" si="105"/>
        <v/>
      </c>
      <c r="B2293" t="str">
        <f t="shared" si="106"/>
        <v/>
      </c>
      <c r="C2293" t="str">
        <f t="shared" si="107"/>
        <v/>
      </c>
    </row>
    <row r="2294" spans="1:3" x14ac:dyDescent="0.4">
      <c r="A2294" t="str">
        <f t="shared" si="105"/>
        <v/>
      </c>
      <c r="B2294" t="str">
        <f t="shared" si="106"/>
        <v/>
      </c>
      <c r="C2294" t="str">
        <f t="shared" si="107"/>
        <v/>
      </c>
    </row>
    <row r="2295" spans="1:3" x14ac:dyDescent="0.4">
      <c r="A2295" t="str">
        <f t="shared" si="105"/>
        <v/>
      </c>
      <c r="B2295" t="str">
        <f t="shared" si="106"/>
        <v/>
      </c>
      <c r="C2295" t="str">
        <f t="shared" si="107"/>
        <v/>
      </c>
    </row>
    <row r="2296" spans="1:3" x14ac:dyDescent="0.4">
      <c r="A2296" t="str">
        <f t="shared" si="105"/>
        <v/>
      </c>
      <c r="B2296" t="str">
        <f t="shared" si="106"/>
        <v/>
      </c>
      <c r="C2296" t="str">
        <f t="shared" si="107"/>
        <v/>
      </c>
    </row>
    <row r="2297" spans="1:3" x14ac:dyDescent="0.4">
      <c r="A2297" t="str">
        <f t="shared" si="105"/>
        <v/>
      </c>
      <c r="B2297" t="str">
        <f t="shared" si="106"/>
        <v/>
      </c>
      <c r="C2297" t="str">
        <f t="shared" si="107"/>
        <v/>
      </c>
    </row>
    <row r="2298" spans="1:3" x14ac:dyDescent="0.4">
      <c r="A2298" t="str">
        <f t="shared" si="105"/>
        <v/>
      </c>
      <c r="B2298" t="str">
        <f t="shared" si="106"/>
        <v/>
      </c>
      <c r="C2298" t="str">
        <f t="shared" si="107"/>
        <v/>
      </c>
    </row>
    <row r="2299" spans="1:3" x14ac:dyDescent="0.4">
      <c r="A2299" t="str">
        <f t="shared" si="105"/>
        <v/>
      </c>
      <c r="B2299" t="str">
        <f t="shared" si="106"/>
        <v/>
      </c>
      <c r="C2299" t="str">
        <f t="shared" si="107"/>
        <v/>
      </c>
    </row>
    <row r="2300" spans="1:3" x14ac:dyDescent="0.4">
      <c r="A2300" t="str">
        <f t="shared" si="105"/>
        <v/>
      </c>
      <c r="B2300" t="str">
        <f t="shared" si="106"/>
        <v/>
      </c>
      <c r="C2300" t="str">
        <f t="shared" si="107"/>
        <v/>
      </c>
    </row>
    <row r="2301" spans="1:3" x14ac:dyDescent="0.4">
      <c r="A2301" t="str">
        <f t="shared" si="105"/>
        <v/>
      </c>
      <c r="B2301" t="str">
        <f t="shared" si="106"/>
        <v/>
      </c>
      <c r="C2301" t="str">
        <f t="shared" si="107"/>
        <v/>
      </c>
    </row>
    <row r="2302" spans="1:3" x14ac:dyDescent="0.4">
      <c r="A2302" t="str">
        <f t="shared" si="105"/>
        <v/>
      </c>
      <c r="B2302" t="str">
        <f t="shared" si="106"/>
        <v/>
      </c>
      <c r="C2302" t="str">
        <f t="shared" si="107"/>
        <v/>
      </c>
    </row>
    <row r="2303" spans="1:3" x14ac:dyDescent="0.4">
      <c r="A2303" t="str">
        <f t="shared" si="105"/>
        <v/>
      </c>
      <c r="B2303" t="str">
        <f t="shared" si="106"/>
        <v/>
      </c>
      <c r="C2303" t="str">
        <f t="shared" si="107"/>
        <v/>
      </c>
    </row>
    <row r="2304" spans="1:3" x14ac:dyDescent="0.4">
      <c r="A2304" t="str">
        <f t="shared" si="105"/>
        <v/>
      </c>
      <c r="B2304" t="str">
        <f t="shared" si="106"/>
        <v/>
      </c>
      <c r="C2304" t="str">
        <f t="shared" si="107"/>
        <v/>
      </c>
    </row>
    <row r="2305" spans="1:3" x14ac:dyDescent="0.4">
      <c r="A2305" t="str">
        <f t="shared" si="105"/>
        <v/>
      </c>
      <c r="B2305" t="str">
        <f t="shared" si="106"/>
        <v/>
      </c>
      <c r="C2305" t="str">
        <f t="shared" si="107"/>
        <v/>
      </c>
    </row>
    <row r="2306" spans="1:3" x14ac:dyDescent="0.4">
      <c r="A2306" t="str">
        <f t="shared" si="105"/>
        <v/>
      </c>
      <c r="B2306" t="str">
        <f t="shared" si="106"/>
        <v/>
      </c>
      <c r="C2306" t="str">
        <f t="shared" si="107"/>
        <v/>
      </c>
    </row>
    <row r="2307" spans="1:3" x14ac:dyDescent="0.4">
      <c r="A2307" t="str">
        <f t="shared" ref="A2307:A2370" si="108">IF($F2307="","",$F2307&amp;"|"&amp;$H2307)</f>
        <v/>
      </c>
      <c r="B2307" t="str">
        <f t="shared" ref="B2307:B2370" si="109">IF(F2307&lt;&gt;"",F2307,"")</f>
        <v/>
      </c>
      <c r="C2307" t="str">
        <f t="shared" ref="C2307:C2370" si="110">IF(H2307&lt;&gt;"", H2307, "")</f>
        <v/>
      </c>
    </row>
    <row r="2308" spans="1:3" x14ac:dyDescent="0.4">
      <c r="A2308" t="str">
        <f t="shared" si="108"/>
        <v/>
      </c>
      <c r="B2308" t="str">
        <f t="shared" si="109"/>
        <v/>
      </c>
      <c r="C2308" t="str">
        <f t="shared" si="110"/>
        <v/>
      </c>
    </row>
    <row r="2309" spans="1:3" x14ac:dyDescent="0.4">
      <c r="A2309" t="str">
        <f t="shared" si="108"/>
        <v/>
      </c>
      <c r="B2309" t="str">
        <f t="shared" si="109"/>
        <v/>
      </c>
      <c r="C2309" t="str">
        <f t="shared" si="110"/>
        <v/>
      </c>
    </row>
    <row r="2310" spans="1:3" x14ac:dyDescent="0.4">
      <c r="A2310" t="str">
        <f t="shared" si="108"/>
        <v/>
      </c>
      <c r="B2310" t="str">
        <f t="shared" si="109"/>
        <v/>
      </c>
      <c r="C2310" t="str">
        <f t="shared" si="110"/>
        <v/>
      </c>
    </row>
    <row r="2311" spans="1:3" x14ac:dyDescent="0.4">
      <c r="A2311" t="str">
        <f t="shared" si="108"/>
        <v/>
      </c>
      <c r="B2311" t="str">
        <f t="shared" si="109"/>
        <v/>
      </c>
      <c r="C2311" t="str">
        <f t="shared" si="110"/>
        <v/>
      </c>
    </row>
    <row r="2312" spans="1:3" x14ac:dyDescent="0.4">
      <c r="A2312" t="str">
        <f t="shared" si="108"/>
        <v/>
      </c>
      <c r="B2312" t="str">
        <f t="shared" si="109"/>
        <v/>
      </c>
      <c r="C2312" t="str">
        <f t="shared" si="110"/>
        <v/>
      </c>
    </row>
    <row r="2313" spans="1:3" x14ac:dyDescent="0.4">
      <c r="A2313" t="str">
        <f t="shared" si="108"/>
        <v/>
      </c>
      <c r="B2313" t="str">
        <f t="shared" si="109"/>
        <v/>
      </c>
      <c r="C2313" t="str">
        <f t="shared" si="110"/>
        <v/>
      </c>
    </row>
    <row r="2314" spans="1:3" x14ac:dyDescent="0.4">
      <c r="A2314" t="str">
        <f t="shared" si="108"/>
        <v/>
      </c>
      <c r="B2314" t="str">
        <f t="shared" si="109"/>
        <v/>
      </c>
      <c r="C2314" t="str">
        <f t="shared" si="110"/>
        <v/>
      </c>
    </row>
    <row r="2315" spans="1:3" x14ac:dyDescent="0.4">
      <c r="A2315" t="str">
        <f t="shared" si="108"/>
        <v/>
      </c>
      <c r="B2315" t="str">
        <f t="shared" si="109"/>
        <v/>
      </c>
      <c r="C2315" t="str">
        <f t="shared" si="110"/>
        <v/>
      </c>
    </row>
    <row r="2316" spans="1:3" x14ac:dyDescent="0.4">
      <c r="A2316" t="str">
        <f t="shared" si="108"/>
        <v/>
      </c>
      <c r="B2316" t="str">
        <f t="shared" si="109"/>
        <v/>
      </c>
      <c r="C2316" t="str">
        <f t="shared" si="110"/>
        <v/>
      </c>
    </row>
    <row r="2317" spans="1:3" x14ac:dyDescent="0.4">
      <c r="A2317" t="str">
        <f t="shared" si="108"/>
        <v/>
      </c>
      <c r="B2317" t="str">
        <f t="shared" si="109"/>
        <v/>
      </c>
      <c r="C2317" t="str">
        <f t="shared" si="110"/>
        <v/>
      </c>
    </row>
    <row r="2318" spans="1:3" x14ac:dyDescent="0.4">
      <c r="A2318" t="str">
        <f t="shared" si="108"/>
        <v/>
      </c>
      <c r="B2318" t="str">
        <f t="shared" si="109"/>
        <v/>
      </c>
      <c r="C2318" t="str">
        <f t="shared" si="110"/>
        <v/>
      </c>
    </row>
    <row r="2319" spans="1:3" x14ac:dyDescent="0.4">
      <c r="A2319" t="str">
        <f t="shared" si="108"/>
        <v/>
      </c>
      <c r="B2319" t="str">
        <f t="shared" si="109"/>
        <v/>
      </c>
      <c r="C2319" t="str">
        <f t="shared" si="110"/>
        <v/>
      </c>
    </row>
    <row r="2320" spans="1:3" x14ac:dyDescent="0.4">
      <c r="A2320" t="str">
        <f t="shared" si="108"/>
        <v/>
      </c>
      <c r="B2320" t="str">
        <f t="shared" si="109"/>
        <v/>
      </c>
      <c r="C2320" t="str">
        <f t="shared" si="110"/>
        <v/>
      </c>
    </row>
    <row r="2321" spans="1:3" x14ac:dyDescent="0.4">
      <c r="A2321" t="str">
        <f t="shared" si="108"/>
        <v/>
      </c>
      <c r="B2321" t="str">
        <f t="shared" si="109"/>
        <v/>
      </c>
      <c r="C2321" t="str">
        <f t="shared" si="110"/>
        <v/>
      </c>
    </row>
    <row r="2322" spans="1:3" x14ac:dyDescent="0.4">
      <c r="A2322" t="str">
        <f t="shared" si="108"/>
        <v/>
      </c>
      <c r="B2322" t="str">
        <f t="shared" si="109"/>
        <v/>
      </c>
      <c r="C2322" t="str">
        <f t="shared" si="110"/>
        <v/>
      </c>
    </row>
    <row r="2323" spans="1:3" x14ac:dyDescent="0.4">
      <c r="A2323" t="str">
        <f t="shared" si="108"/>
        <v/>
      </c>
      <c r="B2323" t="str">
        <f t="shared" si="109"/>
        <v/>
      </c>
      <c r="C2323" t="str">
        <f t="shared" si="110"/>
        <v/>
      </c>
    </row>
    <row r="2324" spans="1:3" x14ac:dyDescent="0.4">
      <c r="A2324" t="str">
        <f t="shared" si="108"/>
        <v/>
      </c>
      <c r="B2324" t="str">
        <f t="shared" si="109"/>
        <v/>
      </c>
      <c r="C2324" t="str">
        <f t="shared" si="110"/>
        <v/>
      </c>
    </row>
    <row r="2325" spans="1:3" x14ac:dyDescent="0.4">
      <c r="A2325" t="str">
        <f t="shared" si="108"/>
        <v/>
      </c>
      <c r="B2325" t="str">
        <f t="shared" si="109"/>
        <v/>
      </c>
      <c r="C2325" t="str">
        <f t="shared" si="110"/>
        <v/>
      </c>
    </row>
    <row r="2326" spans="1:3" x14ac:dyDescent="0.4">
      <c r="A2326" t="str">
        <f t="shared" si="108"/>
        <v/>
      </c>
      <c r="B2326" t="str">
        <f t="shared" si="109"/>
        <v/>
      </c>
      <c r="C2326" t="str">
        <f t="shared" si="110"/>
        <v/>
      </c>
    </row>
    <row r="2327" spans="1:3" x14ac:dyDescent="0.4">
      <c r="A2327" t="str">
        <f t="shared" si="108"/>
        <v/>
      </c>
      <c r="B2327" t="str">
        <f t="shared" si="109"/>
        <v/>
      </c>
      <c r="C2327" t="str">
        <f t="shared" si="110"/>
        <v/>
      </c>
    </row>
    <row r="2328" spans="1:3" x14ac:dyDescent="0.4">
      <c r="A2328" t="str">
        <f t="shared" si="108"/>
        <v/>
      </c>
      <c r="B2328" t="str">
        <f t="shared" si="109"/>
        <v/>
      </c>
      <c r="C2328" t="str">
        <f t="shared" si="110"/>
        <v/>
      </c>
    </row>
    <row r="2329" spans="1:3" x14ac:dyDescent="0.4">
      <c r="A2329" t="str">
        <f t="shared" si="108"/>
        <v/>
      </c>
      <c r="B2329" t="str">
        <f t="shared" si="109"/>
        <v/>
      </c>
      <c r="C2329" t="str">
        <f t="shared" si="110"/>
        <v/>
      </c>
    </row>
    <row r="2330" spans="1:3" x14ac:dyDescent="0.4">
      <c r="A2330" t="str">
        <f t="shared" si="108"/>
        <v/>
      </c>
      <c r="B2330" t="str">
        <f t="shared" si="109"/>
        <v/>
      </c>
      <c r="C2330" t="str">
        <f t="shared" si="110"/>
        <v/>
      </c>
    </row>
    <row r="2331" spans="1:3" x14ac:dyDescent="0.4">
      <c r="A2331" t="str">
        <f t="shared" si="108"/>
        <v/>
      </c>
      <c r="B2331" t="str">
        <f t="shared" si="109"/>
        <v/>
      </c>
      <c r="C2331" t="str">
        <f t="shared" si="110"/>
        <v/>
      </c>
    </row>
    <row r="2332" spans="1:3" x14ac:dyDescent="0.4">
      <c r="A2332" t="str">
        <f t="shared" si="108"/>
        <v/>
      </c>
      <c r="B2332" t="str">
        <f t="shared" si="109"/>
        <v/>
      </c>
      <c r="C2332" t="str">
        <f t="shared" si="110"/>
        <v/>
      </c>
    </row>
    <row r="2333" spans="1:3" x14ac:dyDescent="0.4">
      <c r="A2333" t="str">
        <f t="shared" si="108"/>
        <v/>
      </c>
      <c r="B2333" t="str">
        <f t="shared" si="109"/>
        <v/>
      </c>
      <c r="C2333" t="str">
        <f t="shared" si="110"/>
        <v/>
      </c>
    </row>
    <row r="2334" spans="1:3" x14ac:dyDescent="0.4">
      <c r="A2334" t="str">
        <f t="shared" si="108"/>
        <v/>
      </c>
      <c r="B2334" t="str">
        <f t="shared" si="109"/>
        <v/>
      </c>
      <c r="C2334" t="str">
        <f t="shared" si="110"/>
        <v/>
      </c>
    </row>
    <row r="2335" spans="1:3" x14ac:dyDescent="0.4">
      <c r="A2335" t="str">
        <f t="shared" si="108"/>
        <v/>
      </c>
      <c r="B2335" t="str">
        <f t="shared" si="109"/>
        <v/>
      </c>
      <c r="C2335" t="str">
        <f t="shared" si="110"/>
        <v/>
      </c>
    </row>
    <row r="2336" spans="1:3" x14ac:dyDescent="0.4">
      <c r="A2336" t="str">
        <f t="shared" si="108"/>
        <v/>
      </c>
      <c r="B2336" t="str">
        <f t="shared" si="109"/>
        <v/>
      </c>
      <c r="C2336" t="str">
        <f t="shared" si="110"/>
        <v/>
      </c>
    </row>
    <row r="2337" spans="1:3" x14ac:dyDescent="0.4">
      <c r="A2337" t="str">
        <f t="shared" si="108"/>
        <v/>
      </c>
      <c r="B2337" t="str">
        <f t="shared" si="109"/>
        <v/>
      </c>
      <c r="C2337" t="str">
        <f t="shared" si="110"/>
        <v/>
      </c>
    </row>
    <row r="2338" spans="1:3" x14ac:dyDescent="0.4">
      <c r="A2338" t="str">
        <f t="shared" si="108"/>
        <v/>
      </c>
      <c r="B2338" t="str">
        <f t="shared" si="109"/>
        <v/>
      </c>
      <c r="C2338" t="str">
        <f t="shared" si="110"/>
        <v/>
      </c>
    </row>
    <row r="2339" spans="1:3" x14ac:dyDescent="0.4">
      <c r="A2339" t="str">
        <f t="shared" si="108"/>
        <v/>
      </c>
      <c r="B2339" t="str">
        <f t="shared" si="109"/>
        <v/>
      </c>
      <c r="C2339" t="str">
        <f t="shared" si="110"/>
        <v/>
      </c>
    </row>
    <row r="2340" spans="1:3" x14ac:dyDescent="0.4">
      <c r="A2340" t="str">
        <f t="shared" si="108"/>
        <v/>
      </c>
      <c r="B2340" t="str">
        <f t="shared" si="109"/>
        <v/>
      </c>
      <c r="C2340" t="str">
        <f t="shared" si="110"/>
        <v/>
      </c>
    </row>
    <row r="2341" spans="1:3" x14ac:dyDescent="0.4">
      <c r="A2341" t="str">
        <f t="shared" si="108"/>
        <v/>
      </c>
      <c r="B2341" t="str">
        <f t="shared" si="109"/>
        <v/>
      </c>
      <c r="C2341" t="str">
        <f t="shared" si="110"/>
        <v/>
      </c>
    </row>
    <row r="2342" spans="1:3" x14ac:dyDescent="0.4">
      <c r="A2342" t="str">
        <f t="shared" si="108"/>
        <v/>
      </c>
      <c r="B2342" t="str">
        <f t="shared" si="109"/>
        <v/>
      </c>
      <c r="C2342" t="str">
        <f t="shared" si="110"/>
        <v/>
      </c>
    </row>
    <row r="2343" spans="1:3" x14ac:dyDescent="0.4">
      <c r="A2343" t="str">
        <f t="shared" si="108"/>
        <v/>
      </c>
      <c r="B2343" t="str">
        <f t="shared" si="109"/>
        <v/>
      </c>
      <c r="C2343" t="str">
        <f t="shared" si="110"/>
        <v/>
      </c>
    </row>
    <row r="2344" spans="1:3" x14ac:dyDescent="0.4">
      <c r="A2344" t="str">
        <f t="shared" si="108"/>
        <v/>
      </c>
      <c r="B2344" t="str">
        <f t="shared" si="109"/>
        <v/>
      </c>
      <c r="C2344" t="str">
        <f t="shared" si="110"/>
        <v/>
      </c>
    </row>
    <row r="2345" spans="1:3" x14ac:dyDescent="0.4">
      <c r="A2345" t="str">
        <f t="shared" si="108"/>
        <v/>
      </c>
      <c r="B2345" t="str">
        <f t="shared" si="109"/>
        <v/>
      </c>
      <c r="C2345" t="str">
        <f t="shared" si="110"/>
        <v/>
      </c>
    </row>
    <row r="2346" spans="1:3" x14ac:dyDescent="0.4">
      <c r="A2346" t="str">
        <f t="shared" si="108"/>
        <v/>
      </c>
      <c r="B2346" t="str">
        <f t="shared" si="109"/>
        <v/>
      </c>
      <c r="C2346" t="str">
        <f t="shared" si="110"/>
        <v/>
      </c>
    </row>
    <row r="2347" spans="1:3" x14ac:dyDescent="0.4">
      <c r="A2347" t="str">
        <f t="shared" si="108"/>
        <v/>
      </c>
      <c r="B2347" t="str">
        <f t="shared" si="109"/>
        <v/>
      </c>
      <c r="C2347" t="str">
        <f t="shared" si="110"/>
        <v/>
      </c>
    </row>
    <row r="2348" spans="1:3" x14ac:dyDescent="0.4">
      <c r="A2348" t="str">
        <f t="shared" si="108"/>
        <v/>
      </c>
      <c r="B2348" t="str">
        <f t="shared" si="109"/>
        <v/>
      </c>
      <c r="C2348" t="str">
        <f t="shared" si="110"/>
        <v/>
      </c>
    </row>
    <row r="2349" spans="1:3" x14ac:dyDescent="0.4">
      <c r="A2349" t="str">
        <f t="shared" si="108"/>
        <v/>
      </c>
      <c r="B2349" t="str">
        <f t="shared" si="109"/>
        <v/>
      </c>
      <c r="C2349" t="str">
        <f t="shared" si="110"/>
        <v/>
      </c>
    </row>
    <row r="2350" spans="1:3" x14ac:dyDescent="0.4">
      <c r="A2350" t="str">
        <f t="shared" si="108"/>
        <v/>
      </c>
      <c r="B2350" t="str">
        <f t="shared" si="109"/>
        <v/>
      </c>
      <c r="C2350" t="str">
        <f t="shared" si="110"/>
        <v/>
      </c>
    </row>
    <row r="2351" spans="1:3" x14ac:dyDescent="0.4">
      <c r="A2351" t="str">
        <f t="shared" si="108"/>
        <v/>
      </c>
      <c r="B2351" t="str">
        <f t="shared" si="109"/>
        <v/>
      </c>
      <c r="C2351" t="str">
        <f t="shared" si="110"/>
        <v/>
      </c>
    </row>
    <row r="2352" spans="1:3" x14ac:dyDescent="0.4">
      <c r="A2352" t="str">
        <f t="shared" si="108"/>
        <v/>
      </c>
      <c r="B2352" t="str">
        <f t="shared" si="109"/>
        <v/>
      </c>
      <c r="C2352" t="str">
        <f t="shared" si="110"/>
        <v/>
      </c>
    </row>
    <row r="2353" spans="1:3" x14ac:dyDescent="0.4">
      <c r="A2353" t="str">
        <f t="shared" si="108"/>
        <v/>
      </c>
      <c r="B2353" t="str">
        <f t="shared" si="109"/>
        <v/>
      </c>
      <c r="C2353" t="str">
        <f t="shared" si="110"/>
        <v/>
      </c>
    </row>
    <row r="2354" spans="1:3" x14ac:dyDescent="0.4">
      <c r="A2354" t="str">
        <f t="shared" si="108"/>
        <v/>
      </c>
      <c r="B2354" t="str">
        <f t="shared" si="109"/>
        <v/>
      </c>
      <c r="C2354" t="str">
        <f t="shared" si="110"/>
        <v/>
      </c>
    </row>
    <row r="2355" spans="1:3" x14ac:dyDescent="0.4">
      <c r="A2355" t="str">
        <f t="shared" si="108"/>
        <v/>
      </c>
      <c r="B2355" t="str">
        <f t="shared" si="109"/>
        <v/>
      </c>
      <c r="C2355" t="str">
        <f t="shared" si="110"/>
        <v/>
      </c>
    </row>
    <row r="2356" spans="1:3" x14ac:dyDescent="0.4">
      <c r="A2356" t="str">
        <f t="shared" si="108"/>
        <v/>
      </c>
      <c r="B2356" t="str">
        <f t="shared" si="109"/>
        <v/>
      </c>
      <c r="C2356" t="str">
        <f t="shared" si="110"/>
        <v/>
      </c>
    </row>
    <row r="2357" spans="1:3" x14ac:dyDescent="0.4">
      <c r="A2357" t="str">
        <f t="shared" si="108"/>
        <v/>
      </c>
      <c r="B2357" t="str">
        <f t="shared" si="109"/>
        <v/>
      </c>
      <c r="C2357" t="str">
        <f t="shared" si="110"/>
        <v/>
      </c>
    </row>
    <row r="2358" spans="1:3" x14ac:dyDescent="0.4">
      <c r="A2358" t="str">
        <f t="shared" si="108"/>
        <v/>
      </c>
      <c r="B2358" t="str">
        <f t="shared" si="109"/>
        <v/>
      </c>
      <c r="C2358" t="str">
        <f t="shared" si="110"/>
        <v/>
      </c>
    </row>
    <row r="2359" spans="1:3" x14ac:dyDescent="0.4">
      <c r="A2359" t="str">
        <f t="shared" si="108"/>
        <v/>
      </c>
      <c r="B2359" t="str">
        <f t="shared" si="109"/>
        <v/>
      </c>
      <c r="C2359" t="str">
        <f t="shared" si="110"/>
        <v/>
      </c>
    </row>
    <row r="2360" spans="1:3" x14ac:dyDescent="0.4">
      <c r="A2360" t="str">
        <f t="shared" si="108"/>
        <v/>
      </c>
      <c r="B2360" t="str">
        <f t="shared" si="109"/>
        <v/>
      </c>
      <c r="C2360" t="str">
        <f t="shared" si="110"/>
        <v/>
      </c>
    </row>
    <row r="2361" spans="1:3" x14ac:dyDescent="0.4">
      <c r="A2361" t="str">
        <f t="shared" si="108"/>
        <v/>
      </c>
      <c r="B2361" t="str">
        <f t="shared" si="109"/>
        <v/>
      </c>
      <c r="C2361" t="str">
        <f t="shared" si="110"/>
        <v/>
      </c>
    </row>
    <row r="2362" spans="1:3" x14ac:dyDescent="0.4">
      <c r="A2362" t="str">
        <f t="shared" si="108"/>
        <v/>
      </c>
      <c r="B2362" t="str">
        <f t="shared" si="109"/>
        <v/>
      </c>
      <c r="C2362" t="str">
        <f t="shared" si="110"/>
        <v/>
      </c>
    </row>
    <row r="2363" spans="1:3" x14ac:dyDescent="0.4">
      <c r="A2363" t="str">
        <f t="shared" si="108"/>
        <v/>
      </c>
      <c r="B2363" t="str">
        <f t="shared" si="109"/>
        <v/>
      </c>
      <c r="C2363" t="str">
        <f t="shared" si="110"/>
        <v/>
      </c>
    </row>
    <row r="2364" spans="1:3" x14ac:dyDescent="0.4">
      <c r="A2364" t="str">
        <f t="shared" si="108"/>
        <v/>
      </c>
      <c r="B2364" t="str">
        <f t="shared" si="109"/>
        <v/>
      </c>
      <c r="C2364" t="str">
        <f t="shared" si="110"/>
        <v/>
      </c>
    </row>
    <row r="2365" spans="1:3" x14ac:dyDescent="0.4">
      <c r="A2365" t="str">
        <f t="shared" si="108"/>
        <v/>
      </c>
      <c r="B2365" t="str">
        <f t="shared" si="109"/>
        <v/>
      </c>
      <c r="C2365" t="str">
        <f t="shared" si="110"/>
        <v/>
      </c>
    </row>
    <row r="2366" spans="1:3" x14ac:dyDescent="0.4">
      <c r="A2366" t="str">
        <f t="shared" si="108"/>
        <v/>
      </c>
      <c r="B2366" t="str">
        <f t="shared" si="109"/>
        <v/>
      </c>
      <c r="C2366" t="str">
        <f t="shared" si="110"/>
        <v/>
      </c>
    </row>
    <row r="2367" spans="1:3" x14ac:dyDescent="0.4">
      <c r="A2367" t="str">
        <f t="shared" si="108"/>
        <v/>
      </c>
      <c r="B2367" t="str">
        <f t="shared" si="109"/>
        <v/>
      </c>
      <c r="C2367" t="str">
        <f t="shared" si="110"/>
        <v/>
      </c>
    </row>
    <row r="2368" spans="1:3" x14ac:dyDescent="0.4">
      <c r="A2368" t="str">
        <f t="shared" si="108"/>
        <v/>
      </c>
      <c r="B2368" t="str">
        <f t="shared" si="109"/>
        <v/>
      </c>
      <c r="C2368" t="str">
        <f t="shared" si="110"/>
        <v/>
      </c>
    </row>
    <row r="2369" spans="1:3" x14ac:dyDescent="0.4">
      <c r="A2369" t="str">
        <f t="shared" si="108"/>
        <v/>
      </c>
      <c r="B2369" t="str">
        <f t="shared" si="109"/>
        <v/>
      </c>
      <c r="C2369" t="str">
        <f t="shared" si="110"/>
        <v/>
      </c>
    </row>
    <row r="2370" spans="1:3" x14ac:dyDescent="0.4">
      <c r="A2370" t="str">
        <f t="shared" si="108"/>
        <v/>
      </c>
      <c r="B2370" t="str">
        <f t="shared" si="109"/>
        <v/>
      </c>
      <c r="C2370" t="str">
        <f t="shared" si="110"/>
        <v/>
      </c>
    </row>
    <row r="2371" spans="1:3" x14ac:dyDescent="0.4">
      <c r="A2371" t="str">
        <f t="shared" ref="A2371:A2434" si="111">IF($F2371="","",$F2371&amp;"|"&amp;$H2371)</f>
        <v/>
      </c>
      <c r="B2371" t="str">
        <f t="shared" ref="B2371:B2434" si="112">IF(F2371&lt;&gt;"",F2371,"")</f>
        <v/>
      </c>
      <c r="C2371" t="str">
        <f t="shared" ref="C2371:C2434" si="113">IF(H2371&lt;&gt;"", H2371, "")</f>
        <v/>
      </c>
    </row>
    <row r="2372" spans="1:3" x14ac:dyDescent="0.4">
      <c r="A2372" t="str">
        <f t="shared" si="111"/>
        <v/>
      </c>
      <c r="B2372" t="str">
        <f t="shared" si="112"/>
        <v/>
      </c>
      <c r="C2372" t="str">
        <f t="shared" si="113"/>
        <v/>
      </c>
    </row>
    <row r="2373" spans="1:3" x14ac:dyDescent="0.4">
      <c r="A2373" t="str">
        <f t="shared" si="111"/>
        <v/>
      </c>
      <c r="B2373" t="str">
        <f t="shared" si="112"/>
        <v/>
      </c>
      <c r="C2373" t="str">
        <f t="shared" si="113"/>
        <v/>
      </c>
    </row>
    <row r="2374" spans="1:3" x14ac:dyDescent="0.4">
      <c r="A2374" t="str">
        <f t="shared" si="111"/>
        <v/>
      </c>
      <c r="B2374" t="str">
        <f t="shared" si="112"/>
        <v/>
      </c>
      <c r="C2374" t="str">
        <f t="shared" si="113"/>
        <v/>
      </c>
    </row>
    <row r="2375" spans="1:3" x14ac:dyDescent="0.4">
      <c r="A2375" t="str">
        <f t="shared" si="111"/>
        <v/>
      </c>
      <c r="B2375" t="str">
        <f t="shared" si="112"/>
        <v/>
      </c>
      <c r="C2375" t="str">
        <f t="shared" si="113"/>
        <v/>
      </c>
    </row>
    <row r="2376" spans="1:3" x14ac:dyDescent="0.4">
      <c r="A2376" t="str">
        <f t="shared" si="111"/>
        <v/>
      </c>
      <c r="B2376" t="str">
        <f t="shared" si="112"/>
        <v/>
      </c>
      <c r="C2376" t="str">
        <f t="shared" si="113"/>
        <v/>
      </c>
    </row>
    <row r="2377" spans="1:3" x14ac:dyDescent="0.4">
      <c r="A2377" t="str">
        <f t="shared" si="111"/>
        <v/>
      </c>
      <c r="B2377" t="str">
        <f t="shared" si="112"/>
        <v/>
      </c>
      <c r="C2377" t="str">
        <f t="shared" si="113"/>
        <v/>
      </c>
    </row>
    <row r="2378" spans="1:3" x14ac:dyDescent="0.4">
      <c r="A2378" t="str">
        <f t="shared" si="111"/>
        <v/>
      </c>
      <c r="B2378" t="str">
        <f t="shared" si="112"/>
        <v/>
      </c>
      <c r="C2378" t="str">
        <f t="shared" si="113"/>
        <v/>
      </c>
    </row>
    <row r="2379" spans="1:3" x14ac:dyDescent="0.4">
      <c r="A2379" t="str">
        <f t="shared" si="111"/>
        <v/>
      </c>
      <c r="B2379" t="str">
        <f t="shared" si="112"/>
        <v/>
      </c>
      <c r="C2379" t="str">
        <f t="shared" si="113"/>
        <v/>
      </c>
    </row>
    <row r="2380" spans="1:3" x14ac:dyDescent="0.4">
      <c r="A2380" t="str">
        <f t="shared" si="111"/>
        <v/>
      </c>
      <c r="B2380" t="str">
        <f t="shared" si="112"/>
        <v/>
      </c>
      <c r="C2380" t="str">
        <f t="shared" si="113"/>
        <v/>
      </c>
    </row>
    <row r="2381" spans="1:3" x14ac:dyDescent="0.4">
      <c r="A2381" t="str">
        <f t="shared" si="111"/>
        <v/>
      </c>
      <c r="B2381" t="str">
        <f t="shared" si="112"/>
        <v/>
      </c>
      <c r="C2381" t="str">
        <f t="shared" si="113"/>
        <v/>
      </c>
    </row>
    <row r="2382" spans="1:3" x14ac:dyDescent="0.4">
      <c r="A2382" t="str">
        <f t="shared" si="111"/>
        <v/>
      </c>
      <c r="B2382" t="str">
        <f t="shared" si="112"/>
        <v/>
      </c>
      <c r="C2382" t="str">
        <f t="shared" si="113"/>
        <v/>
      </c>
    </row>
    <row r="2383" spans="1:3" x14ac:dyDescent="0.4">
      <c r="A2383" t="str">
        <f t="shared" si="111"/>
        <v/>
      </c>
      <c r="B2383" t="str">
        <f t="shared" si="112"/>
        <v/>
      </c>
      <c r="C2383" t="str">
        <f t="shared" si="113"/>
        <v/>
      </c>
    </row>
    <row r="2384" spans="1:3" x14ac:dyDescent="0.4">
      <c r="A2384" t="str">
        <f t="shared" si="111"/>
        <v/>
      </c>
      <c r="B2384" t="str">
        <f t="shared" si="112"/>
        <v/>
      </c>
      <c r="C2384" t="str">
        <f t="shared" si="113"/>
        <v/>
      </c>
    </row>
    <row r="2385" spans="1:3" x14ac:dyDescent="0.4">
      <c r="A2385" t="str">
        <f t="shared" si="111"/>
        <v/>
      </c>
      <c r="B2385" t="str">
        <f t="shared" si="112"/>
        <v/>
      </c>
      <c r="C2385" t="str">
        <f t="shared" si="113"/>
        <v/>
      </c>
    </row>
    <row r="2386" spans="1:3" x14ac:dyDescent="0.4">
      <c r="A2386" t="str">
        <f t="shared" si="111"/>
        <v/>
      </c>
      <c r="B2386" t="str">
        <f t="shared" si="112"/>
        <v/>
      </c>
      <c r="C2386" t="str">
        <f t="shared" si="113"/>
        <v/>
      </c>
    </row>
    <row r="2387" spans="1:3" x14ac:dyDescent="0.4">
      <c r="A2387" t="str">
        <f t="shared" si="111"/>
        <v/>
      </c>
      <c r="B2387" t="str">
        <f t="shared" si="112"/>
        <v/>
      </c>
      <c r="C2387" t="str">
        <f t="shared" si="113"/>
        <v/>
      </c>
    </row>
    <row r="2388" spans="1:3" x14ac:dyDescent="0.4">
      <c r="A2388" t="str">
        <f t="shared" si="111"/>
        <v/>
      </c>
      <c r="B2388" t="str">
        <f t="shared" si="112"/>
        <v/>
      </c>
      <c r="C2388" t="str">
        <f t="shared" si="113"/>
        <v/>
      </c>
    </row>
    <row r="2389" spans="1:3" x14ac:dyDescent="0.4">
      <c r="A2389" t="str">
        <f t="shared" si="111"/>
        <v/>
      </c>
      <c r="B2389" t="str">
        <f t="shared" si="112"/>
        <v/>
      </c>
      <c r="C2389" t="str">
        <f t="shared" si="113"/>
        <v/>
      </c>
    </row>
    <row r="2390" spans="1:3" x14ac:dyDescent="0.4">
      <c r="A2390" t="str">
        <f t="shared" si="111"/>
        <v/>
      </c>
      <c r="B2390" t="str">
        <f t="shared" si="112"/>
        <v/>
      </c>
      <c r="C2390" t="str">
        <f t="shared" si="113"/>
        <v/>
      </c>
    </row>
    <row r="2391" spans="1:3" x14ac:dyDescent="0.4">
      <c r="A2391" t="str">
        <f t="shared" si="111"/>
        <v/>
      </c>
      <c r="B2391" t="str">
        <f t="shared" si="112"/>
        <v/>
      </c>
      <c r="C2391" t="str">
        <f t="shared" si="113"/>
        <v/>
      </c>
    </row>
    <row r="2392" spans="1:3" x14ac:dyDescent="0.4">
      <c r="A2392" t="str">
        <f t="shared" si="111"/>
        <v/>
      </c>
      <c r="B2392" t="str">
        <f t="shared" si="112"/>
        <v/>
      </c>
      <c r="C2392" t="str">
        <f t="shared" si="113"/>
        <v/>
      </c>
    </row>
    <row r="2393" spans="1:3" x14ac:dyDescent="0.4">
      <c r="A2393" t="str">
        <f t="shared" si="111"/>
        <v/>
      </c>
      <c r="B2393" t="str">
        <f t="shared" si="112"/>
        <v/>
      </c>
      <c r="C2393" t="str">
        <f t="shared" si="113"/>
        <v/>
      </c>
    </row>
    <row r="2394" spans="1:3" x14ac:dyDescent="0.4">
      <c r="A2394" t="str">
        <f t="shared" si="111"/>
        <v/>
      </c>
      <c r="B2394" t="str">
        <f t="shared" si="112"/>
        <v/>
      </c>
      <c r="C2394" t="str">
        <f t="shared" si="113"/>
        <v/>
      </c>
    </row>
    <row r="2395" spans="1:3" x14ac:dyDescent="0.4">
      <c r="A2395" t="str">
        <f t="shared" si="111"/>
        <v/>
      </c>
      <c r="B2395" t="str">
        <f t="shared" si="112"/>
        <v/>
      </c>
      <c r="C2395" t="str">
        <f t="shared" si="113"/>
        <v/>
      </c>
    </row>
    <row r="2396" spans="1:3" x14ac:dyDescent="0.4">
      <c r="A2396" t="str">
        <f t="shared" si="111"/>
        <v/>
      </c>
      <c r="B2396" t="str">
        <f t="shared" si="112"/>
        <v/>
      </c>
      <c r="C2396" t="str">
        <f t="shared" si="113"/>
        <v/>
      </c>
    </row>
    <row r="2397" spans="1:3" x14ac:dyDescent="0.4">
      <c r="A2397" t="str">
        <f t="shared" si="111"/>
        <v/>
      </c>
      <c r="B2397" t="str">
        <f t="shared" si="112"/>
        <v/>
      </c>
      <c r="C2397" t="str">
        <f t="shared" si="113"/>
        <v/>
      </c>
    </row>
    <row r="2398" spans="1:3" x14ac:dyDescent="0.4">
      <c r="A2398" t="str">
        <f t="shared" si="111"/>
        <v/>
      </c>
      <c r="B2398" t="str">
        <f t="shared" si="112"/>
        <v/>
      </c>
      <c r="C2398" t="str">
        <f t="shared" si="113"/>
        <v/>
      </c>
    </row>
    <row r="2399" spans="1:3" x14ac:dyDescent="0.4">
      <c r="A2399" t="str">
        <f t="shared" si="111"/>
        <v/>
      </c>
      <c r="B2399" t="str">
        <f t="shared" si="112"/>
        <v/>
      </c>
      <c r="C2399" t="str">
        <f t="shared" si="113"/>
        <v/>
      </c>
    </row>
    <row r="2400" spans="1:3" x14ac:dyDescent="0.4">
      <c r="A2400" t="str">
        <f t="shared" si="111"/>
        <v/>
      </c>
      <c r="B2400" t="str">
        <f t="shared" si="112"/>
        <v/>
      </c>
      <c r="C2400" t="str">
        <f t="shared" si="113"/>
        <v/>
      </c>
    </row>
    <row r="2401" spans="1:3" x14ac:dyDescent="0.4">
      <c r="A2401" t="str">
        <f t="shared" si="111"/>
        <v/>
      </c>
      <c r="B2401" t="str">
        <f t="shared" si="112"/>
        <v/>
      </c>
      <c r="C2401" t="str">
        <f t="shared" si="113"/>
        <v/>
      </c>
    </row>
    <row r="2402" spans="1:3" x14ac:dyDescent="0.4">
      <c r="A2402" t="str">
        <f t="shared" si="111"/>
        <v/>
      </c>
      <c r="B2402" t="str">
        <f t="shared" si="112"/>
        <v/>
      </c>
      <c r="C2402" t="str">
        <f t="shared" si="113"/>
        <v/>
      </c>
    </row>
    <row r="2403" spans="1:3" x14ac:dyDescent="0.4">
      <c r="A2403" t="str">
        <f t="shared" si="111"/>
        <v/>
      </c>
      <c r="B2403" t="str">
        <f t="shared" si="112"/>
        <v/>
      </c>
      <c r="C2403" t="str">
        <f t="shared" si="113"/>
        <v/>
      </c>
    </row>
    <row r="2404" spans="1:3" x14ac:dyDescent="0.4">
      <c r="A2404" t="str">
        <f t="shared" si="111"/>
        <v/>
      </c>
      <c r="B2404" t="str">
        <f t="shared" si="112"/>
        <v/>
      </c>
      <c r="C2404" t="str">
        <f t="shared" si="113"/>
        <v/>
      </c>
    </row>
    <row r="2405" spans="1:3" x14ac:dyDescent="0.4">
      <c r="A2405" t="str">
        <f t="shared" si="111"/>
        <v/>
      </c>
      <c r="B2405" t="str">
        <f t="shared" si="112"/>
        <v/>
      </c>
      <c r="C2405" t="str">
        <f t="shared" si="113"/>
        <v/>
      </c>
    </row>
    <row r="2406" spans="1:3" x14ac:dyDescent="0.4">
      <c r="A2406" t="str">
        <f t="shared" si="111"/>
        <v/>
      </c>
      <c r="B2406" t="str">
        <f t="shared" si="112"/>
        <v/>
      </c>
      <c r="C2406" t="str">
        <f t="shared" si="113"/>
        <v/>
      </c>
    </row>
    <row r="2407" spans="1:3" x14ac:dyDescent="0.4">
      <c r="A2407" t="str">
        <f t="shared" si="111"/>
        <v/>
      </c>
      <c r="B2407" t="str">
        <f t="shared" si="112"/>
        <v/>
      </c>
      <c r="C2407" t="str">
        <f t="shared" si="113"/>
        <v/>
      </c>
    </row>
    <row r="2408" spans="1:3" x14ac:dyDescent="0.4">
      <c r="A2408" t="str">
        <f t="shared" si="111"/>
        <v/>
      </c>
      <c r="B2408" t="str">
        <f t="shared" si="112"/>
        <v/>
      </c>
      <c r="C2408" t="str">
        <f t="shared" si="113"/>
        <v/>
      </c>
    </row>
    <row r="2409" spans="1:3" x14ac:dyDescent="0.4">
      <c r="A2409" t="str">
        <f t="shared" si="111"/>
        <v/>
      </c>
      <c r="B2409" t="str">
        <f t="shared" si="112"/>
        <v/>
      </c>
      <c r="C2409" t="str">
        <f t="shared" si="113"/>
        <v/>
      </c>
    </row>
    <row r="2410" spans="1:3" x14ac:dyDescent="0.4">
      <c r="A2410" t="str">
        <f t="shared" si="111"/>
        <v/>
      </c>
      <c r="B2410" t="str">
        <f t="shared" si="112"/>
        <v/>
      </c>
      <c r="C2410" t="str">
        <f t="shared" si="113"/>
        <v/>
      </c>
    </row>
    <row r="2411" spans="1:3" x14ac:dyDescent="0.4">
      <c r="A2411" t="str">
        <f t="shared" si="111"/>
        <v/>
      </c>
      <c r="B2411" t="str">
        <f t="shared" si="112"/>
        <v/>
      </c>
      <c r="C2411" t="str">
        <f t="shared" si="113"/>
        <v/>
      </c>
    </row>
    <row r="2412" spans="1:3" x14ac:dyDescent="0.4">
      <c r="A2412" t="str">
        <f t="shared" si="111"/>
        <v/>
      </c>
      <c r="B2412" t="str">
        <f t="shared" si="112"/>
        <v/>
      </c>
      <c r="C2412" t="str">
        <f t="shared" si="113"/>
        <v/>
      </c>
    </row>
    <row r="2413" spans="1:3" x14ac:dyDescent="0.4">
      <c r="A2413" t="str">
        <f t="shared" si="111"/>
        <v/>
      </c>
      <c r="B2413" t="str">
        <f t="shared" si="112"/>
        <v/>
      </c>
      <c r="C2413" t="str">
        <f t="shared" si="113"/>
        <v/>
      </c>
    </row>
    <row r="2414" spans="1:3" x14ac:dyDescent="0.4">
      <c r="A2414" t="str">
        <f t="shared" si="111"/>
        <v/>
      </c>
      <c r="B2414" t="str">
        <f t="shared" si="112"/>
        <v/>
      </c>
      <c r="C2414" t="str">
        <f t="shared" si="113"/>
        <v/>
      </c>
    </row>
    <row r="2415" spans="1:3" x14ac:dyDescent="0.4">
      <c r="A2415" t="str">
        <f t="shared" si="111"/>
        <v/>
      </c>
      <c r="B2415" t="str">
        <f t="shared" si="112"/>
        <v/>
      </c>
      <c r="C2415" t="str">
        <f t="shared" si="113"/>
        <v/>
      </c>
    </row>
    <row r="2416" spans="1:3" x14ac:dyDescent="0.4">
      <c r="A2416" t="str">
        <f t="shared" si="111"/>
        <v/>
      </c>
      <c r="B2416" t="str">
        <f t="shared" si="112"/>
        <v/>
      </c>
      <c r="C2416" t="str">
        <f t="shared" si="113"/>
        <v/>
      </c>
    </row>
    <row r="2417" spans="1:3" x14ac:dyDescent="0.4">
      <c r="A2417" t="str">
        <f t="shared" si="111"/>
        <v/>
      </c>
      <c r="B2417" t="str">
        <f t="shared" si="112"/>
        <v/>
      </c>
      <c r="C2417" t="str">
        <f t="shared" si="113"/>
        <v/>
      </c>
    </row>
    <row r="2418" spans="1:3" x14ac:dyDescent="0.4">
      <c r="A2418" t="str">
        <f t="shared" si="111"/>
        <v/>
      </c>
      <c r="B2418" t="str">
        <f t="shared" si="112"/>
        <v/>
      </c>
      <c r="C2418" t="str">
        <f t="shared" si="113"/>
        <v/>
      </c>
    </row>
    <row r="2419" spans="1:3" x14ac:dyDescent="0.4">
      <c r="A2419" t="str">
        <f t="shared" si="111"/>
        <v/>
      </c>
      <c r="B2419" t="str">
        <f t="shared" si="112"/>
        <v/>
      </c>
      <c r="C2419" t="str">
        <f t="shared" si="113"/>
        <v/>
      </c>
    </row>
    <row r="2420" spans="1:3" x14ac:dyDescent="0.4">
      <c r="A2420" t="str">
        <f t="shared" si="111"/>
        <v/>
      </c>
      <c r="B2420" t="str">
        <f t="shared" si="112"/>
        <v/>
      </c>
      <c r="C2420" t="str">
        <f t="shared" si="113"/>
        <v/>
      </c>
    </row>
    <row r="2421" spans="1:3" x14ac:dyDescent="0.4">
      <c r="A2421" t="str">
        <f t="shared" si="111"/>
        <v/>
      </c>
      <c r="B2421" t="str">
        <f t="shared" si="112"/>
        <v/>
      </c>
      <c r="C2421" t="str">
        <f t="shared" si="113"/>
        <v/>
      </c>
    </row>
    <row r="2422" spans="1:3" x14ac:dyDescent="0.4">
      <c r="A2422" t="str">
        <f t="shared" si="111"/>
        <v/>
      </c>
      <c r="B2422" t="str">
        <f t="shared" si="112"/>
        <v/>
      </c>
      <c r="C2422" t="str">
        <f t="shared" si="113"/>
        <v/>
      </c>
    </row>
    <row r="2423" spans="1:3" x14ac:dyDescent="0.4">
      <c r="A2423" t="str">
        <f t="shared" si="111"/>
        <v/>
      </c>
      <c r="B2423" t="str">
        <f t="shared" si="112"/>
        <v/>
      </c>
      <c r="C2423" t="str">
        <f t="shared" si="113"/>
        <v/>
      </c>
    </row>
    <row r="2424" spans="1:3" x14ac:dyDescent="0.4">
      <c r="A2424" t="str">
        <f t="shared" si="111"/>
        <v/>
      </c>
      <c r="B2424" t="str">
        <f t="shared" si="112"/>
        <v/>
      </c>
      <c r="C2424" t="str">
        <f t="shared" si="113"/>
        <v/>
      </c>
    </row>
    <row r="2425" spans="1:3" x14ac:dyDescent="0.4">
      <c r="A2425" t="str">
        <f t="shared" si="111"/>
        <v/>
      </c>
      <c r="B2425" t="str">
        <f t="shared" si="112"/>
        <v/>
      </c>
      <c r="C2425" t="str">
        <f t="shared" si="113"/>
        <v/>
      </c>
    </row>
    <row r="2426" spans="1:3" x14ac:dyDescent="0.4">
      <c r="A2426" t="str">
        <f t="shared" si="111"/>
        <v/>
      </c>
      <c r="B2426" t="str">
        <f t="shared" si="112"/>
        <v/>
      </c>
      <c r="C2426" t="str">
        <f t="shared" si="113"/>
        <v/>
      </c>
    </row>
    <row r="2427" spans="1:3" x14ac:dyDescent="0.4">
      <c r="A2427" t="str">
        <f t="shared" si="111"/>
        <v/>
      </c>
      <c r="B2427" t="str">
        <f t="shared" si="112"/>
        <v/>
      </c>
      <c r="C2427" t="str">
        <f t="shared" si="113"/>
        <v/>
      </c>
    </row>
    <row r="2428" spans="1:3" x14ac:dyDescent="0.4">
      <c r="A2428" t="str">
        <f t="shared" si="111"/>
        <v/>
      </c>
      <c r="B2428" t="str">
        <f t="shared" si="112"/>
        <v/>
      </c>
      <c r="C2428" t="str">
        <f t="shared" si="113"/>
        <v/>
      </c>
    </row>
    <row r="2429" spans="1:3" x14ac:dyDescent="0.4">
      <c r="A2429" t="str">
        <f t="shared" si="111"/>
        <v/>
      </c>
      <c r="B2429" t="str">
        <f t="shared" si="112"/>
        <v/>
      </c>
      <c r="C2429" t="str">
        <f t="shared" si="113"/>
        <v/>
      </c>
    </row>
    <row r="2430" spans="1:3" x14ac:dyDescent="0.4">
      <c r="A2430" t="str">
        <f t="shared" si="111"/>
        <v/>
      </c>
      <c r="B2430" t="str">
        <f t="shared" si="112"/>
        <v/>
      </c>
      <c r="C2430" t="str">
        <f t="shared" si="113"/>
        <v/>
      </c>
    </row>
    <row r="2431" spans="1:3" x14ac:dyDescent="0.4">
      <c r="A2431" t="str">
        <f t="shared" si="111"/>
        <v/>
      </c>
      <c r="B2431" t="str">
        <f t="shared" si="112"/>
        <v/>
      </c>
      <c r="C2431" t="str">
        <f t="shared" si="113"/>
        <v/>
      </c>
    </row>
    <row r="2432" spans="1:3" x14ac:dyDescent="0.4">
      <c r="A2432" t="str">
        <f t="shared" si="111"/>
        <v/>
      </c>
      <c r="B2432" t="str">
        <f t="shared" si="112"/>
        <v/>
      </c>
      <c r="C2432" t="str">
        <f t="shared" si="113"/>
        <v/>
      </c>
    </row>
    <row r="2433" spans="1:3" x14ac:dyDescent="0.4">
      <c r="A2433" t="str">
        <f t="shared" si="111"/>
        <v/>
      </c>
      <c r="B2433" t="str">
        <f t="shared" si="112"/>
        <v/>
      </c>
      <c r="C2433" t="str">
        <f t="shared" si="113"/>
        <v/>
      </c>
    </row>
    <row r="2434" spans="1:3" x14ac:dyDescent="0.4">
      <c r="A2434" t="str">
        <f t="shared" si="111"/>
        <v/>
      </c>
      <c r="B2434" t="str">
        <f t="shared" si="112"/>
        <v/>
      </c>
      <c r="C2434" t="str">
        <f t="shared" si="113"/>
        <v/>
      </c>
    </row>
    <row r="2435" spans="1:3" x14ac:dyDescent="0.4">
      <c r="A2435" t="str">
        <f t="shared" ref="A2435:A2498" si="114">IF($F2435="","",$F2435&amp;"|"&amp;$H2435)</f>
        <v/>
      </c>
      <c r="B2435" t="str">
        <f t="shared" ref="B2435:B2498" si="115">IF(F2435&lt;&gt;"",F2435,"")</f>
        <v/>
      </c>
      <c r="C2435" t="str">
        <f t="shared" ref="C2435:C2498" si="116">IF(H2435&lt;&gt;"", H2435, "")</f>
        <v/>
      </c>
    </row>
    <row r="2436" spans="1:3" x14ac:dyDescent="0.4">
      <c r="A2436" t="str">
        <f t="shared" si="114"/>
        <v/>
      </c>
      <c r="B2436" t="str">
        <f t="shared" si="115"/>
        <v/>
      </c>
      <c r="C2436" t="str">
        <f t="shared" si="116"/>
        <v/>
      </c>
    </row>
    <row r="2437" spans="1:3" x14ac:dyDescent="0.4">
      <c r="A2437" t="str">
        <f t="shared" si="114"/>
        <v/>
      </c>
      <c r="B2437" t="str">
        <f t="shared" si="115"/>
        <v/>
      </c>
      <c r="C2437" t="str">
        <f t="shared" si="116"/>
        <v/>
      </c>
    </row>
    <row r="2438" spans="1:3" x14ac:dyDescent="0.4">
      <c r="A2438" t="str">
        <f t="shared" si="114"/>
        <v/>
      </c>
      <c r="B2438" t="str">
        <f t="shared" si="115"/>
        <v/>
      </c>
      <c r="C2438" t="str">
        <f t="shared" si="116"/>
        <v/>
      </c>
    </row>
    <row r="2439" spans="1:3" x14ac:dyDescent="0.4">
      <c r="A2439" t="str">
        <f t="shared" si="114"/>
        <v/>
      </c>
      <c r="B2439" t="str">
        <f t="shared" si="115"/>
        <v/>
      </c>
      <c r="C2439" t="str">
        <f t="shared" si="116"/>
        <v/>
      </c>
    </row>
    <row r="2440" spans="1:3" x14ac:dyDescent="0.4">
      <c r="A2440" t="str">
        <f t="shared" si="114"/>
        <v/>
      </c>
      <c r="B2440" t="str">
        <f t="shared" si="115"/>
        <v/>
      </c>
      <c r="C2440" t="str">
        <f t="shared" si="116"/>
        <v/>
      </c>
    </row>
    <row r="2441" spans="1:3" x14ac:dyDescent="0.4">
      <c r="A2441" t="str">
        <f t="shared" si="114"/>
        <v/>
      </c>
      <c r="B2441" t="str">
        <f t="shared" si="115"/>
        <v/>
      </c>
      <c r="C2441" t="str">
        <f t="shared" si="116"/>
        <v/>
      </c>
    </row>
    <row r="2442" spans="1:3" x14ac:dyDescent="0.4">
      <c r="A2442" t="str">
        <f t="shared" si="114"/>
        <v/>
      </c>
      <c r="B2442" t="str">
        <f t="shared" si="115"/>
        <v/>
      </c>
      <c r="C2442" t="str">
        <f t="shared" si="116"/>
        <v/>
      </c>
    </row>
    <row r="2443" spans="1:3" x14ac:dyDescent="0.4">
      <c r="A2443" t="str">
        <f t="shared" si="114"/>
        <v/>
      </c>
      <c r="B2443" t="str">
        <f t="shared" si="115"/>
        <v/>
      </c>
      <c r="C2443" t="str">
        <f t="shared" si="116"/>
        <v/>
      </c>
    </row>
    <row r="2444" spans="1:3" x14ac:dyDescent="0.4">
      <c r="A2444" t="str">
        <f t="shared" si="114"/>
        <v/>
      </c>
      <c r="B2444" t="str">
        <f t="shared" si="115"/>
        <v/>
      </c>
      <c r="C2444" t="str">
        <f t="shared" si="116"/>
        <v/>
      </c>
    </row>
    <row r="2445" spans="1:3" x14ac:dyDescent="0.4">
      <c r="A2445" t="str">
        <f t="shared" si="114"/>
        <v/>
      </c>
      <c r="B2445" t="str">
        <f t="shared" si="115"/>
        <v/>
      </c>
      <c r="C2445" t="str">
        <f t="shared" si="116"/>
        <v/>
      </c>
    </row>
    <row r="2446" spans="1:3" x14ac:dyDescent="0.4">
      <c r="A2446" t="str">
        <f t="shared" si="114"/>
        <v/>
      </c>
      <c r="B2446" t="str">
        <f t="shared" si="115"/>
        <v/>
      </c>
      <c r="C2446" t="str">
        <f t="shared" si="116"/>
        <v/>
      </c>
    </row>
    <row r="2447" spans="1:3" x14ac:dyDescent="0.4">
      <c r="A2447" t="str">
        <f t="shared" si="114"/>
        <v/>
      </c>
      <c r="B2447" t="str">
        <f t="shared" si="115"/>
        <v/>
      </c>
      <c r="C2447" t="str">
        <f t="shared" si="116"/>
        <v/>
      </c>
    </row>
    <row r="2448" spans="1:3" x14ac:dyDescent="0.4">
      <c r="A2448" t="str">
        <f t="shared" si="114"/>
        <v/>
      </c>
      <c r="B2448" t="str">
        <f t="shared" si="115"/>
        <v/>
      </c>
      <c r="C2448" t="str">
        <f t="shared" si="116"/>
        <v/>
      </c>
    </row>
    <row r="2449" spans="1:3" x14ac:dyDescent="0.4">
      <c r="A2449" t="str">
        <f t="shared" si="114"/>
        <v/>
      </c>
      <c r="B2449" t="str">
        <f t="shared" si="115"/>
        <v/>
      </c>
      <c r="C2449" t="str">
        <f t="shared" si="116"/>
        <v/>
      </c>
    </row>
    <row r="2450" spans="1:3" x14ac:dyDescent="0.4">
      <c r="A2450" t="str">
        <f t="shared" si="114"/>
        <v/>
      </c>
      <c r="B2450" t="str">
        <f t="shared" si="115"/>
        <v/>
      </c>
      <c r="C2450" t="str">
        <f t="shared" si="116"/>
        <v/>
      </c>
    </row>
    <row r="2451" spans="1:3" x14ac:dyDescent="0.4">
      <c r="A2451" t="str">
        <f t="shared" si="114"/>
        <v/>
      </c>
      <c r="B2451" t="str">
        <f t="shared" si="115"/>
        <v/>
      </c>
      <c r="C2451" t="str">
        <f t="shared" si="116"/>
        <v/>
      </c>
    </row>
    <row r="2452" spans="1:3" x14ac:dyDescent="0.4">
      <c r="A2452" t="str">
        <f t="shared" si="114"/>
        <v/>
      </c>
      <c r="B2452" t="str">
        <f t="shared" si="115"/>
        <v/>
      </c>
      <c r="C2452" t="str">
        <f t="shared" si="116"/>
        <v/>
      </c>
    </row>
    <row r="2453" spans="1:3" x14ac:dyDescent="0.4">
      <c r="A2453" t="str">
        <f t="shared" si="114"/>
        <v/>
      </c>
      <c r="B2453" t="str">
        <f t="shared" si="115"/>
        <v/>
      </c>
      <c r="C2453" t="str">
        <f t="shared" si="116"/>
        <v/>
      </c>
    </row>
    <row r="2454" spans="1:3" x14ac:dyDescent="0.4">
      <c r="A2454" t="str">
        <f t="shared" si="114"/>
        <v/>
      </c>
      <c r="B2454" t="str">
        <f t="shared" si="115"/>
        <v/>
      </c>
      <c r="C2454" t="str">
        <f t="shared" si="116"/>
        <v/>
      </c>
    </row>
    <row r="2455" spans="1:3" x14ac:dyDescent="0.4">
      <c r="A2455" t="str">
        <f t="shared" si="114"/>
        <v/>
      </c>
      <c r="B2455" t="str">
        <f t="shared" si="115"/>
        <v/>
      </c>
      <c r="C2455" t="str">
        <f t="shared" si="116"/>
        <v/>
      </c>
    </row>
    <row r="2456" spans="1:3" x14ac:dyDescent="0.4">
      <c r="A2456" t="str">
        <f t="shared" si="114"/>
        <v/>
      </c>
      <c r="B2456" t="str">
        <f t="shared" si="115"/>
        <v/>
      </c>
      <c r="C2456" t="str">
        <f t="shared" si="116"/>
        <v/>
      </c>
    </row>
    <row r="2457" spans="1:3" x14ac:dyDescent="0.4">
      <c r="A2457" t="str">
        <f t="shared" si="114"/>
        <v/>
      </c>
      <c r="B2457" t="str">
        <f t="shared" si="115"/>
        <v/>
      </c>
      <c r="C2457" t="str">
        <f t="shared" si="116"/>
        <v/>
      </c>
    </row>
    <row r="2458" spans="1:3" x14ac:dyDescent="0.4">
      <c r="A2458" t="str">
        <f t="shared" si="114"/>
        <v/>
      </c>
      <c r="B2458" t="str">
        <f t="shared" si="115"/>
        <v/>
      </c>
      <c r="C2458" t="str">
        <f t="shared" si="116"/>
        <v/>
      </c>
    </row>
    <row r="2459" spans="1:3" x14ac:dyDescent="0.4">
      <c r="A2459" t="str">
        <f t="shared" si="114"/>
        <v/>
      </c>
      <c r="B2459" t="str">
        <f t="shared" si="115"/>
        <v/>
      </c>
      <c r="C2459" t="str">
        <f t="shared" si="116"/>
        <v/>
      </c>
    </row>
    <row r="2460" spans="1:3" x14ac:dyDescent="0.4">
      <c r="A2460" t="str">
        <f t="shared" si="114"/>
        <v/>
      </c>
      <c r="B2460" t="str">
        <f t="shared" si="115"/>
        <v/>
      </c>
      <c r="C2460" t="str">
        <f t="shared" si="116"/>
        <v/>
      </c>
    </row>
    <row r="2461" spans="1:3" x14ac:dyDescent="0.4">
      <c r="A2461" t="str">
        <f t="shared" si="114"/>
        <v/>
      </c>
      <c r="B2461" t="str">
        <f t="shared" si="115"/>
        <v/>
      </c>
      <c r="C2461" t="str">
        <f t="shared" si="116"/>
        <v/>
      </c>
    </row>
    <row r="2462" spans="1:3" x14ac:dyDescent="0.4">
      <c r="A2462" t="str">
        <f t="shared" si="114"/>
        <v/>
      </c>
      <c r="B2462" t="str">
        <f t="shared" si="115"/>
        <v/>
      </c>
      <c r="C2462" t="str">
        <f t="shared" si="116"/>
        <v/>
      </c>
    </row>
    <row r="2463" spans="1:3" x14ac:dyDescent="0.4">
      <c r="A2463" t="str">
        <f t="shared" si="114"/>
        <v/>
      </c>
      <c r="B2463" t="str">
        <f t="shared" si="115"/>
        <v/>
      </c>
      <c r="C2463" t="str">
        <f t="shared" si="116"/>
        <v/>
      </c>
    </row>
    <row r="2464" spans="1:3" x14ac:dyDescent="0.4">
      <c r="A2464" t="str">
        <f t="shared" si="114"/>
        <v/>
      </c>
      <c r="B2464" t="str">
        <f t="shared" si="115"/>
        <v/>
      </c>
      <c r="C2464" t="str">
        <f t="shared" si="116"/>
        <v/>
      </c>
    </row>
    <row r="2465" spans="1:3" x14ac:dyDescent="0.4">
      <c r="A2465" t="str">
        <f t="shared" si="114"/>
        <v/>
      </c>
      <c r="B2465" t="str">
        <f t="shared" si="115"/>
        <v/>
      </c>
      <c r="C2465" t="str">
        <f t="shared" si="116"/>
        <v/>
      </c>
    </row>
    <row r="2466" spans="1:3" x14ac:dyDescent="0.4">
      <c r="A2466" t="str">
        <f t="shared" si="114"/>
        <v/>
      </c>
      <c r="B2466" t="str">
        <f t="shared" si="115"/>
        <v/>
      </c>
      <c r="C2466" t="str">
        <f t="shared" si="116"/>
        <v/>
      </c>
    </row>
    <row r="2467" spans="1:3" x14ac:dyDescent="0.4">
      <c r="A2467" t="str">
        <f t="shared" si="114"/>
        <v/>
      </c>
      <c r="B2467" t="str">
        <f t="shared" si="115"/>
        <v/>
      </c>
      <c r="C2467" t="str">
        <f t="shared" si="116"/>
        <v/>
      </c>
    </row>
    <row r="2468" spans="1:3" x14ac:dyDescent="0.4">
      <c r="A2468" t="str">
        <f t="shared" si="114"/>
        <v/>
      </c>
      <c r="B2468" t="str">
        <f t="shared" si="115"/>
        <v/>
      </c>
      <c r="C2468" t="str">
        <f t="shared" si="116"/>
        <v/>
      </c>
    </row>
    <row r="2469" spans="1:3" x14ac:dyDescent="0.4">
      <c r="A2469" t="str">
        <f t="shared" si="114"/>
        <v/>
      </c>
      <c r="B2469" t="str">
        <f t="shared" si="115"/>
        <v/>
      </c>
      <c r="C2469" t="str">
        <f t="shared" si="116"/>
        <v/>
      </c>
    </row>
    <row r="2470" spans="1:3" x14ac:dyDescent="0.4">
      <c r="A2470" t="str">
        <f t="shared" si="114"/>
        <v/>
      </c>
      <c r="B2470" t="str">
        <f t="shared" si="115"/>
        <v/>
      </c>
      <c r="C2470" t="str">
        <f t="shared" si="116"/>
        <v/>
      </c>
    </row>
    <row r="2471" spans="1:3" x14ac:dyDescent="0.4">
      <c r="A2471" t="str">
        <f t="shared" si="114"/>
        <v/>
      </c>
      <c r="B2471" t="str">
        <f t="shared" si="115"/>
        <v/>
      </c>
      <c r="C2471" t="str">
        <f t="shared" si="116"/>
        <v/>
      </c>
    </row>
    <row r="2472" spans="1:3" x14ac:dyDescent="0.4">
      <c r="A2472" t="str">
        <f t="shared" si="114"/>
        <v/>
      </c>
      <c r="B2472" t="str">
        <f t="shared" si="115"/>
        <v/>
      </c>
      <c r="C2472" t="str">
        <f t="shared" si="116"/>
        <v/>
      </c>
    </row>
    <row r="2473" spans="1:3" x14ac:dyDescent="0.4">
      <c r="A2473" t="str">
        <f t="shared" si="114"/>
        <v/>
      </c>
      <c r="B2473" t="str">
        <f t="shared" si="115"/>
        <v/>
      </c>
      <c r="C2473" t="str">
        <f t="shared" si="116"/>
        <v/>
      </c>
    </row>
    <row r="2474" spans="1:3" x14ac:dyDescent="0.4">
      <c r="A2474" t="str">
        <f t="shared" si="114"/>
        <v/>
      </c>
      <c r="B2474" t="str">
        <f t="shared" si="115"/>
        <v/>
      </c>
      <c r="C2474" t="str">
        <f t="shared" si="116"/>
        <v/>
      </c>
    </row>
    <row r="2475" spans="1:3" x14ac:dyDescent="0.4">
      <c r="A2475" t="str">
        <f t="shared" si="114"/>
        <v/>
      </c>
      <c r="B2475" t="str">
        <f t="shared" si="115"/>
        <v/>
      </c>
      <c r="C2475" t="str">
        <f t="shared" si="116"/>
        <v/>
      </c>
    </row>
    <row r="2476" spans="1:3" x14ac:dyDescent="0.4">
      <c r="A2476" t="str">
        <f t="shared" si="114"/>
        <v/>
      </c>
      <c r="B2476" t="str">
        <f t="shared" si="115"/>
        <v/>
      </c>
      <c r="C2476" t="str">
        <f t="shared" si="116"/>
        <v/>
      </c>
    </row>
    <row r="2477" spans="1:3" x14ac:dyDescent="0.4">
      <c r="A2477" t="str">
        <f t="shared" si="114"/>
        <v/>
      </c>
      <c r="B2477" t="str">
        <f t="shared" si="115"/>
        <v/>
      </c>
      <c r="C2477" t="str">
        <f t="shared" si="116"/>
        <v/>
      </c>
    </row>
    <row r="2478" spans="1:3" x14ac:dyDescent="0.4">
      <c r="A2478" t="str">
        <f t="shared" si="114"/>
        <v/>
      </c>
      <c r="B2478" t="str">
        <f t="shared" si="115"/>
        <v/>
      </c>
      <c r="C2478" t="str">
        <f t="shared" si="116"/>
        <v/>
      </c>
    </row>
    <row r="2479" spans="1:3" x14ac:dyDescent="0.4">
      <c r="A2479" t="str">
        <f t="shared" si="114"/>
        <v/>
      </c>
      <c r="B2479" t="str">
        <f t="shared" si="115"/>
        <v/>
      </c>
      <c r="C2479" t="str">
        <f t="shared" si="116"/>
        <v/>
      </c>
    </row>
    <row r="2480" spans="1:3" x14ac:dyDescent="0.4">
      <c r="A2480" t="str">
        <f t="shared" si="114"/>
        <v/>
      </c>
      <c r="B2480" t="str">
        <f t="shared" si="115"/>
        <v/>
      </c>
      <c r="C2480" t="str">
        <f t="shared" si="116"/>
        <v/>
      </c>
    </row>
    <row r="2481" spans="1:3" x14ac:dyDescent="0.4">
      <c r="A2481" t="str">
        <f t="shared" si="114"/>
        <v/>
      </c>
      <c r="B2481" t="str">
        <f t="shared" si="115"/>
        <v/>
      </c>
      <c r="C2481" t="str">
        <f t="shared" si="116"/>
        <v/>
      </c>
    </row>
    <row r="2482" spans="1:3" x14ac:dyDescent="0.4">
      <c r="A2482" t="str">
        <f t="shared" si="114"/>
        <v/>
      </c>
      <c r="B2482" t="str">
        <f t="shared" si="115"/>
        <v/>
      </c>
      <c r="C2482" t="str">
        <f t="shared" si="116"/>
        <v/>
      </c>
    </row>
    <row r="2483" spans="1:3" x14ac:dyDescent="0.4">
      <c r="A2483" t="str">
        <f t="shared" si="114"/>
        <v/>
      </c>
      <c r="B2483" t="str">
        <f t="shared" si="115"/>
        <v/>
      </c>
      <c r="C2483" t="str">
        <f t="shared" si="116"/>
        <v/>
      </c>
    </row>
    <row r="2484" spans="1:3" x14ac:dyDescent="0.4">
      <c r="A2484" t="str">
        <f t="shared" si="114"/>
        <v/>
      </c>
      <c r="B2484" t="str">
        <f t="shared" si="115"/>
        <v/>
      </c>
      <c r="C2484" t="str">
        <f t="shared" si="116"/>
        <v/>
      </c>
    </row>
    <row r="2485" spans="1:3" x14ac:dyDescent="0.4">
      <c r="A2485" t="str">
        <f t="shared" si="114"/>
        <v/>
      </c>
      <c r="B2485" t="str">
        <f t="shared" si="115"/>
        <v/>
      </c>
      <c r="C2485" t="str">
        <f t="shared" si="116"/>
        <v/>
      </c>
    </row>
    <row r="2486" spans="1:3" x14ac:dyDescent="0.4">
      <c r="A2486" t="str">
        <f t="shared" si="114"/>
        <v/>
      </c>
      <c r="B2486" t="str">
        <f t="shared" si="115"/>
        <v/>
      </c>
      <c r="C2486" t="str">
        <f t="shared" si="116"/>
        <v/>
      </c>
    </row>
    <row r="2487" spans="1:3" x14ac:dyDescent="0.4">
      <c r="A2487" t="str">
        <f t="shared" si="114"/>
        <v/>
      </c>
      <c r="B2487" t="str">
        <f t="shared" si="115"/>
        <v/>
      </c>
      <c r="C2487" t="str">
        <f t="shared" si="116"/>
        <v/>
      </c>
    </row>
    <row r="2488" spans="1:3" x14ac:dyDescent="0.4">
      <c r="A2488" t="str">
        <f t="shared" si="114"/>
        <v/>
      </c>
      <c r="B2488" t="str">
        <f t="shared" si="115"/>
        <v/>
      </c>
      <c r="C2488" t="str">
        <f t="shared" si="116"/>
        <v/>
      </c>
    </row>
    <row r="2489" spans="1:3" x14ac:dyDescent="0.4">
      <c r="A2489" t="str">
        <f t="shared" si="114"/>
        <v/>
      </c>
      <c r="B2489" t="str">
        <f t="shared" si="115"/>
        <v/>
      </c>
      <c r="C2489" t="str">
        <f t="shared" si="116"/>
        <v/>
      </c>
    </row>
    <row r="2490" spans="1:3" x14ac:dyDescent="0.4">
      <c r="A2490" t="str">
        <f t="shared" si="114"/>
        <v/>
      </c>
      <c r="B2490" t="str">
        <f t="shared" si="115"/>
        <v/>
      </c>
      <c r="C2490" t="str">
        <f t="shared" si="116"/>
        <v/>
      </c>
    </row>
    <row r="2491" spans="1:3" x14ac:dyDescent="0.4">
      <c r="A2491" t="str">
        <f t="shared" si="114"/>
        <v/>
      </c>
      <c r="B2491" t="str">
        <f t="shared" si="115"/>
        <v/>
      </c>
      <c r="C2491" t="str">
        <f t="shared" si="116"/>
        <v/>
      </c>
    </row>
    <row r="2492" spans="1:3" x14ac:dyDescent="0.4">
      <c r="A2492" t="str">
        <f t="shared" si="114"/>
        <v/>
      </c>
      <c r="B2492" t="str">
        <f t="shared" si="115"/>
        <v/>
      </c>
      <c r="C2492" t="str">
        <f t="shared" si="116"/>
        <v/>
      </c>
    </row>
    <row r="2493" spans="1:3" x14ac:dyDescent="0.4">
      <c r="A2493" t="str">
        <f t="shared" si="114"/>
        <v/>
      </c>
      <c r="B2493" t="str">
        <f t="shared" si="115"/>
        <v/>
      </c>
      <c r="C2493" t="str">
        <f t="shared" si="116"/>
        <v/>
      </c>
    </row>
    <row r="2494" spans="1:3" x14ac:dyDescent="0.4">
      <c r="A2494" t="str">
        <f t="shared" si="114"/>
        <v/>
      </c>
      <c r="B2494" t="str">
        <f t="shared" si="115"/>
        <v/>
      </c>
      <c r="C2494" t="str">
        <f t="shared" si="116"/>
        <v/>
      </c>
    </row>
    <row r="2495" spans="1:3" x14ac:dyDescent="0.4">
      <c r="A2495" t="str">
        <f t="shared" si="114"/>
        <v/>
      </c>
      <c r="B2495" t="str">
        <f t="shared" si="115"/>
        <v/>
      </c>
      <c r="C2495" t="str">
        <f t="shared" si="116"/>
        <v/>
      </c>
    </row>
    <row r="2496" spans="1:3" x14ac:dyDescent="0.4">
      <c r="A2496" t="str">
        <f t="shared" si="114"/>
        <v/>
      </c>
      <c r="B2496" t="str">
        <f t="shared" si="115"/>
        <v/>
      </c>
      <c r="C2496" t="str">
        <f t="shared" si="116"/>
        <v/>
      </c>
    </row>
    <row r="2497" spans="1:3" x14ac:dyDescent="0.4">
      <c r="A2497" t="str">
        <f t="shared" si="114"/>
        <v/>
      </c>
      <c r="B2497" t="str">
        <f t="shared" si="115"/>
        <v/>
      </c>
      <c r="C2497" t="str">
        <f t="shared" si="116"/>
        <v/>
      </c>
    </row>
    <row r="2498" spans="1:3" x14ac:dyDescent="0.4">
      <c r="A2498" t="str">
        <f t="shared" si="114"/>
        <v/>
      </c>
      <c r="B2498" t="str">
        <f t="shared" si="115"/>
        <v/>
      </c>
      <c r="C2498" t="str">
        <f t="shared" si="116"/>
        <v/>
      </c>
    </row>
    <row r="2499" spans="1:3" x14ac:dyDescent="0.4">
      <c r="A2499" t="str">
        <f t="shared" ref="A2499:A2562" si="117">IF($F2499="","",$F2499&amp;"|"&amp;$H2499)</f>
        <v/>
      </c>
      <c r="B2499" t="str">
        <f t="shared" ref="B2499:B2562" si="118">IF(F2499&lt;&gt;"",F2499,"")</f>
        <v/>
      </c>
      <c r="C2499" t="str">
        <f t="shared" ref="C2499:C2562" si="119">IF(H2499&lt;&gt;"", H2499, "")</f>
        <v/>
      </c>
    </row>
    <row r="2500" spans="1:3" x14ac:dyDescent="0.4">
      <c r="A2500" t="str">
        <f t="shared" si="117"/>
        <v/>
      </c>
      <c r="B2500" t="str">
        <f t="shared" si="118"/>
        <v/>
      </c>
      <c r="C2500" t="str">
        <f t="shared" si="119"/>
        <v/>
      </c>
    </row>
    <row r="2501" spans="1:3" x14ac:dyDescent="0.4">
      <c r="A2501" t="str">
        <f t="shared" si="117"/>
        <v/>
      </c>
      <c r="B2501" t="str">
        <f t="shared" si="118"/>
        <v/>
      </c>
      <c r="C2501" t="str">
        <f t="shared" si="119"/>
        <v/>
      </c>
    </row>
    <row r="2502" spans="1:3" x14ac:dyDescent="0.4">
      <c r="A2502" t="str">
        <f t="shared" si="117"/>
        <v/>
      </c>
      <c r="B2502" t="str">
        <f t="shared" si="118"/>
        <v/>
      </c>
      <c r="C2502" t="str">
        <f t="shared" si="119"/>
        <v/>
      </c>
    </row>
    <row r="2503" spans="1:3" x14ac:dyDescent="0.4">
      <c r="A2503" t="str">
        <f t="shared" si="117"/>
        <v/>
      </c>
      <c r="B2503" t="str">
        <f t="shared" si="118"/>
        <v/>
      </c>
      <c r="C2503" t="str">
        <f t="shared" si="119"/>
        <v/>
      </c>
    </row>
    <row r="2504" spans="1:3" x14ac:dyDescent="0.4">
      <c r="A2504" t="str">
        <f t="shared" si="117"/>
        <v/>
      </c>
      <c r="B2504" t="str">
        <f t="shared" si="118"/>
        <v/>
      </c>
      <c r="C2504" t="str">
        <f t="shared" si="119"/>
        <v/>
      </c>
    </row>
    <row r="2505" spans="1:3" x14ac:dyDescent="0.4">
      <c r="A2505" t="str">
        <f t="shared" si="117"/>
        <v/>
      </c>
      <c r="B2505" t="str">
        <f t="shared" si="118"/>
        <v/>
      </c>
      <c r="C2505" t="str">
        <f t="shared" si="119"/>
        <v/>
      </c>
    </row>
    <row r="2506" spans="1:3" x14ac:dyDescent="0.4">
      <c r="A2506" t="str">
        <f t="shared" si="117"/>
        <v/>
      </c>
      <c r="B2506" t="str">
        <f t="shared" si="118"/>
        <v/>
      </c>
      <c r="C2506" t="str">
        <f t="shared" si="119"/>
        <v/>
      </c>
    </row>
    <row r="2507" spans="1:3" x14ac:dyDescent="0.4">
      <c r="A2507" t="str">
        <f t="shared" si="117"/>
        <v/>
      </c>
      <c r="B2507" t="str">
        <f t="shared" si="118"/>
        <v/>
      </c>
      <c r="C2507" t="str">
        <f t="shared" si="119"/>
        <v/>
      </c>
    </row>
    <row r="2508" spans="1:3" x14ac:dyDescent="0.4">
      <c r="A2508" t="str">
        <f t="shared" si="117"/>
        <v/>
      </c>
      <c r="B2508" t="str">
        <f t="shared" si="118"/>
        <v/>
      </c>
      <c r="C2508" t="str">
        <f t="shared" si="119"/>
        <v/>
      </c>
    </row>
    <row r="2509" spans="1:3" x14ac:dyDescent="0.4">
      <c r="A2509" t="str">
        <f t="shared" si="117"/>
        <v/>
      </c>
      <c r="B2509" t="str">
        <f t="shared" si="118"/>
        <v/>
      </c>
      <c r="C2509" t="str">
        <f t="shared" si="119"/>
        <v/>
      </c>
    </row>
    <row r="2510" spans="1:3" x14ac:dyDescent="0.4">
      <c r="A2510" t="str">
        <f t="shared" si="117"/>
        <v/>
      </c>
      <c r="B2510" t="str">
        <f t="shared" si="118"/>
        <v/>
      </c>
      <c r="C2510" t="str">
        <f t="shared" si="119"/>
        <v/>
      </c>
    </row>
    <row r="2511" spans="1:3" x14ac:dyDescent="0.4">
      <c r="A2511" t="str">
        <f t="shared" si="117"/>
        <v/>
      </c>
      <c r="B2511" t="str">
        <f t="shared" si="118"/>
        <v/>
      </c>
      <c r="C2511" t="str">
        <f t="shared" si="119"/>
        <v/>
      </c>
    </row>
    <row r="2512" spans="1:3" x14ac:dyDescent="0.4">
      <c r="A2512" t="str">
        <f t="shared" si="117"/>
        <v/>
      </c>
      <c r="B2512" t="str">
        <f t="shared" si="118"/>
        <v/>
      </c>
      <c r="C2512" t="str">
        <f t="shared" si="119"/>
        <v/>
      </c>
    </row>
    <row r="2513" spans="1:3" x14ac:dyDescent="0.4">
      <c r="A2513" t="str">
        <f t="shared" si="117"/>
        <v/>
      </c>
      <c r="B2513" t="str">
        <f t="shared" si="118"/>
        <v/>
      </c>
      <c r="C2513" t="str">
        <f t="shared" si="119"/>
        <v/>
      </c>
    </row>
    <row r="2514" spans="1:3" x14ac:dyDescent="0.4">
      <c r="A2514" t="str">
        <f t="shared" si="117"/>
        <v/>
      </c>
      <c r="B2514" t="str">
        <f t="shared" si="118"/>
        <v/>
      </c>
      <c r="C2514" t="str">
        <f t="shared" si="119"/>
        <v/>
      </c>
    </row>
    <row r="2515" spans="1:3" x14ac:dyDescent="0.4">
      <c r="A2515" t="str">
        <f t="shared" si="117"/>
        <v/>
      </c>
      <c r="B2515" t="str">
        <f t="shared" si="118"/>
        <v/>
      </c>
      <c r="C2515" t="str">
        <f t="shared" si="119"/>
        <v/>
      </c>
    </row>
    <row r="2516" spans="1:3" x14ac:dyDescent="0.4">
      <c r="A2516" t="str">
        <f t="shared" si="117"/>
        <v/>
      </c>
      <c r="B2516" t="str">
        <f t="shared" si="118"/>
        <v/>
      </c>
      <c r="C2516" t="str">
        <f t="shared" si="119"/>
        <v/>
      </c>
    </row>
    <row r="2517" spans="1:3" x14ac:dyDescent="0.4">
      <c r="A2517" t="str">
        <f t="shared" si="117"/>
        <v/>
      </c>
      <c r="B2517" t="str">
        <f t="shared" si="118"/>
        <v/>
      </c>
      <c r="C2517" t="str">
        <f t="shared" si="119"/>
        <v/>
      </c>
    </row>
    <row r="2518" spans="1:3" x14ac:dyDescent="0.4">
      <c r="A2518" t="str">
        <f t="shared" si="117"/>
        <v/>
      </c>
      <c r="B2518" t="str">
        <f t="shared" si="118"/>
        <v/>
      </c>
      <c r="C2518" t="str">
        <f t="shared" si="119"/>
        <v/>
      </c>
    </row>
    <row r="2519" spans="1:3" x14ac:dyDescent="0.4">
      <c r="A2519" t="str">
        <f t="shared" si="117"/>
        <v/>
      </c>
      <c r="B2519" t="str">
        <f t="shared" si="118"/>
        <v/>
      </c>
      <c r="C2519" t="str">
        <f t="shared" si="119"/>
        <v/>
      </c>
    </row>
    <row r="2520" spans="1:3" x14ac:dyDescent="0.4">
      <c r="A2520" t="str">
        <f t="shared" si="117"/>
        <v/>
      </c>
      <c r="B2520" t="str">
        <f t="shared" si="118"/>
        <v/>
      </c>
      <c r="C2520" t="str">
        <f t="shared" si="119"/>
        <v/>
      </c>
    </row>
    <row r="2521" spans="1:3" x14ac:dyDescent="0.4">
      <c r="A2521" t="str">
        <f t="shared" si="117"/>
        <v/>
      </c>
      <c r="B2521" t="str">
        <f t="shared" si="118"/>
        <v/>
      </c>
      <c r="C2521" t="str">
        <f t="shared" si="119"/>
        <v/>
      </c>
    </row>
    <row r="2522" spans="1:3" x14ac:dyDescent="0.4">
      <c r="A2522" t="str">
        <f t="shared" si="117"/>
        <v/>
      </c>
      <c r="B2522" t="str">
        <f t="shared" si="118"/>
        <v/>
      </c>
      <c r="C2522" t="str">
        <f t="shared" si="119"/>
        <v/>
      </c>
    </row>
    <row r="2523" spans="1:3" x14ac:dyDescent="0.4">
      <c r="A2523" t="str">
        <f t="shared" si="117"/>
        <v/>
      </c>
      <c r="B2523" t="str">
        <f t="shared" si="118"/>
        <v/>
      </c>
      <c r="C2523" t="str">
        <f t="shared" si="119"/>
        <v/>
      </c>
    </row>
    <row r="2524" spans="1:3" x14ac:dyDescent="0.4">
      <c r="A2524" t="str">
        <f t="shared" si="117"/>
        <v/>
      </c>
      <c r="B2524" t="str">
        <f t="shared" si="118"/>
        <v/>
      </c>
      <c r="C2524" t="str">
        <f t="shared" si="119"/>
        <v/>
      </c>
    </row>
    <row r="2525" spans="1:3" x14ac:dyDescent="0.4">
      <c r="A2525" t="str">
        <f t="shared" si="117"/>
        <v/>
      </c>
      <c r="B2525" t="str">
        <f t="shared" si="118"/>
        <v/>
      </c>
      <c r="C2525" t="str">
        <f t="shared" si="119"/>
        <v/>
      </c>
    </row>
    <row r="2526" spans="1:3" x14ac:dyDescent="0.4">
      <c r="A2526" t="str">
        <f t="shared" si="117"/>
        <v/>
      </c>
      <c r="B2526" t="str">
        <f t="shared" si="118"/>
        <v/>
      </c>
      <c r="C2526" t="str">
        <f t="shared" si="119"/>
        <v/>
      </c>
    </row>
    <row r="2527" spans="1:3" x14ac:dyDescent="0.4">
      <c r="A2527" t="str">
        <f t="shared" si="117"/>
        <v/>
      </c>
      <c r="B2527" t="str">
        <f t="shared" si="118"/>
        <v/>
      </c>
      <c r="C2527" t="str">
        <f t="shared" si="119"/>
        <v/>
      </c>
    </row>
    <row r="2528" spans="1:3" x14ac:dyDescent="0.4">
      <c r="A2528" t="str">
        <f t="shared" si="117"/>
        <v/>
      </c>
      <c r="B2528" t="str">
        <f t="shared" si="118"/>
        <v/>
      </c>
      <c r="C2528" t="str">
        <f t="shared" si="119"/>
        <v/>
      </c>
    </row>
    <row r="2529" spans="1:3" x14ac:dyDescent="0.4">
      <c r="A2529" t="str">
        <f t="shared" si="117"/>
        <v/>
      </c>
      <c r="B2529" t="str">
        <f t="shared" si="118"/>
        <v/>
      </c>
      <c r="C2529" t="str">
        <f t="shared" si="119"/>
        <v/>
      </c>
    </row>
    <row r="2530" spans="1:3" x14ac:dyDescent="0.4">
      <c r="A2530" t="str">
        <f t="shared" si="117"/>
        <v/>
      </c>
      <c r="B2530" t="str">
        <f t="shared" si="118"/>
        <v/>
      </c>
      <c r="C2530" t="str">
        <f t="shared" si="119"/>
        <v/>
      </c>
    </row>
    <row r="2531" spans="1:3" x14ac:dyDescent="0.4">
      <c r="A2531" t="str">
        <f t="shared" si="117"/>
        <v/>
      </c>
      <c r="B2531" t="str">
        <f t="shared" si="118"/>
        <v/>
      </c>
      <c r="C2531" t="str">
        <f t="shared" si="119"/>
        <v/>
      </c>
    </row>
    <row r="2532" spans="1:3" x14ac:dyDescent="0.4">
      <c r="A2532" t="str">
        <f t="shared" si="117"/>
        <v/>
      </c>
      <c r="B2532" t="str">
        <f t="shared" si="118"/>
        <v/>
      </c>
      <c r="C2532" t="str">
        <f t="shared" si="119"/>
        <v/>
      </c>
    </row>
    <row r="2533" spans="1:3" x14ac:dyDescent="0.4">
      <c r="A2533" t="str">
        <f t="shared" si="117"/>
        <v/>
      </c>
      <c r="B2533" t="str">
        <f t="shared" si="118"/>
        <v/>
      </c>
      <c r="C2533" t="str">
        <f t="shared" si="119"/>
        <v/>
      </c>
    </row>
    <row r="2534" spans="1:3" x14ac:dyDescent="0.4">
      <c r="A2534" t="str">
        <f t="shared" si="117"/>
        <v/>
      </c>
      <c r="B2534" t="str">
        <f t="shared" si="118"/>
        <v/>
      </c>
      <c r="C2534" t="str">
        <f t="shared" si="119"/>
        <v/>
      </c>
    </row>
    <row r="2535" spans="1:3" x14ac:dyDescent="0.4">
      <c r="A2535" t="str">
        <f t="shared" si="117"/>
        <v/>
      </c>
      <c r="B2535" t="str">
        <f t="shared" si="118"/>
        <v/>
      </c>
      <c r="C2535" t="str">
        <f t="shared" si="119"/>
        <v/>
      </c>
    </row>
    <row r="2536" spans="1:3" x14ac:dyDescent="0.4">
      <c r="A2536" t="str">
        <f t="shared" si="117"/>
        <v/>
      </c>
      <c r="B2536" t="str">
        <f t="shared" si="118"/>
        <v/>
      </c>
      <c r="C2536" t="str">
        <f t="shared" si="119"/>
        <v/>
      </c>
    </row>
    <row r="2537" spans="1:3" x14ac:dyDescent="0.4">
      <c r="A2537" t="str">
        <f t="shared" si="117"/>
        <v/>
      </c>
      <c r="B2537" t="str">
        <f t="shared" si="118"/>
        <v/>
      </c>
      <c r="C2537" t="str">
        <f t="shared" si="119"/>
        <v/>
      </c>
    </row>
    <row r="2538" spans="1:3" x14ac:dyDescent="0.4">
      <c r="A2538" t="str">
        <f t="shared" si="117"/>
        <v/>
      </c>
      <c r="B2538" t="str">
        <f t="shared" si="118"/>
        <v/>
      </c>
      <c r="C2538" t="str">
        <f t="shared" si="119"/>
        <v/>
      </c>
    </row>
    <row r="2539" spans="1:3" x14ac:dyDescent="0.4">
      <c r="A2539" t="str">
        <f t="shared" si="117"/>
        <v/>
      </c>
      <c r="B2539" t="str">
        <f t="shared" si="118"/>
        <v/>
      </c>
      <c r="C2539" t="str">
        <f t="shared" si="119"/>
        <v/>
      </c>
    </row>
    <row r="2540" spans="1:3" x14ac:dyDescent="0.4">
      <c r="A2540" t="str">
        <f t="shared" si="117"/>
        <v/>
      </c>
      <c r="B2540" t="str">
        <f t="shared" si="118"/>
        <v/>
      </c>
      <c r="C2540" t="str">
        <f t="shared" si="119"/>
        <v/>
      </c>
    </row>
    <row r="2541" spans="1:3" x14ac:dyDescent="0.4">
      <c r="A2541" t="str">
        <f t="shared" si="117"/>
        <v/>
      </c>
      <c r="B2541" t="str">
        <f t="shared" si="118"/>
        <v/>
      </c>
      <c r="C2541" t="str">
        <f t="shared" si="119"/>
        <v/>
      </c>
    </row>
    <row r="2542" spans="1:3" x14ac:dyDescent="0.4">
      <c r="A2542" t="str">
        <f t="shared" si="117"/>
        <v/>
      </c>
      <c r="B2542" t="str">
        <f t="shared" si="118"/>
        <v/>
      </c>
      <c r="C2542" t="str">
        <f t="shared" si="119"/>
        <v/>
      </c>
    </row>
    <row r="2543" spans="1:3" x14ac:dyDescent="0.4">
      <c r="A2543" t="str">
        <f t="shared" si="117"/>
        <v/>
      </c>
      <c r="B2543" t="str">
        <f t="shared" si="118"/>
        <v/>
      </c>
      <c r="C2543" t="str">
        <f t="shared" si="119"/>
        <v/>
      </c>
    </row>
    <row r="2544" spans="1:3" x14ac:dyDescent="0.4">
      <c r="A2544" t="str">
        <f t="shared" si="117"/>
        <v/>
      </c>
      <c r="B2544" t="str">
        <f t="shared" si="118"/>
        <v/>
      </c>
      <c r="C2544" t="str">
        <f t="shared" si="119"/>
        <v/>
      </c>
    </row>
    <row r="2545" spans="1:3" x14ac:dyDescent="0.4">
      <c r="A2545" t="str">
        <f t="shared" si="117"/>
        <v/>
      </c>
      <c r="B2545" t="str">
        <f t="shared" si="118"/>
        <v/>
      </c>
      <c r="C2545" t="str">
        <f t="shared" si="119"/>
        <v/>
      </c>
    </row>
    <row r="2546" spans="1:3" x14ac:dyDescent="0.4">
      <c r="A2546" t="str">
        <f t="shared" si="117"/>
        <v/>
      </c>
      <c r="B2546" t="str">
        <f t="shared" si="118"/>
        <v/>
      </c>
      <c r="C2546" t="str">
        <f t="shared" si="119"/>
        <v/>
      </c>
    </row>
    <row r="2547" spans="1:3" x14ac:dyDescent="0.4">
      <c r="A2547" t="str">
        <f t="shared" si="117"/>
        <v/>
      </c>
      <c r="B2547" t="str">
        <f t="shared" si="118"/>
        <v/>
      </c>
      <c r="C2547" t="str">
        <f t="shared" si="119"/>
        <v/>
      </c>
    </row>
    <row r="2548" spans="1:3" x14ac:dyDescent="0.4">
      <c r="A2548" t="str">
        <f t="shared" si="117"/>
        <v/>
      </c>
      <c r="B2548" t="str">
        <f t="shared" si="118"/>
        <v/>
      </c>
      <c r="C2548" t="str">
        <f t="shared" si="119"/>
        <v/>
      </c>
    </row>
    <row r="2549" spans="1:3" x14ac:dyDescent="0.4">
      <c r="A2549" t="str">
        <f t="shared" si="117"/>
        <v/>
      </c>
      <c r="B2549" t="str">
        <f t="shared" si="118"/>
        <v/>
      </c>
      <c r="C2549" t="str">
        <f t="shared" si="119"/>
        <v/>
      </c>
    </row>
    <row r="2550" spans="1:3" x14ac:dyDescent="0.4">
      <c r="A2550" t="str">
        <f t="shared" si="117"/>
        <v/>
      </c>
      <c r="B2550" t="str">
        <f t="shared" si="118"/>
        <v/>
      </c>
      <c r="C2550" t="str">
        <f t="shared" si="119"/>
        <v/>
      </c>
    </row>
    <row r="2551" spans="1:3" x14ac:dyDescent="0.4">
      <c r="A2551" t="str">
        <f t="shared" si="117"/>
        <v/>
      </c>
      <c r="B2551" t="str">
        <f t="shared" si="118"/>
        <v/>
      </c>
      <c r="C2551" t="str">
        <f t="shared" si="119"/>
        <v/>
      </c>
    </row>
    <row r="2552" spans="1:3" x14ac:dyDescent="0.4">
      <c r="A2552" t="str">
        <f t="shared" si="117"/>
        <v/>
      </c>
      <c r="B2552" t="str">
        <f t="shared" si="118"/>
        <v/>
      </c>
      <c r="C2552" t="str">
        <f t="shared" si="119"/>
        <v/>
      </c>
    </row>
    <row r="2553" spans="1:3" x14ac:dyDescent="0.4">
      <c r="A2553" t="str">
        <f t="shared" si="117"/>
        <v/>
      </c>
      <c r="B2553" t="str">
        <f t="shared" si="118"/>
        <v/>
      </c>
      <c r="C2553" t="str">
        <f t="shared" si="119"/>
        <v/>
      </c>
    </row>
    <row r="2554" spans="1:3" x14ac:dyDescent="0.4">
      <c r="A2554" t="str">
        <f t="shared" si="117"/>
        <v/>
      </c>
      <c r="B2554" t="str">
        <f t="shared" si="118"/>
        <v/>
      </c>
      <c r="C2554" t="str">
        <f t="shared" si="119"/>
        <v/>
      </c>
    </row>
    <row r="2555" spans="1:3" x14ac:dyDescent="0.4">
      <c r="A2555" t="str">
        <f t="shared" si="117"/>
        <v/>
      </c>
      <c r="B2555" t="str">
        <f t="shared" si="118"/>
        <v/>
      </c>
      <c r="C2555" t="str">
        <f t="shared" si="119"/>
        <v/>
      </c>
    </row>
    <row r="2556" spans="1:3" x14ac:dyDescent="0.4">
      <c r="A2556" t="str">
        <f t="shared" si="117"/>
        <v/>
      </c>
      <c r="B2556" t="str">
        <f t="shared" si="118"/>
        <v/>
      </c>
      <c r="C2556" t="str">
        <f t="shared" si="119"/>
        <v/>
      </c>
    </row>
    <row r="2557" spans="1:3" x14ac:dyDescent="0.4">
      <c r="A2557" t="str">
        <f t="shared" si="117"/>
        <v/>
      </c>
      <c r="B2557" t="str">
        <f t="shared" si="118"/>
        <v/>
      </c>
      <c r="C2557" t="str">
        <f t="shared" si="119"/>
        <v/>
      </c>
    </row>
    <row r="2558" spans="1:3" x14ac:dyDescent="0.4">
      <c r="A2558" t="str">
        <f t="shared" si="117"/>
        <v/>
      </c>
      <c r="B2558" t="str">
        <f t="shared" si="118"/>
        <v/>
      </c>
      <c r="C2558" t="str">
        <f t="shared" si="119"/>
        <v/>
      </c>
    </row>
    <row r="2559" spans="1:3" x14ac:dyDescent="0.4">
      <c r="A2559" t="str">
        <f t="shared" si="117"/>
        <v/>
      </c>
      <c r="B2559" t="str">
        <f t="shared" si="118"/>
        <v/>
      </c>
      <c r="C2559" t="str">
        <f t="shared" si="119"/>
        <v/>
      </c>
    </row>
    <row r="2560" spans="1:3" x14ac:dyDescent="0.4">
      <c r="A2560" t="str">
        <f t="shared" si="117"/>
        <v/>
      </c>
      <c r="B2560" t="str">
        <f t="shared" si="118"/>
        <v/>
      </c>
      <c r="C2560" t="str">
        <f t="shared" si="119"/>
        <v/>
      </c>
    </row>
    <row r="2561" spans="1:3" x14ac:dyDescent="0.4">
      <c r="A2561" t="str">
        <f t="shared" si="117"/>
        <v/>
      </c>
      <c r="B2561" t="str">
        <f t="shared" si="118"/>
        <v/>
      </c>
      <c r="C2561" t="str">
        <f t="shared" si="119"/>
        <v/>
      </c>
    </row>
    <row r="2562" spans="1:3" x14ac:dyDescent="0.4">
      <c r="A2562" t="str">
        <f t="shared" si="117"/>
        <v/>
      </c>
      <c r="B2562" t="str">
        <f t="shared" si="118"/>
        <v/>
      </c>
      <c r="C2562" t="str">
        <f t="shared" si="119"/>
        <v/>
      </c>
    </row>
    <row r="2563" spans="1:3" x14ac:dyDescent="0.4">
      <c r="A2563" t="str">
        <f t="shared" ref="A2563:A2626" si="120">IF($F2563="","",$F2563&amp;"|"&amp;$H2563)</f>
        <v/>
      </c>
      <c r="B2563" t="str">
        <f t="shared" ref="B2563:B2626" si="121">IF(F2563&lt;&gt;"",F2563,"")</f>
        <v/>
      </c>
      <c r="C2563" t="str">
        <f t="shared" ref="C2563:C2626" si="122">IF(H2563&lt;&gt;"", H2563, "")</f>
        <v/>
      </c>
    </row>
    <row r="2564" spans="1:3" x14ac:dyDescent="0.4">
      <c r="A2564" t="str">
        <f t="shared" si="120"/>
        <v/>
      </c>
      <c r="B2564" t="str">
        <f t="shared" si="121"/>
        <v/>
      </c>
      <c r="C2564" t="str">
        <f t="shared" si="122"/>
        <v/>
      </c>
    </row>
    <row r="2565" spans="1:3" x14ac:dyDescent="0.4">
      <c r="A2565" t="str">
        <f t="shared" si="120"/>
        <v/>
      </c>
      <c r="B2565" t="str">
        <f t="shared" si="121"/>
        <v/>
      </c>
      <c r="C2565" t="str">
        <f t="shared" si="122"/>
        <v/>
      </c>
    </row>
    <row r="2566" spans="1:3" x14ac:dyDescent="0.4">
      <c r="A2566" t="str">
        <f t="shared" si="120"/>
        <v/>
      </c>
      <c r="B2566" t="str">
        <f t="shared" si="121"/>
        <v/>
      </c>
      <c r="C2566" t="str">
        <f t="shared" si="122"/>
        <v/>
      </c>
    </row>
    <row r="2567" spans="1:3" x14ac:dyDescent="0.4">
      <c r="A2567" t="str">
        <f t="shared" si="120"/>
        <v/>
      </c>
      <c r="B2567" t="str">
        <f t="shared" si="121"/>
        <v/>
      </c>
      <c r="C2567" t="str">
        <f t="shared" si="122"/>
        <v/>
      </c>
    </row>
    <row r="2568" spans="1:3" x14ac:dyDescent="0.4">
      <c r="A2568" t="str">
        <f t="shared" si="120"/>
        <v/>
      </c>
      <c r="B2568" t="str">
        <f t="shared" si="121"/>
        <v/>
      </c>
      <c r="C2568" t="str">
        <f t="shared" si="122"/>
        <v/>
      </c>
    </row>
    <row r="2569" spans="1:3" x14ac:dyDescent="0.4">
      <c r="A2569" t="str">
        <f t="shared" si="120"/>
        <v/>
      </c>
      <c r="B2569" t="str">
        <f t="shared" si="121"/>
        <v/>
      </c>
      <c r="C2569" t="str">
        <f t="shared" si="122"/>
        <v/>
      </c>
    </row>
    <row r="2570" spans="1:3" x14ac:dyDescent="0.4">
      <c r="A2570" t="str">
        <f t="shared" si="120"/>
        <v/>
      </c>
      <c r="B2570" t="str">
        <f t="shared" si="121"/>
        <v/>
      </c>
      <c r="C2570" t="str">
        <f t="shared" si="122"/>
        <v/>
      </c>
    </row>
    <row r="2571" spans="1:3" x14ac:dyDescent="0.4">
      <c r="A2571" t="str">
        <f t="shared" si="120"/>
        <v/>
      </c>
      <c r="B2571" t="str">
        <f t="shared" si="121"/>
        <v/>
      </c>
      <c r="C2571" t="str">
        <f t="shared" si="122"/>
        <v/>
      </c>
    </row>
    <row r="2572" spans="1:3" x14ac:dyDescent="0.4">
      <c r="A2572" t="str">
        <f t="shared" si="120"/>
        <v/>
      </c>
      <c r="B2572" t="str">
        <f t="shared" si="121"/>
        <v/>
      </c>
      <c r="C2572" t="str">
        <f t="shared" si="122"/>
        <v/>
      </c>
    </row>
    <row r="2573" spans="1:3" x14ac:dyDescent="0.4">
      <c r="A2573" t="str">
        <f t="shared" si="120"/>
        <v/>
      </c>
      <c r="B2573" t="str">
        <f t="shared" si="121"/>
        <v/>
      </c>
      <c r="C2573" t="str">
        <f t="shared" si="122"/>
        <v/>
      </c>
    </row>
    <row r="2574" spans="1:3" x14ac:dyDescent="0.4">
      <c r="A2574" t="str">
        <f t="shared" si="120"/>
        <v/>
      </c>
      <c r="B2574" t="str">
        <f t="shared" si="121"/>
        <v/>
      </c>
      <c r="C2574" t="str">
        <f t="shared" si="122"/>
        <v/>
      </c>
    </row>
    <row r="2575" spans="1:3" x14ac:dyDescent="0.4">
      <c r="A2575" t="str">
        <f t="shared" si="120"/>
        <v/>
      </c>
      <c r="B2575" t="str">
        <f t="shared" si="121"/>
        <v/>
      </c>
      <c r="C2575" t="str">
        <f t="shared" si="122"/>
        <v/>
      </c>
    </row>
    <row r="2576" spans="1:3" x14ac:dyDescent="0.4">
      <c r="A2576" t="str">
        <f t="shared" si="120"/>
        <v/>
      </c>
      <c r="B2576" t="str">
        <f t="shared" si="121"/>
        <v/>
      </c>
      <c r="C2576" t="str">
        <f t="shared" si="122"/>
        <v/>
      </c>
    </row>
    <row r="2577" spans="1:3" x14ac:dyDescent="0.4">
      <c r="A2577" t="str">
        <f t="shared" si="120"/>
        <v/>
      </c>
      <c r="B2577" t="str">
        <f t="shared" si="121"/>
        <v/>
      </c>
      <c r="C2577" t="str">
        <f t="shared" si="122"/>
        <v/>
      </c>
    </row>
    <row r="2578" spans="1:3" x14ac:dyDescent="0.4">
      <c r="A2578" t="str">
        <f t="shared" si="120"/>
        <v/>
      </c>
      <c r="B2578" t="str">
        <f t="shared" si="121"/>
        <v/>
      </c>
      <c r="C2578" t="str">
        <f t="shared" si="122"/>
        <v/>
      </c>
    </row>
    <row r="2579" spans="1:3" x14ac:dyDescent="0.4">
      <c r="A2579" t="str">
        <f t="shared" si="120"/>
        <v/>
      </c>
      <c r="B2579" t="str">
        <f t="shared" si="121"/>
        <v/>
      </c>
      <c r="C2579" t="str">
        <f t="shared" si="122"/>
        <v/>
      </c>
    </row>
    <row r="2580" spans="1:3" x14ac:dyDescent="0.4">
      <c r="A2580" t="str">
        <f t="shared" si="120"/>
        <v/>
      </c>
      <c r="B2580" t="str">
        <f t="shared" si="121"/>
        <v/>
      </c>
      <c r="C2580" t="str">
        <f t="shared" si="122"/>
        <v/>
      </c>
    </row>
    <row r="2581" spans="1:3" x14ac:dyDescent="0.4">
      <c r="A2581" t="str">
        <f t="shared" si="120"/>
        <v/>
      </c>
      <c r="B2581" t="str">
        <f t="shared" si="121"/>
        <v/>
      </c>
      <c r="C2581" t="str">
        <f t="shared" si="122"/>
        <v/>
      </c>
    </row>
    <row r="2582" spans="1:3" x14ac:dyDescent="0.4">
      <c r="A2582" t="str">
        <f t="shared" si="120"/>
        <v/>
      </c>
      <c r="B2582" t="str">
        <f t="shared" si="121"/>
        <v/>
      </c>
      <c r="C2582" t="str">
        <f t="shared" si="122"/>
        <v/>
      </c>
    </row>
    <row r="2583" spans="1:3" x14ac:dyDescent="0.4">
      <c r="A2583" t="str">
        <f t="shared" si="120"/>
        <v/>
      </c>
      <c r="B2583" t="str">
        <f t="shared" si="121"/>
        <v/>
      </c>
      <c r="C2583" t="str">
        <f t="shared" si="122"/>
        <v/>
      </c>
    </row>
    <row r="2584" spans="1:3" x14ac:dyDescent="0.4">
      <c r="A2584" t="str">
        <f t="shared" si="120"/>
        <v/>
      </c>
      <c r="B2584" t="str">
        <f t="shared" si="121"/>
        <v/>
      </c>
      <c r="C2584" t="str">
        <f t="shared" si="122"/>
        <v/>
      </c>
    </row>
    <row r="2585" spans="1:3" x14ac:dyDescent="0.4">
      <c r="A2585" t="str">
        <f t="shared" si="120"/>
        <v/>
      </c>
      <c r="B2585" t="str">
        <f t="shared" si="121"/>
        <v/>
      </c>
      <c r="C2585" t="str">
        <f t="shared" si="122"/>
        <v/>
      </c>
    </row>
    <row r="2586" spans="1:3" x14ac:dyDescent="0.4">
      <c r="A2586" t="str">
        <f t="shared" si="120"/>
        <v/>
      </c>
      <c r="B2586" t="str">
        <f t="shared" si="121"/>
        <v/>
      </c>
      <c r="C2586" t="str">
        <f t="shared" si="122"/>
        <v/>
      </c>
    </row>
    <row r="2587" spans="1:3" x14ac:dyDescent="0.4">
      <c r="A2587" t="str">
        <f t="shared" si="120"/>
        <v/>
      </c>
      <c r="B2587" t="str">
        <f t="shared" si="121"/>
        <v/>
      </c>
      <c r="C2587" t="str">
        <f t="shared" si="122"/>
        <v/>
      </c>
    </row>
    <row r="2588" spans="1:3" x14ac:dyDescent="0.4">
      <c r="A2588" t="str">
        <f t="shared" si="120"/>
        <v/>
      </c>
      <c r="B2588" t="str">
        <f t="shared" si="121"/>
        <v/>
      </c>
      <c r="C2588" t="str">
        <f t="shared" si="122"/>
        <v/>
      </c>
    </row>
    <row r="2589" spans="1:3" x14ac:dyDescent="0.4">
      <c r="A2589" t="str">
        <f t="shared" si="120"/>
        <v/>
      </c>
      <c r="B2589" t="str">
        <f t="shared" si="121"/>
        <v/>
      </c>
      <c r="C2589" t="str">
        <f t="shared" si="122"/>
        <v/>
      </c>
    </row>
    <row r="2590" spans="1:3" x14ac:dyDescent="0.4">
      <c r="A2590" t="str">
        <f t="shared" si="120"/>
        <v/>
      </c>
      <c r="B2590" t="str">
        <f t="shared" si="121"/>
        <v/>
      </c>
      <c r="C2590" t="str">
        <f t="shared" si="122"/>
        <v/>
      </c>
    </row>
    <row r="2591" spans="1:3" x14ac:dyDescent="0.4">
      <c r="A2591" t="str">
        <f t="shared" si="120"/>
        <v/>
      </c>
      <c r="B2591" t="str">
        <f t="shared" si="121"/>
        <v/>
      </c>
      <c r="C2591" t="str">
        <f t="shared" si="122"/>
        <v/>
      </c>
    </row>
    <row r="2592" spans="1:3" x14ac:dyDescent="0.4">
      <c r="A2592" t="str">
        <f t="shared" si="120"/>
        <v/>
      </c>
      <c r="B2592" t="str">
        <f t="shared" si="121"/>
        <v/>
      </c>
      <c r="C2592" t="str">
        <f t="shared" si="122"/>
        <v/>
      </c>
    </row>
    <row r="2593" spans="1:3" x14ac:dyDescent="0.4">
      <c r="A2593" t="str">
        <f t="shared" si="120"/>
        <v/>
      </c>
      <c r="B2593" t="str">
        <f t="shared" si="121"/>
        <v/>
      </c>
      <c r="C2593" t="str">
        <f t="shared" si="122"/>
        <v/>
      </c>
    </row>
    <row r="2594" spans="1:3" x14ac:dyDescent="0.4">
      <c r="A2594" t="str">
        <f t="shared" si="120"/>
        <v/>
      </c>
      <c r="B2594" t="str">
        <f t="shared" si="121"/>
        <v/>
      </c>
      <c r="C2594" t="str">
        <f t="shared" si="122"/>
        <v/>
      </c>
    </row>
    <row r="2595" spans="1:3" x14ac:dyDescent="0.4">
      <c r="A2595" t="str">
        <f t="shared" si="120"/>
        <v/>
      </c>
      <c r="B2595" t="str">
        <f t="shared" si="121"/>
        <v/>
      </c>
      <c r="C2595" t="str">
        <f t="shared" si="122"/>
        <v/>
      </c>
    </row>
    <row r="2596" spans="1:3" x14ac:dyDescent="0.4">
      <c r="A2596" t="str">
        <f t="shared" si="120"/>
        <v/>
      </c>
      <c r="B2596" t="str">
        <f t="shared" si="121"/>
        <v/>
      </c>
      <c r="C2596" t="str">
        <f t="shared" si="122"/>
        <v/>
      </c>
    </row>
    <row r="2597" spans="1:3" x14ac:dyDescent="0.4">
      <c r="A2597" t="str">
        <f t="shared" si="120"/>
        <v/>
      </c>
      <c r="B2597" t="str">
        <f t="shared" si="121"/>
        <v/>
      </c>
      <c r="C2597" t="str">
        <f t="shared" si="122"/>
        <v/>
      </c>
    </row>
    <row r="2598" spans="1:3" x14ac:dyDescent="0.4">
      <c r="A2598" t="str">
        <f t="shared" si="120"/>
        <v/>
      </c>
      <c r="B2598" t="str">
        <f t="shared" si="121"/>
        <v/>
      </c>
      <c r="C2598" t="str">
        <f t="shared" si="122"/>
        <v/>
      </c>
    </row>
    <row r="2599" spans="1:3" x14ac:dyDescent="0.4">
      <c r="A2599" t="str">
        <f t="shared" si="120"/>
        <v/>
      </c>
      <c r="B2599" t="str">
        <f t="shared" si="121"/>
        <v/>
      </c>
      <c r="C2599" t="str">
        <f t="shared" si="122"/>
        <v/>
      </c>
    </row>
    <row r="2600" spans="1:3" x14ac:dyDescent="0.4">
      <c r="A2600" t="str">
        <f t="shared" si="120"/>
        <v/>
      </c>
      <c r="B2600" t="str">
        <f t="shared" si="121"/>
        <v/>
      </c>
      <c r="C2600" t="str">
        <f t="shared" si="122"/>
        <v/>
      </c>
    </row>
    <row r="2601" spans="1:3" x14ac:dyDescent="0.4">
      <c r="A2601" t="str">
        <f t="shared" si="120"/>
        <v/>
      </c>
      <c r="B2601" t="str">
        <f t="shared" si="121"/>
        <v/>
      </c>
      <c r="C2601" t="str">
        <f t="shared" si="122"/>
        <v/>
      </c>
    </row>
    <row r="2602" spans="1:3" x14ac:dyDescent="0.4">
      <c r="A2602" t="str">
        <f t="shared" si="120"/>
        <v/>
      </c>
      <c r="B2602" t="str">
        <f t="shared" si="121"/>
        <v/>
      </c>
      <c r="C2602" t="str">
        <f t="shared" si="122"/>
        <v/>
      </c>
    </row>
    <row r="2603" spans="1:3" x14ac:dyDescent="0.4">
      <c r="A2603" t="str">
        <f t="shared" si="120"/>
        <v/>
      </c>
      <c r="B2603" t="str">
        <f t="shared" si="121"/>
        <v/>
      </c>
      <c r="C2603" t="str">
        <f t="shared" si="122"/>
        <v/>
      </c>
    </row>
    <row r="2604" spans="1:3" x14ac:dyDescent="0.4">
      <c r="A2604" t="str">
        <f t="shared" si="120"/>
        <v/>
      </c>
      <c r="B2604" t="str">
        <f t="shared" si="121"/>
        <v/>
      </c>
      <c r="C2604" t="str">
        <f t="shared" si="122"/>
        <v/>
      </c>
    </row>
    <row r="2605" spans="1:3" x14ac:dyDescent="0.4">
      <c r="A2605" t="str">
        <f t="shared" si="120"/>
        <v/>
      </c>
      <c r="B2605" t="str">
        <f t="shared" si="121"/>
        <v/>
      </c>
      <c r="C2605" t="str">
        <f t="shared" si="122"/>
        <v/>
      </c>
    </row>
    <row r="2606" spans="1:3" x14ac:dyDescent="0.4">
      <c r="A2606" t="str">
        <f t="shared" si="120"/>
        <v/>
      </c>
      <c r="B2606" t="str">
        <f t="shared" si="121"/>
        <v/>
      </c>
      <c r="C2606" t="str">
        <f t="shared" si="122"/>
        <v/>
      </c>
    </row>
    <row r="2607" spans="1:3" x14ac:dyDescent="0.4">
      <c r="A2607" t="str">
        <f t="shared" si="120"/>
        <v/>
      </c>
      <c r="B2607" t="str">
        <f t="shared" si="121"/>
        <v/>
      </c>
      <c r="C2607" t="str">
        <f t="shared" si="122"/>
        <v/>
      </c>
    </row>
    <row r="2608" spans="1:3" x14ac:dyDescent="0.4">
      <c r="A2608" t="str">
        <f t="shared" si="120"/>
        <v/>
      </c>
      <c r="B2608" t="str">
        <f t="shared" si="121"/>
        <v/>
      </c>
      <c r="C2608" t="str">
        <f t="shared" si="122"/>
        <v/>
      </c>
    </row>
    <row r="2609" spans="1:3" x14ac:dyDescent="0.4">
      <c r="A2609" t="str">
        <f t="shared" si="120"/>
        <v/>
      </c>
      <c r="B2609" t="str">
        <f t="shared" si="121"/>
        <v/>
      </c>
      <c r="C2609" t="str">
        <f t="shared" si="122"/>
        <v/>
      </c>
    </row>
    <row r="2610" spans="1:3" x14ac:dyDescent="0.4">
      <c r="A2610" t="str">
        <f t="shared" si="120"/>
        <v/>
      </c>
      <c r="B2610" t="str">
        <f t="shared" si="121"/>
        <v/>
      </c>
      <c r="C2610" t="str">
        <f t="shared" si="122"/>
        <v/>
      </c>
    </row>
    <row r="2611" spans="1:3" x14ac:dyDescent="0.4">
      <c r="A2611" t="str">
        <f t="shared" si="120"/>
        <v/>
      </c>
      <c r="B2611" t="str">
        <f t="shared" si="121"/>
        <v/>
      </c>
      <c r="C2611" t="str">
        <f t="shared" si="122"/>
        <v/>
      </c>
    </row>
    <row r="2612" spans="1:3" x14ac:dyDescent="0.4">
      <c r="A2612" t="str">
        <f t="shared" si="120"/>
        <v/>
      </c>
      <c r="B2612" t="str">
        <f t="shared" si="121"/>
        <v/>
      </c>
      <c r="C2612" t="str">
        <f t="shared" si="122"/>
        <v/>
      </c>
    </row>
    <row r="2613" spans="1:3" x14ac:dyDescent="0.4">
      <c r="A2613" t="str">
        <f t="shared" si="120"/>
        <v/>
      </c>
      <c r="B2613" t="str">
        <f t="shared" si="121"/>
        <v/>
      </c>
      <c r="C2613" t="str">
        <f t="shared" si="122"/>
        <v/>
      </c>
    </row>
    <row r="2614" spans="1:3" x14ac:dyDescent="0.4">
      <c r="A2614" t="str">
        <f t="shared" si="120"/>
        <v/>
      </c>
      <c r="B2614" t="str">
        <f t="shared" si="121"/>
        <v/>
      </c>
      <c r="C2614" t="str">
        <f t="shared" si="122"/>
        <v/>
      </c>
    </row>
    <row r="2615" spans="1:3" x14ac:dyDescent="0.4">
      <c r="A2615" t="str">
        <f t="shared" si="120"/>
        <v/>
      </c>
      <c r="B2615" t="str">
        <f t="shared" si="121"/>
        <v/>
      </c>
      <c r="C2615" t="str">
        <f t="shared" si="122"/>
        <v/>
      </c>
    </row>
    <row r="2616" spans="1:3" x14ac:dyDescent="0.4">
      <c r="A2616" t="str">
        <f t="shared" si="120"/>
        <v/>
      </c>
      <c r="B2616" t="str">
        <f t="shared" si="121"/>
        <v/>
      </c>
      <c r="C2616" t="str">
        <f t="shared" si="122"/>
        <v/>
      </c>
    </row>
    <row r="2617" spans="1:3" x14ac:dyDescent="0.4">
      <c r="A2617" t="str">
        <f t="shared" si="120"/>
        <v/>
      </c>
      <c r="B2617" t="str">
        <f t="shared" si="121"/>
        <v/>
      </c>
      <c r="C2617" t="str">
        <f t="shared" si="122"/>
        <v/>
      </c>
    </row>
    <row r="2618" spans="1:3" x14ac:dyDescent="0.4">
      <c r="A2618" t="str">
        <f t="shared" si="120"/>
        <v/>
      </c>
      <c r="B2618" t="str">
        <f t="shared" si="121"/>
        <v/>
      </c>
      <c r="C2618" t="str">
        <f t="shared" si="122"/>
        <v/>
      </c>
    </row>
    <row r="2619" spans="1:3" x14ac:dyDescent="0.4">
      <c r="A2619" t="str">
        <f t="shared" si="120"/>
        <v/>
      </c>
      <c r="B2619" t="str">
        <f t="shared" si="121"/>
        <v/>
      </c>
      <c r="C2619" t="str">
        <f t="shared" si="122"/>
        <v/>
      </c>
    </row>
    <row r="2620" spans="1:3" x14ac:dyDescent="0.4">
      <c r="A2620" t="str">
        <f t="shared" si="120"/>
        <v/>
      </c>
      <c r="B2620" t="str">
        <f t="shared" si="121"/>
        <v/>
      </c>
      <c r="C2620" t="str">
        <f t="shared" si="122"/>
        <v/>
      </c>
    </row>
    <row r="2621" spans="1:3" x14ac:dyDescent="0.4">
      <c r="A2621" t="str">
        <f t="shared" si="120"/>
        <v/>
      </c>
      <c r="B2621" t="str">
        <f t="shared" si="121"/>
        <v/>
      </c>
      <c r="C2621" t="str">
        <f t="shared" si="122"/>
        <v/>
      </c>
    </row>
    <row r="2622" spans="1:3" x14ac:dyDescent="0.4">
      <c r="A2622" t="str">
        <f t="shared" si="120"/>
        <v/>
      </c>
      <c r="B2622" t="str">
        <f t="shared" si="121"/>
        <v/>
      </c>
      <c r="C2622" t="str">
        <f t="shared" si="122"/>
        <v/>
      </c>
    </row>
    <row r="2623" spans="1:3" x14ac:dyDescent="0.4">
      <c r="A2623" t="str">
        <f t="shared" si="120"/>
        <v/>
      </c>
      <c r="B2623" t="str">
        <f t="shared" si="121"/>
        <v/>
      </c>
      <c r="C2623" t="str">
        <f t="shared" si="122"/>
        <v/>
      </c>
    </row>
    <row r="2624" spans="1:3" x14ac:dyDescent="0.4">
      <c r="A2624" t="str">
        <f t="shared" si="120"/>
        <v/>
      </c>
      <c r="B2624" t="str">
        <f t="shared" si="121"/>
        <v/>
      </c>
      <c r="C2624" t="str">
        <f t="shared" si="122"/>
        <v/>
      </c>
    </row>
    <row r="2625" spans="1:3" x14ac:dyDescent="0.4">
      <c r="A2625" t="str">
        <f t="shared" si="120"/>
        <v/>
      </c>
      <c r="B2625" t="str">
        <f t="shared" si="121"/>
        <v/>
      </c>
      <c r="C2625" t="str">
        <f t="shared" si="122"/>
        <v/>
      </c>
    </row>
    <row r="2626" spans="1:3" x14ac:dyDescent="0.4">
      <c r="A2626" t="str">
        <f t="shared" si="120"/>
        <v/>
      </c>
      <c r="B2626" t="str">
        <f t="shared" si="121"/>
        <v/>
      </c>
      <c r="C2626" t="str">
        <f t="shared" si="122"/>
        <v/>
      </c>
    </row>
    <row r="2627" spans="1:3" x14ac:dyDescent="0.4">
      <c r="A2627" t="str">
        <f t="shared" ref="A2627:A2690" si="123">IF($F2627="","",$F2627&amp;"|"&amp;$H2627)</f>
        <v/>
      </c>
      <c r="B2627" t="str">
        <f t="shared" ref="B2627:B2690" si="124">IF(F2627&lt;&gt;"",F2627,"")</f>
        <v/>
      </c>
      <c r="C2627" t="str">
        <f t="shared" ref="C2627:C2690" si="125">IF(H2627&lt;&gt;"", H2627, "")</f>
        <v/>
      </c>
    </row>
    <row r="2628" spans="1:3" x14ac:dyDescent="0.4">
      <c r="A2628" t="str">
        <f t="shared" si="123"/>
        <v/>
      </c>
      <c r="B2628" t="str">
        <f t="shared" si="124"/>
        <v/>
      </c>
      <c r="C2628" t="str">
        <f t="shared" si="125"/>
        <v/>
      </c>
    </row>
    <row r="2629" spans="1:3" x14ac:dyDescent="0.4">
      <c r="A2629" t="str">
        <f t="shared" si="123"/>
        <v/>
      </c>
      <c r="B2629" t="str">
        <f t="shared" si="124"/>
        <v/>
      </c>
      <c r="C2629" t="str">
        <f t="shared" si="125"/>
        <v/>
      </c>
    </row>
    <row r="2630" spans="1:3" x14ac:dyDescent="0.4">
      <c r="A2630" t="str">
        <f t="shared" si="123"/>
        <v/>
      </c>
      <c r="B2630" t="str">
        <f t="shared" si="124"/>
        <v/>
      </c>
      <c r="C2630" t="str">
        <f t="shared" si="125"/>
        <v/>
      </c>
    </row>
    <row r="2631" spans="1:3" x14ac:dyDescent="0.4">
      <c r="A2631" t="str">
        <f t="shared" si="123"/>
        <v/>
      </c>
      <c r="B2631" t="str">
        <f t="shared" si="124"/>
        <v/>
      </c>
      <c r="C2631" t="str">
        <f t="shared" si="125"/>
        <v/>
      </c>
    </row>
    <row r="2632" spans="1:3" x14ac:dyDescent="0.4">
      <c r="A2632" t="str">
        <f t="shared" si="123"/>
        <v/>
      </c>
      <c r="B2632" t="str">
        <f t="shared" si="124"/>
        <v/>
      </c>
      <c r="C2632" t="str">
        <f t="shared" si="125"/>
        <v/>
      </c>
    </row>
    <row r="2633" spans="1:3" x14ac:dyDescent="0.4">
      <c r="A2633" t="str">
        <f t="shared" si="123"/>
        <v/>
      </c>
      <c r="B2633" t="str">
        <f t="shared" si="124"/>
        <v/>
      </c>
      <c r="C2633" t="str">
        <f t="shared" si="125"/>
        <v/>
      </c>
    </row>
    <row r="2634" spans="1:3" x14ac:dyDescent="0.4">
      <c r="A2634" t="str">
        <f t="shared" si="123"/>
        <v/>
      </c>
      <c r="B2634" t="str">
        <f t="shared" si="124"/>
        <v/>
      </c>
      <c r="C2634" t="str">
        <f t="shared" si="125"/>
        <v/>
      </c>
    </row>
    <row r="2635" spans="1:3" x14ac:dyDescent="0.4">
      <c r="A2635" t="str">
        <f t="shared" si="123"/>
        <v/>
      </c>
      <c r="B2635" t="str">
        <f t="shared" si="124"/>
        <v/>
      </c>
      <c r="C2635" t="str">
        <f t="shared" si="125"/>
        <v/>
      </c>
    </row>
    <row r="2636" spans="1:3" x14ac:dyDescent="0.4">
      <c r="A2636" t="str">
        <f t="shared" si="123"/>
        <v/>
      </c>
      <c r="B2636" t="str">
        <f t="shared" si="124"/>
        <v/>
      </c>
      <c r="C2636" t="str">
        <f t="shared" si="125"/>
        <v/>
      </c>
    </row>
    <row r="2637" spans="1:3" x14ac:dyDescent="0.4">
      <c r="A2637" t="str">
        <f t="shared" si="123"/>
        <v/>
      </c>
      <c r="B2637" t="str">
        <f t="shared" si="124"/>
        <v/>
      </c>
      <c r="C2637" t="str">
        <f t="shared" si="125"/>
        <v/>
      </c>
    </row>
    <row r="2638" spans="1:3" x14ac:dyDescent="0.4">
      <c r="A2638" t="str">
        <f t="shared" si="123"/>
        <v/>
      </c>
      <c r="B2638" t="str">
        <f t="shared" si="124"/>
        <v/>
      </c>
      <c r="C2638" t="str">
        <f t="shared" si="125"/>
        <v/>
      </c>
    </row>
    <row r="2639" spans="1:3" x14ac:dyDescent="0.4">
      <c r="A2639" t="str">
        <f t="shared" si="123"/>
        <v/>
      </c>
      <c r="B2639" t="str">
        <f t="shared" si="124"/>
        <v/>
      </c>
      <c r="C2639" t="str">
        <f t="shared" si="125"/>
        <v/>
      </c>
    </row>
    <row r="2640" spans="1:3" x14ac:dyDescent="0.4">
      <c r="A2640" t="str">
        <f t="shared" si="123"/>
        <v/>
      </c>
      <c r="B2640" t="str">
        <f t="shared" si="124"/>
        <v/>
      </c>
      <c r="C2640" t="str">
        <f t="shared" si="125"/>
        <v/>
      </c>
    </row>
    <row r="2641" spans="1:3" x14ac:dyDescent="0.4">
      <c r="A2641" t="str">
        <f t="shared" si="123"/>
        <v/>
      </c>
      <c r="B2641" t="str">
        <f t="shared" si="124"/>
        <v/>
      </c>
      <c r="C2641" t="str">
        <f t="shared" si="125"/>
        <v/>
      </c>
    </row>
    <row r="2642" spans="1:3" x14ac:dyDescent="0.4">
      <c r="A2642" t="str">
        <f t="shared" si="123"/>
        <v/>
      </c>
      <c r="B2642" t="str">
        <f t="shared" si="124"/>
        <v/>
      </c>
      <c r="C2642" t="str">
        <f t="shared" si="125"/>
        <v/>
      </c>
    </row>
    <row r="2643" spans="1:3" x14ac:dyDescent="0.4">
      <c r="A2643" t="str">
        <f t="shared" si="123"/>
        <v/>
      </c>
      <c r="B2643" t="str">
        <f t="shared" si="124"/>
        <v/>
      </c>
      <c r="C2643" t="str">
        <f t="shared" si="125"/>
        <v/>
      </c>
    </row>
    <row r="2644" spans="1:3" x14ac:dyDescent="0.4">
      <c r="A2644" t="str">
        <f t="shared" si="123"/>
        <v/>
      </c>
      <c r="B2644" t="str">
        <f t="shared" si="124"/>
        <v/>
      </c>
      <c r="C2644" t="str">
        <f t="shared" si="125"/>
        <v/>
      </c>
    </row>
    <row r="2645" spans="1:3" x14ac:dyDescent="0.4">
      <c r="A2645" t="str">
        <f t="shared" si="123"/>
        <v/>
      </c>
      <c r="B2645" t="str">
        <f t="shared" si="124"/>
        <v/>
      </c>
      <c r="C2645" t="str">
        <f t="shared" si="125"/>
        <v/>
      </c>
    </row>
    <row r="2646" spans="1:3" x14ac:dyDescent="0.4">
      <c r="A2646" t="str">
        <f t="shared" si="123"/>
        <v/>
      </c>
      <c r="B2646" t="str">
        <f t="shared" si="124"/>
        <v/>
      </c>
      <c r="C2646" t="str">
        <f t="shared" si="125"/>
        <v/>
      </c>
    </row>
    <row r="2647" spans="1:3" x14ac:dyDescent="0.4">
      <c r="A2647" t="str">
        <f t="shared" si="123"/>
        <v/>
      </c>
      <c r="B2647" t="str">
        <f t="shared" si="124"/>
        <v/>
      </c>
      <c r="C2647" t="str">
        <f t="shared" si="125"/>
        <v/>
      </c>
    </row>
    <row r="2648" spans="1:3" x14ac:dyDescent="0.4">
      <c r="A2648" t="str">
        <f t="shared" si="123"/>
        <v/>
      </c>
      <c r="B2648" t="str">
        <f t="shared" si="124"/>
        <v/>
      </c>
      <c r="C2648" t="str">
        <f t="shared" si="125"/>
        <v/>
      </c>
    </row>
    <row r="2649" spans="1:3" x14ac:dyDescent="0.4">
      <c r="A2649" t="str">
        <f t="shared" si="123"/>
        <v/>
      </c>
      <c r="B2649" t="str">
        <f t="shared" si="124"/>
        <v/>
      </c>
      <c r="C2649" t="str">
        <f t="shared" si="125"/>
        <v/>
      </c>
    </row>
    <row r="2650" spans="1:3" x14ac:dyDescent="0.4">
      <c r="A2650" t="str">
        <f t="shared" si="123"/>
        <v/>
      </c>
      <c r="B2650" t="str">
        <f t="shared" si="124"/>
        <v/>
      </c>
      <c r="C2650" t="str">
        <f t="shared" si="125"/>
        <v/>
      </c>
    </row>
    <row r="2651" spans="1:3" x14ac:dyDescent="0.4">
      <c r="A2651" t="str">
        <f t="shared" si="123"/>
        <v/>
      </c>
      <c r="B2651" t="str">
        <f t="shared" si="124"/>
        <v/>
      </c>
      <c r="C2651" t="str">
        <f t="shared" si="125"/>
        <v/>
      </c>
    </row>
    <row r="2652" spans="1:3" x14ac:dyDescent="0.4">
      <c r="A2652" t="str">
        <f t="shared" si="123"/>
        <v/>
      </c>
      <c r="B2652" t="str">
        <f t="shared" si="124"/>
        <v/>
      </c>
      <c r="C2652" t="str">
        <f t="shared" si="125"/>
        <v/>
      </c>
    </row>
    <row r="2653" spans="1:3" x14ac:dyDescent="0.4">
      <c r="A2653" t="str">
        <f t="shared" si="123"/>
        <v/>
      </c>
      <c r="B2653" t="str">
        <f t="shared" si="124"/>
        <v/>
      </c>
      <c r="C2653" t="str">
        <f t="shared" si="125"/>
        <v/>
      </c>
    </row>
    <row r="2654" spans="1:3" x14ac:dyDescent="0.4">
      <c r="A2654" t="str">
        <f t="shared" si="123"/>
        <v/>
      </c>
      <c r="B2654" t="str">
        <f t="shared" si="124"/>
        <v/>
      </c>
      <c r="C2654" t="str">
        <f t="shared" si="125"/>
        <v/>
      </c>
    </row>
    <row r="2655" spans="1:3" x14ac:dyDescent="0.4">
      <c r="A2655" t="str">
        <f t="shared" si="123"/>
        <v/>
      </c>
      <c r="B2655" t="str">
        <f t="shared" si="124"/>
        <v/>
      </c>
      <c r="C2655" t="str">
        <f t="shared" si="125"/>
        <v/>
      </c>
    </row>
    <row r="2656" spans="1:3" x14ac:dyDescent="0.4">
      <c r="A2656" t="str">
        <f t="shared" si="123"/>
        <v/>
      </c>
      <c r="B2656" t="str">
        <f t="shared" si="124"/>
        <v/>
      </c>
      <c r="C2656" t="str">
        <f t="shared" si="125"/>
        <v/>
      </c>
    </row>
    <row r="2657" spans="1:3" x14ac:dyDescent="0.4">
      <c r="A2657" t="str">
        <f t="shared" si="123"/>
        <v/>
      </c>
      <c r="B2657" t="str">
        <f t="shared" si="124"/>
        <v/>
      </c>
      <c r="C2657" t="str">
        <f t="shared" si="125"/>
        <v/>
      </c>
    </row>
    <row r="2658" spans="1:3" x14ac:dyDescent="0.4">
      <c r="A2658" t="str">
        <f t="shared" si="123"/>
        <v/>
      </c>
      <c r="B2658" t="str">
        <f t="shared" si="124"/>
        <v/>
      </c>
      <c r="C2658" t="str">
        <f t="shared" si="125"/>
        <v/>
      </c>
    </row>
    <row r="2659" spans="1:3" x14ac:dyDescent="0.4">
      <c r="A2659" t="str">
        <f t="shared" si="123"/>
        <v/>
      </c>
      <c r="B2659" t="str">
        <f t="shared" si="124"/>
        <v/>
      </c>
      <c r="C2659" t="str">
        <f t="shared" si="125"/>
        <v/>
      </c>
    </row>
    <row r="2660" spans="1:3" x14ac:dyDescent="0.4">
      <c r="A2660" t="str">
        <f t="shared" si="123"/>
        <v/>
      </c>
      <c r="B2660" t="str">
        <f t="shared" si="124"/>
        <v/>
      </c>
      <c r="C2660" t="str">
        <f t="shared" si="125"/>
        <v/>
      </c>
    </row>
    <row r="2661" spans="1:3" x14ac:dyDescent="0.4">
      <c r="A2661" t="str">
        <f t="shared" si="123"/>
        <v/>
      </c>
      <c r="B2661" t="str">
        <f t="shared" si="124"/>
        <v/>
      </c>
      <c r="C2661" t="str">
        <f t="shared" si="125"/>
        <v/>
      </c>
    </row>
    <row r="2662" spans="1:3" x14ac:dyDescent="0.4">
      <c r="A2662" t="str">
        <f t="shared" si="123"/>
        <v/>
      </c>
      <c r="B2662" t="str">
        <f t="shared" si="124"/>
        <v/>
      </c>
      <c r="C2662" t="str">
        <f t="shared" si="125"/>
        <v/>
      </c>
    </row>
    <row r="2663" spans="1:3" x14ac:dyDescent="0.4">
      <c r="A2663" t="str">
        <f t="shared" si="123"/>
        <v/>
      </c>
      <c r="B2663" t="str">
        <f t="shared" si="124"/>
        <v/>
      </c>
      <c r="C2663" t="str">
        <f t="shared" si="125"/>
        <v/>
      </c>
    </row>
    <row r="2664" spans="1:3" x14ac:dyDescent="0.4">
      <c r="A2664" t="str">
        <f t="shared" si="123"/>
        <v/>
      </c>
      <c r="B2664" t="str">
        <f t="shared" si="124"/>
        <v/>
      </c>
      <c r="C2664" t="str">
        <f t="shared" si="125"/>
        <v/>
      </c>
    </row>
    <row r="2665" spans="1:3" x14ac:dyDescent="0.4">
      <c r="A2665" t="str">
        <f t="shared" si="123"/>
        <v/>
      </c>
      <c r="B2665" t="str">
        <f t="shared" si="124"/>
        <v/>
      </c>
      <c r="C2665" t="str">
        <f t="shared" si="125"/>
        <v/>
      </c>
    </row>
    <row r="2666" spans="1:3" x14ac:dyDescent="0.4">
      <c r="A2666" t="str">
        <f t="shared" si="123"/>
        <v/>
      </c>
      <c r="B2666" t="str">
        <f t="shared" si="124"/>
        <v/>
      </c>
      <c r="C2666" t="str">
        <f t="shared" si="125"/>
        <v/>
      </c>
    </row>
    <row r="2667" spans="1:3" x14ac:dyDescent="0.4">
      <c r="A2667" t="str">
        <f t="shared" si="123"/>
        <v/>
      </c>
      <c r="B2667" t="str">
        <f t="shared" si="124"/>
        <v/>
      </c>
      <c r="C2667" t="str">
        <f t="shared" si="125"/>
        <v/>
      </c>
    </row>
    <row r="2668" spans="1:3" x14ac:dyDescent="0.4">
      <c r="A2668" t="str">
        <f t="shared" si="123"/>
        <v/>
      </c>
      <c r="B2668" t="str">
        <f t="shared" si="124"/>
        <v/>
      </c>
      <c r="C2668" t="str">
        <f t="shared" si="125"/>
        <v/>
      </c>
    </row>
    <row r="2669" spans="1:3" x14ac:dyDescent="0.4">
      <c r="A2669" t="str">
        <f t="shared" si="123"/>
        <v/>
      </c>
      <c r="B2669" t="str">
        <f t="shared" si="124"/>
        <v/>
      </c>
      <c r="C2669" t="str">
        <f t="shared" si="125"/>
        <v/>
      </c>
    </row>
    <row r="2670" spans="1:3" x14ac:dyDescent="0.4">
      <c r="A2670" t="str">
        <f t="shared" si="123"/>
        <v/>
      </c>
      <c r="B2670" t="str">
        <f t="shared" si="124"/>
        <v/>
      </c>
      <c r="C2670" t="str">
        <f t="shared" si="125"/>
        <v/>
      </c>
    </row>
    <row r="2671" spans="1:3" x14ac:dyDescent="0.4">
      <c r="A2671" t="str">
        <f t="shared" si="123"/>
        <v/>
      </c>
      <c r="B2671" t="str">
        <f t="shared" si="124"/>
        <v/>
      </c>
      <c r="C2671" t="str">
        <f t="shared" si="125"/>
        <v/>
      </c>
    </row>
    <row r="2672" spans="1:3" x14ac:dyDescent="0.4">
      <c r="A2672" t="str">
        <f t="shared" si="123"/>
        <v/>
      </c>
      <c r="B2672" t="str">
        <f t="shared" si="124"/>
        <v/>
      </c>
      <c r="C2672" t="str">
        <f t="shared" si="125"/>
        <v/>
      </c>
    </row>
    <row r="2673" spans="1:3" x14ac:dyDescent="0.4">
      <c r="A2673" t="str">
        <f t="shared" si="123"/>
        <v/>
      </c>
      <c r="B2673" t="str">
        <f t="shared" si="124"/>
        <v/>
      </c>
      <c r="C2673" t="str">
        <f t="shared" si="125"/>
        <v/>
      </c>
    </row>
    <row r="2674" spans="1:3" x14ac:dyDescent="0.4">
      <c r="A2674" t="str">
        <f t="shared" si="123"/>
        <v/>
      </c>
      <c r="B2674" t="str">
        <f t="shared" si="124"/>
        <v/>
      </c>
      <c r="C2674" t="str">
        <f t="shared" si="125"/>
        <v/>
      </c>
    </row>
    <row r="2675" spans="1:3" x14ac:dyDescent="0.4">
      <c r="A2675" t="str">
        <f t="shared" si="123"/>
        <v/>
      </c>
      <c r="B2675" t="str">
        <f t="shared" si="124"/>
        <v/>
      </c>
      <c r="C2675" t="str">
        <f t="shared" si="125"/>
        <v/>
      </c>
    </row>
    <row r="2676" spans="1:3" x14ac:dyDescent="0.4">
      <c r="A2676" t="str">
        <f t="shared" si="123"/>
        <v/>
      </c>
      <c r="B2676" t="str">
        <f t="shared" si="124"/>
        <v/>
      </c>
      <c r="C2676" t="str">
        <f t="shared" si="125"/>
        <v/>
      </c>
    </row>
    <row r="2677" spans="1:3" x14ac:dyDescent="0.4">
      <c r="A2677" t="str">
        <f t="shared" si="123"/>
        <v/>
      </c>
      <c r="B2677" t="str">
        <f t="shared" si="124"/>
        <v/>
      </c>
      <c r="C2677" t="str">
        <f t="shared" si="125"/>
        <v/>
      </c>
    </row>
    <row r="2678" spans="1:3" x14ac:dyDescent="0.4">
      <c r="A2678" t="str">
        <f t="shared" si="123"/>
        <v/>
      </c>
      <c r="B2678" t="str">
        <f t="shared" si="124"/>
        <v/>
      </c>
      <c r="C2678" t="str">
        <f t="shared" si="125"/>
        <v/>
      </c>
    </row>
    <row r="2679" spans="1:3" x14ac:dyDescent="0.4">
      <c r="A2679" t="str">
        <f t="shared" si="123"/>
        <v/>
      </c>
      <c r="B2679" t="str">
        <f t="shared" si="124"/>
        <v/>
      </c>
      <c r="C2679" t="str">
        <f t="shared" si="125"/>
        <v/>
      </c>
    </row>
    <row r="2680" spans="1:3" x14ac:dyDescent="0.4">
      <c r="A2680" t="str">
        <f t="shared" si="123"/>
        <v/>
      </c>
      <c r="B2680" t="str">
        <f t="shared" si="124"/>
        <v/>
      </c>
      <c r="C2680" t="str">
        <f t="shared" si="125"/>
        <v/>
      </c>
    </row>
    <row r="2681" spans="1:3" x14ac:dyDescent="0.4">
      <c r="A2681" t="str">
        <f t="shared" si="123"/>
        <v/>
      </c>
      <c r="B2681" t="str">
        <f t="shared" si="124"/>
        <v/>
      </c>
      <c r="C2681" t="str">
        <f t="shared" si="125"/>
        <v/>
      </c>
    </row>
    <row r="2682" spans="1:3" x14ac:dyDescent="0.4">
      <c r="A2682" t="str">
        <f t="shared" si="123"/>
        <v/>
      </c>
      <c r="B2682" t="str">
        <f t="shared" si="124"/>
        <v/>
      </c>
      <c r="C2682" t="str">
        <f t="shared" si="125"/>
        <v/>
      </c>
    </row>
    <row r="2683" spans="1:3" x14ac:dyDescent="0.4">
      <c r="A2683" t="str">
        <f t="shared" si="123"/>
        <v/>
      </c>
      <c r="B2683" t="str">
        <f t="shared" si="124"/>
        <v/>
      </c>
      <c r="C2683" t="str">
        <f t="shared" si="125"/>
        <v/>
      </c>
    </row>
    <row r="2684" spans="1:3" x14ac:dyDescent="0.4">
      <c r="A2684" t="str">
        <f t="shared" si="123"/>
        <v/>
      </c>
      <c r="B2684" t="str">
        <f t="shared" si="124"/>
        <v/>
      </c>
      <c r="C2684" t="str">
        <f t="shared" si="125"/>
        <v/>
      </c>
    </row>
    <row r="2685" spans="1:3" x14ac:dyDescent="0.4">
      <c r="A2685" t="str">
        <f t="shared" si="123"/>
        <v/>
      </c>
      <c r="B2685" t="str">
        <f t="shared" si="124"/>
        <v/>
      </c>
      <c r="C2685" t="str">
        <f t="shared" si="125"/>
        <v/>
      </c>
    </row>
    <row r="2686" spans="1:3" x14ac:dyDescent="0.4">
      <c r="A2686" t="str">
        <f t="shared" si="123"/>
        <v/>
      </c>
      <c r="B2686" t="str">
        <f t="shared" si="124"/>
        <v/>
      </c>
      <c r="C2686" t="str">
        <f t="shared" si="125"/>
        <v/>
      </c>
    </row>
    <row r="2687" spans="1:3" x14ac:dyDescent="0.4">
      <c r="A2687" t="str">
        <f t="shared" si="123"/>
        <v/>
      </c>
      <c r="B2687" t="str">
        <f t="shared" si="124"/>
        <v/>
      </c>
      <c r="C2687" t="str">
        <f t="shared" si="125"/>
        <v/>
      </c>
    </row>
    <row r="2688" spans="1:3" x14ac:dyDescent="0.4">
      <c r="A2688" t="str">
        <f t="shared" si="123"/>
        <v/>
      </c>
      <c r="B2688" t="str">
        <f t="shared" si="124"/>
        <v/>
      </c>
      <c r="C2688" t="str">
        <f t="shared" si="125"/>
        <v/>
      </c>
    </row>
    <row r="2689" spans="1:3" x14ac:dyDescent="0.4">
      <c r="A2689" t="str">
        <f t="shared" si="123"/>
        <v/>
      </c>
      <c r="B2689" t="str">
        <f t="shared" si="124"/>
        <v/>
      </c>
      <c r="C2689" t="str">
        <f t="shared" si="125"/>
        <v/>
      </c>
    </row>
    <row r="2690" spans="1:3" x14ac:dyDescent="0.4">
      <c r="A2690" t="str">
        <f t="shared" si="123"/>
        <v/>
      </c>
      <c r="B2690" t="str">
        <f t="shared" si="124"/>
        <v/>
      </c>
      <c r="C2690" t="str">
        <f t="shared" si="125"/>
        <v/>
      </c>
    </row>
    <row r="2691" spans="1:3" x14ac:dyDescent="0.4">
      <c r="A2691" t="str">
        <f t="shared" ref="A2691:A2754" si="126">IF($F2691="","",$F2691&amp;"|"&amp;$H2691)</f>
        <v/>
      </c>
      <c r="B2691" t="str">
        <f t="shared" ref="B2691:B2754" si="127">IF(F2691&lt;&gt;"",F2691,"")</f>
        <v/>
      </c>
      <c r="C2691" t="str">
        <f t="shared" ref="C2691:C2754" si="128">IF(H2691&lt;&gt;"", H2691, "")</f>
        <v/>
      </c>
    </row>
    <row r="2692" spans="1:3" x14ac:dyDescent="0.4">
      <c r="A2692" t="str">
        <f t="shared" si="126"/>
        <v/>
      </c>
      <c r="B2692" t="str">
        <f t="shared" si="127"/>
        <v/>
      </c>
      <c r="C2692" t="str">
        <f t="shared" si="128"/>
        <v/>
      </c>
    </row>
    <row r="2693" spans="1:3" x14ac:dyDescent="0.4">
      <c r="A2693" t="str">
        <f t="shared" si="126"/>
        <v/>
      </c>
      <c r="B2693" t="str">
        <f t="shared" si="127"/>
        <v/>
      </c>
      <c r="C2693" t="str">
        <f t="shared" si="128"/>
        <v/>
      </c>
    </row>
    <row r="2694" spans="1:3" x14ac:dyDescent="0.4">
      <c r="A2694" t="str">
        <f t="shared" si="126"/>
        <v/>
      </c>
      <c r="B2694" t="str">
        <f t="shared" si="127"/>
        <v/>
      </c>
      <c r="C2694" t="str">
        <f t="shared" si="128"/>
        <v/>
      </c>
    </row>
    <row r="2695" spans="1:3" x14ac:dyDescent="0.4">
      <c r="A2695" t="str">
        <f t="shared" si="126"/>
        <v/>
      </c>
      <c r="B2695" t="str">
        <f t="shared" si="127"/>
        <v/>
      </c>
      <c r="C2695" t="str">
        <f t="shared" si="128"/>
        <v/>
      </c>
    </row>
    <row r="2696" spans="1:3" x14ac:dyDescent="0.4">
      <c r="A2696" t="str">
        <f t="shared" si="126"/>
        <v/>
      </c>
      <c r="B2696" t="str">
        <f t="shared" si="127"/>
        <v/>
      </c>
      <c r="C2696" t="str">
        <f t="shared" si="128"/>
        <v/>
      </c>
    </row>
    <row r="2697" spans="1:3" x14ac:dyDescent="0.4">
      <c r="A2697" t="str">
        <f t="shared" si="126"/>
        <v/>
      </c>
      <c r="B2697" t="str">
        <f t="shared" si="127"/>
        <v/>
      </c>
      <c r="C2697" t="str">
        <f t="shared" si="128"/>
        <v/>
      </c>
    </row>
    <row r="2698" spans="1:3" x14ac:dyDescent="0.4">
      <c r="A2698" t="str">
        <f t="shared" si="126"/>
        <v/>
      </c>
      <c r="B2698" t="str">
        <f t="shared" si="127"/>
        <v/>
      </c>
      <c r="C2698" t="str">
        <f t="shared" si="128"/>
        <v/>
      </c>
    </row>
    <row r="2699" spans="1:3" x14ac:dyDescent="0.4">
      <c r="A2699" t="str">
        <f t="shared" si="126"/>
        <v/>
      </c>
      <c r="B2699" t="str">
        <f t="shared" si="127"/>
        <v/>
      </c>
      <c r="C2699" t="str">
        <f t="shared" si="128"/>
        <v/>
      </c>
    </row>
    <row r="2700" spans="1:3" x14ac:dyDescent="0.4">
      <c r="A2700" t="str">
        <f t="shared" si="126"/>
        <v/>
      </c>
      <c r="B2700" t="str">
        <f t="shared" si="127"/>
        <v/>
      </c>
      <c r="C2700" t="str">
        <f t="shared" si="128"/>
        <v/>
      </c>
    </row>
    <row r="2701" spans="1:3" x14ac:dyDescent="0.4">
      <c r="A2701" t="str">
        <f t="shared" si="126"/>
        <v/>
      </c>
      <c r="B2701" t="str">
        <f t="shared" si="127"/>
        <v/>
      </c>
      <c r="C2701" t="str">
        <f t="shared" si="128"/>
        <v/>
      </c>
    </row>
    <row r="2702" spans="1:3" x14ac:dyDescent="0.4">
      <c r="A2702" t="str">
        <f t="shared" si="126"/>
        <v/>
      </c>
      <c r="B2702" t="str">
        <f t="shared" si="127"/>
        <v/>
      </c>
      <c r="C2702" t="str">
        <f t="shared" si="128"/>
        <v/>
      </c>
    </row>
    <row r="2703" spans="1:3" x14ac:dyDescent="0.4">
      <c r="A2703" t="str">
        <f t="shared" si="126"/>
        <v/>
      </c>
      <c r="B2703" t="str">
        <f t="shared" si="127"/>
        <v/>
      </c>
      <c r="C2703" t="str">
        <f t="shared" si="128"/>
        <v/>
      </c>
    </row>
    <row r="2704" spans="1:3" x14ac:dyDescent="0.4">
      <c r="A2704" t="str">
        <f t="shared" si="126"/>
        <v/>
      </c>
      <c r="B2704" t="str">
        <f t="shared" si="127"/>
        <v/>
      </c>
      <c r="C2704" t="str">
        <f t="shared" si="128"/>
        <v/>
      </c>
    </row>
    <row r="2705" spans="1:3" x14ac:dyDescent="0.4">
      <c r="A2705" t="str">
        <f t="shared" si="126"/>
        <v/>
      </c>
      <c r="B2705" t="str">
        <f t="shared" si="127"/>
        <v/>
      </c>
      <c r="C2705" t="str">
        <f t="shared" si="128"/>
        <v/>
      </c>
    </row>
    <row r="2706" spans="1:3" x14ac:dyDescent="0.4">
      <c r="A2706" t="str">
        <f t="shared" si="126"/>
        <v/>
      </c>
      <c r="B2706" t="str">
        <f t="shared" si="127"/>
        <v/>
      </c>
      <c r="C2706" t="str">
        <f t="shared" si="128"/>
        <v/>
      </c>
    </row>
    <row r="2707" spans="1:3" x14ac:dyDescent="0.4">
      <c r="A2707" t="str">
        <f t="shared" si="126"/>
        <v/>
      </c>
      <c r="B2707" t="str">
        <f t="shared" si="127"/>
        <v/>
      </c>
      <c r="C2707" t="str">
        <f t="shared" si="128"/>
        <v/>
      </c>
    </row>
    <row r="2708" spans="1:3" x14ac:dyDescent="0.4">
      <c r="A2708" t="str">
        <f t="shared" si="126"/>
        <v/>
      </c>
      <c r="B2708" t="str">
        <f t="shared" si="127"/>
        <v/>
      </c>
      <c r="C2708" t="str">
        <f t="shared" si="128"/>
        <v/>
      </c>
    </row>
    <row r="2709" spans="1:3" x14ac:dyDescent="0.4">
      <c r="A2709" t="str">
        <f t="shared" si="126"/>
        <v/>
      </c>
      <c r="B2709" t="str">
        <f t="shared" si="127"/>
        <v/>
      </c>
      <c r="C2709" t="str">
        <f t="shared" si="128"/>
        <v/>
      </c>
    </row>
    <row r="2710" spans="1:3" x14ac:dyDescent="0.4">
      <c r="A2710" t="str">
        <f t="shared" si="126"/>
        <v/>
      </c>
      <c r="B2710" t="str">
        <f t="shared" si="127"/>
        <v/>
      </c>
      <c r="C2710" t="str">
        <f t="shared" si="128"/>
        <v/>
      </c>
    </row>
    <row r="2711" spans="1:3" x14ac:dyDescent="0.4">
      <c r="A2711" t="str">
        <f t="shared" si="126"/>
        <v/>
      </c>
      <c r="B2711" t="str">
        <f t="shared" si="127"/>
        <v/>
      </c>
      <c r="C2711" t="str">
        <f t="shared" si="128"/>
        <v/>
      </c>
    </row>
    <row r="2712" spans="1:3" x14ac:dyDescent="0.4">
      <c r="A2712" t="str">
        <f t="shared" si="126"/>
        <v/>
      </c>
      <c r="B2712" t="str">
        <f t="shared" si="127"/>
        <v/>
      </c>
      <c r="C2712" t="str">
        <f t="shared" si="128"/>
        <v/>
      </c>
    </row>
    <row r="2713" spans="1:3" x14ac:dyDescent="0.4">
      <c r="A2713" t="str">
        <f t="shared" si="126"/>
        <v/>
      </c>
      <c r="B2713" t="str">
        <f t="shared" si="127"/>
        <v/>
      </c>
      <c r="C2713" t="str">
        <f t="shared" si="128"/>
        <v/>
      </c>
    </row>
    <row r="2714" spans="1:3" x14ac:dyDescent="0.4">
      <c r="A2714" t="str">
        <f t="shared" si="126"/>
        <v/>
      </c>
      <c r="B2714" t="str">
        <f t="shared" si="127"/>
        <v/>
      </c>
      <c r="C2714" t="str">
        <f t="shared" si="128"/>
        <v/>
      </c>
    </row>
    <row r="2715" spans="1:3" x14ac:dyDescent="0.4">
      <c r="A2715" t="str">
        <f t="shared" si="126"/>
        <v/>
      </c>
      <c r="B2715" t="str">
        <f t="shared" si="127"/>
        <v/>
      </c>
      <c r="C2715" t="str">
        <f t="shared" si="128"/>
        <v/>
      </c>
    </row>
    <row r="2716" spans="1:3" x14ac:dyDescent="0.4">
      <c r="A2716" t="str">
        <f t="shared" si="126"/>
        <v/>
      </c>
      <c r="B2716" t="str">
        <f t="shared" si="127"/>
        <v/>
      </c>
      <c r="C2716" t="str">
        <f t="shared" si="128"/>
        <v/>
      </c>
    </row>
    <row r="2717" spans="1:3" x14ac:dyDescent="0.4">
      <c r="A2717" t="str">
        <f t="shared" si="126"/>
        <v/>
      </c>
      <c r="B2717" t="str">
        <f t="shared" si="127"/>
        <v/>
      </c>
      <c r="C2717" t="str">
        <f t="shared" si="128"/>
        <v/>
      </c>
    </row>
    <row r="2718" spans="1:3" x14ac:dyDescent="0.4">
      <c r="A2718" t="str">
        <f t="shared" si="126"/>
        <v/>
      </c>
      <c r="B2718" t="str">
        <f t="shared" si="127"/>
        <v/>
      </c>
      <c r="C2718" t="str">
        <f t="shared" si="128"/>
        <v/>
      </c>
    </row>
    <row r="2719" spans="1:3" x14ac:dyDescent="0.4">
      <c r="A2719" t="str">
        <f t="shared" si="126"/>
        <v/>
      </c>
      <c r="B2719" t="str">
        <f t="shared" si="127"/>
        <v/>
      </c>
      <c r="C2719" t="str">
        <f t="shared" si="128"/>
        <v/>
      </c>
    </row>
    <row r="2720" spans="1:3" x14ac:dyDescent="0.4">
      <c r="A2720" t="str">
        <f t="shared" si="126"/>
        <v/>
      </c>
      <c r="B2720" t="str">
        <f t="shared" si="127"/>
        <v/>
      </c>
      <c r="C2720" t="str">
        <f t="shared" si="128"/>
        <v/>
      </c>
    </row>
    <row r="2721" spans="1:3" x14ac:dyDescent="0.4">
      <c r="A2721" t="str">
        <f t="shared" si="126"/>
        <v/>
      </c>
      <c r="B2721" t="str">
        <f t="shared" si="127"/>
        <v/>
      </c>
      <c r="C2721" t="str">
        <f t="shared" si="128"/>
        <v/>
      </c>
    </row>
    <row r="2722" spans="1:3" x14ac:dyDescent="0.4">
      <c r="A2722" t="str">
        <f t="shared" si="126"/>
        <v/>
      </c>
      <c r="B2722" t="str">
        <f t="shared" si="127"/>
        <v/>
      </c>
      <c r="C2722" t="str">
        <f t="shared" si="128"/>
        <v/>
      </c>
    </row>
    <row r="2723" spans="1:3" x14ac:dyDescent="0.4">
      <c r="A2723" t="str">
        <f t="shared" si="126"/>
        <v/>
      </c>
      <c r="B2723" t="str">
        <f t="shared" si="127"/>
        <v/>
      </c>
      <c r="C2723" t="str">
        <f t="shared" si="128"/>
        <v/>
      </c>
    </row>
    <row r="2724" spans="1:3" x14ac:dyDescent="0.4">
      <c r="A2724" t="str">
        <f t="shared" si="126"/>
        <v/>
      </c>
      <c r="B2724" t="str">
        <f t="shared" si="127"/>
        <v/>
      </c>
      <c r="C2724" t="str">
        <f t="shared" si="128"/>
        <v/>
      </c>
    </row>
    <row r="2725" spans="1:3" x14ac:dyDescent="0.4">
      <c r="A2725" t="str">
        <f t="shared" si="126"/>
        <v/>
      </c>
      <c r="B2725" t="str">
        <f t="shared" si="127"/>
        <v/>
      </c>
      <c r="C2725" t="str">
        <f t="shared" si="128"/>
        <v/>
      </c>
    </row>
    <row r="2726" spans="1:3" x14ac:dyDescent="0.4">
      <c r="A2726" t="str">
        <f t="shared" si="126"/>
        <v/>
      </c>
      <c r="B2726" t="str">
        <f t="shared" si="127"/>
        <v/>
      </c>
      <c r="C2726" t="str">
        <f t="shared" si="128"/>
        <v/>
      </c>
    </row>
    <row r="2727" spans="1:3" x14ac:dyDescent="0.4">
      <c r="A2727" t="str">
        <f t="shared" si="126"/>
        <v/>
      </c>
      <c r="B2727" t="str">
        <f t="shared" si="127"/>
        <v/>
      </c>
      <c r="C2727" t="str">
        <f t="shared" si="128"/>
        <v/>
      </c>
    </row>
    <row r="2728" spans="1:3" x14ac:dyDescent="0.4">
      <c r="A2728" t="str">
        <f t="shared" si="126"/>
        <v/>
      </c>
      <c r="B2728" t="str">
        <f t="shared" si="127"/>
        <v/>
      </c>
      <c r="C2728" t="str">
        <f t="shared" si="128"/>
        <v/>
      </c>
    </row>
    <row r="2729" spans="1:3" x14ac:dyDescent="0.4">
      <c r="A2729" t="str">
        <f t="shared" si="126"/>
        <v/>
      </c>
      <c r="B2729" t="str">
        <f t="shared" si="127"/>
        <v/>
      </c>
      <c r="C2729" t="str">
        <f t="shared" si="128"/>
        <v/>
      </c>
    </row>
    <row r="2730" spans="1:3" x14ac:dyDescent="0.4">
      <c r="A2730" t="str">
        <f t="shared" si="126"/>
        <v/>
      </c>
      <c r="B2730" t="str">
        <f t="shared" si="127"/>
        <v/>
      </c>
      <c r="C2730" t="str">
        <f t="shared" si="128"/>
        <v/>
      </c>
    </row>
    <row r="2731" spans="1:3" x14ac:dyDescent="0.4">
      <c r="A2731" t="str">
        <f t="shared" si="126"/>
        <v/>
      </c>
      <c r="B2731" t="str">
        <f t="shared" si="127"/>
        <v/>
      </c>
      <c r="C2731" t="str">
        <f t="shared" si="128"/>
        <v/>
      </c>
    </row>
    <row r="2732" spans="1:3" x14ac:dyDescent="0.4">
      <c r="A2732" t="str">
        <f t="shared" si="126"/>
        <v/>
      </c>
      <c r="B2732" t="str">
        <f t="shared" si="127"/>
        <v/>
      </c>
      <c r="C2732" t="str">
        <f t="shared" si="128"/>
        <v/>
      </c>
    </row>
    <row r="2733" spans="1:3" x14ac:dyDescent="0.4">
      <c r="A2733" t="str">
        <f t="shared" si="126"/>
        <v/>
      </c>
      <c r="B2733" t="str">
        <f t="shared" si="127"/>
        <v/>
      </c>
      <c r="C2733" t="str">
        <f t="shared" si="128"/>
        <v/>
      </c>
    </row>
    <row r="2734" spans="1:3" x14ac:dyDescent="0.4">
      <c r="A2734" t="str">
        <f t="shared" si="126"/>
        <v/>
      </c>
      <c r="B2734" t="str">
        <f t="shared" si="127"/>
        <v/>
      </c>
      <c r="C2734" t="str">
        <f t="shared" si="128"/>
        <v/>
      </c>
    </row>
    <row r="2735" spans="1:3" x14ac:dyDescent="0.4">
      <c r="A2735" t="str">
        <f t="shared" si="126"/>
        <v/>
      </c>
      <c r="B2735" t="str">
        <f t="shared" si="127"/>
        <v/>
      </c>
      <c r="C2735" t="str">
        <f t="shared" si="128"/>
        <v/>
      </c>
    </row>
    <row r="2736" spans="1:3" x14ac:dyDescent="0.4">
      <c r="A2736" t="str">
        <f t="shared" si="126"/>
        <v/>
      </c>
      <c r="B2736" t="str">
        <f t="shared" si="127"/>
        <v/>
      </c>
      <c r="C2736" t="str">
        <f t="shared" si="128"/>
        <v/>
      </c>
    </row>
    <row r="2737" spans="1:3" x14ac:dyDescent="0.4">
      <c r="A2737" t="str">
        <f t="shared" si="126"/>
        <v/>
      </c>
      <c r="B2737" t="str">
        <f t="shared" si="127"/>
        <v/>
      </c>
      <c r="C2737" t="str">
        <f t="shared" si="128"/>
        <v/>
      </c>
    </row>
    <row r="2738" spans="1:3" x14ac:dyDescent="0.4">
      <c r="A2738" t="str">
        <f t="shared" si="126"/>
        <v/>
      </c>
      <c r="B2738" t="str">
        <f t="shared" si="127"/>
        <v/>
      </c>
      <c r="C2738" t="str">
        <f t="shared" si="128"/>
        <v/>
      </c>
    </row>
    <row r="2739" spans="1:3" x14ac:dyDescent="0.4">
      <c r="A2739" t="str">
        <f t="shared" si="126"/>
        <v/>
      </c>
      <c r="B2739" t="str">
        <f t="shared" si="127"/>
        <v/>
      </c>
      <c r="C2739" t="str">
        <f t="shared" si="128"/>
        <v/>
      </c>
    </row>
    <row r="2740" spans="1:3" x14ac:dyDescent="0.4">
      <c r="A2740" t="str">
        <f t="shared" si="126"/>
        <v/>
      </c>
      <c r="B2740" t="str">
        <f t="shared" si="127"/>
        <v/>
      </c>
      <c r="C2740" t="str">
        <f t="shared" si="128"/>
        <v/>
      </c>
    </row>
    <row r="2741" spans="1:3" x14ac:dyDescent="0.4">
      <c r="A2741" t="str">
        <f t="shared" si="126"/>
        <v/>
      </c>
      <c r="B2741" t="str">
        <f t="shared" si="127"/>
        <v/>
      </c>
      <c r="C2741" t="str">
        <f t="shared" si="128"/>
        <v/>
      </c>
    </row>
    <row r="2742" spans="1:3" x14ac:dyDescent="0.4">
      <c r="A2742" t="str">
        <f t="shared" si="126"/>
        <v/>
      </c>
      <c r="B2742" t="str">
        <f t="shared" si="127"/>
        <v/>
      </c>
      <c r="C2742" t="str">
        <f t="shared" si="128"/>
        <v/>
      </c>
    </row>
    <row r="2743" spans="1:3" x14ac:dyDescent="0.4">
      <c r="A2743" t="str">
        <f t="shared" si="126"/>
        <v/>
      </c>
      <c r="B2743" t="str">
        <f t="shared" si="127"/>
        <v/>
      </c>
      <c r="C2743" t="str">
        <f t="shared" si="128"/>
        <v/>
      </c>
    </row>
    <row r="2744" spans="1:3" x14ac:dyDescent="0.4">
      <c r="A2744" t="str">
        <f t="shared" si="126"/>
        <v/>
      </c>
      <c r="B2744" t="str">
        <f t="shared" si="127"/>
        <v/>
      </c>
      <c r="C2744" t="str">
        <f t="shared" si="128"/>
        <v/>
      </c>
    </row>
    <row r="2745" spans="1:3" x14ac:dyDescent="0.4">
      <c r="A2745" t="str">
        <f t="shared" si="126"/>
        <v/>
      </c>
      <c r="B2745" t="str">
        <f t="shared" si="127"/>
        <v/>
      </c>
      <c r="C2745" t="str">
        <f t="shared" si="128"/>
        <v/>
      </c>
    </row>
    <row r="2746" spans="1:3" x14ac:dyDescent="0.4">
      <c r="A2746" t="str">
        <f t="shared" si="126"/>
        <v/>
      </c>
      <c r="B2746" t="str">
        <f t="shared" si="127"/>
        <v/>
      </c>
      <c r="C2746" t="str">
        <f t="shared" si="128"/>
        <v/>
      </c>
    </row>
    <row r="2747" spans="1:3" x14ac:dyDescent="0.4">
      <c r="A2747" t="str">
        <f t="shared" si="126"/>
        <v/>
      </c>
      <c r="B2747" t="str">
        <f t="shared" si="127"/>
        <v/>
      </c>
      <c r="C2747" t="str">
        <f t="shared" si="128"/>
        <v/>
      </c>
    </row>
    <row r="2748" spans="1:3" x14ac:dyDescent="0.4">
      <c r="A2748" t="str">
        <f t="shared" si="126"/>
        <v/>
      </c>
      <c r="B2748" t="str">
        <f t="shared" si="127"/>
        <v/>
      </c>
      <c r="C2748" t="str">
        <f t="shared" si="128"/>
        <v/>
      </c>
    </row>
    <row r="2749" spans="1:3" x14ac:dyDescent="0.4">
      <c r="A2749" t="str">
        <f t="shared" si="126"/>
        <v/>
      </c>
      <c r="B2749" t="str">
        <f t="shared" si="127"/>
        <v/>
      </c>
      <c r="C2749" t="str">
        <f t="shared" si="128"/>
        <v/>
      </c>
    </row>
    <row r="2750" spans="1:3" x14ac:dyDescent="0.4">
      <c r="A2750" t="str">
        <f t="shared" si="126"/>
        <v/>
      </c>
      <c r="B2750" t="str">
        <f t="shared" si="127"/>
        <v/>
      </c>
      <c r="C2750" t="str">
        <f t="shared" si="128"/>
        <v/>
      </c>
    </row>
    <row r="2751" spans="1:3" x14ac:dyDescent="0.4">
      <c r="A2751" t="str">
        <f t="shared" si="126"/>
        <v/>
      </c>
      <c r="B2751" t="str">
        <f t="shared" si="127"/>
        <v/>
      </c>
      <c r="C2751" t="str">
        <f t="shared" si="128"/>
        <v/>
      </c>
    </row>
    <row r="2752" spans="1:3" x14ac:dyDescent="0.4">
      <c r="A2752" t="str">
        <f t="shared" si="126"/>
        <v/>
      </c>
      <c r="B2752" t="str">
        <f t="shared" si="127"/>
        <v/>
      </c>
      <c r="C2752" t="str">
        <f t="shared" si="128"/>
        <v/>
      </c>
    </row>
    <row r="2753" spans="1:3" x14ac:dyDescent="0.4">
      <c r="A2753" t="str">
        <f t="shared" si="126"/>
        <v/>
      </c>
      <c r="B2753" t="str">
        <f t="shared" si="127"/>
        <v/>
      </c>
      <c r="C2753" t="str">
        <f t="shared" si="128"/>
        <v/>
      </c>
    </row>
    <row r="2754" spans="1:3" x14ac:dyDescent="0.4">
      <c r="A2754" t="str">
        <f t="shared" si="126"/>
        <v/>
      </c>
      <c r="B2754" t="str">
        <f t="shared" si="127"/>
        <v/>
      </c>
      <c r="C2754" t="str">
        <f t="shared" si="128"/>
        <v/>
      </c>
    </row>
    <row r="2755" spans="1:3" x14ac:dyDescent="0.4">
      <c r="A2755" t="str">
        <f t="shared" ref="A2755:A2818" si="129">IF($F2755="","",$F2755&amp;"|"&amp;$H2755)</f>
        <v/>
      </c>
      <c r="B2755" t="str">
        <f t="shared" ref="B2755:B2818" si="130">IF(F2755&lt;&gt;"",F2755,"")</f>
        <v/>
      </c>
      <c r="C2755" t="str">
        <f t="shared" ref="C2755:C2818" si="131">IF(H2755&lt;&gt;"", H2755, "")</f>
        <v/>
      </c>
    </row>
    <row r="2756" spans="1:3" x14ac:dyDescent="0.4">
      <c r="A2756" t="str">
        <f t="shared" si="129"/>
        <v/>
      </c>
      <c r="B2756" t="str">
        <f t="shared" si="130"/>
        <v/>
      </c>
      <c r="C2756" t="str">
        <f t="shared" si="131"/>
        <v/>
      </c>
    </row>
    <row r="2757" spans="1:3" x14ac:dyDescent="0.4">
      <c r="A2757" t="str">
        <f t="shared" si="129"/>
        <v/>
      </c>
      <c r="B2757" t="str">
        <f t="shared" si="130"/>
        <v/>
      </c>
      <c r="C2757" t="str">
        <f t="shared" si="131"/>
        <v/>
      </c>
    </row>
    <row r="2758" spans="1:3" x14ac:dyDescent="0.4">
      <c r="A2758" t="str">
        <f t="shared" si="129"/>
        <v/>
      </c>
      <c r="B2758" t="str">
        <f t="shared" si="130"/>
        <v/>
      </c>
      <c r="C2758" t="str">
        <f t="shared" si="131"/>
        <v/>
      </c>
    </row>
    <row r="2759" spans="1:3" x14ac:dyDescent="0.4">
      <c r="A2759" t="str">
        <f t="shared" si="129"/>
        <v/>
      </c>
      <c r="B2759" t="str">
        <f t="shared" si="130"/>
        <v/>
      </c>
      <c r="C2759" t="str">
        <f t="shared" si="131"/>
        <v/>
      </c>
    </row>
    <row r="2760" spans="1:3" x14ac:dyDescent="0.4">
      <c r="A2760" t="str">
        <f t="shared" si="129"/>
        <v/>
      </c>
      <c r="B2760" t="str">
        <f t="shared" si="130"/>
        <v/>
      </c>
      <c r="C2760" t="str">
        <f t="shared" si="131"/>
        <v/>
      </c>
    </row>
    <row r="2761" spans="1:3" x14ac:dyDescent="0.4">
      <c r="A2761" t="str">
        <f t="shared" si="129"/>
        <v/>
      </c>
      <c r="B2761" t="str">
        <f t="shared" si="130"/>
        <v/>
      </c>
      <c r="C2761" t="str">
        <f t="shared" si="131"/>
        <v/>
      </c>
    </row>
    <row r="2762" spans="1:3" x14ac:dyDescent="0.4">
      <c r="A2762" t="str">
        <f t="shared" si="129"/>
        <v/>
      </c>
      <c r="B2762" t="str">
        <f t="shared" si="130"/>
        <v/>
      </c>
      <c r="C2762" t="str">
        <f t="shared" si="131"/>
        <v/>
      </c>
    </row>
    <row r="2763" spans="1:3" x14ac:dyDescent="0.4">
      <c r="A2763" t="str">
        <f t="shared" si="129"/>
        <v/>
      </c>
      <c r="B2763" t="str">
        <f t="shared" si="130"/>
        <v/>
      </c>
      <c r="C2763" t="str">
        <f t="shared" si="131"/>
        <v/>
      </c>
    </row>
    <row r="2764" spans="1:3" x14ac:dyDescent="0.4">
      <c r="A2764" t="str">
        <f t="shared" si="129"/>
        <v/>
      </c>
      <c r="B2764" t="str">
        <f t="shared" si="130"/>
        <v/>
      </c>
      <c r="C2764" t="str">
        <f t="shared" si="131"/>
        <v/>
      </c>
    </row>
    <row r="2765" spans="1:3" x14ac:dyDescent="0.4">
      <c r="A2765" t="str">
        <f t="shared" si="129"/>
        <v/>
      </c>
      <c r="B2765" t="str">
        <f t="shared" si="130"/>
        <v/>
      </c>
      <c r="C2765" t="str">
        <f t="shared" si="131"/>
        <v/>
      </c>
    </row>
    <row r="2766" spans="1:3" x14ac:dyDescent="0.4">
      <c r="A2766" t="str">
        <f t="shared" si="129"/>
        <v/>
      </c>
      <c r="B2766" t="str">
        <f t="shared" si="130"/>
        <v/>
      </c>
      <c r="C2766" t="str">
        <f t="shared" si="131"/>
        <v/>
      </c>
    </row>
    <row r="2767" spans="1:3" x14ac:dyDescent="0.4">
      <c r="A2767" t="str">
        <f t="shared" si="129"/>
        <v/>
      </c>
      <c r="B2767" t="str">
        <f t="shared" si="130"/>
        <v/>
      </c>
      <c r="C2767" t="str">
        <f t="shared" si="131"/>
        <v/>
      </c>
    </row>
    <row r="2768" spans="1:3" x14ac:dyDescent="0.4">
      <c r="A2768" t="str">
        <f t="shared" si="129"/>
        <v/>
      </c>
      <c r="B2768" t="str">
        <f t="shared" si="130"/>
        <v/>
      </c>
      <c r="C2768" t="str">
        <f t="shared" si="131"/>
        <v/>
      </c>
    </row>
    <row r="2769" spans="1:3" x14ac:dyDescent="0.4">
      <c r="A2769" t="str">
        <f t="shared" si="129"/>
        <v/>
      </c>
      <c r="B2769" t="str">
        <f t="shared" si="130"/>
        <v/>
      </c>
      <c r="C2769" t="str">
        <f t="shared" si="131"/>
        <v/>
      </c>
    </row>
    <row r="2770" spans="1:3" x14ac:dyDescent="0.4">
      <c r="A2770" t="str">
        <f t="shared" si="129"/>
        <v/>
      </c>
      <c r="B2770" t="str">
        <f t="shared" si="130"/>
        <v/>
      </c>
      <c r="C2770" t="str">
        <f t="shared" si="131"/>
        <v/>
      </c>
    </row>
    <row r="2771" spans="1:3" x14ac:dyDescent="0.4">
      <c r="A2771" t="str">
        <f t="shared" si="129"/>
        <v/>
      </c>
      <c r="B2771" t="str">
        <f t="shared" si="130"/>
        <v/>
      </c>
      <c r="C2771" t="str">
        <f t="shared" si="131"/>
        <v/>
      </c>
    </row>
    <row r="2772" spans="1:3" x14ac:dyDescent="0.4">
      <c r="A2772" t="str">
        <f t="shared" si="129"/>
        <v/>
      </c>
      <c r="B2772" t="str">
        <f t="shared" si="130"/>
        <v/>
      </c>
      <c r="C2772" t="str">
        <f t="shared" si="131"/>
        <v/>
      </c>
    </row>
    <row r="2773" spans="1:3" x14ac:dyDescent="0.4">
      <c r="A2773" t="str">
        <f t="shared" si="129"/>
        <v/>
      </c>
      <c r="B2773" t="str">
        <f t="shared" si="130"/>
        <v/>
      </c>
      <c r="C2773" t="str">
        <f t="shared" si="131"/>
        <v/>
      </c>
    </row>
    <row r="2774" spans="1:3" x14ac:dyDescent="0.4">
      <c r="A2774" t="str">
        <f t="shared" si="129"/>
        <v/>
      </c>
      <c r="B2774" t="str">
        <f t="shared" si="130"/>
        <v/>
      </c>
      <c r="C2774" t="str">
        <f t="shared" si="131"/>
        <v/>
      </c>
    </row>
    <row r="2775" spans="1:3" x14ac:dyDescent="0.4">
      <c r="A2775" t="str">
        <f t="shared" si="129"/>
        <v/>
      </c>
      <c r="B2775" t="str">
        <f t="shared" si="130"/>
        <v/>
      </c>
      <c r="C2775" t="str">
        <f t="shared" si="131"/>
        <v/>
      </c>
    </row>
    <row r="2776" spans="1:3" x14ac:dyDescent="0.4">
      <c r="A2776" t="str">
        <f t="shared" si="129"/>
        <v/>
      </c>
      <c r="B2776" t="str">
        <f t="shared" si="130"/>
        <v/>
      </c>
      <c r="C2776" t="str">
        <f t="shared" si="131"/>
        <v/>
      </c>
    </row>
    <row r="2777" spans="1:3" x14ac:dyDescent="0.4">
      <c r="A2777" t="str">
        <f t="shared" si="129"/>
        <v/>
      </c>
      <c r="B2777" t="str">
        <f t="shared" si="130"/>
        <v/>
      </c>
      <c r="C2777" t="str">
        <f t="shared" si="131"/>
        <v/>
      </c>
    </row>
    <row r="2778" spans="1:3" x14ac:dyDescent="0.4">
      <c r="A2778" t="str">
        <f t="shared" si="129"/>
        <v/>
      </c>
      <c r="B2778" t="str">
        <f t="shared" si="130"/>
        <v/>
      </c>
      <c r="C2778" t="str">
        <f t="shared" si="131"/>
        <v/>
      </c>
    </row>
    <row r="2779" spans="1:3" x14ac:dyDescent="0.4">
      <c r="A2779" t="str">
        <f t="shared" si="129"/>
        <v/>
      </c>
      <c r="B2779" t="str">
        <f t="shared" si="130"/>
        <v/>
      </c>
      <c r="C2779" t="str">
        <f t="shared" si="131"/>
        <v/>
      </c>
    </row>
    <row r="2780" spans="1:3" x14ac:dyDescent="0.4">
      <c r="A2780" t="str">
        <f t="shared" si="129"/>
        <v/>
      </c>
      <c r="B2780" t="str">
        <f t="shared" si="130"/>
        <v/>
      </c>
      <c r="C2780" t="str">
        <f t="shared" si="131"/>
        <v/>
      </c>
    </row>
    <row r="2781" spans="1:3" x14ac:dyDescent="0.4">
      <c r="A2781" t="str">
        <f t="shared" si="129"/>
        <v/>
      </c>
      <c r="B2781" t="str">
        <f t="shared" si="130"/>
        <v/>
      </c>
      <c r="C2781" t="str">
        <f t="shared" si="131"/>
        <v/>
      </c>
    </row>
    <row r="2782" spans="1:3" x14ac:dyDescent="0.4">
      <c r="A2782" t="str">
        <f t="shared" si="129"/>
        <v/>
      </c>
      <c r="B2782" t="str">
        <f t="shared" si="130"/>
        <v/>
      </c>
      <c r="C2782" t="str">
        <f t="shared" si="131"/>
        <v/>
      </c>
    </row>
    <row r="2783" spans="1:3" x14ac:dyDescent="0.4">
      <c r="A2783" t="str">
        <f t="shared" si="129"/>
        <v/>
      </c>
      <c r="B2783" t="str">
        <f t="shared" si="130"/>
        <v/>
      </c>
      <c r="C2783" t="str">
        <f t="shared" si="131"/>
        <v/>
      </c>
    </row>
    <row r="2784" spans="1:3" x14ac:dyDescent="0.4">
      <c r="A2784" t="str">
        <f t="shared" si="129"/>
        <v/>
      </c>
      <c r="B2784" t="str">
        <f t="shared" si="130"/>
        <v/>
      </c>
      <c r="C2784" t="str">
        <f t="shared" si="131"/>
        <v/>
      </c>
    </row>
    <row r="2785" spans="1:3" x14ac:dyDescent="0.4">
      <c r="A2785" t="str">
        <f t="shared" si="129"/>
        <v/>
      </c>
      <c r="B2785" t="str">
        <f t="shared" si="130"/>
        <v/>
      </c>
      <c r="C2785" t="str">
        <f t="shared" si="131"/>
        <v/>
      </c>
    </row>
    <row r="2786" spans="1:3" x14ac:dyDescent="0.4">
      <c r="A2786" t="str">
        <f t="shared" si="129"/>
        <v/>
      </c>
      <c r="B2786" t="str">
        <f t="shared" si="130"/>
        <v/>
      </c>
      <c r="C2786" t="str">
        <f t="shared" si="131"/>
        <v/>
      </c>
    </row>
    <row r="2787" spans="1:3" x14ac:dyDescent="0.4">
      <c r="A2787" t="str">
        <f t="shared" si="129"/>
        <v/>
      </c>
      <c r="B2787" t="str">
        <f t="shared" si="130"/>
        <v/>
      </c>
      <c r="C2787" t="str">
        <f t="shared" si="131"/>
        <v/>
      </c>
    </row>
    <row r="2788" spans="1:3" x14ac:dyDescent="0.4">
      <c r="A2788" t="str">
        <f t="shared" si="129"/>
        <v/>
      </c>
      <c r="B2788" t="str">
        <f t="shared" si="130"/>
        <v/>
      </c>
      <c r="C2788" t="str">
        <f t="shared" si="131"/>
        <v/>
      </c>
    </row>
    <row r="2789" spans="1:3" x14ac:dyDescent="0.4">
      <c r="A2789" t="str">
        <f t="shared" si="129"/>
        <v/>
      </c>
      <c r="B2789" t="str">
        <f t="shared" si="130"/>
        <v/>
      </c>
      <c r="C2789" t="str">
        <f t="shared" si="131"/>
        <v/>
      </c>
    </row>
    <row r="2790" spans="1:3" x14ac:dyDescent="0.4">
      <c r="A2790" t="str">
        <f t="shared" si="129"/>
        <v/>
      </c>
      <c r="B2790" t="str">
        <f t="shared" si="130"/>
        <v/>
      </c>
      <c r="C2790" t="str">
        <f t="shared" si="131"/>
        <v/>
      </c>
    </row>
    <row r="2791" spans="1:3" x14ac:dyDescent="0.4">
      <c r="A2791" t="str">
        <f t="shared" si="129"/>
        <v/>
      </c>
      <c r="B2791" t="str">
        <f t="shared" si="130"/>
        <v/>
      </c>
      <c r="C2791" t="str">
        <f t="shared" si="131"/>
        <v/>
      </c>
    </row>
    <row r="2792" spans="1:3" x14ac:dyDescent="0.4">
      <c r="A2792" t="str">
        <f t="shared" si="129"/>
        <v/>
      </c>
      <c r="B2792" t="str">
        <f t="shared" si="130"/>
        <v/>
      </c>
      <c r="C2792" t="str">
        <f t="shared" si="131"/>
        <v/>
      </c>
    </row>
    <row r="2793" spans="1:3" x14ac:dyDescent="0.4">
      <c r="A2793" t="str">
        <f t="shared" si="129"/>
        <v/>
      </c>
      <c r="B2793" t="str">
        <f t="shared" si="130"/>
        <v/>
      </c>
      <c r="C2793" t="str">
        <f t="shared" si="131"/>
        <v/>
      </c>
    </row>
    <row r="2794" spans="1:3" x14ac:dyDescent="0.4">
      <c r="A2794" t="str">
        <f t="shared" si="129"/>
        <v/>
      </c>
      <c r="B2794" t="str">
        <f t="shared" si="130"/>
        <v/>
      </c>
      <c r="C2794" t="str">
        <f t="shared" si="131"/>
        <v/>
      </c>
    </row>
    <row r="2795" spans="1:3" x14ac:dyDescent="0.4">
      <c r="A2795" t="str">
        <f t="shared" si="129"/>
        <v/>
      </c>
      <c r="B2795" t="str">
        <f t="shared" si="130"/>
        <v/>
      </c>
      <c r="C2795" t="str">
        <f t="shared" si="131"/>
        <v/>
      </c>
    </row>
    <row r="2796" spans="1:3" x14ac:dyDescent="0.4">
      <c r="A2796" t="str">
        <f t="shared" si="129"/>
        <v/>
      </c>
      <c r="B2796" t="str">
        <f t="shared" si="130"/>
        <v/>
      </c>
      <c r="C2796" t="str">
        <f t="shared" si="131"/>
        <v/>
      </c>
    </row>
    <row r="2797" spans="1:3" x14ac:dyDescent="0.4">
      <c r="A2797" t="str">
        <f t="shared" si="129"/>
        <v/>
      </c>
      <c r="B2797" t="str">
        <f t="shared" si="130"/>
        <v/>
      </c>
      <c r="C2797" t="str">
        <f t="shared" si="131"/>
        <v/>
      </c>
    </row>
    <row r="2798" spans="1:3" x14ac:dyDescent="0.4">
      <c r="A2798" t="str">
        <f t="shared" si="129"/>
        <v/>
      </c>
      <c r="B2798" t="str">
        <f t="shared" si="130"/>
        <v/>
      </c>
      <c r="C2798" t="str">
        <f t="shared" si="131"/>
        <v/>
      </c>
    </row>
    <row r="2799" spans="1:3" x14ac:dyDescent="0.4">
      <c r="A2799" t="str">
        <f t="shared" si="129"/>
        <v/>
      </c>
      <c r="B2799" t="str">
        <f t="shared" si="130"/>
        <v/>
      </c>
      <c r="C2799" t="str">
        <f t="shared" si="131"/>
        <v/>
      </c>
    </row>
    <row r="2800" spans="1:3" x14ac:dyDescent="0.4">
      <c r="A2800" t="str">
        <f t="shared" si="129"/>
        <v/>
      </c>
      <c r="B2800" t="str">
        <f t="shared" si="130"/>
        <v/>
      </c>
      <c r="C2800" t="str">
        <f t="shared" si="131"/>
        <v/>
      </c>
    </row>
    <row r="2801" spans="1:3" x14ac:dyDescent="0.4">
      <c r="A2801" t="str">
        <f t="shared" si="129"/>
        <v/>
      </c>
      <c r="B2801" t="str">
        <f t="shared" si="130"/>
        <v/>
      </c>
      <c r="C2801" t="str">
        <f t="shared" si="131"/>
        <v/>
      </c>
    </row>
    <row r="2802" spans="1:3" x14ac:dyDescent="0.4">
      <c r="A2802" t="str">
        <f t="shared" si="129"/>
        <v/>
      </c>
      <c r="B2802" t="str">
        <f t="shared" si="130"/>
        <v/>
      </c>
      <c r="C2802" t="str">
        <f t="shared" si="131"/>
        <v/>
      </c>
    </row>
    <row r="2803" spans="1:3" x14ac:dyDescent="0.4">
      <c r="A2803" t="str">
        <f t="shared" si="129"/>
        <v/>
      </c>
      <c r="B2803" t="str">
        <f t="shared" si="130"/>
        <v/>
      </c>
      <c r="C2803" t="str">
        <f t="shared" si="131"/>
        <v/>
      </c>
    </row>
    <row r="2804" spans="1:3" x14ac:dyDescent="0.4">
      <c r="A2804" t="str">
        <f t="shared" si="129"/>
        <v/>
      </c>
      <c r="B2804" t="str">
        <f t="shared" si="130"/>
        <v/>
      </c>
      <c r="C2804" t="str">
        <f t="shared" si="131"/>
        <v/>
      </c>
    </row>
    <row r="2805" spans="1:3" x14ac:dyDescent="0.4">
      <c r="A2805" t="str">
        <f t="shared" si="129"/>
        <v/>
      </c>
      <c r="B2805" t="str">
        <f t="shared" si="130"/>
        <v/>
      </c>
      <c r="C2805" t="str">
        <f t="shared" si="131"/>
        <v/>
      </c>
    </row>
    <row r="2806" spans="1:3" x14ac:dyDescent="0.4">
      <c r="A2806" t="str">
        <f t="shared" si="129"/>
        <v/>
      </c>
      <c r="B2806" t="str">
        <f t="shared" si="130"/>
        <v/>
      </c>
      <c r="C2806" t="str">
        <f t="shared" si="131"/>
        <v/>
      </c>
    </row>
    <row r="2807" spans="1:3" x14ac:dyDescent="0.4">
      <c r="A2807" t="str">
        <f t="shared" si="129"/>
        <v/>
      </c>
      <c r="B2807" t="str">
        <f t="shared" si="130"/>
        <v/>
      </c>
      <c r="C2807" t="str">
        <f t="shared" si="131"/>
        <v/>
      </c>
    </row>
    <row r="2808" spans="1:3" x14ac:dyDescent="0.4">
      <c r="A2808" t="str">
        <f t="shared" si="129"/>
        <v/>
      </c>
      <c r="B2808" t="str">
        <f t="shared" si="130"/>
        <v/>
      </c>
      <c r="C2808" t="str">
        <f t="shared" si="131"/>
        <v/>
      </c>
    </row>
    <row r="2809" spans="1:3" x14ac:dyDescent="0.4">
      <c r="A2809" t="str">
        <f t="shared" si="129"/>
        <v/>
      </c>
      <c r="B2809" t="str">
        <f t="shared" si="130"/>
        <v/>
      </c>
      <c r="C2809" t="str">
        <f t="shared" si="131"/>
        <v/>
      </c>
    </row>
    <row r="2810" spans="1:3" x14ac:dyDescent="0.4">
      <c r="A2810" t="str">
        <f t="shared" si="129"/>
        <v/>
      </c>
      <c r="B2810" t="str">
        <f t="shared" si="130"/>
        <v/>
      </c>
      <c r="C2810" t="str">
        <f t="shared" si="131"/>
        <v/>
      </c>
    </row>
    <row r="2811" spans="1:3" x14ac:dyDescent="0.4">
      <c r="A2811" t="str">
        <f t="shared" si="129"/>
        <v/>
      </c>
      <c r="B2811" t="str">
        <f t="shared" si="130"/>
        <v/>
      </c>
      <c r="C2811" t="str">
        <f t="shared" si="131"/>
        <v/>
      </c>
    </row>
    <row r="2812" spans="1:3" x14ac:dyDescent="0.4">
      <c r="A2812" t="str">
        <f t="shared" si="129"/>
        <v/>
      </c>
      <c r="B2812" t="str">
        <f t="shared" si="130"/>
        <v/>
      </c>
      <c r="C2812" t="str">
        <f t="shared" si="131"/>
        <v/>
      </c>
    </row>
    <row r="2813" spans="1:3" x14ac:dyDescent="0.4">
      <c r="A2813" t="str">
        <f t="shared" si="129"/>
        <v/>
      </c>
      <c r="B2813" t="str">
        <f t="shared" si="130"/>
        <v/>
      </c>
      <c r="C2813" t="str">
        <f t="shared" si="131"/>
        <v/>
      </c>
    </row>
    <row r="2814" spans="1:3" x14ac:dyDescent="0.4">
      <c r="A2814" t="str">
        <f t="shared" si="129"/>
        <v/>
      </c>
      <c r="B2814" t="str">
        <f t="shared" si="130"/>
        <v/>
      </c>
      <c r="C2814" t="str">
        <f t="shared" si="131"/>
        <v/>
      </c>
    </row>
    <row r="2815" spans="1:3" x14ac:dyDescent="0.4">
      <c r="A2815" t="str">
        <f t="shared" si="129"/>
        <v/>
      </c>
      <c r="B2815" t="str">
        <f t="shared" si="130"/>
        <v/>
      </c>
      <c r="C2815" t="str">
        <f t="shared" si="131"/>
        <v/>
      </c>
    </row>
    <row r="2816" spans="1:3" x14ac:dyDescent="0.4">
      <c r="A2816" t="str">
        <f t="shared" si="129"/>
        <v/>
      </c>
      <c r="B2816" t="str">
        <f t="shared" si="130"/>
        <v/>
      </c>
      <c r="C2816" t="str">
        <f t="shared" si="131"/>
        <v/>
      </c>
    </row>
    <row r="2817" spans="1:3" x14ac:dyDescent="0.4">
      <c r="A2817" t="str">
        <f t="shared" si="129"/>
        <v/>
      </c>
      <c r="B2817" t="str">
        <f t="shared" si="130"/>
        <v/>
      </c>
      <c r="C2817" t="str">
        <f t="shared" si="131"/>
        <v/>
      </c>
    </row>
    <row r="2818" spans="1:3" x14ac:dyDescent="0.4">
      <c r="A2818" t="str">
        <f t="shared" si="129"/>
        <v/>
      </c>
      <c r="B2818" t="str">
        <f t="shared" si="130"/>
        <v/>
      </c>
      <c r="C2818" t="str">
        <f t="shared" si="131"/>
        <v/>
      </c>
    </row>
    <row r="2819" spans="1:3" x14ac:dyDescent="0.4">
      <c r="A2819" t="str">
        <f t="shared" ref="A2819:A2882" si="132">IF($F2819="","",$F2819&amp;"|"&amp;$H2819)</f>
        <v/>
      </c>
      <c r="B2819" t="str">
        <f t="shared" ref="B2819:B2882" si="133">IF(F2819&lt;&gt;"",F2819,"")</f>
        <v/>
      </c>
      <c r="C2819" t="str">
        <f t="shared" ref="C2819:C2882" si="134">IF(H2819&lt;&gt;"", H2819, "")</f>
        <v/>
      </c>
    </row>
    <row r="2820" spans="1:3" x14ac:dyDescent="0.4">
      <c r="A2820" t="str">
        <f t="shared" si="132"/>
        <v/>
      </c>
      <c r="B2820" t="str">
        <f t="shared" si="133"/>
        <v/>
      </c>
      <c r="C2820" t="str">
        <f t="shared" si="134"/>
        <v/>
      </c>
    </row>
    <row r="2821" spans="1:3" x14ac:dyDescent="0.4">
      <c r="A2821" t="str">
        <f t="shared" si="132"/>
        <v/>
      </c>
      <c r="B2821" t="str">
        <f t="shared" si="133"/>
        <v/>
      </c>
      <c r="C2821" t="str">
        <f t="shared" si="134"/>
        <v/>
      </c>
    </row>
    <row r="2822" spans="1:3" x14ac:dyDescent="0.4">
      <c r="A2822" t="str">
        <f t="shared" si="132"/>
        <v/>
      </c>
      <c r="B2822" t="str">
        <f t="shared" si="133"/>
        <v/>
      </c>
      <c r="C2822" t="str">
        <f t="shared" si="134"/>
        <v/>
      </c>
    </row>
    <row r="2823" spans="1:3" x14ac:dyDescent="0.4">
      <c r="A2823" t="str">
        <f t="shared" si="132"/>
        <v/>
      </c>
      <c r="B2823" t="str">
        <f t="shared" si="133"/>
        <v/>
      </c>
      <c r="C2823" t="str">
        <f t="shared" si="134"/>
        <v/>
      </c>
    </row>
    <row r="2824" spans="1:3" x14ac:dyDescent="0.4">
      <c r="A2824" t="str">
        <f t="shared" si="132"/>
        <v/>
      </c>
      <c r="B2824" t="str">
        <f t="shared" si="133"/>
        <v/>
      </c>
      <c r="C2824" t="str">
        <f t="shared" si="134"/>
        <v/>
      </c>
    </row>
    <row r="2825" spans="1:3" x14ac:dyDescent="0.4">
      <c r="A2825" t="str">
        <f t="shared" si="132"/>
        <v/>
      </c>
      <c r="B2825" t="str">
        <f t="shared" si="133"/>
        <v/>
      </c>
      <c r="C2825" t="str">
        <f t="shared" si="134"/>
        <v/>
      </c>
    </row>
    <row r="2826" spans="1:3" x14ac:dyDescent="0.4">
      <c r="A2826" t="str">
        <f t="shared" si="132"/>
        <v/>
      </c>
      <c r="B2826" t="str">
        <f t="shared" si="133"/>
        <v/>
      </c>
      <c r="C2826" t="str">
        <f t="shared" si="134"/>
        <v/>
      </c>
    </row>
    <row r="2827" spans="1:3" x14ac:dyDescent="0.4">
      <c r="A2827" t="str">
        <f t="shared" si="132"/>
        <v/>
      </c>
      <c r="B2827" t="str">
        <f t="shared" si="133"/>
        <v/>
      </c>
      <c r="C2827" t="str">
        <f t="shared" si="134"/>
        <v/>
      </c>
    </row>
    <row r="2828" spans="1:3" x14ac:dyDescent="0.4">
      <c r="A2828" t="str">
        <f t="shared" si="132"/>
        <v/>
      </c>
      <c r="B2828" t="str">
        <f t="shared" si="133"/>
        <v/>
      </c>
      <c r="C2828" t="str">
        <f t="shared" si="134"/>
        <v/>
      </c>
    </row>
    <row r="2829" spans="1:3" x14ac:dyDescent="0.4">
      <c r="A2829" t="str">
        <f t="shared" si="132"/>
        <v/>
      </c>
      <c r="B2829" t="str">
        <f t="shared" si="133"/>
        <v/>
      </c>
      <c r="C2829" t="str">
        <f t="shared" si="134"/>
        <v/>
      </c>
    </row>
    <row r="2830" spans="1:3" x14ac:dyDescent="0.4">
      <c r="A2830" t="str">
        <f t="shared" si="132"/>
        <v/>
      </c>
      <c r="B2830" t="str">
        <f t="shared" si="133"/>
        <v/>
      </c>
      <c r="C2830" t="str">
        <f t="shared" si="134"/>
        <v/>
      </c>
    </row>
    <row r="2831" spans="1:3" x14ac:dyDescent="0.4">
      <c r="A2831" t="str">
        <f t="shared" si="132"/>
        <v/>
      </c>
      <c r="B2831" t="str">
        <f t="shared" si="133"/>
        <v/>
      </c>
      <c r="C2831" t="str">
        <f t="shared" si="134"/>
        <v/>
      </c>
    </row>
    <row r="2832" spans="1:3" x14ac:dyDescent="0.4">
      <c r="A2832" t="str">
        <f t="shared" si="132"/>
        <v/>
      </c>
      <c r="B2832" t="str">
        <f t="shared" si="133"/>
        <v/>
      </c>
      <c r="C2832" t="str">
        <f t="shared" si="134"/>
        <v/>
      </c>
    </row>
    <row r="2833" spans="1:3" x14ac:dyDescent="0.4">
      <c r="A2833" t="str">
        <f t="shared" si="132"/>
        <v/>
      </c>
      <c r="B2833" t="str">
        <f t="shared" si="133"/>
        <v/>
      </c>
      <c r="C2833" t="str">
        <f t="shared" si="134"/>
        <v/>
      </c>
    </row>
    <row r="2834" spans="1:3" x14ac:dyDescent="0.4">
      <c r="A2834" t="str">
        <f t="shared" si="132"/>
        <v/>
      </c>
      <c r="B2834" t="str">
        <f t="shared" si="133"/>
        <v/>
      </c>
      <c r="C2834" t="str">
        <f t="shared" si="134"/>
        <v/>
      </c>
    </row>
    <row r="2835" spans="1:3" x14ac:dyDescent="0.4">
      <c r="A2835" t="str">
        <f t="shared" si="132"/>
        <v/>
      </c>
      <c r="B2835" t="str">
        <f t="shared" si="133"/>
        <v/>
      </c>
      <c r="C2835" t="str">
        <f t="shared" si="134"/>
        <v/>
      </c>
    </row>
    <row r="2836" spans="1:3" x14ac:dyDescent="0.4">
      <c r="A2836" t="str">
        <f t="shared" si="132"/>
        <v/>
      </c>
      <c r="B2836" t="str">
        <f t="shared" si="133"/>
        <v/>
      </c>
      <c r="C2836" t="str">
        <f t="shared" si="134"/>
        <v/>
      </c>
    </row>
    <row r="2837" spans="1:3" x14ac:dyDescent="0.4">
      <c r="A2837" t="str">
        <f t="shared" si="132"/>
        <v/>
      </c>
      <c r="B2837" t="str">
        <f t="shared" si="133"/>
        <v/>
      </c>
      <c r="C2837" t="str">
        <f t="shared" si="134"/>
        <v/>
      </c>
    </row>
    <row r="2838" spans="1:3" x14ac:dyDescent="0.4">
      <c r="A2838" t="str">
        <f t="shared" si="132"/>
        <v/>
      </c>
      <c r="B2838" t="str">
        <f t="shared" si="133"/>
        <v/>
      </c>
      <c r="C2838" t="str">
        <f t="shared" si="134"/>
        <v/>
      </c>
    </row>
    <row r="2839" spans="1:3" x14ac:dyDescent="0.4">
      <c r="A2839" t="str">
        <f t="shared" si="132"/>
        <v/>
      </c>
      <c r="B2839" t="str">
        <f t="shared" si="133"/>
        <v/>
      </c>
      <c r="C2839" t="str">
        <f t="shared" si="134"/>
        <v/>
      </c>
    </row>
    <row r="2840" spans="1:3" x14ac:dyDescent="0.4">
      <c r="A2840" t="str">
        <f t="shared" si="132"/>
        <v/>
      </c>
      <c r="B2840" t="str">
        <f t="shared" si="133"/>
        <v/>
      </c>
      <c r="C2840" t="str">
        <f t="shared" si="134"/>
        <v/>
      </c>
    </row>
    <row r="2841" spans="1:3" x14ac:dyDescent="0.4">
      <c r="A2841" t="str">
        <f t="shared" si="132"/>
        <v/>
      </c>
      <c r="B2841" t="str">
        <f t="shared" si="133"/>
        <v/>
      </c>
      <c r="C2841" t="str">
        <f t="shared" si="134"/>
        <v/>
      </c>
    </row>
    <row r="2842" spans="1:3" x14ac:dyDescent="0.4">
      <c r="A2842" t="str">
        <f t="shared" si="132"/>
        <v/>
      </c>
      <c r="B2842" t="str">
        <f t="shared" si="133"/>
        <v/>
      </c>
      <c r="C2842" t="str">
        <f t="shared" si="134"/>
        <v/>
      </c>
    </row>
    <row r="2843" spans="1:3" x14ac:dyDescent="0.4">
      <c r="A2843" t="str">
        <f t="shared" si="132"/>
        <v/>
      </c>
      <c r="B2843" t="str">
        <f t="shared" si="133"/>
        <v/>
      </c>
      <c r="C2843" t="str">
        <f t="shared" si="134"/>
        <v/>
      </c>
    </row>
    <row r="2844" spans="1:3" x14ac:dyDescent="0.4">
      <c r="A2844" t="str">
        <f t="shared" si="132"/>
        <v/>
      </c>
      <c r="B2844" t="str">
        <f t="shared" si="133"/>
        <v/>
      </c>
      <c r="C2844" t="str">
        <f t="shared" si="134"/>
        <v/>
      </c>
    </row>
    <row r="2845" spans="1:3" x14ac:dyDescent="0.4">
      <c r="A2845" t="str">
        <f t="shared" si="132"/>
        <v/>
      </c>
      <c r="B2845" t="str">
        <f t="shared" si="133"/>
        <v/>
      </c>
      <c r="C2845" t="str">
        <f t="shared" si="134"/>
        <v/>
      </c>
    </row>
    <row r="2846" spans="1:3" x14ac:dyDescent="0.4">
      <c r="A2846" t="str">
        <f t="shared" si="132"/>
        <v/>
      </c>
      <c r="B2846" t="str">
        <f t="shared" si="133"/>
        <v/>
      </c>
      <c r="C2846" t="str">
        <f t="shared" si="134"/>
        <v/>
      </c>
    </row>
    <row r="2847" spans="1:3" x14ac:dyDescent="0.4">
      <c r="A2847" t="str">
        <f t="shared" si="132"/>
        <v/>
      </c>
      <c r="B2847" t="str">
        <f t="shared" si="133"/>
        <v/>
      </c>
      <c r="C2847" t="str">
        <f t="shared" si="134"/>
        <v/>
      </c>
    </row>
    <row r="2848" spans="1:3" x14ac:dyDescent="0.4">
      <c r="A2848" t="str">
        <f t="shared" si="132"/>
        <v/>
      </c>
      <c r="B2848" t="str">
        <f t="shared" si="133"/>
        <v/>
      </c>
      <c r="C2848" t="str">
        <f t="shared" si="134"/>
        <v/>
      </c>
    </row>
    <row r="2849" spans="1:3" x14ac:dyDescent="0.4">
      <c r="A2849" t="str">
        <f t="shared" si="132"/>
        <v/>
      </c>
      <c r="B2849" t="str">
        <f t="shared" si="133"/>
        <v/>
      </c>
      <c r="C2849" t="str">
        <f t="shared" si="134"/>
        <v/>
      </c>
    </row>
    <row r="2850" spans="1:3" x14ac:dyDescent="0.4">
      <c r="A2850" t="str">
        <f t="shared" si="132"/>
        <v/>
      </c>
      <c r="B2850" t="str">
        <f t="shared" si="133"/>
        <v/>
      </c>
      <c r="C2850" t="str">
        <f t="shared" si="134"/>
        <v/>
      </c>
    </row>
    <row r="2851" spans="1:3" x14ac:dyDescent="0.4">
      <c r="A2851" t="str">
        <f t="shared" si="132"/>
        <v/>
      </c>
      <c r="B2851" t="str">
        <f t="shared" si="133"/>
        <v/>
      </c>
      <c r="C2851" t="str">
        <f t="shared" si="134"/>
        <v/>
      </c>
    </row>
    <row r="2852" spans="1:3" x14ac:dyDescent="0.4">
      <c r="A2852" t="str">
        <f t="shared" si="132"/>
        <v/>
      </c>
      <c r="B2852" t="str">
        <f t="shared" si="133"/>
        <v/>
      </c>
      <c r="C2852" t="str">
        <f t="shared" si="134"/>
        <v/>
      </c>
    </row>
    <row r="2853" spans="1:3" x14ac:dyDescent="0.4">
      <c r="A2853" t="str">
        <f t="shared" si="132"/>
        <v/>
      </c>
      <c r="B2853" t="str">
        <f t="shared" si="133"/>
        <v/>
      </c>
      <c r="C2853" t="str">
        <f t="shared" si="134"/>
        <v/>
      </c>
    </row>
    <row r="2854" spans="1:3" x14ac:dyDescent="0.4">
      <c r="A2854" t="str">
        <f t="shared" si="132"/>
        <v/>
      </c>
      <c r="B2854" t="str">
        <f t="shared" si="133"/>
        <v/>
      </c>
      <c r="C2854" t="str">
        <f t="shared" si="134"/>
        <v/>
      </c>
    </row>
    <row r="2855" spans="1:3" x14ac:dyDescent="0.4">
      <c r="A2855" t="str">
        <f t="shared" si="132"/>
        <v/>
      </c>
      <c r="B2855" t="str">
        <f t="shared" si="133"/>
        <v/>
      </c>
      <c r="C2855" t="str">
        <f t="shared" si="134"/>
        <v/>
      </c>
    </row>
    <row r="2856" spans="1:3" x14ac:dyDescent="0.4">
      <c r="A2856" t="str">
        <f t="shared" si="132"/>
        <v/>
      </c>
      <c r="B2856" t="str">
        <f t="shared" si="133"/>
        <v/>
      </c>
      <c r="C2856" t="str">
        <f t="shared" si="134"/>
        <v/>
      </c>
    </row>
    <row r="2857" spans="1:3" x14ac:dyDescent="0.4">
      <c r="A2857" t="str">
        <f t="shared" si="132"/>
        <v/>
      </c>
      <c r="B2857" t="str">
        <f t="shared" si="133"/>
        <v/>
      </c>
      <c r="C2857" t="str">
        <f t="shared" si="134"/>
        <v/>
      </c>
    </row>
    <row r="2858" spans="1:3" x14ac:dyDescent="0.4">
      <c r="A2858" t="str">
        <f t="shared" si="132"/>
        <v/>
      </c>
      <c r="B2858" t="str">
        <f t="shared" si="133"/>
        <v/>
      </c>
      <c r="C2858" t="str">
        <f t="shared" si="134"/>
        <v/>
      </c>
    </row>
    <row r="2859" spans="1:3" x14ac:dyDescent="0.4">
      <c r="A2859" t="str">
        <f t="shared" si="132"/>
        <v/>
      </c>
      <c r="B2859" t="str">
        <f t="shared" si="133"/>
        <v/>
      </c>
      <c r="C2859" t="str">
        <f t="shared" si="134"/>
        <v/>
      </c>
    </row>
    <row r="2860" spans="1:3" x14ac:dyDescent="0.4">
      <c r="A2860" t="str">
        <f t="shared" si="132"/>
        <v/>
      </c>
      <c r="B2860" t="str">
        <f t="shared" si="133"/>
        <v/>
      </c>
      <c r="C2860" t="str">
        <f t="shared" si="134"/>
        <v/>
      </c>
    </row>
    <row r="2861" spans="1:3" x14ac:dyDescent="0.4">
      <c r="A2861" t="str">
        <f t="shared" si="132"/>
        <v/>
      </c>
      <c r="B2861" t="str">
        <f t="shared" si="133"/>
        <v/>
      </c>
      <c r="C2861" t="str">
        <f t="shared" si="134"/>
        <v/>
      </c>
    </row>
    <row r="2862" spans="1:3" x14ac:dyDescent="0.4">
      <c r="A2862" t="str">
        <f t="shared" si="132"/>
        <v/>
      </c>
      <c r="B2862" t="str">
        <f t="shared" si="133"/>
        <v/>
      </c>
      <c r="C2862" t="str">
        <f t="shared" si="134"/>
        <v/>
      </c>
    </row>
    <row r="2863" spans="1:3" x14ac:dyDescent="0.4">
      <c r="A2863" t="str">
        <f t="shared" si="132"/>
        <v/>
      </c>
      <c r="B2863" t="str">
        <f t="shared" si="133"/>
        <v/>
      </c>
      <c r="C2863" t="str">
        <f t="shared" si="134"/>
        <v/>
      </c>
    </row>
    <row r="2864" spans="1:3" x14ac:dyDescent="0.4">
      <c r="A2864" t="str">
        <f t="shared" si="132"/>
        <v/>
      </c>
      <c r="B2864" t="str">
        <f t="shared" si="133"/>
        <v/>
      </c>
      <c r="C2864" t="str">
        <f t="shared" si="134"/>
        <v/>
      </c>
    </row>
    <row r="2865" spans="1:3" x14ac:dyDescent="0.4">
      <c r="A2865" t="str">
        <f t="shared" si="132"/>
        <v/>
      </c>
      <c r="B2865" t="str">
        <f t="shared" si="133"/>
        <v/>
      </c>
      <c r="C2865" t="str">
        <f t="shared" si="134"/>
        <v/>
      </c>
    </row>
    <row r="2866" spans="1:3" x14ac:dyDescent="0.4">
      <c r="A2866" t="str">
        <f t="shared" si="132"/>
        <v/>
      </c>
      <c r="B2866" t="str">
        <f t="shared" si="133"/>
        <v/>
      </c>
      <c r="C2866" t="str">
        <f t="shared" si="134"/>
        <v/>
      </c>
    </row>
    <row r="2867" spans="1:3" x14ac:dyDescent="0.4">
      <c r="A2867" t="str">
        <f t="shared" si="132"/>
        <v/>
      </c>
      <c r="B2867" t="str">
        <f t="shared" si="133"/>
        <v/>
      </c>
      <c r="C2867" t="str">
        <f t="shared" si="134"/>
        <v/>
      </c>
    </row>
    <row r="2868" spans="1:3" x14ac:dyDescent="0.4">
      <c r="A2868" t="str">
        <f t="shared" si="132"/>
        <v/>
      </c>
      <c r="B2868" t="str">
        <f t="shared" si="133"/>
        <v/>
      </c>
      <c r="C2868" t="str">
        <f t="shared" si="134"/>
        <v/>
      </c>
    </row>
    <row r="2869" spans="1:3" x14ac:dyDescent="0.4">
      <c r="A2869" t="str">
        <f t="shared" si="132"/>
        <v/>
      </c>
      <c r="B2869" t="str">
        <f t="shared" si="133"/>
        <v/>
      </c>
      <c r="C2869" t="str">
        <f t="shared" si="134"/>
        <v/>
      </c>
    </row>
    <row r="2870" spans="1:3" x14ac:dyDescent="0.4">
      <c r="A2870" t="str">
        <f t="shared" si="132"/>
        <v/>
      </c>
      <c r="B2870" t="str">
        <f t="shared" si="133"/>
        <v/>
      </c>
      <c r="C2870" t="str">
        <f t="shared" si="134"/>
        <v/>
      </c>
    </row>
    <row r="2871" spans="1:3" x14ac:dyDescent="0.4">
      <c r="A2871" t="str">
        <f t="shared" si="132"/>
        <v/>
      </c>
      <c r="B2871" t="str">
        <f t="shared" si="133"/>
        <v/>
      </c>
      <c r="C2871" t="str">
        <f t="shared" si="134"/>
        <v/>
      </c>
    </row>
    <row r="2872" spans="1:3" x14ac:dyDescent="0.4">
      <c r="A2872" t="str">
        <f t="shared" si="132"/>
        <v/>
      </c>
      <c r="B2872" t="str">
        <f t="shared" si="133"/>
        <v/>
      </c>
      <c r="C2872" t="str">
        <f t="shared" si="134"/>
        <v/>
      </c>
    </row>
    <row r="2873" spans="1:3" x14ac:dyDescent="0.4">
      <c r="A2873" t="str">
        <f t="shared" si="132"/>
        <v/>
      </c>
      <c r="B2873" t="str">
        <f t="shared" si="133"/>
        <v/>
      </c>
      <c r="C2873" t="str">
        <f t="shared" si="134"/>
        <v/>
      </c>
    </row>
    <row r="2874" spans="1:3" x14ac:dyDescent="0.4">
      <c r="A2874" t="str">
        <f t="shared" si="132"/>
        <v/>
      </c>
      <c r="B2874" t="str">
        <f t="shared" si="133"/>
        <v/>
      </c>
      <c r="C2874" t="str">
        <f t="shared" si="134"/>
        <v/>
      </c>
    </row>
    <row r="2875" spans="1:3" x14ac:dyDescent="0.4">
      <c r="A2875" t="str">
        <f t="shared" si="132"/>
        <v/>
      </c>
      <c r="B2875" t="str">
        <f t="shared" si="133"/>
        <v/>
      </c>
      <c r="C2875" t="str">
        <f t="shared" si="134"/>
        <v/>
      </c>
    </row>
    <row r="2876" spans="1:3" x14ac:dyDescent="0.4">
      <c r="A2876" t="str">
        <f t="shared" si="132"/>
        <v/>
      </c>
      <c r="B2876" t="str">
        <f t="shared" si="133"/>
        <v/>
      </c>
      <c r="C2876" t="str">
        <f t="shared" si="134"/>
        <v/>
      </c>
    </row>
    <row r="2877" spans="1:3" x14ac:dyDescent="0.4">
      <c r="A2877" t="str">
        <f t="shared" si="132"/>
        <v/>
      </c>
      <c r="B2877" t="str">
        <f t="shared" si="133"/>
        <v/>
      </c>
      <c r="C2877" t="str">
        <f t="shared" si="134"/>
        <v/>
      </c>
    </row>
    <row r="2878" spans="1:3" x14ac:dyDescent="0.4">
      <c r="A2878" t="str">
        <f t="shared" si="132"/>
        <v/>
      </c>
      <c r="B2878" t="str">
        <f t="shared" si="133"/>
        <v/>
      </c>
      <c r="C2878" t="str">
        <f t="shared" si="134"/>
        <v/>
      </c>
    </row>
    <row r="2879" spans="1:3" x14ac:dyDescent="0.4">
      <c r="A2879" t="str">
        <f t="shared" si="132"/>
        <v/>
      </c>
      <c r="B2879" t="str">
        <f t="shared" si="133"/>
        <v/>
      </c>
      <c r="C2879" t="str">
        <f t="shared" si="134"/>
        <v/>
      </c>
    </row>
    <row r="2880" spans="1:3" x14ac:dyDescent="0.4">
      <c r="A2880" t="str">
        <f t="shared" si="132"/>
        <v/>
      </c>
      <c r="B2880" t="str">
        <f t="shared" si="133"/>
        <v/>
      </c>
      <c r="C2880" t="str">
        <f t="shared" si="134"/>
        <v/>
      </c>
    </row>
    <row r="2881" spans="1:3" x14ac:dyDescent="0.4">
      <c r="A2881" t="str">
        <f t="shared" si="132"/>
        <v/>
      </c>
      <c r="B2881" t="str">
        <f t="shared" si="133"/>
        <v/>
      </c>
      <c r="C2881" t="str">
        <f t="shared" si="134"/>
        <v/>
      </c>
    </row>
    <row r="2882" spans="1:3" x14ac:dyDescent="0.4">
      <c r="A2882" t="str">
        <f t="shared" si="132"/>
        <v/>
      </c>
      <c r="B2882" t="str">
        <f t="shared" si="133"/>
        <v/>
      </c>
      <c r="C2882" t="str">
        <f t="shared" si="134"/>
        <v/>
      </c>
    </row>
    <row r="2883" spans="1:3" x14ac:dyDescent="0.4">
      <c r="A2883" t="str">
        <f t="shared" ref="A2883:A2946" si="135">IF($F2883="","",$F2883&amp;"|"&amp;$H2883)</f>
        <v/>
      </c>
      <c r="B2883" t="str">
        <f t="shared" ref="B2883:B2946" si="136">IF(F2883&lt;&gt;"",F2883,"")</f>
        <v/>
      </c>
      <c r="C2883" t="str">
        <f t="shared" ref="C2883:C2946" si="137">IF(H2883&lt;&gt;"", H2883, "")</f>
        <v/>
      </c>
    </row>
    <row r="2884" spans="1:3" x14ac:dyDescent="0.4">
      <c r="A2884" t="str">
        <f t="shared" si="135"/>
        <v/>
      </c>
      <c r="B2884" t="str">
        <f t="shared" si="136"/>
        <v/>
      </c>
      <c r="C2884" t="str">
        <f t="shared" si="137"/>
        <v/>
      </c>
    </row>
    <row r="2885" spans="1:3" x14ac:dyDescent="0.4">
      <c r="A2885" t="str">
        <f t="shared" si="135"/>
        <v/>
      </c>
      <c r="B2885" t="str">
        <f t="shared" si="136"/>
        <v/>
      </c>
      <c r="C2885" t="str">
        <f t="shared" si="137"/>
        <v/>
      </c>
    </row>
    <row r="2886" spans="1:3" x14ac:dyDescent="0.4">
      <c r="A2886" t="str">
        <f t="shared" si="135"/>
        <v/>
      </c>
      <c r="B2886" t="str">
        <f t="shared" si="136"/>
        <v/>
      </c>
      <c r="C2886" t="str">
        <f t="shared" si="137"/>
        <v/>
      </c>
    </row>
    <row r="2887" spans="1:3" x14ac:dyDescent="0.4">
      <c r="A2887" t="str">
        <f t="shared" si="135"/>
        <v/>
      </c>
      <c r="B2887" t="str">
        <f t="shared" si="136"/>
        <v/>
      </c>
      <c r="C2887" t="str">
        <f t="shared" si="137"/>
        <v/>
      </c>
    </row>
    <row r="2888" spans="1:3" x14ac:dyDescent="0.4">
      <c r="A2888" t="str">
        <f t="shared" si="135"/>
        <v/>
      </c>
      <c r="B2888" t="str">
        <f t="shared" si="136"/>
        <v/>
      </c>
      <c r="C2888" t="str">
        <f t="shared" si="137"/>
        <v/>
      </c>
    </row>
    <row r="2889" spans="1:3" x14ac:dyDescent="0.4">
      <c r="A2889" t="str">
        <f t="shared" si="135"/>
        <v/>
      </c>
      <c r="B2889" t="str">
        <f t="shared" si="136"/>
        <v/>
      </c>
      <c r="C2889" t="str">
        <f t="shared" si="137"/>
        <v/>
      </c>
    </row>
    <row r="2890" spans="1:3" x14ac:dyDescent="0.4">
      <c r="A2890" t="str">
        <f t="shared" si="135"/>
        <v/>
      </c>
      <c r="B2890" t="str">
        <f t="shared" si="136"/>
        <v/>
      </c>
      <c r="C2890" t="str">
        <f t="shared" si="137"/>
        <v/>
      </c>
    </row>
    <row r="2891" spans="1:3" x14ac:dyDescent="0.4">
      <c r="A2891" t="str">
        <f t="shared" si="135"/>
        <v/>
      </c>
      <c r="B2891" t="str">
        <f t="shared" si="136"/>
        <v/>
      </c>
      <c r="C2891" t="str">
        <f t="shared" si="137"/>
        <v/>
      </c>
    </row>
    <row r="2892" spans="1:3" x14ac:dyDescent="0.4">
      <c r="A2892" t="str">
        <f t="shared" si="135"/>
        <v/>
      </c>
      <c r="B2892" t="str">
        <f t="shared" si="136"/>
        <v/>
      </c>
      <c r="C2892" t="str">
        <f t="shared" si="137"/>
        <v/>
      </c>
    </row>
    <row r="2893" spans="1:3" x14ac:dyDescent="0.4">
      <c r="A2893" t="str">
        <f t="shared" si="135"/>
        <v/>
      </c>
      <c r="B2893" t="str">
        <f t="shared" si="136"/>
        <v/>
      </c>
      <c r="C2893" t="str">
        <f t="shared" si="137"/>
        <v/>
      </c>
    </row>
    <row r="2894" spans="1:3" x14ac:dyDescent="0.4">
      <c r="A2894" t="str">
        <f t="shared" si="135"/>
        <v/>
      </c>
      <c r="B2894" t="str">
        <f t="shared" si="136"/>
        <v/>
      </c>
      <c r="C2894" t="str">
        <f t="shared" si="137"/>
        <v/>
      </c>
    </row>
    <row r="2895" spans="1:3" x14ac:dyDescent="0.4">
      <c r="A2895" t="str">
        <f t="shared" si="135"/>
        <v/>
      </c>
      <c r="B2895" t="str">
        <f t="shared" si="136"/>
        <v/>
      </c>
      <c r="C2895" t="str">
        <f t="shared" si="137"/>
        <v/>
      </c>
    </row>
    <row r="2896" spans="1:3" x14ac:dyDescent="0.4">
      <c r="A2896" t="str">
        <f t="shared" si="135"/>
        <v/>
      </c>
      <c r="B2896" t="str">
        <f t="shared" si="136"/>
        <v/>
      </c>
      <c r="C2896" t="str">
        <f t="shared" si="137"/>
        <v/>
      </c>
    </row>
    <row r="2897" spans="1:3" x14ac:dyDescent="0.4">
      <c r="A2897" t="str">
        <f t="shared" si="135"/>
        <v/>
      </c>
      <c r="B2897" t="str">
        <f t="shared" si="136"/>
        <v/>
      </c>
      <c r="C2897" t="str">
        <f t="shared" si="137"/>
        <v/>
      </c>
    </row>
    <row r="2898" spans="1:3" x14ac:dyDescent="0.4">
      <c r="A2898" t="str">
        <f t="shared" si="135"/>
        <v/>
      </c>
      <c r="B2898" t="str">
        <f t="shared" si="136"/>
        <v/>
      </c>
      <c r="C2898" t="str">
        <f t="shared" si="137"/>
        <v/>
      </c>
    </row>
    <row r="2899" spans="1:3" x14ac:dyDescent="0.4">
      <c r="A2899" t="str">
        <f t="shared" si="135"/>
        <v/>
      </c>
      <c r="B2899" t="str">
        <f t="shared" si="136"/>
        <v/>
      </c>
      <c r="C2899" t="str">
        <f t="shared" si="137"/>
        <v/>
      </c>
    </row>
    <row r="2900" spans="1:3" x14ac:dyDescent="0.4">
      <c r="A2900" t="str">
        <f t="shared" si="135"/>
        <v/>
      </c>
      <c r="B2900" t="str">
        <f t="shared" si="136"/>
        <v/>
      </c>
      <c r="C2900" t="str">
        <f t="shared" si="137"/>
        <v/>
      </c>
    </row>
    <row r="2901" spans="1:3" x14ac:dyDescent="0.4">
      <c r="A2901" t="str">
        <f t="shared" si="135"/>
        <v/>
      </c>
      <c r="B2901" t="str">
        <f t="shared" si="136"/>
        <v/>
      </c>
      <c r="C2901" t="str">
        <f t="shared" si="137"/>
        <v/>
      </c>
    </row>
    <row r="2902" spans="1:3" x14ac:dyDescent="0.4">
      <c r="A2902" t="str">
        <f t="shared" si="135"/>
        <v/>
      </c>
      <c r="B2902" t="str">
        <f t="shared" si="136"/>
        <v/>
      </c>
      <c r="C2902" t="str">
        <f t="shared" si="137"/>
        <v/>
      </c>
    </row>
    <row r="2903" spans="1:3" x14ac:dyDescent="0.4">
      <c r="A2903" t="str">
        <f t="shared" si="135"/>
        <v/>
      </c>
      <c r="B2903" t="str">
        <f t="shared" si="136"/>
        <v/>
      </c>
      <c r="C2903" t="str">
        <f t="shared" si="137"/>
        <v/>
      </c>
    </row>
    <row r="2904" spans="1:3" x14ac:dyDescent="0.4">
      <c r="A2904" t="str">
        <f t="shared" si="135"/>
        <v/>
      </c>
      <c r="B2904" t="str">
        <f t="shared" si="136"/>
        <v/>
      </c>
      <c r="C2904" t="str">
        <f t="shared" si="137"/>
        <v/>
      </c>
    </row>
    <row r="2905" spans="1:3" x14ac:dyDescent="0.4">
      <c r="A2905" t="str">
        <f t="shared" si="135"/>
        <v/>
      </c>
      <c r="B2905" t="str">
        <f t="shared" si="136"/>
        <v/>
      </c>
      <c r="C2905" t="str">
        <f t="shared" si="137"/>
        <v/>
      </c>
    </row>
    <row r="2906" spans="1:3" x14ac:dyDescent="0.4">
      <c r="A2906" t="str">
        <f t="shared" si="135"/>
        <v/>
      </c>
      <c r="B2906" t="str">
        <f t="shared" si="136"/>
        <v/>
      </c>
      <c r="C2906" t="str">
        <f t="shared" si="137"/>
        <v/>
      </c>
    </row>
    <row r="2907" spans="1:3" x14ac:dyDescent="0.4">
      <c r="A2907" t="str">
        <f t="shared" si="135"/>
        <v/>
      </c>
      <c r="B2907" t="str">
        <f t="shared" si="136"/>
        <v/>
      </c>
      <c r="C2907" t="str">
        <f t="shared" si="137"/>
        <v/>
      </c>
    </row>
    <row r="2908" spans="1:3" x14ac:dyDescent="0.4">
      <c r="A2908" t="str">
        <f t="shared" si="135"/>
        <v/>
      </c>
      <c r="B2908" t="str">
        <f t="shared" si="136"/>
        <v/>
      </c>
      <c r="C2908" t="str">
        <f t="shared" si="137"/>
        <v/>
      </c>
    </row>
    <row r="2909" spans="1:3" x14ac:dyDescent="0.4">
      <c r="A2909" t="str">
        <f t="shared" si="135"/>
        <v/>
      </c>
      <c r="B2909" t="str">
        <f t="shared" si="136"/>
        <v/>
      </c>
      <c r="C2909" t="str">
        <f t="shared" si="137"/>
        <v/>
      </c>
    </row>
    <row r="2910" spans="1:3" x14ac:dyDescent="0.4">
      <c r="A2910" t="str">
        <f t="shared" si="135"/>
        <v/>
      </c>
      <c r="B2910" t="str">
        <f t="shared" si="136"/>
        <v/>
      </c>
      <c r="C2910" t="str">
        <f t="shared" si="137"/>
        <v/>
      </c>
    </row>
    <row r="2911" spans="1:3" x14ac:dyDescent="0.4">
      <c r="A2911" t="str">
        <f t="shared" si="135"/>
        <v/>
      </c>
      <c r="B2911" t="str">
        <f t="shared" si="136"/>
        <v/>
      </c>
      <c r="C2911" t="str">
        <f t="shared" si="137"/>
        <v/>
      </c>
    </row>
    <row r="2912" spans="1:3" x14ac:dyDescent="0.4">
      <c r="A2912" t="str">
        <f t="shared" si="135"/>
        <v/>
      </c>
      <c r="B2912" t="str">
        <f t="shared" si="136"/>
        <v/>
      </c>
      <c r="C2912" t="str">
        <f t="shared" si="137"/>
        <v/>
      </c>
    </row>
    <row r="2913" spans="1:3" x14ac:dyDescent="0.4">
      <c r="A2913" t="str">
        <f t="shared" si="135"/>
        <v/>
      </c>
      <c r="B2913" t="str">
        <f t="shared" si="136"/>
        <v/>
      </c>
      <c r="C2913" t="str">
        <f t="shared" si="137"/>
        <v/>
      </c>
    </row>
    <row r="2914" spans="1:3" x14ac:dyDescent="0.4">
      <c r="A2914" t="str">
        <f t="shared" si="135"/>
        <v/>
      </c>
      <c r="B2914" t="str">
        <f t="shared" si="136"/>
        <v/>
      </c>
      <c r="C2914" t="str">
        <f t="shared" si="137"/>
        <v/>
      </c>
    </row>
    <row r="2915" spans="1:3" x14ac:dyDescent="0.4">
      <c r="A2915" t="str">
        <f t="shared" si="135"/>
        <v/>
      </c>
      <c r="B2915" t="str">
        <f t="shared" si="136"/>
        <v/>
      </c>
      <c r="C2915" t="str">
        <f t="shared" si="137"/>
        <v/>
      </c>
    </row>
    <row r="2916" spans="1:3" x14ac:dyDescent="0.4">
      <c r="A2916" t="str">
        <f t="shared" si="135"/>
        <v/>
      </c>
      <c r="B2916" t="str">
        <f t="shared" si="136"/>
        <v/>
      </c>
      <c r="C2916" t="str">
        <f t="shared" si="137"/>
        <v/>
      </c>
    </row>
    <row r="2917" spans="1:3" x14ac:dyDescent="0.4">
      <c r="A2917" t="str">
        <f t="shared" si="135"/>
        <v/>
      </c>
      <c r="B2917" t="str">
        <f t="shared" si="136"/>
        <v/>
      </c>
      <c r="C2917" t="str">
        <f t="shared" si="137"/>
        <v/>
      </c>
    </row>
    <row r="2918" spans="1:3" x14ac:dyDescent="0.4">
      <c r="A2918" t="str">
        <f t="shared" si="135"/>
        <v/>
      </c>
      <c r="B2918" t="str">
        <f t="shared" si="136"/>
        <v/>
      </c>
      <c r="C2918" t="str">
        <f t="shared" si="137"/>
        <v/>
      </c>
    </row>
    <row r="2919" spans="1:3" x14ac:dyDescent="0.4">
      <c r="A2919" t="str">
        <f t="shared" si="135"/>
        <v/>
      </c>
      <c r="B2919" t="str">
        <f t="shared" si="136"/>
        <v/>
      </c>
      <c r="C2919" t="str">
        <f t="shared" si="137"/>
        <v/>
      </c>
    </row>
    <row r="2920" spans="1:3" x14ac:dyDescent="0.4">
      <c r="A2920" t="str">
        <f t="shared" si="135"/>
        <v/>
      </c>
      <c r="B2920" t="str">
        <f t="shared" si="136"/>
        <v/>
      </c>
      <c r="C2920" t="str">
        <f t="shared" si="137"/>
        <v/>
      </c>
    </row>
    <row r="2921" spans="1:3" x14ac:dyDescent="0.4">
      <c r="A2921" t="str">
        <f t="shared" si="135"/>
        <v/>
      </c>
      <c r="B2921" t="str">
        <f t="shared" si="136"/>
        <v/>
      </c>
      <c r="C2921" t="str">
        <f t="shared" si="137"/>
        <v/>
      </c>
    </row>
    <row r="2922" spans="1:3" x14ac:dyDescent="0.4">
      <c r="A2922" t="str">
        <f t="shared" si="135"/>
        <v/>
      </c>
      <c r="B2922" t="str">
        <f t="shared" si="136"/>
        <v/>
      </c>
      <c r="C2922" t="str">
        <f t="shared" si="137"/>
        <v/>
      </c>
    </row>
    <row r="2923" spans="1:3" x14ac:dyDescent="0.4">
      <c r="A2923" t="str">
        <f t="shared" si="135"/>
        <v/>
      </c>
      <c r="B2923" t="str">
        <f t="shared" si="136"/>
        <v/>
      </c>
      <c r="C2923" t="str">
        <f t="shared" si="137"/>
        <v/>
      </c>
    </row>
    <row r="2924" spans="1:3" x14ac:dyDescent="0.4">
      <c r="A2924" t="str">
        <f t="shared" si="135"/>
        <v/>
      </c>
      <c r="B2924" t="str">
        <f t="shared" si="136"/>
        <v/>
      </c>
      <c r="C2924" t="str">
        <f t="shared" si="137"/>
        <v/>
      </c>
    </row>
    <row r="2925" spans="1:3" x14ac:dyDescent="0.4">
      <c r="A2925" t="str">
        <f t="shared" si="135"/>
        <v/>
      </c>
      <c r="B2925" t="str">
        <f t="shared" si="136"/>
        <v/>
      </c>
      <c r="C2925" t="str">
        <f t="shared" si="137"/>
        <v/>
      </c>
    </row>
    <row r="2926" spans="1:3" x14ac:dyDescent="0.4">
      <c r="A2926" t="str">
        <f t="shared" si="135"/>
        <v/>
      </c>
      <c r="B2926" t="str">
        <f t="shared" si="136"/>
        <v/>
      </c>
      <c r="C2926" t="str">
        <f t="shared" si="137"/>
        <v/>
      </c>
    </row>
    <row r="2927" spans="1:3" x14ac:dyDescent="0.4">
      <c r="A2927" t="str">
        <f t="shared" si="135"/>
        <v/>
      </c>
      <c r="B2927" t="str">
        <f t="shared" si="136"/>
        <v/>
      </c>
      <c r="C2927" t="str">
        <f t="shared" si="137"/>
        <v/>
      </c>
    </row>
    <row r="2928" spans="1:3" x14ac:dyDescent="0.4">
      <c r="A2928" t="str">
        <f t="shared" si="135"/>
        <v/>
      </c>
      <c r="B2928" t="str">
        <f t="shared" si="136"/>
        <v/>
      </c>
      <c r="C2928" t="str">
        <f t="shared" si="137"/>
        <v/>
      </c>
    </row>
    <row r="2929" spans="1:3" x14ac:dyDescent="0.4">
      <c r="A2929" t="str">
        <f t="shared" si="135"/>
        <v/>
      </c>
      <c r="B2929" t="str">
        <f t="shared" si="136"/>
        <v/>
      </c>
      <c r="C2929" t="str">
        <f t="shared" si="137"/>
        <v/>
      </c>
    </row>
    <row r="2930" spans="1:3" x14ac:dyDescent="0.4">
      <c r="A2930" t="str">
        <f t="shared" si="135"/>
        <v/>
      </c>
      <c r="B2930" t="str">
        <f t="shared" si="136"/>
        <v/>
      </c>
      <c r="C2930" t="str">
        <f t="shared" si="137"/>
        <v/>
      </c>
    </row>
    <row r="2931" spans="1:3" x14ac:dyDescent="0.4">
      <c r="A2931" t="str">
        <f t="shared" si="135"/>
        <v/>
      </c>
      <c r="B2931" t="str">
        <f t="shared" si="136"/>
        <v/>
      </c>
      <c r="C2931" t="str">
        <f t="shared" si="137"/>
        <v/>
      </c>
    </row>
    <row r="2932" spans="1:3" x14ac:dyDescent="0.4">
      <c r="A2932" t="str">
        <f t="shared" si="135"/>
        <v/>
      </c>
      <c r="B2932" t="str">
        <f t="shared" si="136"/>
        <v/>
      </c>
      <c r="C2932" t="str">
        <f t="shared" si="137"/>
        <v/>
      </c>
    </row>
    <row r="2933" spans="1:3" x14ac:dyDescent="0.4">
      <c r="A2933" t="str">
        <f t="shared" si="135"/>
        <v/>
      </c>
      <c r="B2933" t="str">
        <f t="shared" si="136"/>
        <v/>
      </c>
      <c r="C2933" t="str">
        <f t="shared" si="137"/>
        <v/>
      </c>
    </row>
    <row r="2934" spans="1:3" x14ac:dyDescent="0.4">
      <c r="A2934" t="str">
        <f t="shared" si="135"/>
        <v/>
      </c>
      <c r="B2934" t="str">
        <f t="shared" si="136"/>
        <v/>
      </c>
      <c r="C2934" t="str">
        <f t="shared" si="137"/>
        <v/>
      </c>
    </row>
    <row r="2935" spans="1:3" x14ac:dyDescent="0.4">
      <c r="A2935" t="str">
        <f t="shared" si="135"/>
        <v/>
      </c>
      <c r="B2935" t="str">
        <f t="shared" si="136"/>
        <v/>
      </c>
      <c r="C2935" t="str">
        <f t="shared" si="137"/>
        <v/>
      </c>
    </row>
    <row r="2936" spans="1:3" x14ac:dyDescent="0.4">
      <c r="A2936" t="str">
        <f t="shared" si="135"/>
        <v/>
      </c>
      <c r="B2936" t="str">
        <f t="shared" si="136"/>
        <v/>
      </c>
      <c r="C2936" t="str">
        <f t="shared" si="137"/>
        <v/>
      </c>
    </row>
    <row r="2937" spans="1:3" x14ac:dyDescent="0.4">
      <c r="A2937" t="str">
        <f t="shared" si="135"/>
        <v/>
      </c>
      <c r="B2937" t="str">
        <f t="shared" si="136"/>
        <v/>
      </c>
      <c r="C2937" t="str">
        <f t="shared" si="137"/>
        <v/>
      </c>
    </row>
    <row r="2938" spans="1:3" x14ac:dyDescent="0.4">
      <c r="A2938" t="str">
        <f t="shared" si="135"/>
        <v/>
      </c>
      <c r="B2938" t="str">
        <f t="shared" si="136"/>
        <v/>
      </c>
      <c r="C2938" t="str">
        <f t="shared" si="137"/>
        <v/>
      </c>
    </row>
    <row r="2939" spans="1:3" x14ac:dyDescent="0.4">
      <c r="A2939" t="str">
        <f t="shared" si="135"/>
        <v/>
      </c>
      <c r="B2939" t="str">
        <f t="shared" si="136"/>
        <v/>
      </c>
      <c r="C2939" t="str">
        <f t="shared" si="137"/>
        <v/>
      </c>
    </row>
    <row r="2940" spans="1:3" x14ac:dyDescent="0.4">
      <c r="A2940" t="str">
        <f t="shared" si="135"/>
        <v/>
      </c>
      <c r="B2940" t="str">
        <f t="shared" si="136"/>
        <v/>
      </c>
      <c r="C2940" t="str">
        <f t="shared" si="137"/>
        <v/>
      </c>
    </row>
    <row r="2941" spans="1:3" x14ac:dyDescent="0.4">
      <c r="A2941" t="str">
        <f t="shared" si="135"/>
        <v/>
      </c>
      <c r="B2941" t="str">
        <f t="shared" si="136"/>
        <v/>
      </c>
      <c r="C2941" t="str">
        <f t="shared" si="137"/>
        <v/>
      </c>
    </row>
    <row r="2942" spans="1:3" x14ac:dyDescent="0.4">
      <c r="A2942" t="str">
        <f t="shared" si="135"/>
        <v/>
      </c>
      <c r="B2942" t="str">
        <f t="shared" si="136"/>
        <v/>
      </c>
      <c r="C2942" t="str">
        <f t="shared" si="137"/>
        <v/>
      </c>
    </row>
    <row r="2943" spans="1:3" x14ac:dyDescent="0.4">
      <c r="A2943" t="str">
        <f t="shared" si="135"/>
        <v/>
      </c>
      <c r="B2943" t="str">
        <f t="shared" si="136"/>
        <v/>
      </c>
      <c r="C2943" t="str">
        <f t="shared" si="137"/>
        <v/>
      </c>
    </row>
    <row r="2944" spans="1:3" x14ac:dyDescent="0.4">
      <c r="A2944" t="str">
        <f t="shared" si="135"/>
        <v/>
      </c>
      <c r="B2944" t="str">
        <f t="shared" si="136"/>
        <v/>
      </c>
      <c r="C2944" t="str">
        <f t="shared" si="137"/>
        <v/>
      </c>
    </row>
    <row r="2945" spans="1:3" x14ac:dyDescent="0.4">
      <c r="A2945" t="str">
        <f t="shared" si="135"/>
        <v/>
      </c>
      <c r="B2945" t="str">
        <f t="shared" si="136"/>
        <v/>
      </c>
      <c r="C2945" t="str">
        <f t="shared" si="137"/>
        <v/>
      </c>
    </row>
    <row r="2946" spans="1:3" x14ac:dyDescent="0.4">
      <c r="A2946" t="str">
        <f t="shared" si="135"/>
        <v/>
      </c>
      <c r="B2946" t="str">
        <f t="shared" si="136"/>
        <v/>
      </c>
      <c r="C2946" t="str">
        <f t="shared" si="137"/>
        <v/>
      </c>
    </row>
    <row r="2947" spans="1:3" x14ac:dyDescent="0.4">
      <c r="A2947" t="str">
        <f t="shared" ref="A2947:A3000" si="138">IF($F2947="","",$F2947&amp;"|"&amp;$H2947)</f>
        <v/>
      </c>
      <c r="B2947" t="str">
        <f t="shared" ref="B2947:B3000" si="139">IF(F2947&lt;&gt;"",F2947,"")</f>
        <v/>
      </c>
      <c r="C2947" t="str">
        <f t="shared" ref="C2947:C3000" si="140">IF(H2947&lt;&gt;"", H2947, "")</f>
        <v/>
      </c>
    </row>
    <row r="2948" spans="1:3" x14ac:dyDescent="0.4">
      <c r="A2948" t="str">
        <f t="shared" si="138"/>
        <v/>
      </c>
      <c r="B2948" t="str">
        <f t="shared" si="139"/>
        <v/>
      </c>
      <c r="C2948" t="str">
        <f t="shared" si="140"/>
        <v/>
      </c>
    </row>
    <row r="2949" spans="1:3" x14ac:dyDescent="0.4">
      <c r="A2949" t="str">
        <f t="shared" si="138"/>
        <v/>
      </c>
      <c r="B2949" t="str">
        <f t="shared" si="139"/>
        <v/>
      </c>
      <c r="C2949" t="str">
        <f t="shared" si="140"/>
        <v/>
      </c>
    </row>
    <row r="2950" spans="1:3" x14ac:dyDescent="0.4">
      <c r="A2950" t="str">
        <f t="shared" si="138"/>
        <v/>
      </c>
      <c r="B2950" t="str">
        <f t="shared" si="139"/>
        <v/>
      </c>
      <c r="C2950" t="str">
        <f t="shared" si="140"/>
        <v/>
      </c>
    </row>
    <row r="2951" spans="1:3" x14ac:dyDescent="0.4">
      <c r="A2951" t="str">
        <f t="shared" si="138"/>
        <v/>
      </c>
      <c r="B2951" t="str">
        <f t="shared" si="139"/>
        <v/>
      </c>
      <c r="C2951" t="str">
        <f t="shared" si="140"/>
        <v/>
      </c>
    </row>
    <row r="2952" spans="1:3" x14ac:dyDescent="0.4">
      <c r="A2952" t="str">
        <f t="shared" si="138"/>
        <v/>
      </c>
      <c r="B2952" t="str">
        <f t="shared" si="139"/>
        <v/>
      </c>
      <c r="C2952" t="str">
        <f t="shared" si="140"/>
        <v/>
      </c>
    </row>
    <row r="2953" spans="1:3" x14ac:dyDescent="0.4">
      <c r="A2953" t="str">
        <f t="shared" si="138"/>
        <v/>
      </c>
      <c r="B2953" t="str">
        <f t="shared" si="139"/>
        <v/>
      </c>
      <c r="C2953" t="str">
        <f t="shared" si="140"/>
        <v/>
      </c>
    </row>
    <row r="2954" spans="1:3" x14ac:dyDescent="0.4">
      <c r="A2954" t="str">
        <f t="shared" si="138"/>
        <v/>
      </c>
      <c r="B2954" t="str">
        <f t="shared" si="139"/>
        <v/>
      </c>
      <c r="C2954" t="str">
        <f t="shared" si="140"/>
        <v/>
      </c>
    </row>
    <row r="2955" spans="1:3" x14ac:dyDescent="0.4">
      <c r="A2955" t="str">
        <f t="shared" si="138"/>
        <v/>
      </c>
      <c r="B2955" t="str">
        <f t="shared" si="139"/>
        <v/>
      </c>
      <c r="C2955" t="str">
        <f t="shared" si="140"/>
        <v/>
      </c>
    </row>
    <row r="2956" spans="1:3" x14ac:dyDescent="0.4">
      <c r="A2956" t="str">
        <f t="shared" si="138"/>
        <v/>
      </c>
      <c r="B2956" t="str">
        <f t="shared" si="139"/>
        <v/>
      </c>
      <c r="C2956" t="str">
        <f t="shared" si="140"/>
        <v/>
      </c>
    </row>
    <row r="2957" spans="1:3" x14ac:dyDescent="0.4">
      <c r="A2957" t="str">
        <f t="shared" si="138"/>
        <v/>
      </c>
      <c r="B2957" t="str">
        <f t="shared" si="139"/>
        <v/>
      </c>
      <c r="C2957" t="str">
        <f t="shared" si="140"/>
        <v/>
      </c>
    </row>
    <row r="2958" spans="1:3" x14ac:dyDescent="0.4">
      <c r="A2958" t="str">
        <f t="shared" si="138"/>
        <v/>
      </c>
      <c r="B2958" t="str">
        <f t="shared" si="139"/>
        <v/>
      </c>
      <c r="C2958" t="str">
        <f t="shared" si="140"/>
        <v/>
      </c>
    </row>
    <row r="2959" spans="1:3" x14ac:dyDescent="0.4">
      <c r="A2959" t="str">
        <f t="shared" si="138"/>
        <v/>
      </c>
      <c r="B2959" t="str">
        <f t="shared" si="139"/>
        <v/>
      </c>
      <c r="C2959" t="str">
        <f t="shared" si="140"/>
        <v/>
      </c>
    </row>
    <row r="2960" spans="1:3" x14ac:dyDescent="0.4">
      <c r="A2960" t="str">
        <f t="shared" si="138"/>
        <v/>
      </c>
      <c r="B2960" t="str">
        <f t="shared" si="139"/>
        <v/>
      </c>
      <c r="C2960" t="str">
        <f t="shared" si="140"/>
        <v/>
      </c>
    </row>
    <row r="2961" spans="1:3" x14ac:dyDescent="0.4">
      <c r="A2961" t="str">
        <f t="shared" si="138"/>
        <v/>
      </c>
      <c r="B2961" t="str">
        <f t="shared" si="139"/>
        <v/>
      </c>
      <c r="C2961" t="str">
        <f t="shared" si="140"/>
        <v/>
      </c>
    </row>
    <row r="2962" spans="1:3" x14ac:dyDescent="0.4">
      <c r="A2962" t="str">
        <f t="shared" si="138"/>
        <v/>
      </c>
      <c r="B2962" t="str">
        <f t="shared" si="139"/>
        <v/>
      </c>
      <c r="C2962" t="str">
        <f t="shared" si="140"/>
        <v/>
      </c>
    </row>
    <row r="2963" spans="1:3" x14ac:dyDescent="0.4">
      <c r="A2963" t="str">
        <f t="shared" si="138"/>
        <v/>
      </c>
      <c r="B2963" t="str">
        <f t="shared" si="139"/>
        <v/>
      </c>
      <c r="C2963" t="str">
        <f t="shared" si="140"/>
        <v/>
      </c>
    </row>
    <row r="2964" spans="1:3" x14ac:dyDescent="0.4">
      <c r="A2964" t="str">
        <f t="shared" si="138"/>
        <v/>
      </c>
      <c r="B2964" t="str">
        <f t="shared" si="139"/>
        <v/>
      </c>
      <c r="C2964" t="str">
        <f t="shared" si="140"/>
        <v/>
      </c>
    </row>
    <row r="2965" spans="1:3" x14ac:dyDescent="0.4">
      <c r="A2965" t="str">
        <f t="shared" si="138"/>
        <v/>
      </c>
      <c r="B2965" t="str">
        <f t="shared" si="139"/>
        <v/>
      </c>
      <c r="C2965" t="str">
        <f t="shared" si="140"/>
        <v/>
      </c>
    </row>
    <row r="2966" spans="1:3" x14ac:dyDescent="0.4">
      <c r="A2966" t="str">
        <f t="shared" si="138"/>
        <v/>
      </c>
      <c r="B2966" t="str">
        <f t="shared" si="139"/>
        <v/>
      </c>
      <c r="C2966" t="str">
        <f t="shared" si="140"/>
        <v/>
      </c>
    </row>
    <row r="2967" spans="1:3" x14ac:dyDescent="0.4">
      <c r="A2967" t="str">
        <f t="shared" si="138"/>
        <v/>
      </c>
      <c r="B2967" t="str">
        <f t="shared" si="139"/>
        <v/>
      </c>
      <c r="C2967" t="str">
        <f t="shared" si="140"/>
        <v/>
      </c>
    </row>
    <row r="2968" spans="1:3" x14ac:dyDescent="0.4">
      <c r="A2968" t="str">
        <f t="shared" si="138"/>
        <v/>
      </c>
      <c r="B2968" t="str">
        <f t="shared" si="139"/>
        <v/>
      </c>
      <c r="C2968" t="str">
        <f t="shared" si="140"/>
        <v/>
      </c>
    </row>
    <row r="2969" spans="1:3" x14ac:dyDescent="0.4">
      <c r="A2969" t="str">
        <f t="shared" si="138"/>
        <v/>
      </c>
      <c r="B2969" t="str">
        <f t="shared" si="139"/>
        <v/>
      </c>
      <c r="C2969" t="str">
        <f t="shared" si="140"/>
        <v/>
      </c>
    </row>
    <row r="2970" spans="1:3" x14ac:dyDescent="0.4">
      <c r="A2970" t="str">
        <f t="shared" si="138"/>
        <v/>
      </c>
      <c r="B2970" t="str">
        <f t="shared" si="139"/>
        <v/>
      </c>
      <c r="C2970" t="str">
        <f t="shared" si="140"/>
        <v/>
      </c>
    </row>
    <row r="2971" spans="1:3" x14ac:dyDescent="0.4">
      <c r="A2971" t="str">
        <f t="shared" si="138"/>
        <v/>
      </c>
      <c r="B2971" t="str">
        <f t="shared" si="139"/>
        <v/>
      </c>
      <c r="C2971" t="str">
        <f t="shared" si="140"/>
        <v/>
      </c>
    </row>
    <row r="2972" spans="1:3" x14ac:dyDescent="0.4">
      <c r="A2972" t="str">
        <f t="shared" si="138"/>
        <v/>
      </c>
      <c r="B2972" t="str">
        <f t="shared" si="139"/>
        <v/>
      </c>
      <c r="C2972" t="str">
        <f t="shared" si="140"/>
        <v/>
      </c>
    </row>
    <row r="2973" spans="1:3" x14ac:dyDescent="0.4">
      <c r="A2973" t="str">
        <f t="shared" si="138"/>
        <v/>
      </c>
      <c r="B2973" t="str">
        <f t="shared" si="139"/>
        <v/>
      </c>
      <c r="C2973" t="str">
        <f t="shared" si="140"/>
        <v/>
      </c>
    </row>
    <row r="2974" spans="1:3" x14ac:dyDescent="0.4">
      <c r="A2974" t="str">
        <f t="shared" si="138"/>
        <v/>
      </c>
      <c r="B2974" t="str">
        <f t="shared" si="139"/>
        <v/>
      </c>
      <c r="C2974" t="str">
        <f t="shared" si="140"/>
        <v/>
      </c>
    </row>
    <row r="2975" spans="1:3" x14ac:dyDescent="0.4">
      <c r="A2975" t="str">
        <f t="shared" si="138"/>
        <v/>
      </c>
      <c r="B2975" t="str">
        <f t="shared" si="139"/>
        <v/>
      </c>
      <c r="C2975" t="str">
        <f t="shared" si="140"/>
        <v/>
      </c>
    </row>
    <row r="2976" spans="1:3" x14ac:dyDescent="0.4">
      <c r="A2976" t="str">
        <f t="shared" si="138"/>
        <v/>
      </c>
      <c r="B2976" t="str">
        <f t="shared" si="139"/>
        <v/>
      </c>
      <c r="C2976" t="str">
        <f t="shared" si="140"/>
        <v/>
      </c>
    </row>
    <row r="2977" spans="1:3" x14ac:dyDescent="0.4">
      <c r="A2977" t="str">
        <f t="shared" si="138"/>
        <v/>
      </c>
      <c r="B2977" t="str">
        <f t="shared" si="139"/>
        <v/>
      </c>
      <c r="C2977" t="str">
        <f t="shared" si="140"/>
        <v/>
      </c>
    </row>
    <row r="2978" spans="1:3" x14ac:dyDescent="0.4">
      <c r="A2978" t="str">
        <f t="shared" si="138"/>
        <v/>
      </c>
      <c r="B2978" t="str">
        <f t="shared" si="139"/>
        <v/>
      </c>
      <c r="C2978" t="str">
        <f t="shared" si="140"/>
        <v/>
      </c>
    </row>
    <row r="2979" spans="1:3" x14ac:dyDescent="0.4">
      <c r="A2979" t="str">
        <f t="shared" si="138"/>
        <v/>
      </c>
      <c r="B2979" t="str">
        <f t="shared" si="139"/>
        <v/>
      </c>
      <c r="C2979" t="str">
        <f t="shared" si="140"/>
        <v/>
      </c>
    </row>
    <row r="2980" spans="1:3" x14ac:dyDescent="0.4">
      <c r="A2980" t="str">
        <f t="shared" si="138"/>
        <v/>
      </c>
      <c r="B2980" t="str">
        <f t="shared" si="139"/>
        <v/>
      </c>
      <c r="C2980" t="str">
        <f t="shared" si="140"/>
        <v/>
      </c>
    </row>
    <row r="2981" spans="1:3" x14ac:dyDescent="0.4">
      <c r="A2981" t="str">
        <f t="shared" si="138"/>
        <v/>
      </c>
      <c r="B2981" t="str">
        <f t="shared" si="139"/>
        <v/>
      </c>
      <c r="C2981" t="str">
        <f t="shared" si="140"/>
        <v/>
      </c>
    </row>
    <row r="2982" spans="1:3" x14ac:dyDescent="0.4">
      <c r="A2982" t="str">
        <f t="shared" si="138"/>
        <v/>
      </c>
      <c r="B2982" t="str">
        <f t="shared" si="139"/>
        <v/>
      </c>
      <c r="C2982" t="str">
        <f t="shared" si="140"/>
        <v/>
      </c>
    </row>
    <row r="2983" spans="1:3" x14ac:dyDescent="0.4">
      <c r="A2983" t="str">
        <f t="shared" si="138"/>
        <v/>
      </c>
      <c r="B2983" t="str">
        <f t="shared" si="139"/>
        <v/>
      </c>
      <c r="C2983" t="str">
        <f t="shared" si="140"/>
        <v/>
      </c>
    </row>
    <row r="2984" spans="1:3" x14ac:dyDescent="0.4">
      <c r="A2984" t="str">
        <f t="shared" si="138"/>
        <v/>
      </c>
      <c r="B2984" t="str">
        <f t="shared" si="139"/>
        <v/>
      </c>
      <c r="C2984" t="str">
        <f t="shared" si="140"/>
        <v/>
      </c>
    </row>
    <row r="2985" spans="1:3" x14ac:dyDescent="0.4">
      <c r="A2985" t="str">
        <f t="shared" si="138"/>
        <v/>
      </c>
      <c r="B2985" t="str">
        <f t="shared" si="139"/>
        <v/>
      </c>
      <c r="C2985" t="str">
        <f t="shared" si="140"/>
        <v/>
      </c>
    </row>
    <row r="2986" spans="1:3" x14ac:dyDescent="0.4">
      <c r="A2986" t="str">
        <f t="shared" si="138"/>
        <v/>
      </c>
      <c r="B2986" t="str">
        <f t="shared" si="139"/>
        <v/>
      </c>
      <c r="C2986" t="str">
        <f t="shared" si="140"/>
        <v/>
      </c>
    </row>
    <row r="2987" spans="1:3" x14ac:dyDescent="0.4">
      <c r="A2987" t="str">
        <f t="shared" si="138"/>
        <v/>
      </c>
      <c r="B2987" t="str">
        <f t="shared" si="139"/>
        <v/>
      </c>
      <c r="C2987" t="str">
        <f t="shared" si="140"/>
        <v/>
      </c>
    </row>
    <row r="2988" spans="1:3" x14ac:dyDescent="0.4">
      <c r="A2988" t="str">
        <f t="shared" si="138"/>
        <v/>
      </c>
      <c r="B2988" t="str">
        <f t="shared" si="139"/>
        <v/>
      </c>
      <c r="C2988" t="str">
        <f t="shared" si="140"/>
        <v/>
      </c>
    </row>
    <row r="2989" spans="1:3" x14ac:dyDescent="0.4">
      <c r="A2989" t="str">
        <f t="shared" si="138"/>
        <v/>
      </c>
      <c r="B2989" t="str">
        <f t="shared" si="139"/>
        <v/>
      </c>
      <c r="C2989" t="str">
        <f t="shared" si="140"/>
        <v/>
      </c>
    </row>
    <row r="2990" spans="1:3" x14ac:dyDescent="0.4">
      <c r="A2990" t="str">
        <f t="shared" si="138"/>
        <v/>
      </c>
      <c r="B2990" t="str">
        <f t="shared" si="139"/>
        <v/>
      </c>
      <c r="C2990" t="str">
        <f t="shared" si="140"/>
        <v/>
      </c>
    </row>
    <row r="2991" spans="1:3" x14ac:dyDescent="0.4">
      <c r="A2991" t="str">
        <f t="shared" si="138"/>
        <v/>
      </c>
      <c r="B2991" t="str">
        <f t="shared" si="139"/>
        <v/>
      </c>
      <c r="C2991" t="str">
        <f t="shared" si="140"/>
        <v/>
      </c>
    </row>
    <row r="2992" spans="1:3" x14ac:dyDescent="0.4">
      <c r="A2992" t="str">
        <f t="shared" si="138"/>
        <v/>
      </c>
      <c r="B2992" t="str">
        <f t="shared" si="139"/>
        <v/>
      </c>
      <c r="C2992" t="str">
        <f t="shared" si="140"/>
        <v/>
      </c>
    </row>
    <row r="2993" spans="1:3" x14ac:dyDescent="0.4">
      <c r="A2993" t="str">
        <f t="shared" si="138"/>
        <v/>
      </c>
      <c r="B2993" t="str">
        <f t="shared" si="139"/>
        <v/>
      </c>
      <c r="C2993" t="str">
        <f t="shared" si="140"/>
        <v/>
      </c>
    </row>
    <row r="2994" spans="1:3" x14ac:dyDescent="0.4">
      <c r="A2994" t="str">
        <f t="shared" si="138"/>
        <v/>
      </c>
      <c r="B2994" t="str">
        <f t="shared" si="139"/>
        <v/>
      </c>
      <c r="C2994" t="str">
        <f t="shared" si="140"/>
        <v/>
      </c>
    </row>
    <row r="2995" spans="1:3" x14ac:dyDescent="0.4">
      <c r="A2995" t="str">
        <f t="shared" si="138"/>
        <v/>
      </c>
      <c r="B2995" t="str">
        <f t="shared" si="139"/>
        <v/>
      </c>
      <c r="C2995" t="str">
        <f t="shared" si="140"/>
        <v/>
      </c>
    </row>
    <row r="2996" spans="1:3" x14ac:dyDescent="0.4">
      <c r="A2996" t="str">
        <f t="shared" si="138"/>
        <v/>
      </c>
      <c r="B2996" t="str">
        <f t="shared" si="139"/>
        <v/>
      </c>
      <c r="C2996" t="str">
        <f t="shared" si="140"/>
        <v/>
      </c>
    </row>
    <row r="2997" spans="1:3" x14ac:dyDescent="0.4">
      <c r="A2997" t="str">
        <f t="shared" si="138"/>
        <v/>
      </c>
      <c r="B2997" t="str">
        <f t="shared" si="139"/>
        <v/>
      </c>
      <c r="C2997" t="str">
        <f t="shared" si="140"/>
        <v/>
      </c>
    </row>
    <row r="2998" spans="1:3" x14ac:dyDescent="0.4">
      <c r="A2998" t="str">
        <f t="shared" si="138"/>
        <v/>
      </c>
      <c r="B2998" t="str">
        <f t="shared" si="139"/>
        <v/>
      </c>
      <c r="C2998" t="str">
        <f t="shared" si="140"/>
        <v/>
      </c>
    </row>
    <row r="2999" spans="1:3" x14ac:dyDescent="0.4">
      <c r="A2999" t="str">
        <f t="shared" si="138"/>
        <v/>
      </c>
      <c r="B2999" t="str">
        <f t="shared" si="139"/>
        <v/>
      </c>
      <c r="C2999" t="str">
        <f t="shared" si="140"/>
        <v/>
      </c>
    </row>
    <row r="3000" spans="1:3" x14ac:dyDescent="0.4">
      <c r="A3000" t="str">
        <f t="shared" si="138"/>
        <v/>
      </c>
      <c r="B3000" t="str">
        <f t="shared" si="139"/>
        <v/>
      </c>
      <c r="C3000" t="str">
        <f t="shared" si="140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8297-DA77-45BA-B001-F129C890FE0E}">
  <dimension ref="A1:K1000"/>
  <sheetViews>
    <sheetView topLeftCell="A2" workbookViewId="0">
      <selection activeCell="D2" sqref="D2:K10000"/>
    </sheetView>
  </sheetViews>
  <sheetFormatPr defaultRowHeight="14.6" x14ac:dyDescent="0.4"/>
  <cols>
    <col min="6" max="6" width="10.07421875" bestFit="1" customWidth="1"/>
  </cols>
  <sheetData>
    <row r="1" spans="1:11" x14ac:dyDescent="0.4">
      <c r="A1" t="s">
        <v>36</v>
      </c>
      <c r="B1" t="s">
        <v>54</v>
      </c>
      <c r="D1" t="s">
        <v>38</v>
      </c>
      <c r="E1" t="s">
        <v>55</v>
      </c>
      <c r="F1" t="s">
        <v>42</v>
      </c>
      <c r="G1" t="s">
        <v>39</v>
      </c>
      <c r="H1" t="s">
        <v>40</v>
      </c>
      <c r="I1" t="s">
        <v>56</v>
      </c>
      <c r="J1" t="s">
        <v>57</v>
      </c>
      <c r="K1" t="s">
        <v>58</v>
      </c>
    </row>
    <row r="2" spans="1:11" x14ac:dyDescent="0.4">
      <c r="A2" t="str">
        <f>IF(G2&lt;&gt;"",G2,"")</f>
        <v/>
      </c>
      <c r="B2" t="str">
        <f t="shared" ref="B2:B65" si="0">IF($G2="","",IFERROR($I2*$J2/1000000/PriceDiv*_xlfn.XLOOKUP($K2,FX_Ccy,FX_Rate),""))</f>
        <v/>
      </c>
      <c r="F2" s="2"/>
    </row>
    <row r="3" spans="1:11" x14ac:dyDescent="0.4">
      <c r="A3" t="str">
        <f t="shared" ref="A3:A66" si="1">IF(G3&lt;&gt;"",G3,"")</f>
        <v/>
      </c>
      <c r="B3" t="str">
        <f t="shared" si="0"/>
        <v/>
      </c>
      <c r="F3" s="2"/>
    </row>
    <row r="4" spans="1:11" x14ac:dyDescent="0.4">
      <c r="A4" t="str">
        <f t="shared" si="1"/>
        <v/>
      </c>
      <c r="B4" t="str">
        <f t="shared" si="0"/>
        <v/>
      </c>
      <c r="F4" s="2"/>
    </row>
    <row r="5" spans="1:11" x14ac:dyDescent="0.4">
      <c r="A5" t="str">
        <f t="shared" si="1"/>
        <v/>
      </c>
      <c r="B5" t="str">
        <f t="shared" si="0"/>
        <v/>
      </c>
      <c r="F5" s="2"/>
    </row>
    <row r="6" spans="1:11" x14ac:dyDescent="0.4">
      <c r="A6" t="str">
        <f t="shared" si="1"/>
        <v/>
      </c>
      <c r="B6" t="str">
        <f t="shared" si="0"/>
        <v/>
      </c>
      <c r="F6" s="2"/>
    </row>
    <row r="7" spans="1:11" x14ac:dyDescent="0.4">
      <c r="A7" t="str">
        <f t="shared" si="1"/>
        <v/>
      </c>
      <c r="B7" t="str">
        <f t="shared" si="0"/>
        <v/>
      </c>
      <c r="F7" s="2"/>
    </row>
    <row r="8" spans="1:11" x14ac:dyDescent="0.4">
      <c r="A8" t="str">
        <f t="shared" si="1"/>
        <v/>
      </c>
      <c r="B8" t="str">
        <f t="shared" si="0"/>
        <v/>
      </c>
      <c r="F8" s="2"/>
    </row>
    <row r="9" spans="1:11" x14ac:dyDescent="0.4">
      <c r="A9" t="str">
        <f t="shared" si="1"/>
        <v/>
      </c>
      <c r="B9" t="str">
        <f t="shared" si="0"/>
        <v/>
      </c>
      <c r="F9" s="2"/>
    </row>
    <row r="10" spans="1:11" x14ac:dyDescent="0.4">
      <c r="A10" t="str">
        <f t="shared" si="1"/>
        <v/>
      </c>
      <c r="B10" t="str">
        <f t="shared" si="0"/>
        <v/>
      </c>
      <c r="F10" s="2"/>
    </row>
    <row r="11" spans="1:11" x14ac:dyDescent="0.4">
      <c r="A11" t="str">
        <f t="shared" si="1"/>
        <v/>
      </c>
      <c r="B11" t="str">
        <f t="shared" si="0"/>
        <v/>
      </c>
      <c r="F11" s="2"/>
    </row>
    <row r="12" spans="1:11" x14ac:dyDescent="0.4">
      <c r="A12" t="str">
        <f t="shared" si="1"/>
        <v/>
      </c>
      <c r="B12" t="str">
        <f t="shared" si="0"/>
        <v/>
      </c>
      <c r="F12" s="2"/>
    </row>
    <row r="13" spans="1:11" x14ac:dyDescent="0.4">
      <c r="A13" t="str">
        <f t="shared" si="1"/>
        <v/>
      </c>
      <c r="B13" t="str">
        <f t="shared" si="0"/>
        <v/>
      </c>
      <c r="F13" s="2"/>
    </row>
    <row r="14" spans="1:11" x14ac:dyDescent="0.4">
      <c r="A14" t="str">
        <f t="shared" si="1"/>
        <v/>
      </c>
      <c r="B14" t="str">
        <f t="shared" si="0"/>
        <v/>
      </c>
      <c r="F14" s="2"/>
    </row>
    <row r="15" spans="1:11" x14ac:dyDescent="0.4">
      <c r="A15" t="str">
        <f t="shared" si="1"/>
        <v/>
      </c>
      <c r="B15" t="str">
        <f t="shared" si="0"/>
        <v/>
      </c>
      <c r="F15" s="2"/>
    </row>
    <row r="16" spans="1:11" x14ac:dyDescent="0.4">
      <c r="A16" t="str">
        <f t="shared" si="1"/>
        <v/>
      </c>
      <c r="B16" t="str">
        <f t="shared" si="0"/>
        <v/>
      </c>
      <c r="F16" s="2"/>
    </row>
    <row r="17" spans="1:6" x14ac:dyDescent="0.4">
      <c r="A17" t="str">
        <f t="shared" si="1"/>
        <v/>
      </c>
      <c r="B17" t="str">
        <f t="shared" si="0"/>
        <v/>
      </c>
      <c r="F17" s="2"/>
    </row>
    <row r="18" spans="1:6" x14ac:dyDescent="0.4">
      <c r="A18" t="str">
        <f t="shared" si="1"/>
        <v/>
      </c>
      <c r="B18" t="str">
        <f t="shared" si="0"/>
        <v/>
      </c>
      <c r="F18" s="2"/>
    </row>
    <row r="19" spans="1:6" x14ac:dyDescent="0.4">
      <c r="A19" t="str">
        <f t="shared" si="1"/>
        <v/>
      </c>
      <c r="B19" t="str">
        <f t="shared" si="0"/>
        <v/>
      </c>
      <c r="F19" s="2"/>
    </row>
    <row r="20" spans="1:6" x14ac:dyDescent="0.4">
      <c r="A20" t="str">
        <f t="shared" si="1"/>
        <v/>
      </c>
      <c r="B20" t="str">
        <f t="shared" si="0"/>
        <v/>
      </c>
      <c r="F20" s="2"/>
    </row>
    <row r="21" spans="1:6" x14ac:dyDescent="0.4">
      <c r="A21" t="str">
        <f t="shared" si="1"/>
        <v/>
      </c>
      <c r="B21" t="str">
        <f t="shared" si="0"/>
        <v/>
      </c>
      <c r="F21" s="2"/>
    </row>
    <row r="22" spans="1:6" x14ac:dyDescent="0.4">
      <c r="A22" t="str">
        <f t="shared" si="1"/>
        <v/>
      </c>
      <c r="B22" t="str">
        <f t="shared" si="0"/>
        <v/>
      </c>
      <c r="F22" s="2"/>
    </row>
    <row r="23" spans="1:6" x14ac:dyDescent="0.4">
      <c r="A23" t="str">
        <f t="shared" si="1"/>
        <v/>
      </c>
      <c r="B23" t="str">
        <f t="shared" si="0"/>
        <v/>
      </c>
      <c r="F23" s="2"/>
    </row>
    <row r="24" spans="1:6" x14ac:dyDescent="0.4">
      <c r="A24" t="str">
        <f t="shared" si="1"/>
        <v/>
      </c>
      <c r="B24" t="str">
        <f t="shared" si="0"/>
        <v/>
      </c>
      <c r="F24" s="2"/>
    </row>
    <row r="25" spans="1:6" x14ac:dyDescent="0.4">
      <c r="A25" t="str">
        <f t="shared" si="1"/>
        <v/>
      </c>
      <c r="B25" t="str">
        <f t="shared" si="0"/>
        <v/>
      </c>
      <c r="F25" s="2"/>
    </row>
    <row r="26" spans="1:6" x14ac:dyDescent="0.4">
      <c r="A26" t="str">
        <f t="shared" si="1"/>
        <v/>
      </c>
      <c r="B26" t="str">
        <f t="shared" si="0"/>
        <v/>
      </c>
      <c r="F26" s="2"/>
    </row>
    <row r="27" spans="1:6" x14ac:dyDescent="0.4">
      <c r="A27" t="str">
        <f t="shared" si="1"/>
        <v/>
      </c>
      <c r="B27" t="str">
        <f t="shared" si="0"/>
        <v/>
      </c>
      <c r="F27" s="2"/>
    </row>
    <row r="28" spans="1:6" x14ac:dyDescent="0.4">
      <c r="A28" t="str">
        <f t="shared" si="1"/>
        <v/>
      </c>
      <c r="B28" t="str">
        <f t="shared" si="0"/>
        <v/>
      </c>
      <c r="F28" s="2"/>
    </row>
    <row r="29" spans="1:6" x14ac:dyDescent="0.4">
      <c r="A29" t="str">
        <f t="shared" si="1"/>
        <v/>
      </c>
      <c r="B29" t="str">
        <f t="shared" si="0"/>
        <v/>
      </c>
      <c r="F29" s="2"/>
    </row>
    <row r="30" spans="1:6" x14ac:dyDescent="0.4">
      <c r="A30" t="str">
        <f t="shared" si="1"/>
        <v/>
      </c>
      <c r="B30" t="str">
        <f t="shared" si="0"/>
        <v/>
      </c>
      <c r="F30" s="2"/>
    </row>
    <row r="31" spans="1:6" x14ac:dyDescent="0.4">
      <c r="A31" t="str">
        <f t="shared" si="1"/>
        <v/>
      </c>
      <c r="B31" t="str">
        <f t="shared" si="0"/>
        <v/>
      </c>
      <c r="F31" s="2"/>
    </row>
    <row r="32" spans="1:6" x14ac:dyDescent="0.4">
      <c r="A32" t="str">
        <f t="shared" si="1"/>
        <v/>
      </c>
      <c r="B32" t="str">
        <f t="shared" si="0"/>
        <v/>
      </c>
      <c r="F32" s="2"/>
    </row>
    <row r="33" spans="1:6" x14ac:dyDescent="0.4">
      <c r="A33" t="str">
        <f t="shared" si="1"/>
        <v/>
      </c>
      <c r="B33" t="str">
        <f t="shared" si="0"/>
        <v/>
      </c>
      <c r="F33" s="2"/>
    </row>
    <row r="34" spans="1:6" x14ac:dyDescent="0.4">
      <c r="A34" t="str">
        <f t="shared" si="1"/>
        <v/>
      </c>
      <c r="B34" t="str">
        <f t="shared" si="0"/>
        <v/>
      </c>
      <c r="F34" s="2"/>
    </row>
    <row r="35" spans="1:6" x14ac:dyDescent="0.4">
      <c r="A35" t="str">
        <f t="shared" si="1"/>
        <v/>
      </c>
      <c r="B35" t="str">
        <f t="shared" si="0"/>
        <v/>
      </c>
      <c r="F35" s="2"/>
    </row>
    <row r="36" spans="1:6" x14ac:dyDescent="0.4">
      <c r="A36" t="str">
        <f t="shared" si="1"/>
        <v/>
      </c>
      <c r="B36" t="str">
        <f t="shared" si="0"/>
        <v/>
      </c>
      <c r="F36" s="2"/>
    </row>
    <row r="37" spans="1:6" x14ac:dyDescent="0.4">
      <c r="A37" t="str">
        <f t="shared" si="1"/>
        <v/>
      </c>
      <c r="B37" t="str">
        <f t="shared" si="0"/>
        <v/>
      </c>
      <c r="F37" s="2"/>
    </row>
    <row r="38" spans="1:6" x14ac:dyDescent="0.4">
      <c r="A38" t="str">
        <f t="shared" si="1"/>
        <v/>
      </c>
      <c r="B38" t="str">
        <f t="shared" si="0"/>
        <v/>
      </c>
      <c r="F38" s="2"/>
    </row>
    <row r="39" spans="1:6" x14ac:dyDescent="0.4">
      <c r="A39" t="str">
        <f t="shared" si="1"/>
        <v/>
      </c>
      <c r="B39" t="str">
        <f t="shared" si="0"/>
        <v/>
      </c>
      <c r="F39" s="2"/>
    </row>
    <row r="40" spans="1:6" x14ac:dyDescent="0.4">
      <c r="A40" t="str">
        <f t="shared" si="1"/>
        <v/>
      </c>
      <c r="B40" t="str">
        <f t="shared" si="0"/>
        <v/>
      </c>
      <c r="F40" s="2"/>
    </row>
    <row r="41" spans="1:6" x14ac:dyDescent="0.4">
      <c r="A41" t="str">
        <f t="shared" si="1"/>
        <v/>
      </c>
      <c r="B41" t="str">
        <f t="shared" si="0"/>
        <v/>
      </c>
      <c r="F41" s="2"/>
    </row>
    <row r="42" spans="1:6" x14ac:dyDescent="0.4">
      <c r="A42" t="str">
        <f t="shared" si="1"/>
        <v/>
      </c>
      <c r="B42" t="str">
        <f t="shared" si="0"/>
        <v/>
      </c>
      <c r="F42" s="2"/>
    </row>
    <row r="43" spans="1:6" x14ac:dyDescent="0.4">
      <c r="A43" t="str">
        <f t="shared" si="1"/>
        <v/>
      </c>
      <c r="B43" t="str">
        <f t="shared" si="0"/>
        <v/>
      </c>
      <c r="F43" s="2"/>
    </row>
    <row r="44" spans="1:6" x14ac:dyDescent="0.4">
      <c r="A44" t="str">
        <f t="shared" si="1"/>
        <v/>
      </c>
      <c r="B44" t="str">
        <f t="shared" si="0"/>
        <v/>
      </c>
      <c r="F44" s="2"/>
    </row>
    <row r="45" spans="1:6" x14ac:dyDescent="0.4">
      <c r="A45" t="str">
        <f t="shared" si="1"/>
        <v/>
      </c>
      <c r="B45" t="str">
        <f t="shared" si="0"/>
        <v/>
      </c>
      <c r="F45" s="2"/>
    </row>
    <row r="46" spans="1:6" x14ac:dyDescent="0.4">
      <c r="A46" t="str">
        <f t="shared" si="1"/>
        <v/>
      </c>
      <c r="B46" t="str">
        <f t="shared" si="0"/>
        <v/>
      </c>
      <c r="F46" s="2"/>
    </row>
    <row r="47" spans="1:6" x14ac:dyDescent="0.4">
      <c r="A47" t="str">
        <f t="shared" si="1"/>
        <v/>
      </c>
      <c r="B47" t="str">
        <f t="shared" si="0"/>
        <v/>
      </c>
      <c r="F47" s="2"/>
    </row>
    <row r="48" spans="1:6" x14ac:dyDescent="0.4">
      <c r="A48" t="str">
        <f t="shared" si="1"/>
        <v/>
      </c>
      <c r="B48" t="str">
        <f t="shared" si="0"/>
        <v/>
      </c>
      <c r="F48" s="2"/>
    </row>
    <row r="49" spans="1:6" x14ac:dyDescent="0.4">
      <c r="A49" t="str">
        <f t="shared" si="1"/>
        <v/>
      </c>
      <c r="B49" t="str">
        <f t="shared" si="0"/>
        <v/>
      </c>
      <c r="F49" s="2"/>
    </row>
    <row r="50" spans="1:6" x14ac:dyDescent="0.4">
      <c r="A50" t="str">
        <f t="shared" si="1"/>
        <v/>
      </c>
      <c r="B50" t="str">
        <f t="shared" si="0"/>
        <v/>
      </c>
      <c r="F50" s="2"/>
    </row>
    <row r="51" spans="1:6" x14ac:dyDescent="0.4">
      <c r="A51" t="str">
        <f t="shared" si="1"/>
        <v/>
      </c>
      <c r="B51" t="str">
        <f t="shared" si="0"/>
        <v/>
      </c>
      <c r="F51" s="2"/>
    </row>
    <row r="52" spans="1:6" x14ac:dyDescent="0.4">
      <c r="A52" t="str">
        <f t="shared" si="1"/>
        <v/>
      </c>
      <c r="B52" t="str">
        <f t="shared" si="0"/>
        <v/>
      </c>
      <c r="F52" s="2"/>
    </row>
    <row r="53" spans="1:6" x14ac:dyDescent="0.4">
      <c r="A53" t="str">
        <f t="shared" si="1"/>
        <v/>
      </c>
      <c r="B53" t="str">
        <f t="shared" si="0"/>
        <v/>
      </c>
      <c r="F53" s="2"/>
    </row>
    <row r="54" spans="1:6" x14ac:dyDescent="0.4">
      <c r="A54" t="str">
        <f t="shared" si="1"/>
        <v/>
      </c>
      <c r="B54" t="str">
        <f t="shared" si="0"/>
        <v/>
      </c>
      <c r="F54" s="2"/>
    </row>
    <row r="55" spans="1:6" x14ac:dyDescent="0.4">
      <c r="A55" t="str">
        <f t="shared" si="1"/>
        <v/>
      </c>
      <c r="B55" t="str">
        <f t="shared" si="0"/>
        <v/>
      </c>
      <c r="F55" s="2"/>
    </row>
    <row r="56" spans="1:6" x14ac:dyDescent="0.4">
      <c r="A56" t="str">
        <f t="shared" si="1"/>
        <v/>
      </c>
      <c r="B56" t="str">
        <f t="shared" si="0"/>
        <v/>
      </c>
      <c r="F56" s="2"/>
    </row>
    <row r="57" spans="1:6" x14ac:dyDescent="0.4">
      <c r="A57" t="str">
        <f t="shared" si="1"/>
        <v/>
      </c>
      <c r="B57" t="str">
        <f t="shared" si="0"/>
        <v/>
      </c>
      <c r="F57" s="2"/>
    </row>
    <row r="58" spans="1:6" x14ac:dyDescent="0.4">
      <c r="A58" t="str">
        <f t="shared" si="1"/>
        <v/>
      </c>
      <c r="B58" t="str">
        <f t="shared" si="0"/>
        <v/>
      </c>
      <c r="F58" s="2"/>
    </row>
    <row r="59" spans="1:6" x14ac:dyDescent="0.4">
      <c r="A59" t="str">
        <f t="shared" si="1"/>
        <v/>
      </c>
      <c r="B59" t="str">
        <f t="shared" si="0"/>
        <v/>
      </c>
      <c r="F59" s="2"/>
    </row>
    <row r="60" spans="1:6" x14ac:dyDescent="0.4">
      <c r="A60" t="str">
        <f t="shared" si="1"/>
        <v/>
      </c>
      <c r="B60" t="str">
        <f t="shared" si="0"/>
        <v/>
      </c>
      <c r="F60" s="2"/>
    </row>
    <row r="61" spans="1:6" x14ac:dyDescent="0.4">
      <c r="A61" t="str">
        <f t="shared" si="1"/>
        <v/>
      </c>
      <c r="B61" t="str">
        <f t="shared" si="0"/>
        <v/>
      </c>
      <c r="F61" s="2"/>
    </row>
    <row r="62" spans="1:6" x14ac:dyDescent="0.4">
      <c r="A62" t="str">
        <f t="shared" si="1"/>
        <v/>
      </c>
      <c r="B62" t="str">
        <f t="shared" si="0"/>
        <v/>
      </c>
      <c r="F62" s="2"/>
    </row>
    <row r="63" spans="1:6" x14ac:dyDescent="0.4">
      <c r="A63" t="str">
        <f t="shared" si="1"/>
        <v/>
      </c>
      <c r="B63" t="str">
        <f t="shared" si="0"/>
        <v/>
      </c>
      <c r="F63" s="2"/>
    </row>
    <row r="64" spans="1:6" x14ac:dyDescent="0.4">
      <c r="A64" t="str">
        <f t="shared" si="1"/>
        <v/>
      </c>
      <c r="B64" t="str">
        <f t="shared" si="0"/>
        <v/>
      </c>
      <c r="F64" s="2"/>
    </row>
    <row r="65" spans="1:6" x14ac:dyDescent="0.4">
      <c r="A65" t="str">
        <f t="shared" si="1"/>
        <v/>
      </c>
      <c r="B65" t="str">
        <f t="shared" si="0"/>
        <v/>
      </c>
      <c r="F65" s="2"/>
    </row>
    <row r="66" spans="1:6" x14ac:dyDescent="0.4">
      <c r="A66" t="str">
        <f t="shared" si="1"/>
        <v/>
      </c>
      <c r="B66" t="str">
        <f t="shared" ref="B66:B129" si="2">IF($G66="","",IFERROR($I66*$J66/1000000/PriceDiv*_xlfn.XLOOKUP($K66,FX_Ccy,FX_Rate),""))</f>
        <v/>
      </c>
      <c r="F66" s="2"/>
    </row>
    <row r="67" spans="1:6" x14ac:dyDescent="0.4">
      <c r="A67" t="str">
        <f t="shared" ref="A67:A130" si="3">IF(G67&lt;&gt;"",G67,"")</f>
        <v/>
      </c>
      <c r="B67" t="str">
        <f t="shared" si="2"/>
        <v/>
      </c>
      <c r="F67" s="2"/>
    </row>
    <row r="68" spans="1:6" x14ac:dyDescent="0.4">
      <c r="A68" t="str">
        <f t="shared" si="3"/>
        <v/>
      </c>
      <c r="B68" t="str">
        <f t="shared" si="2"/>
        <v/>
      </c>
      <c r="F68" s="2"/>
    </row>
    <row r="69" spans="1:6" x14ac:dyDescent="0.4">
      <c r="A69" t="str">
        <f t="shared" si="3"/>
        <v/>
      </c>
      <c r="B69" t="str">
        <f t="shared" si="2"/>
        <v/>
      </c>
      <c r="F69" s="2"/>
    </row>
    <row r="70" spans="1:6" x14ac:dyDescent="0.4">
      <c r="A70" t="str">
        <f t="shared" si="3"/>
        <v/>
      </c>
      <c r="B70" t="str">
        <f t="shared" si="2"/>
        <v/>
      </c>
      <c r="F70" s="2"/>
    </row>
    <row r="71" spans="1:6" x14ac:dyDescent="0.4">
      <c r="A71" t="str">
        <f t="shared" si="3"/>
        <v/>
      </c>
      <c r="B71" t="str">
        <f t="shared" si="2"/>
        <v/>
      </c>
      <c r="F71" s="2"/>
    </row>
    <row r="72" spans="1:6" x14ac:dyDescent="0.4">
      <c r="A72" t="str">
        <f t="shared" si="3"/>
        <v/>
      </c>
      <c r="B72" t="str">
        <f t="shared" si="2"/>
        <v/>
      </c>
      <c r="F72" s="2"/>
    </row>
    <row r="73" spans="1:6" x14ac:dyDescent="0.4">
      <c r="A73" t="str">
        <f t="shared" si="3"/>
        <v/>
      </c>
      <c r="B73" t="str">
        <f t="shared" si="2"/>
        <v/>
      </c>
      <c r="F73" s="2"/>
    </row>
    <row r="74" spans="1:6" x14ac:dyDescent="0.4">
      <c r="A74" t="str">
        <f t="shared" si="3"/>
        <v/>
      </c>
      <c r="B74" t="str">
        <f t="shared" si="2"/>
        <v/>
      </c>
      <c r="F74" s="2"/>
    </row>
    <row r="75" spans="1:6" x14ac:dyDescent="0.4">
      <c r="A75" t="str">
        <f t="shared" si="3"/>
        <v/>
      </c>
      <c r="B75" t="str">
        <f t="shared" si="2"/>
        <v/>
      </c>
      <c r="F75" s="2"/>
    </row>
    <row r="76" spans="1:6" x14ac:dyDescent="0.4">
      <c r="A76" t="str">
        <f t="shared" si="3"/>
        <v/>
      </c>
      <c r="B76" t="str">
        <f t="shared" si="2"/>
        <v/>
      </c>
      <c r="F76" s="2"/>
    </row>
    <row r="77" spans="1:6" x14ac:dyDescent="0.4">
      <c r="A77" t="str">
        <f t="shared" si="3"/>
        <v/>
      </c>
      <c r="B77" t="str">
        <f t="shared" si="2"/>
        <v/>
      </c>
      <c r="F77" s="2"/>
    </row>
    <row r="78" spans="1:6" x14ac:dyDescent="0.4">
      <c r="A78" t="str">
        <f t="shared" si="3"/>
        <v/>
      </c>
      <c r="B78" t="str">
        <f t="shared" si="2"/>
        <v/>
      </c>
      <c r="F78" s="2"/>
    </row>
    <row r="79" spans="1:6" x14ac:dyDescent="0.4">
      <c r="A79" t="str">
        <f t="shared" si="3"/>
        <v/>
      </c>
      <c r="B79" t="str">
        <f t="shared" si="2"/>
        <v/>
      </c>
      <c r="F79" s="2"/>
    </row>
    <row r="80" spans="1:6" x14ac:dyDescent="0.4">
      <c r="A80" t="str">
        <f t="shared" si="3"/>
        <v/>
      </c>
      <c r="B80" t="str">
        <f t="shared" si="2"/>
        <v/>
      </c>
      <c r="F80" s="2"/>
    </row>
    <row r="81" spans="1:6" x14ac:dyDescent="0.4">
      <c r="A81" t="str">
        <f t="shared" si="3"/>
        <v/>
      </c>
      <c r="B81" t="str">
        <f t="shared" si="2"/>
        <v/>
      </c>
      <c r="F81" s="2"/>
    </row>
    <row r="82" spans="1:6" x14ac:dyDescent="0.4">
      <c r="A82" t="str">
        <f t="shared" si="3"/>
        <v/>
      </c>
      <c r="B82" t="str">
        <f t="shared" si="2"/>
        <v/>
      </c>
      <c r="F82" s="2"/>
    </row>
    <row r="83" spans="1:6" x14ac:dyDescent="0.4">
      <c r="A83" t="str">
        <f t="shared" si="3"/>
        <v/>
      </c>
      <c r="B83" t="str">
        <f t="shared" si="2"/>
        <v/>
      </c>
      <c r="F83" s="2"/>
    </row>
    <row r="84" spans="1:6" x14ac:dyDescent="0.4">
      <c r="A84" t="str">
        <f t="shared" si="3"/>
        <v/>
      </c>
      <c r="B84" t="str">
        <f t="shared" si="2"/>
        <v/>
      </c>
      <c r="F84" s="2"/>
    </row>
    <row r="85" spans="1:6" x14ac:dyDescent="0.4">
      <c r="A85" t="str">
        <f t="shared" si="3"/>
        <v/>
      </c>
      <c r="B85" t="str">
        <f t="shared" si="2"/>
        <v/>
      </c>
      <c r="F85" s="2"/>
    </row>
    <row r="86" spans="1:6" x14ac:dyDescent="0.4">
      <c r="A86" t="str">
        <f t="shared" si="3"/>
        <v/>
      </c>
      <c r="B86" t="str">
        <f t="shared" si="2"/>
        <v/>
      </c>
      <c r="F86" s="2"/>
    </row>
    <row r="87" spans="1:6" x14ac:dyDescent="0.4">
      <c r="A87" t="str">
        <f t="shared" si="3"/>
        <v/>
      </c>
      <c r="B87" t="str">
        <f t="shared" si="2"/>
        <v/>
      </c>
      <c r="F87" s="2"/>
    </row>
    <row r="88" spans="1:6" x14ac:dyDescent="0.4">
      <c r="A88" t="str">
        <f t="shared" si="3"/>
        <v/>
      </c>
      <c r="B88" t="str">
        <f t="shared" si="2"/>
        <v/>
      </c>
      <c r="F88" s="2"/>
    </row>
    <row r="89" spans="1:6" x14ac:dyDescent="0.4">
      <c r="A89" t="str">
        <f t="shared" si="3"/>
        <v/>
      </c>
      <c r="B89" t="str">
        <f t="shared" si="2"/>
        <v/>
      </c>
      <c r="F89" s="2"/>
    </row>
    <row r="90" spans="1:6" x14ac:dyDescent="0.4">
      <c r="A90" t="str">
        <f t="shared" si="3"/>
        <v/>
      </c>
      <c r="B90" t="str">
        <f t="shared" si="2"/>
        <v/>
      </c>
      <c r="F90" s="2"/>
    </row>
    <row r="91" spans="1:6" x14ac:dyDescent="0.4">
      <c r="A91" t="str">
        <f t="shared" si="3"/>
        <v/>
      </c>
      <c r="B91" t="str">
        <f t="shared" si="2"/>
        <v/>
      </c>
      <c r="F91" s="2"/>
    </row>
    <row r="92" spans="1:6" x14ac:dyDescent="0.4">
      <c r="A92" t="str">
        <f t="shared" si="3"/>
        <v/>
      </c>
      <c r="B92" t="str">
        <f t="shared" si="2"/>
        <v/>
      </c>
      <c r="F92" s="2"/>
    </row>
    <row r="93" spans="1:6" x14ac:dyDescent="0.4">
      <c r="A93" t="str">
        <f t="shared" si="3"/>
        <v/>
      </c>
      <c r="B93" t="str">
        <f t="shared" si="2"/>
        <v/>
      </c>
      <c r="F93" s="2"/>
    </row>
    <row r="94" spans="1:6" x14ac:dyDescent="0.4">
      <c r="A94" t="str">
        <f t="shared" si="3"/>
        <v/>
      </c>
      <c r="B94" t="str">
        <f t="shared" si="2"/>
        <v/>
      </c>
      <c r="F94" s="2"/>
    </row>
    <row r="95" spans="1:6" x14ac:dyDescent="0.4">
      <c r="A95" t="str">
        <f t="shared" si="3"/>
        <v/>
      </c>
      <c r="B95" t="str">
        <f t="shared" si="2"/>
        <v/>
      </c>
      <c r="F95" s="2"/>
    </row>
    <row r="96" spans="1:6" x14ac:dyDescent="0.4">
      <c r="A96" t="str">
        <f t="shared" si="3"/>
        <v/>
      </c>
      <c r="B96" t="str">
        <f t="shared" si="2"/>
        <v/>
      </c>
      <c r="F96" s="2"/>
    </row>
    <row r="97" spans="1:6" x14ac:dyDescent="0.4">
      <c r="A97" t="str">
        <f t="shared" si="3"/>
        <v/>
      </c>
      <c r="B97" t="str">
        <f t="shared" si="2"/>
        <v/>
      </c>
      <c r="F97" s="2"/>
    </row>
    <row r="98" spans="1:6" x14ac:dyDescent="0.4">
      <c r="A98" t="str">
        <f t="shared" si="3"/>
        <v/>
      </c>
      <c r="B98" t="str">
        <f t="shared" si="2"/>
        <v/>
      </c>
      <c r="F98" s="2"/>
    </row>
    <row r="99" spans="1:6" x14ac:dyDescent="0.4">
      <c r="A99" t="str">
        <f t="shared" si="3"/>
        <v/>
      </c>
      <c r="B99" t="str">
        <f t="shared" si="2"/>
        <v/>
      </c>
      <c r="F99" s="2"/>
    </row>
    <row r="100" spans="1:6" x14ac:dyDescent="0.4">
      <c r="A100" t="str">
        <f t="shared" si="3"/>
        <v/>
      </c>
      <c r="B100" t="str">
        <f t="shared" si="2"/>
        <v/>
      </c>
      <c r="F100" s="2"/>
    </row>
    <row r="101" spans="1:6" x14ac:dyDescent="0.4">
      <c r="A101" t="str">
        <f t="shared" si="3"/>
        <v/>
      </c>
      <c r="B101" t="str">
        <f t="shared" si="2"/>
        <v/>
      </c>
      <c r="F101" s="2"/>
    </row>
    <row r="102" spans="1:6" x14ac:dyDescent="0.4">
      <c r="A102" t="str">
        <f t="shared" si="3"/>
        <v/>
      </c>
      <c r="B102" t="str">
        <f t="shared" si="2"/>
        <v/>
      </c>
      <c r="F102" s="2"/>
    </row>
    <row r="103" spans="1:6" x14ac:dyDescent="0.4">
      <c r="A103" t="str">
        <f t="shared" si="3"/>
        <v/>
      </c>
      <c r="B103" t="str">
        <f t="shared" si="2"/>
        <v/>
      </c>
      <c r="F103" s="2"/>
    </row>
    <row r="104" spans="1:6" x14ac:dyDescent="0.4">
      <c r="A104" t="str">
        <f t="shared" si="3"/>
        <v/>
      </c>
      <c r="B104" t="str">
        <f t="shared" si="2"/>
        <v/>
      </c>
      <c r="F104" s="2"/>
    </row>
    <row r="105" spans="1:6" x14ac:dyDescent="0.4">
      <c r="A105" t="str">
        <f t="shared" si="3"/>
        <v/>
      </c>
      <c r="B105" t="str">
        <f t="shared" si="2"/>
        <v/>
      </c>
      <c r="F105" s="2"/>
    </row>
    <row r="106" spans="1:6" x14ac:dyDescent="0.4">
      <c r="A106" t="str">
        <f t="shared" si="3"/>
        <v/>
      </c>
      <c r="B106" t="str">
        <f t="shared" si="2"/>
        <v/>
      </c>
      <c r="F106" s="2"/>
    </row>
    <row r="107" spans="1:6" x14ac:dyDescent="0.4">
      <c r="A107" t="str">
        <f t="shared" si="3"/>
        <v/>
      </c>
      <c r="B107" t="str">
        <f t="shared" si="2"/>
        <v/>
      </c>
      <c r="F107" s="2"/>
    </row>
    <row r="108" spans="1:6" x14ac:dyDescent="0.4">
      <c r="A108" t="str">
        <f t="shared" si="3"/>
        <v/>
      </c>
      <c r="B108" t="str">
        <f t="shared" si="2"/>
        <v/>
      </c>
      <c r="F108" s="2"/>
    </row>
    <row r="109" spans="1:6" x14ac:dyDescent="0.4">
      <c r="A109" t="str">
        <f t="shared" si="3"/>
        <v/>
      </c>
      <c r="B109" t="str">
        <f t="shared" si="2"/>
        <v/>
      </c>
      <c r="F109" s="2"/>
    </row>
    <row r="110" spans="1:6" x14ac:dyDescent="0.4">
      <c r="A110" t="str">
        <f t="shared" si="3"/>
        <v/>
      </c>
      <c r="B110" t="str">
        <f t="shared" si="2"/>
        <v/>
      </c>
      <c r="F110" s="2"/>
    </row>
    <row r="111" spans="1:6" x14ac:dyDescent="0.4">
      <c r="A111" t="str">
        <f t="shared" si="3"/>
        <v/>
      </c>
      <c r="B111" t="str">
        <f t="shared" si="2"/>
        <v/>
      </c>
      <c r="F111" s="2"/>
    </row>
    <row r="112" spans="1:6" x14ac:dyDescent="0.4">
      <c r="A112" t="str">
        <f t="shared" si="3"/>
        <v/>
      </c>
      <c r="B112" t="str">
        <f t="shared" si="2"/>
        <v/>
      </c>
      <c r="F112" s="2"/>
    </row>
    <row r="113" spans="1:6" x14ac:dyDescent="0.4">
      <c r="A113" t="str">
        <f t="shared" si="3"/>
        <v/>
      </c>
      <c r="B113" t="str">
        <f t="shared" si="2"/>
        <v/>
      </c>
      <c r="F113" s="2"/>
    </row>
    <row r="114" spans="1:6" x14ac:dyDescent="0.4">
      <c r="A114" t="str">
        <f t="shared" si="3"/>
        <v/>
      </c>
      <c r="B114" t="str">
        <f t="shared" si="2"/>
        <v/>
      </c>
      <c r="F114" s="2"/>
    </row>
    <row r="115" spans="1:6" x14ac:dyDescent="0.4">
      <c r="A115" t="str">
        <f t="shared" si="3"/>
        <v/>
      </c>
      <c r="B115" t="str">
        <f t="shared" si="2"/>
        <v/>
      </c>
      <c r="F115" s="2"/>
    </row>
    <row r="116" spans="1:6" x14ac:dyDescent="0.4">
      <c r="A116" t="str">
        <f t="shared" si="3"/>
        <v/>
      </c>
      <c r="B116" t="str">
        <f t="shared" si="2"/>
        <v/>
      </c>
      <c r="F116" s="2"/>
    </row>
    <row r="117" spans="1:6" x14ac:dyDescent="0.4">
      <c r="A117" t="str">
        <f t="shared" si="3"/>
        <v/>
      </c>
      <c r="B117" t="str">
        <f t="shared" si="2"/>
        <v/>
      </c>
      <c r="F117" s="2"/>
    </row>
    <row r="118" spans="1:6" x14ac:dyDescent="0.4">
      <c r="A118" t="str">
        <f t="shared" si="3"/>
        <v/>
      </c>
      <c r="B118" t="str">
        <f t="shared" si="2"/>
        <v/>
      </c>
      <c r="F118" s="2"/>
    </row>
    <row r="119" spans="1:6" x14ac:dyDescent="0.4">
      <c r="A119" t="str">
        <f t="shared" si="3"/>
        <v/>
      </c>
      <c r="B119" t="str">
        <f t="shared" si="2"/>
        <v/>
      </c>
      <c r="F119" s="2"/>
    </row>
    <row r="120" spans="1:6" x14ac:dyDescent="0.4">
      <c r="A120" t="str">
        <f t="shared" si="3"/>
        <v/>
      </c>
      <c r="B120" t="str">
        <f t="shared" si="2"/>
        <v/>
      </c>
      <c r="F120" s="2"/>
    </row>
    <row r="121" spans="1:6" x14ac:dyDescent="0.4">
      <c r="A121" t="str">
        <f t="shared" si="3"/>
        <v/>
      </c>
      <c r="B121" t="str">
        <f t="shared" si="2"/>
        <v/>
      </c>
      <c r="F121" s="2"/>
    </row>
    <row r="122" spans="1:6" x14ac:dyDescent="0.4">
      <c r="A122" t="str">
        <f t="shared" si="3"/>
        <v/>
      </c>
      <c r="B122" t="str">
        <f t="shared" si="2"/>
        <v/>
      </c>
      <c r="F122" s="2"/>
    </row>
    <row r="123" spans="1:6" x14ac:dyDescent="0.4">
      <c r="A123" t="str">
        <f t="shared" si="3"/>
        <v/>
      </c>
      <c r="B123" t="str">
        <f t="shared" si="2"/>
        <v/>
      </c>
      <c r="F123" s="2"/>
    </row>
    <row r="124" spans="1:6" x14ac:dyDescent="0.4">
      <c r="A124" t="str">
        <f t="shared" si="3"/>
        <v/>
      </c>
      <c r="B124" t="str">
        <f t="shared" si="2"/>
        <v/>
      </c>
      <c r="F124" s="2"/>
    </row>
    <row r="125" spans="1:6" x14ac:dyDescent="0.4">
      <c r="A125" t="str">
        <f t="shared" si="3"/>
        <v/>
      </c>
      <c r="B125" t="str">
        <f t="shared" si="2"/>
        <v/>
      </c>
      <c r="F125" s="2"/>
    </row>
    <row r="126" spans="1:6" x14ac:dyDescent="0.4">
      <c r="A126" t="str">
        <f t="shared" si="3"/>
        <v/>
      </c>
      <c r="B126" t="str">
        <f t="shared" si="2"/>
        <v/>
      </c>
      <c r="F126" s="2"/>
    </row>
    <row r="127" spans="1:6" x14ac:dyDescent="0.4">
      <c r="A127" t="str">
        <f t="shared" si="3"/>
        <v/>
      </c>
      <c r="B127" t="str">
        <f t="shared" si="2"/>
        <v/>
      </c>
      <c r="F127" s="2"/>
    </row>
    <row r="128" spans="1:6" x14ac:dyDescent="0.4">
      <c r="A128" t="str">
        <f t="shared" si="3"/>
        <v/>
      </c>
      <c r="B128" t="str">
        <f t="shared" si="2"/>
        <v/>
      </c>
      <c r="F128" s="2"/>
    </row>
    <row r="129" spans="1:6" x14ac:dyDescent="0.4">
      <c r="A129" t="str">
        <f t="shared" si="3"/>
        <v/>
      </c>
      <c r="B129" t="str">
        <f t="shared" si="2"/>
        <v/>
      </c>
      <c r="F129" s="2"/>
    </row>
    <row r="130" spans="1:6" x14ac:dyDescent="0.4">
      <c r="A130" t="str">
        <f t="shared" si="3"/>
        <v/>
      </c>
      <c r="B130" t="str">
        <f t="shared" ref="B130:B193" si="4">IF($G130="","",IFERROR($I130*$J130/1000000/PriceDiv*_xlfn.XLOOKUP($K130,FX_Ccy,FX_Rate),""))</f>
        <v/>
      </c>
      <c r="F130" s="2"/>
    </row>
    <row r="131" spans="1:6" x14ac:dyDescent="0.4">
      <c r="A131" t="str">
        <f t="shared" ref="A131:A194" si="5">IF(G131&lt;&gt;"",G131,"")</f>
        <v/>
      </c>
      <c r="B131" t="str">
        <f t="shared" si="4"/>
        <v/>
      </c>
      <c r="F131" s="2"/>
    </row>
    <row r="132" spans="1:6" x14ac:dyDescent="0.4">
      <c r="A132" t="str">
        <f t="shared" si="5"/>
        <v/>
      </c>
      <c r="B132" t="str">
        <f t="shared" si="4"/>
        <v/>
      </c>
      <c r="F132" s="2"/>
    </row>
    <row r="133" spans="1:6" x14ac:dyDescent="0.4">
      <c r="A133" t="str">
        <f t="shared" si="5"/>
        <v/>
      </c>
      <c r="B133" t="str">
        <f t="shared" si="4"/>
        <v/>
      </c>
      <c r="F133" s="2"/>
    </row>
    <row r="134" spans="1:6" x14ac:dyDescent="0.4">
      <c r="A134" t="str">
        <f t="shared" si="5"/>
        <v/>
      </c>
      <c r="B134" t="str">
        <f t="shared" si="4"/>
        <v/>
      </c>
      <c r="F134" s="2"/>
    </row>
    <row r="135" spans="1:6" x14ac:dyDescent="0.4">
      <c r="A135" t="str">
        <f t="shared" si="5"/>
        <v/>
      </c>
      <c r="B135" t="str">
        <f t="shared" si="4"/>
        <v/>
      </c>
      <c r="F135" s="2"/>
    </row>
    <row r="136" spans="1:6" x14ac:dyDescent="0.4">
      <c r="A136" t="str">
        <f t="shared" si="5"/>
        <v/>
      </c>
      <c r="B136" t="str">
        <f t="shared" si="4"/>
        <v/>
      </c>
      <c r="F136" s="2"/>
    </row>
    <row r="137" spans="1:6" x14ac:dyDescent="0.4">
      <c r="A137" t="str">
        <f t="shared" si="5"/>
        <v/>
      </c>
      <c r="B137" t="str">
        <f t="shared" si="4"/>
        <v/>
      </c>
      <c r="F137" s="2"/>
    </row>
    <row r="138" spans="1:6" x14ac:dyDescent="0.4">
      <c r="A138" t="str">
        <f t="shared" si="5"/>
        <v/>
      </c>
      <c r="B138" t="str">
        <f t="shared" si="4"/>
        <v/>
      </c>
      <c r="F138" s="2"/>
    </row>
    <row r="139" spans="1:6" x14ac:dyDescent="0.4">
      <c r="A139" t="str">
        <f t="shared" si="5"/>
        <v/>
      </c>
      <c r="B139" t="str">
        <f t="shared" si="4"/>
        <v/>
      </c>
      <c r="F139" s="2"/>
    </row>
    <row r="140" spans="1:6" x14ac:dyDescent="0.4">
      <c r="A140" t="str">
        <f t="shared" si="5"/>
        <v/>
      </c>
      <c r="B140" t="str">
        <f t="shared" si="4"/>
        <v/>
      </c>
      <c r="F140" s="2"/>
    </row>
    <row r="141" spans="1:6" x14ac:dyDescent="0.4">
      <c r="A141" t="str">
        <f t="shared" si="5"/>
        <v/>
      </c>
      <c r="B141" t="str">
        <f t="shared" si="4"/>
        <v/>
      </c>
      <c r="F141" s="2"/>
    </row>
    <row r="142" spans="1:6" x14ac:dyDescent="0.4">
      <c r="A142" t="str">
        <f t="shared" si="5"/>
        <v/>
      </c>
      <c r="B142" t="str">
        <f t="shared" si="4"/>
        <v/>
      </c>
      <c r="F142" s="2"/>
    </row>
    <row r="143" spans="1:6" x14ac:dyDescent="0.4">
      <c r="A143" t="str">
        <f t="shared" si="5"/>
        <v/>
      </c>
      <c r="B143" t="str">
        <f t="shared" si="4"/>
        <v/>
      </c>
      <c r="F143" s="2"/>
    </row>
    <row r="144" spans="1:6" x14ac:dyDescent="0.4">
      <c r="A144" t="str">
        <f t="shared" si="5"/>
        <v/>
      </c>
      <c r="B144" t="str">
        <f t="shared" si="4"/>
        <v/>
      </c>
      <c r="F144" s="2"/>
    </row>
    <row r="145" spans="1:6" x14ac:dyDescent="0.4">
      <c r="A145" t="str">
        <f t="shared" si="5"/>
        <v/>
      </c>
      <c r="B145" t="str">
        <f t="shared" si="4"/>
        <v/>
      </c>
      <c r="F145" s="2"/>
    </row>
    <row r="146" spans="1:6" x14ac:dyDescent="0.4">
      <c r="A146" t="str">
        <f t="shared" si="5"/>
        <v/>
      </c>
      <c r="B146" t="str">
        <f t="shared" si="4"/>
        <v/>
      </c>
      <c r="F146" s="2"/>
    </row>
    <row r="147" spans="1:6" x14ac:dyDescent="0.4">
      <c r="A147" t="str">
        <f t="shared" si="5"/>
        <v/>
      </c>
      <c r="B147" t="str">
        <f t="shared" si="4"/>
        <v/>
      </c>
      <c r="D147" s="13"/>
      <c r="F147" s="2"/>
    </row>
    <row r="148" spans="1:6" x14ac:dyDescent="0.4">
      <c r="A148" t="str">
        <f t="shared" si="5"/>
        <v/>
      </c>
      <c r="B148" t="str">
        <f t="shared" si="4"/>
        <v/>
      </c>
      <c r="D148" s="13"/>
      <c r="F148" s="2"/>
    </row>
    <row r="149" spans="1:6" x14ac:dyDescent="0.4">
      <c r="A149" t="str">
        <f t="shared" si="5"/>
        <v/>
      </c>
      <c r="B149" t="str">
        <f t="shared" si="4"/>
        <v/>
      </c>
      <c r="D149" s="13"/>
      <c r="F149" s="2"/>
    </row>
    <row r="150" spans="1:6" x14ac:dyDescent="0.4">
      <c r="A150" t="str">
        <f t="shared" si="5"/>
        <v/>
      </c>
      <c r="B150" t="str">
        <f t="shared" si="4"/>
        <v/>
      </c>
      <c r="F150" s="2"/>
    </row>
    <row r="151" spans="1:6" x14ac:dyDescent="0.4">
      <c r="A151" t="str">
        <f t="shared" si="5"/>
        <v/>
      </c>
      <c r="B151" t="str">
        <f t="shared" si="4"/>
        <v/>
      </c>
      <c r="F151" s="2"/>
    </row>
    <row r="152" spans="1:6" x14ac:dyDescent="0.4">
      <c r="A152" t="str">
        <f t="shared" si="5"/>
        <v/>
      </c>
      <c r="B152" t="str">
        <f t="shared" si="4"/>
        <v/>
      </c>
      <c r="F152" s="2"/>
    </row>
    <row r="153" spans="1:6" x14ac:dyDescent="0.4">
      <c r="A153" t="str">
        <f t="shared" si="5"/>
        <v/>
      </c>
      <c r="B153" t="str">
        <f t="shared" si="4"/>
        <v/>
      </c>
      <c r="D153" s="13"/>
      <c r="F153" s="2"/>
    </row>
    <row r="154" spans="1:6" x14ac:dyDescent="0.4">
      <c r="A154" t="str">
        <f t="shared" si="5"/>
        <v/>
      </c>
      <c r="B154" t="str">
        <f t="shared" si="4"/>
        <v/>
      </c>
      <c r="D154" s="13"/>
      <c r="F154" s="2"/>
    </row>
    <row r="155" spans="1:6" x14ac:dyDescent="0.4">
      <c r="A155" t="str">
        <f t="shared" si="5"/>
        <v/>
      </c>
      <c r="B155" t="str">
        <f t="shared" si="4"/>
        <v/>
      </c>
      <c r="F155" s="2"/>
    </row>
    <row r="156" spans="1:6" x14ac:dyDescent="0.4">
      <c r="A156" t="str">
        <f t="shared" si="5"/>
        <v/>
      </c>
      <c r="B156" t="str">
        <f t="shared" si="4"/>
        <v/>
      </c>
      <c r="F156" s="2"/>
    </row>
    <row r="157" spans="1:6" x14ac:dyDescent="0.4">
      <c r="A157" t="str">
        <f t="shared" si="5"/>
        <v/>
      </c>
      <c r="B157" t="str">
        <f t="shared" si="4"/>
        <v/>
      </c>
      <c r="F157" s="2"/>
    </row>
    <row r="158" spans="1:6" x14ac:dyDescent="0.4">
      <c r="A158" t="str">
        <f t="shared" si="5"/>
        <v/>
      </c>
      <c r="B158" t="str">
        <f t="shared" si="4"/>
        <v/>
      </c>
      <c r="F158" s="2"/>
    </row>
    <row r="159" spans="1:6" x14ac:dyDescent="0.4">
      <c r="A159" t="str">
        <f t="shared" si="5"/>
        <v/>
      </c>
      <c r="B159" t="str">
        <f t="shared" si="4"/>
        <v/>
      </c>
      <c r="F159" s="2"/>
    </row>
    <row r="160" spans="1:6" x14ac:dyDescent="0.4">
      <c r="A160" t="str">
        <f t="shared" si="5"/>
        <v/>
      </c>
      <c r="B160" t="str">
        <f t="shared" si="4"/>
        <v/>
      </c>
      <c r="F160" s="2"/>
    </row>
    <row r="161" spans="1:6" x14ac:dyDescent="0.4">
      <c r="A161" t="str">
        <f t="shared" si="5"/>
        <v/>
      </c>
      <c r="B161" t="str">
        <f t="shared" si="4"/>
        <v/>
      </c>
      <c r="F161" s="2"/>
    </row>
    <row r="162" spans="1:6" x14ac:dyDescent="0.4">
      <c r="A162" t="str">
        <f t="shared" si="5"/>
        <v/>
      </c>
      <c r="B162" t="str">
        <f t="shared" si="4"/>
        <v/>
      </c>
      <c r="F162" s="2"/>
    </row>
    <row r="163" spans="1:6" x14ac:dyDescent="0.4">
      <c r="A163" t="str">
        <f t="shared" si="5"/>
        <v/>
      </c>
      <c r="B163" t="str">
        <f t="shared" si="4"/>
        <v/>
      </c>
      <c r="F163" s="2"/>
    </row>
    <row r="164" spans="1:6" x14ac:dyDescent="0.4">
      <c r="A164" t="str">
        <f t="shared" si="5"/>
        <v/>
      </c>
      <c r="B164" t="str">
        <f t="shared" si="4"/>
        <v/>
      </c>
      <c r="F164" s="2"/>
    </row>
    <row r="165" spans="1:6" x14ac:dyDescent="0.4">
      <c r="A165" t="str">
        <f t="shared" si="5"/>
        <v/>
      </c>
      <c r="B165" t="str">
        <f t="shared" si="4"/>
        <v/>
      </c>
      <c r="F165" s="2"/>
    </row>
    <row r="166" spans="1:6" x14ac:dyDescent="0.4">
      <c r="A166" t="str">
        <f t="shared" si="5"/>
        <v/>
      </c>
      <c r="B166" t="str">
        <f t="shared" si="4"/>
        <v/>
      </c>
      <c r="F166" s="2"/>
    </row>
    <row r="167" spans="1:6" x14ac:dyDescent="0.4">
      <c r="A167" t="str">
        <f t="shared" si="5"/>
        <v/>
      </c>
      <c r="B167" t="str">
        <f t="shared" si="4"/>
        <v/>
      </c>
      <c r="F167" s="2"/>
    </row>
    <row r="168" spans="1:6" x14ac:dyDescent="0.4">
      <c r="A168" t="str">
        <f t="shared" si="5"/>
        <v/>
      </c>
      <c r="B168" t="str">
        <f t="shared" si="4"/>
        <v/>
      </c>
      <c r="F168" s="2"/>
    </row>
    <row r="169" spans="1:6" x14ac:dyDescent="0.4">
      <c r="A169" t="str">
        <f t="shared" si="5"/>
        <v/>
      </c>
      <c r="B169" t="str">
        <f t="shared" si="4"/>
        <v/>
      </c>
      <c r="F169" s="2"/>
    </row>
    <row r="170" spans="1:6" x14ac:dyDescent="0.4">
      <c r="A170" t="str">
        <f t="shared" si="5"/>
        <v/>
      </c>
      <c r="B170" t="str">
        <f t="shared" si="4"/>
        <v/>
      </c>
      <c r="F170" s="2"/>
    </row>
    <row r="171" spans="1:6" x14ac:dyDescent="0.4">
      <c r="A171" t="str">
        <f t="shared" si="5"/>
        <v/>
      </c>
      <c r="B171" t="str">
        <f t="shared" si="4"/>
        <v/>
      </c>
      <c r="F171" s="2"/>
    </row>
    <row r="172" spans="1:6" x14ac:dyDescent="0.4">
      <c r="A172" t="str">
        <f t="shared" si="5"/>
        <v/>
      </c>
      <c r="B172" t="str">
        <f t="shared" si="4"/>
        <v/>
      </c>
      <c r="F172" s="2"/>
    </row>
    <row r="173" spans="1:6" x14ac:dyDescent="0.4">
      <c r="A173" t="str">
        <f t="shared" si="5"/>
        <v/>
      </c>
      <c r="B173" t="str">
        <f t="shared" si="4"/>
        <v/>
      </c>
      <c r="F173" s="2"/>
    </row>
    <row r="174" spans="1:6" x14ac:dyDescent="0.4">
      <c r="A174" t="str">
        <f t="shared" si="5"/>
        <v/>
      </c>
      <c r="B174" t="str">
        <f t="shared" si="4"/>
        <v/>
      </c>
      <c r="F174" s="2"/>
    </row>
    <row r="175" spans="1:6" x14ac:dyDescent="0.4">
      <c r="A175" t="str">
        <f t="shared" si="5"/>
        <v/>
      </c>
      <c r="B175" t="str">
        <f t="shared" si="4"/>
        <v/>
      </c>
      <c r="D175" s="13"/>
      <c r="F175" s="2"/>
    </row>
    <row r="176" spans="1:6" x14ac:dyDescent="0.4">
      <c r="A176" t="str">
        <f t="shared" si="5"/>
        <v/>
      </c>
      <c r="B176" t="str">
        <f t="shared" si="4"/>
        <v/>
      </c>
      <c r="F176" s="2"/>
    </row>
    <row r="177" spans="1:6" x14ac:dyDescent="0.4">
      <c r="A177" t="str">
        <f t="shared" si="5"/>
        <v/>
      </c>
      <c r="B177" t="str">
        <f t="shared" si="4"/>
        <v/>
      </c>
      <c r="F177" s="2"/>
    </row>
    <row r="178" spans="1:6" x14ac:dyDescent="0.4">
      <c r="A178" t="str">
        <f t="shared" si="5"/>
        <v/>
      </c>
      <c r="B178" t="str">
        <f t="shared" si="4"/>
        <v/>
      </c>
      <c r="D178" s="13"/>
      <c r="F178" s="2"/>
    </row>
    <row r="179" spans="1:6" x14ac:dyDescent="0.4">
      <c r="A179" t="str">
        <f t="shared" si="5"/>
        <v/>
      </c>
      <c r="B179" t="str">
        <f t="shared" si="4"/>
        <v/>
      </c>
      <c r="F179" s="2"/>
    </row>
    <row r="180" spans="1:6" x14ac:dyDescent="0.4">
      <c r="A180" t="str">
        <f t="shared" si="5"/>
        <v/>
      </c>
      <c r="B180" t="str">
        <f t="shared" si="4"/>
        <v/>
      </c>
      <c r="F180" s="2"/>
    </row>
    <row r="181" spans="1:6" x14ac:dyDescent="0.4">
      <c r="A181" t="str">
        <f t="shared" si="5"/>
        <v/>
      </c>
      <c r="B181" t="str">
        <f t="shared" si="4"/>
        <v/>
      </c>
      <c r="D181" s="13"/>
      <c r="F181" s="2"/>
    </row>
    <row r="182" spans="1:6" x14ac:dyDescent="0.4">
      <c r="A182" t="str">
        <f t="shared" si="5"/>
        <v/>
      </c>
      <c r="B182" t="str">
        <f t="shared" si="4"/>
        <v/>
      </c>
      <c r="F182" s="2"/>
    </row>
    <row r="183" spans="1:6" x14ac:dyDescent="0.4">
      <c r="A183" t="str">
        <f t="shared" si="5"/>
        <v/>
      </c>
      <c r="B183" t="str">
        <f t="shared" si="4"/>
        <v/>
      </c>
      <c r="F183" s="2"/>
    </row>
    <row r="184" spans="1:6" x14ac:dyDescent="0.4">
      <c r="A184" t="str">
        <f t="shared" si="5"/>
        <v/>
      </c>
      <c r="B184" t="str">
        <f t="shared" si="4"/>
        <v/>
      </c>
      <c r="F184" s="2"/>
    </row>
    <row r="185" spans="1:6" x14ac:dyDescent="0.4">
      <c r="A185" t="str">
        <f t="shared" si="5"/>
        <v/>
      </c>
      <c r="B185" t="str">
        <f t="shared" si="4"/>
        <v/>
      </c>
      <c r="F185" s="2"/>
    </row>
    <row r="186" spans="1:6" x14ac:dyDescent="0.4">
      <c r="A186" t="str">
        <f t="shared" si="5"/>
        <v/>
      </c>
      <c r="B186" t="str">
        <f t="shared" si="4"/>
        <v/>
      </c>
      <c r="F186" s="2"/>
    </row>
    <row r="187" spans="1:6" x14ac:dyDescent="0.4">
      <c r="A187" t="str">
        <f t="shared" si="5"/>
        <v/>
      </c>
      <c r="B187" t="str">
        <f t="shared" si="4"/>
        <v/>
      </c>
      <c r="D187" s="13"/>
      <c r="F187" s="2"/>
    </row>
    <row r="188" spans="1:6" x14ac:dyDescent="0.4">
      <c r="A188" t="str">
        <f t="shared" si="5"/>
        <v/>
      </c>
      <c r="B188" t="str">
        <f t="shared" si="4"/>
        <v/>
      </c>
      <c r="D188" s="13"/>
      <c r="F188" s="2"/>
    </row>
    <row r="189" spans="1:6" x14ac:dyDescent="0.4">
      <c r="A189" t="str">
        <f t="shared" si="5"/>
        <v/>
      </c>
      <c r="B189" t="str">
        <f t="shared" si="4"/>
        <v/>
      </c>
      <c r="F189" s="2"/>
    </row>
    <row r="190" spans="1:6" x14ac:dyDescent="0.4">
      <c r="A190" t="str">
        <f t="shared" si="5"/>
        <v/>
      </c>
      <c r="B190" t="str">
        <f t="shared" si="4"/>
        <v/>
      </c>
      <c r="F190" s="2"/>
    </row>
    <row r="191" spans="1:6" x14ac:dyDescent="0.4">
      <c r="A191" t="str">
        <f t="shared" si="5"/>
        <v/>
      </c>
      <c r="B191" t="str">
        <f t="shared" si="4"/>
        <v/>
      </c>
      <c r="D191" s="13"/>
      <c r="F191" s="2"/>
    </row>
    <row r="192" spans="1:6" x14ac:dyDescent="0.4">
      <c r="A192" t="str">
        <f t="shared" si="5"/>
        <v/>
      </c>
      <c r="B192" t="str">
        <f t="shared" si="4"/>
        <v/>
      </c>
      <c r="F192" s="2"/>
    </row>
    <row r="193" spans="1:6" x14ac:dyDescent="0.4">
      <c r="A193" t="str">
        <f t="shared" si="5"/>
        <v/>
      </c>
      <c r="B193" t="str">
        <f t="shared" si="4"/>
        <v/>
      </c>
      <c r="F193" s="2"/>
    </row>
    <row r="194" spans="1:6" x14ac:dyDescent="0.4">
      <c r="A194" t="str">
        <f t="shared" si="5"/>
        <v/>
      </c>
      <c r="B194" t="str">
        <f t="shared" ref="B194:B257" si="6">IF($G194="","",IFERROR($I194*$J194/1000000/PriceDiv*_xlfn.XLOOKUP($K194,FX_Ccy,FX_Rate),""))</f>
        <v/>
      </c>
      <c r="F194" s="2"/>
    </row>
    <row r="195" spans="1:6" x14ac:dyDescent="0.4">
      <c r="A195" t="str">
        <f t="shared" ref="A195:A258" si="7">IF(G195&lt;&gt;"",G195,"")</f>
        <v/>
      </c>
      <c r="B195" t="str">
        <f t="shared" si="6"/>
        <v/>
      </c>
      <c r="F195" s="2"/>
    </row>
    <row r="196" spans="1:6" x14ac:dyDescent="0.4">
      <c r="A196" t="str">
        <f t="shared" si="7"/>
        <v/>
      </c>
      <c r="B196" t="str">
        <f t="shared" si="6"/>
        <v/>
      </c>
      <c r="F196" s="2"/>
    </row>
    <row r="197" spans="1:6" x14ac:dyDescent="0.4">
      <c r="A197" t="str">
        <f t="shared" si="7"/>
        <v/>
      </c>
      <c r="B197" t="str">
        <f t="shared" si="6"/>
        <v/>
      </c>
      <c r="F197" s="2"/>
    </row>
    <row r="198" spans="1:6" x14ac:dyDescent="0.4">
      <c r="A198" t="str">
        <f t="shared" si="7"/>
        <v/>
      </c>
      <c r="B198" t="str">
        <f t="shared" si="6"/>
        <v/>
      </c>
      <c r="F198" s="2"/>
    </row>
    <row r="199" spans="1:6" x14ac:dyDescent="0.4">
      <c r="A199" t="str">
        <f t="shared" si="7"/>
        <v/>
      </c>
      <c r="B199" t="str">
        <f t="shared" si="6"/>
        <v/>
      </c>
      <c r="F199" s="2"/>
    </row>
    <row r="200" spans="1:6" x14ac:dyDescent="0.4">
      <c r="A200" t="str">
        <f t="shared" si="7"/>
        <v/>
      </c>
      <c r="B200" t="str">
        <f t="shared" si="6"/>
        <v/>
      </c>
      <c r="F200" s="2"/>
    </row>
    <row r="201" spans="1:6" x14ac:dyDescent="0.4">
      <c r="A201" t="str">
        <f t="shared" si="7"/>
        <v/>
      </c>
      <c r="B201" t="str">
        <f t="shared" si="6"/>
        <v/>
      </c>
      <c r="F201" s="2"/>
    </row>
    <row r="202" spans="1:6" x14ac:dyDescent="0.4">
      <c r="A202" t="str">
        <f t="shared" si="7"/>
        <v/>
      </c>
      <c r="B202" t="str">
        <f t="shared" si="6"/>
        <v/>
      </c>
      <c r="F202" s="2"/>
    </row>
    <row r="203" spans="1:6" x14ac:dyDescent="0.4">
      <c r="A203" t="str">
        <f t="shared" si="7"/>
        <v/>
      </c>
      <c r="B203" t="str">
        <f t="shared" si="6"/>
        <v/>
      </c>
      <c r="F203" s="2"/>
    </row>
    <row r="204" spans="1:6" x14ac:dyDescent="0.4">
      <c r="A204" t="str">
        <f t="shared" si="7"/>
        <v/>
      </c>
      <c r="B204" t="str">
        <f t="shared" si="6"/>
        <v/>
      </c>
      <c r="F204" s="2"/>
    </row>
    <row r="205" spans="1:6" x14ac:dyDescent="0.4">
      <c r="A205" t="str">
        <f t="shared" si="7"/>
        <v/>
      </c>
      <c r="B205" t="str">
        <f t="shared" si="6"/>
        <v/>
      </c>
      <c r="F205" s="2"/>
    </row>
    <row r="206" spans="1:6" x14ac:dyDescent="0.4">
      <c r="A206" t="str">
        <f t="shared" si="7"/>
        <v/>
      </c>
      <c r="B206" t="str">
        <f t="shared" si="6"/>
        <v/>
      </c>
      <c r="F206" s="2"/>
    </row>
    <row r="207" spans="1:6" x14ac:dyDescent="0.4">
      <c r="A207" t="str">
        <f t="shared" si="7"/>
        <v/>
      </c>
      <c r="B207" t="str">
        <f t="shared" si="6"/>
        <v/>
      </c>
      <c r="F207" s="2"/>
    </row>
    <row r="208" spans="1:6" x14ac:dyDescent="0.4">
      <c r="A208" t="str">
        <f t="shared" si="7"/>
        <v/>
      </c>
      <c r="B208" t="str">
        <f t="shared" si="6"/>
        <v/>
      </c>
      <c r="F208" s="2"/>
    </row>
    <row r="209" spans="1:6" x14ac:dyDescent="0.4">
      <c r="A209" t="str">
        <f t="shared" si="7"/>
        <v/>
      </c>
      <c r="B209" t="str">
        <f t="shared" si="6"/>
        <v/>
      </c>
      <c r="F209" s="2"/>
    </row>
    <row r="210" spans="1:6" x14ac:dyDescent="0.4">
      <c r="A210" t="str">
        <f t="shared" si="7"/>
        <v/>
      </c>
      <c r="B210" t="str">
        <f t="shared" si="6"/>
        <v/>
      </c>
      <c r="F210" s="2"/>
    </row>
    <row r="211" spans="1:6" x14ac:dyDescent="0.4">
      <c r="A211" t="str">
        <f t="shared" si="7"/>
        <v/>
      </c>
      <c r="B211" t="str">
        <f t="shared" si="6"/>
        <v/>
      </c>
      <c r="F211" s="2"/>
    </row>
    <row r="212" spans="1:6" x14ac:dyDescent="0.4">
      <c r="A212" t="str">
        <f t="shared" si="7"/>
        <v/>
      </c>
      <c r="B212" t="str">
        <f t="shared" si="6"/>
        <v/>
      </c>
      <c r="F212" s="2"/>
    </row>
    <row r="213" spans="1:6" x14ac:dyDescent="0.4">
      <c r="A213" t="str">
        <f t="shared" si="7"/>
        <v/>
      </c>
      <c r="B213" t="str">
        <f t="shared" si="6"/>
        <v/>
      </c>
      <c r="F213" s="2"/>
    </row>
    <row r="214" spans="1:6" x14ac:dyDescent="0.4">
      <c r="A214" t="str">
        <f t="shared" si="7"/>
        <v/>
      </c>
      <c r="B214" t="str">
        <f t="shared" si="6"/>
        <v/>
      </c>
      <c r="F214" s="2"/>
    </row>
    <row r="215" spans="1:6" x14ac:dyDescent="0.4">
      <c r="A215" t="str">
        <f t="shared" si="7"/>
        <v/>
      </c>
      <c r="B215" t="str">
        <f t="shared" si="6"/>
        <v/>
      </c>
      <c r="F215" s="2"/>
    </row>
    <row r="216" spans="1:6" x14ac:dyDescent="0.4">
      <c r="A216" t="str">
        <f t="shared" si="7"/>
        <v/>
      </c>
      <c r="B216" t="str">
        <f t="shared" si="6"/>
        <v/>
      </c>
      <c r="F216" s="2"/>
    </row>
    <row r="217" spans="1:6" x14ac:dyDescent="0.4">
      <c r="A217" t="str">
        <f t="shared" si="7"/>
        <v/>
      </c>
      <c r="B217" t="str">
        <f t="shared" si="6"/>
        <v/>
      </c>
      <c r="F217" s="2"/>
    </row>
    <row r="218" spans="1:6" x14ac:dyDescent="0.4">
      <c r="A218" t="str">
        <f t="shared" si="7"/>
        <v/>
      </c>
      <c r="B218" t="str">
        <f t="shared" si="6"/>
        <v/>
      </c>
      <c r="F218" s="2"/>
    </row>
    <row r="219" spans="1:6" x14ac:dyDescent="0.4">
      <c r="A219" t="str">
        <f t="shared" si="7"/>
        <v/>
      </c>
      <c r="B219" t="str">
        <f t="shared" si="6"/>
        <v/>
      </c>
      <c r="F219" s="2"/>
    </row>
    <row r="220" spans="1:6" x14ac:dyDescent="0.4">
      <c r="A220" t="str">
        <f t="shared" si="7"/>
        <v/>
      </c>
      <c r="B220" t="str">
        <f t="shared" si="6"/>
        <v/>
      </c>
      <c r="F220" s="2"/>
    </row>
    <row r="221" spans="1:6" x14ac:dyDescent="0.4">
      <c r="A221" t="str">
        <f t="shared" si="7"/>
        <v/>
      </c>
      <c r="B221" t="str">
        <f t="shared" si="6"/>
        <v/>
      </c>
      <c r="F221" s="2"/>
    </row>
    <row r="222" spans="1:6" x14ac:dyDescent="0.4">
      <c r="A222" t="str">
        <f t="shared" si="7"/>
        <v/>
      </c>
      <c r="B222" t="str">
        <f t="shared" si="6"/>
        <v/>
      </c>
      <c r="F222" s="2"/>
    </row>
    <row r="223" spans="1:6" x14ac:dyDescent="0.4">
      <c r="A223" t="str">
        <f t="shared" si="7"/>
        <v/>
      </c>
      <c r="B223" t="str">
        <f t="shared" si="6"/>
        <v/>
      </c>
      <c r="F223" s="2"/>
    </row>
    <row r="224" spans="1:6" x14ac:dyDescent="0.4">
      <c r="A224" t="str">
        <f t="shared" si="7"/>
        <v/>
      </c>
      <c r="B224" t="str">
        <f t="shared" si="6"/>
        <v/>
      </c>
      <c r="F224" s="2"/>
    </row>
    <row r="225" spans="1:6" x14ac:dyDescent="0.4">
      <c r="A225" t="str">
        <f t="shared" si="7"/>
        <v/>
      </c>
      <c r="B225" t="str">
        <f t="shared" si="6"/>
        <v/>
      </c>
      <c r="F225" s="2"/>
    </row>
    <row r="226" spans="1:6" x14ac:dyDescent="0.4">
      <c r="A226" t="str">
        <f t="shared" si="7"/>
        <v/>
      </c>
      <c r="B226" t="str">
        <f t="shared" si="6"/>
        <v/>
      </c>
      <c r="F226" s="2"/>
    </row>
    <row r="227" spans="1:6" x14ac:dyDescent="0.4">
      <c r="A227" t="str">
        <f t="shared" si="7"/>
        <v/>
      </c>
      <c r="B227" t="str">
        <f t="shared" si="6"/>
        <v/>
      </c>
      <c r="F227" s="2"/>
    </row>
    <row r="228" spans="1:6" x14ac:dyDescent="0.4">
      <c r="A228" t="str">
        <f t="shared" si="7"/>
        <v/>
      </c>
      <c r="B228" t="str">
        <f t="shared" si="6"/>
        <v/>
      </c>
      <c r="F228" s="2"/>
    </row>
    <row r="229" spans="1:6" x14ac:dyDescent="0.4">
      <c r="A229" t="str">
        <f t="shared" si="7"/>
        <v/>
      </c>
      <c r="B229" t="str">
        <f t="shared" si="6"/>
        <v/>
      </c>
      <c r="F229" s="2"/>
    </row>
    <row r="230" spans="1:6" x14ac:dyDescent="0.4">
      <c r="A230" t="str">
        <f t="shared" si="7"/>
        <v/>
      </c>
      <c r="B230" t="str">
        <f t="shared" si="6"/>
        <v/>
      </c>
      <c r="F230" s="2"/>
    </row>
    <row r="231" spans="1:6" x14ac:dyDescent="0.4">
      <c r="A231" t="str">
        <f t="shared" si="7"/>
        <v/>
      </c>
      <c r="B231" t="str">
        <f t="shared" si="6"/>
        <v/>
      </c>
      <c r="F231" s="2"/>
    </row>
    <row r="232" spans="1:6" x14ac:dyDescent="0.4">
      <c r="A232" t="str">
        <f t="shared" si="7"/>
        <v/>
      </c>
      <c r="B232" t="str">
        <f t="shared" si="6"/>
        <v/>
      </c>
      <c r="F232" s="2"/>
    </row>
    <row r="233" spans="1:6" x14ac:dyDescent="0.4">
      <c r="A233" t="str">
        <f t="shared" si="7"/>
        <v/>
      </c>
      <c r="B233" t="str">
        <f t="shared" si="6"/>
        <v/>
      </c>
      <c r="F233" s="2"/>
    </row>
    <row r="234" spans="1:6" x14ac:dyDescent="0.4">
      <c r="A234" t="str">
        <f t="shared" si="7"/>
        <v/>
      </c>
      <c r="B234" t="str">
        <f t="shared" si="6"/>
        <v/>
      </c>
      <c r="F234" s="2"/>
    </row>
    <row r="235" spans="1:6" x14ac:dyDescent="0.4">
      <c r="A235" t="str">
        <f t="shared" si="7"/>
        <v/>
      </c>
      <c r="B235" t="str">
        <f t="shared" si="6"/>
        <v/>
      </c>
      <c r="F235" s="2"/>
    </row>
    <row r="236" spans="1:6" x14ac:dyDescent="0.4">
      <c r="A236" t="str">
        <f t="shared" si="7"/>
        <v/>
      </c>
      <c r="B236" t="str">
        <f t="shared" si="6"/>
        <v/>
      </c>
      <c r="F236" s="2"/>
    </row>
    <row r="237" spans="1:6" x14ac:dyDescent="0.4">
      <c r="A237" t="str">
        <f t="shared" si="7"/>
        <v/>
      </c>
      <c r="B237" t="str">
        <f t="shared" si="6"/>
        <v/>
      </c>
      <c r="F237" s="2"/>
    </row>
    <row r="238" spans="1:6" x14ac:dyDescent="0.4">
      <c r="A238" t="str">
        <f t="shared" si="7"/>
        <v/>
      </c>
      <c r="B238" t="str">
        <f t="shared" si="6"/>
        <v/>
      </c>
      <c r="F238" s="2"/>
    </row>
    <row r="239" spans="1:6" x14ac:dyDescent="0.4">
      <c r="A239" t="str">
        <f t="shared" si="7"/>
        <v/>
      </c>
      <c r="B239" t="str">
        <f t="shared" si="6"/>
        <v/>
      </c>
      <c r="F239" s="2"/>
    </row>
    <row r="240" spans="1:6" x14ac:dyDescent="0.4">
      <c r="A240" t="str">
        <f t="shared" si="7"/>
        <v/>
      </c>
      <c r="B240" t="str">
        <f t="shared" si="6"/>
        <v/>
      </c>
      <c r="F240" s="2"/>
    </row>
    <row r="241" spans="1:6" x14ac:dyDescent="0.4">
      <c r="A241" t="str">
        <f t="shared" si="7"/>
        <v/>
      </c>
      <c r="B241" t="str">
        <f t="shared" si="6"/>
        <v/>
      </c>
      <c r="F241" s="2"/>
    </row>
    <row r="242" spans="1:6" x14ac:dyDescent="0.4">
      <c r="A242" t="str">
        <f t="shared" si="7"/>
        <v/>
      </c>
      <c r="B242" t="str">
        <f t="shared" si="6"/>
        <v/>
      </c>
      <c r="F242" s="2"/>
    </row>
    <row r="243" spans="1:6" x14ac:dyDescent="0.4">
      <c r="A243" t="str">
        <f t="shared" si="7"/>
        <v/>
      </c>
      <c r="B243" t="str">
        <f t="shared" si="6"/>
        <v/>
      </c>
      <c r="F243" s="2"/>
    </row>
    <row r="244" spans="1:6" x14ac:dyDescent="0.4">
      <c r="A244" t="str">
        <f t="shared" si="7"/>
        <v/>
      </c>
      <c r="B244" t="str">
        <f t="shared" si="6"/>
        <v/>
      </c>
      <c r="F244" s="2"/>
    </row>
    <row r="245" spans="1:6" x14ac:dyDescent="0.4">
      <c r="A245" t="str">
        <f t="shared" si="7"/>
        <v/>
      </c>
      <c r="B245" t="str">
        <f t="shared" si="6"/>
        <v/>
      </c>
      <c r="F245" s="2"/>
    </row>
    <row r="246" spans="1:6" x14ac:dyDescent="0.4">
      <c r="A246" t="str">
        <f t="shared" si="7"/>
        <v/>
      </c>
      <c r="B246" t="str">
        <f t="shared" si="6"/>
        <v/>
      </c>
      <c r="F246" s="2"/>
    </row>
    <row r="247" spans="1:6" x14ac:dyDescent="0.4">
      <c r="A247" t="str">
        <f t="shared" si="7"/>
        <v/>
      </c>
      <c r="B247" t="str">
        <f t="shared" si="6"/>
        <v/>
      </c>
      <c r="D247" s="13"/>
      <c r="F247" s="2"/>
    </row>
    <row r="248" spans="1:6" x14ac:dyDescent="0.4">
      <c r="A248" t="str">
        <f t="shared" si="7"/>
        <v/>
      </c>
      <c r="B248" t="str">
        <f t="shared" si="6"/>
        <v/>
      </c>
      <c r="F248" s="2"/>
    </row>
    <row r="249" spans="1:6" x14ac:dyDescent="0.4">
      <c r="A249" t="str">
        <f t="shared" si="7"/>
        <v/>
      </c>
      <c r="B249" t="str">
        <f t="shared" si="6"/>
        <v/>
      </c>
    </row>
    <row r="250" spans="1:6" x14ac:dyDescent="0.4">
      <c r="A250" t="str">
        <f t="shared" si="7"/>
        <v/>
      </c>
      <c r="B250" t="str">
        <f t="shared" si="6"/>
        <v/>
      </c>
    </row>
    <row r="251" spans="1:6" x14ac:dyDescent="0.4">
      <c r="A251" t="str">
        <f t="shared" si="7"/>
        <v/>
      </c>
      <c r="B251" t="str">
        <f t="shared" si="6"/>
        <v/>
      </c>
    </row>
    <row r="252" spans="1:6" x14ac:dyDescent="0.4">
      <c r="A252" t="str">
        <f t="shared" si="7"/>
        <v/>
      </c>
      <c r="B252" t="str">
        <f t="shared" si="6"/>
        <v/>
      </c>
    </row>
    <row r="253" spans="1:6" x14ac:dyDescent="0.4">
      <c r="A253" t="str">
        <f t="shared" si="7"/>
        <v/>
      </c>
      <c r="B253" t="str">
        <f t="shared" si="6"/>
        <v/>
      </c>
    </row>
    <row r="254" spans="1:6" x14ac:dyDescent="0.4">
      <c r="A254" t="str">
        <f t="shared" si="7"/>
        <v/>
      </c>
      <c r="B254" t="str">
        <f t="shared" si="6"/>
        <v/>
      </c>
    </row>
    <row r="255" spans="1:6" x14ac:dyDescent="0.4">
      <c r="A255" t="str">
        <f t="shared" si="7"/>
        <v/>
      </c>
      <c r="B255" t="str">
        <f t="shared" si="6"/>
        <v/>
      </c>
    </row>
    <row r="256" spans="1:6" x14ac:dyDescent="0.4">
      <c r="A256" t="str">
        <f t="shared" si="7"/>
        <v/>
      </c>
      <c r="B256" t="str">
        <f t="shared" si="6"/>
        <v/>
      </c>
    </row>
    <row r="257" spans="1:2" x14ac:dyDescent="0.4">
      <c r="A257" t="str">
        <f t="shared" si="7"/>
        <v/>
      </c>
      <c r="B257" t="str">
        <f t="shared" si="6"/>
        <v/>
      </c>
    </row>
    <row r="258" spans="1:2" x14ac:dyDescent="0.4">
      <c r="A258" t="str">
        <f t="shared" si="7"/>
        <v/>
      </c>
      <c r="B258" t="str">
        <f t="shared" ref="B258:B321" si="8">IF($G258="","",IFERROR($I258*$J258/1000000/PriceDiv*_xlfn.XLOOKUP($K258,FX_Ccy,FX_Rate),""))</f>
        <v/>
      </c>
    </row>
    <row r="259" spans="1:2" x14ac:dyDescent="0.4">
      <c r="A259" t="str">
        <f t="shared" ref="A259:A322" si="9">IF(G259&lt;&gt;"",G259,"")</f>
        <v/>
      </c>
      <c r="B259" t="str">
        <f t="shared" si="8"/>
        <v/>
      </c>
    </row>
    <row r="260" spans="1:2" x14ac:dyDescent="0.4">
      <c r="A260" t="str">
        <f t="shared" si="9"/>
        <v/>
      </c>
      <c r="B260" t="str">
        <f t="shared" si="8"/>
        <v/>
      </c>
    </row>
    <row r="261" spans="1:2" x14ac:dyDescent="0.4">
      <c r="A261" t="str">
        <f t="shared" si="9"/>
        <v/>
      </c>
      <c r="B261" t="str">
        <f t="shared" si="8"/>
        <v/>
      </c>
    </row>
    <row r="262" spans="1:2" x14ac:dyDescent="0.4">
      <c r="A262" t="str">
        <f t="shared" si="9"/>
        <v/>
      </c>
      <c r="B262" t="str">
        <f t="shared" si="8"/>
        <v/>
      </c>
    </row>
    <row r="263" spans="1:2" x14ac:dyDescent="0.4">
      <c r="A263" t="str">
        <f t="shared" si="9"/>
        <v/>
      </c>
      <c r="B263" t="str">
        <f t="shared" si="8"/>
        <v/>
      </c>
    </row>
    <row r="264" spans="1:2" x14ac:dyDescent="0.4">
      <c r="A264" t="str">
        <f t="shared" si="9"/>
        <v/>
      </c>
      <c r="B264" t="str">
        <f t="shared" si="8"/>
        <v/>
      </c>
    </row>
    <row r="265" spans="1:2" x14ac:dyDescent="0.4">
      <c r="A265" t="str">
        <f t="shared" si="9"/>
        <v/>
      </c>
      <c r="B265" t="str">
        <f t="shared" si="8"/>
        <v/>
      </c>
    </row>
    <row r="266" spans="1:2" x14ac:dyDescent="0.4">
      <c r="A266" t="str">
        <f t="shared" si="9"/>
        <v/>
      </c>
      <c r="B266" t="str">
        <f t="shared" si="8"/>
        <v/>
      </c>
    </row>
    <row r="267" spans="1:2" x14ac:dyDescent="0.4">
      <c r="A267" t="str">
        <f t="shared" si="9"/>
        <v/>
      </c>
      <c r="B267" t="str">
        <f t="shared" si="8"/>
        <v/>
      </c>
    </row>
    <row r="268" spans="1:2" x14ac:dyDescent="0.4">
      <c r="A268" t="str">
        <f t="shared" si="9"/>
        <v/>
      </c>
      <c r="B268" t="str">
        <f t="shared" si="8"/>
        <v/>
      </c>
    </row>
    <row r="269" spans="1:2" x14ac:dyDescent="0.4">
      <c r="A269" t="str">
        <f t="shared" si="9"/>
        <v/>
      </c>
      <c r="B269" t="str">
        <f t="shared" si="8"/>
        <v/>
      </c>
    </row>
    <row r="270" spans="1:2" x14ac:dyDescent="0.4">
      <c r="A270" t="str">
        <f t="shared" si="9"/>
        <v/>
      </c>
      <c r="B270" t="str">
        <f t="shared" si="8"/>
        <v/>
      </c>
    </row>
    <row r="271" spans="1:2" x14ac:dyDescent="0.4">
      <c r="A271" t="str">
        <f t="shared" si="9"/>
        <v/>
      </c>
      <c r="B271" t="str">
        <f t="shared" si="8"/>
        <v/>
      </c>
    </row>
    <row r="272" spans="1:2" x14ac:dyDescent="0.4">
      <c r="A272" t="str">
        <f t="shared" si="9"/>
        <v/>
      </c>
      <c r="B272" t="str">
        <f t="shared" si="8"/>
        <v/>
      </c>
    </row>
    <row r="273" spans="1:2" x14ac:dyDescent="0.4">
      <c r="A273" t="str">
        <f t="shared" si="9"/>
        <v/>
      </c>
      <c r="B273" t="str">
        <f t="shared" si="8"/>
        <v/>
      </c>
    </row>
    <row r="274" spans="1:2" x14ac:dyDescent="0.4">
      <c r="A274" t="str">
        <f t="shared" si="9"/>
        <v/>
      </c>
      <c r="B274" t="str">
        <f t="shared" si="8"/>
        <v/>
      </c>
    </row>
    <row r="275" spans="1:2" x14ac:dyDescent="0.4">
      <c r="A275" t="str">
        <f t="shared" si="9"/>
        <v/>
      </c>
      <c r="B275" t="str">
        <f t="shared" si="8"/>
        <v/>
      </c>
    </row>
    <row r="276" spans="1:2" x14ac:dyDescent="0.4">
      <c r="A276" t="str">
        <f t="shared" si="9"/>
        <v/>
      </c>
      <c r="B276" t="str">
        <f t="shared" si="8"/>
        <v/>
      </c>
    </row>
    <row r="277" spans="1:2" x14ac:dyDescent="0.4">
      <c r="A277" t="str">
        <f t="shared" si="9"/>
        <v/>
      </c>
      <c r="B277" t="str">
        <f t="shared" si="8"/>
        <v/>
      </c>
    </row>
    <row r="278" spans="1:2" x14ac:dyDescent="0.4">
      <c r="A278" t="str">
        <f t="shared" si="9"/>
        <v/>
      </c>
      <c r="B278" t="str">
        <f t="shared" si="8"/>
        <v/>
      </c>
    </row>
    <row r="279" spans="1:2" x14ac:dyDescent="0.4">
      <c r="A279" t="str">
        <f t="shared" si="9"/>
        <v/>
      </c>
      <c r="B279" t="str">
        <f t="shared" si="8"/>
        <v/>
      </c>
    </row>
    <row r="280" spans="1:2" x14ac:dyDescent="0.4">
      <c r="A280" t="str">
        <f t="shared" si="9"/>
        <v/>
      </c>
      <c r="B280" t="str">
        <f t="shared" si="8"/>
        <v/>
      </c>
    </row>
    <row r="281" spans="1:2" x14ac:dyDescent="0.4">
      <c r="A281" t="str">
        <f t="shared" si="9"/>
        <v/>
      </c>
      <c r="B281" t="str">
        <f t="shared" si="8"/>
        <v/>
      </c>
    </row>
    <row r="282" spans="1:2" x14ac:dyDescent="0.4">
      <c r="A282" t="str">
        <f t="shared" si="9"/>
        <v/>
      </c>
      <c r="B282" t="str">
        <f t="shared" si="8"/>
        <v/>
      </c>
    </row>
    <row r="283" spans="1:2" x14ac:dyDescent="0.4">
      <c r="A283" t="str">
        <f t="shared" si="9"/>
        <v/>
      </c>
      <c r="B283" t="str">
        <f t="shared" si="8"/>
        <v/>
      </c>
    </row>
    <row r="284" spans="1:2" x14ac:dyDescent="0.4">
      <c r="A284" t="str">
        <f t="shared" si="9"/>
        <v/>
      </c>
      <c r="B284" t="str">
        <f t="shared" si="8"/>
        <v/>
      </c>
    </row>
    <row r="285" spans="1:2" x14ac:dyDescent="0.4">
      <c r="A285" t="str">
        <f t="shared" si="9"/>
        <v/>
      </c>
      <c r="B285" t="str">
        <f t="shared" si="8"/>
        <v/>
      </c>
    </row>
    <row r="286" spans="1:2" x14ac:dyDescent="0.4">
      <c r="A286" t="str">
        <f t="shared" si="9"/>
        <v/>
      </c>
      <c r="B286" t="str">
        <f t="shared" si="8"/>
        <v/>
      </c>
    </row>
    <row r="287" spans="1:2" x14ac:dyDescent="0.4">
      <c r="A287" t="str">
        <f t="shared" si="9"/>
        <v/>
      </c>
      <c r="B287" t="str">
        <f t="shared" si="8"/>
        <v/>
      </c>
    </row>
    <row r="288" spans="1:2" x14ac:dyDescent="0.4">
      <c r="A288" t="str">
        <f t="shared" si="9"/>
        <v/>
      </c>
      <c r="B288" t="str">
        <f t="shared" si="8"/>
        <v/>
      </c>
    </row>
    <row r="289" spans="1:2" x14ac:dyDescent="0.4">
      <c r="A289" t="str">
        <f t="shared" si="9"/>
        <v/>
      </c>
      <c r="B289" t="str">
        <f t="shared" si="8"/>
        <v/>
      </c>
    </row>
    <row r="290" spans="1:2" x14ac:dyDescent="0.4">
      <c r="A290" t="str">
        <f t="shared" si="9"/>
        <v/>
      </c>
      <c r="B290" t="str">
        <f t="shared" si="8"/>
        <v/>
      </c>
    </row>
    <row r="291" spans="1:2" x14ac:dyDescent="0.4">
      <c r="A291" t="str">
        <f t="shared" si="9"/>
        <v/>
      </c>
      <c r="B291" t="str">
        <f t="shared" si="8"/>
        <v/>
      </c>
    </row>
    <row r="292" spans="1:2" x14ac:dyDescent="0.4">
      <c r="A292" t="str">
        <f t="shared" si="9"/>
        <v/>
      </c>
      <c r="B292" t="str">
        <f t="shared" si="8"/>
        <v/>
      </c>
    </row>
    <row r="293" spans="1:2" x14ac:dyDescent="0.4">
      <c r="A293" t="str">
        <f t="shared" si="9"/>
        <v/>
      </c>
      <c r="B293" t="str">
        <f t="shared" si="8"/>
        <v/>
      </c>
    </row>
    <row r="294" spans="1:2" x14ac:dyDescent="0.4">
      <c r="A294" t="str">
        <f t="shared" si="9"/>
        <v/>
      </c>
      <c r="B294" t="str">
        <f t="shared" si="8"/>
        <v/>
      </c>
    </row>
    <row r="295" spans="1:2" x14ac:dyDescent="0.4">
      <c r="A295" t="str">
        <f t="shared" si="9"/>
        <v/>
      </c>
      <c r="B295" t="str">
        <f t="shared" si="8"/>
        <v/>
      </c>
    </row>
    <row r="296" spans="1:2" x14ac:dyDescent="0.4">
      <c r="A296" t="str">
        <f t="shared" si="9"/>
        <v/>
      </c>
      <c r="B296" t="str">
        <f t="shared" si="8"/>
        <v/>
      </c>
    </row>
    <row r="297" spans="1:2" x14ac:dyDescent="0.4">
      <c r="A297" t="str">
        <f t="shared" si="9"/>
        <v/>
      </c>
      <c r="B297" t="str">
        <f t="shared" si="8"/>
        <v/>
      </c>
    </row>
    <row r="298" spans="1:2" x14ac:dyDescent="0.4">
      <c r="A298" t="str">
        <f t="shared" si="9"/>
        <v/>
      </c>
      <c r="B298" t="str">
        <f t="shared" si="8"/>
        <v/>
      </c>
    </row>
    <row r="299" spans="1:2" x14ac:dyDescent="0.4">
      <c r="A299" t="str">
        <f t="shared" si="9"/>
        <v/>
      </c>
      <c r="B299" t="str">
        <f t="shared" si="8"/>
        <v/>
      </c>
    </row>
    <row r="300" spans="1:2" x14ac:dyDescent="0.4">
      <c r="A300" t="str">
        <f t="shared" si="9"/>
        <v/>
      </c>
      <c r="B300" t="str">
        <f t="shared" si="8"/>
        <v/>
      </c>
    </row>
    <row r="301" spans="1:2" x14ac:dyDescent="0.4">
      <c r="A301" t="str">
        <f t="shared" si="9"/>
        <v/>
      </c>
      <c r="B301" t="str">
        <f t="shared" si="8"/>
        <v/>
      </c>
    </row>
    <row r="302" spans="1:2" x14ac:dyDescent="0.4">
      <c r="A302" t="str">
        <f t="shared" si="9"/>
        <v/>
      </c>
      <c r="B302" t="str">
        <f t="shared" si="8"/>
        <v/>
      </c>
    </row>
    <row r="303" spans="1:2" x14ac:dyDescent="0.4">
      <c r="A303" t="str">
        <f t="shared" si="9"/>
        <v/>
      </c>
      <c r="B303" t="str">
        <f t="shared" si="8"/>
        <v/>
      </c>
    </row>
    <row r="304" spans="1:2" x14ac:dyDescent="0.4">
      <c r="A304" t="str">
        <f t="shared" si="9"/>
        <v/>
      </c>
      <c r="B304" t="str">
        <f t="shared" si="8"/>
        <v/>
      </c>
    </row>
    <row r="305" spans="1:2" x14ac:dyDescent="0.4">
      <c r="A305" t="str">
        <f t="shared" si="9"/>
        <v/>
      </c>
      <c r="B305" t="str">
        <f t="shared" si="8"/>
        <v/>
      </c>
    </row>
    <row r="306" spans="1:2" x14ac:dyDescent="0.4">
      <c r="A306" t="str">
        <f t="shared" si="9"/>
        <v/>
      </c>
      <c r="B306" t="str">
        <f t="shared" si="8"/>
        <v/>
      </c>
    </row>
    <row r="307" spans="1:2" x14ac:dyDescent="0.4">
      <c r="A307" t="str">
        <f t="shared" si="9"/>
        <v/>
      </c>
      <c r="B307" t="str">
        <f t="shared" si="8"/>
        <v/>
      </c>
    </row>
    <row r="308" spans="1:2" x14ac:dyDescent="0.4">
      <c r="A308" t="str">
        <f t="shared" si="9"/>
        <v/>
      </c>
      <c r="B308" t="str">
        <f t="shared" si="8"/>
        <v/>
      </c>
    </row>
    <row r="309" spans="1:2" x14ac:dyDescent="0.4">
      <c r="A309" t="str">
        <f t="shared" si="9"/>
        <v/>
      </c>
      <c r="B309" t="str">
        <f t="shared" si="8"/>
        <v/>
      </c>
    </row>
    <row r="310" spans="1:2" x14ac:dyDescent="0.4">
      <c r="A310" t="str">
        <f t="shared" si="9"/>
        <v/>
      </c>
      <c r="B310" t="str">
        <f t="shared" si="8"/>
        <v/>
      </c>
    </row>
    <row r="311" spans="1:2" x14ac:dyDescent="0.4">
      <c r="A311" t="str">
        <f t="shared" si="9"/>
        <v/>
      </c>
      <c r="B311" t="str">
        <f t="shared" si="8"/>
        <v/>
      </c>
    </row>
    <row r="312" spans="1:2" x14ac:dyDescent="0.4">
      <c r="A312" t="str">
        <f t="shared" si="9"/>
        <v/>
      </c>
      <c r="B312" t="str">
        <f t="shared" si="8"/>
        <v/>
      </c>
    </row>
    <row r="313" spans="1:2" x14ac:dyDescent="0.4">
      <c r="A313" t="str">
        <f t="shared" si="9"/>
        <v/>
      </c>
      <c r="B313" t="str">
        <f t="shared" si="8"/>
        <v/>
      </c>
    </row>
    <row r="314" spans="1:2" x14ac:dyDescent="0.4">
      <c r="A314" t="str">
        <f t="shared" si="9"/>
        <v/>
      </c>
      <c r="B314" t="str">
        <f t="shared" si="8"/>
        <v/>
      </c>
    </row>
    <row r="315" spans="1:2" x14ac:dyDescent="0.4">
      <c r="A315" t="str">
        <f t="shared" si="9"/>
        <v/>
      </c>
      <c r="B315" t="str">
        <f t="shared" si="8"/>
        <v/>
      </c>
    </row>
    <row r="316" spans="1:2" x14ac:dyDescent="0.4">
      <c r="A316" t="str">
        <f t="shared" si="9"/>
        <v/>
      </c>
      <c r="B316" t="str">
        <f t="shared" si="8"/>
        <v/>
      </c>
    </row>
    <row r="317" spans="1:2" x14ac:dyDescent="0.4">
      <c r="A317" t="str">
        <f t="shared" si="9"/>
        <v/>
      </c>
      <c r="B317" t="str">
        <f t="shared" si="8"/>
        <v/>
      </c>
    </row>
    <row r="318" spans="1:2" x14ac:dyDescent="0.4">
      <c r="A318" t="str">
        <f t="shared" si="9"/>
        <v/>
      </c>
      <c r="B318" t="str">
        <f t="shared" si="8"/>
        <v/>
      </c>
    </row>
    <row r="319" spans="1:2" x14ac:dyDescent="0.4">
      <c r="A319" t="str">
        <f t="shared" si="9"/>
        <v/>
      </c>
      <c r="B319" t="str">
        <f t="shared" si="8"/>
        <v/>
      </c>
    </row>
    <row r="320" spans="1:2" x14ac:dyDescent="0.4">
      <c r="A320" t="str">
        <f t="shared" si="9"/>
        <v/>
      </c>
      <c r="B320" t="str">
        <f t="shared" si="8"/>
        <v/>
      </c>
    </row>
    <row r="321" spans="1:2" x14ac:dyDescent="0.4">
      <c r="A321" t="str">
        <f t="shared" si="9"/>
        <v/>
      </c>
      <c r="B321" t="str">
        <f t="shared" si="8"/>
        <v/>
      </c>
    </row>
    <row r="322" spans="1:2" x14ac:dyDescent="0.4">
      <c r="A322" t="str">
        <f t="shared" si="9"/>
        <v/>
      </c>
      <c r="B322" t="str">
        <f t="shared" ref="B322:B385" si="10">IF($G322="","",IFERROR($I322*$J322/1000000/PriceDiv*_xlfn.XLOOKUP($K322,FX_Ccy,FX_Rate),""))</f>
        <v/>
      </c>
    </row>
    <row r="323" spans="1:2" x14ac:dyDescent="0.4">
      <c r="A323" t="str">
        <f t="shared" ref="A323:A386" si="11">IF(G323&lt;&gt;"",G323,"")</f>
        <v/>
      </c>
      <c r="B323" t="str">
        <f t="shared" si="10"/>
        <v/>
      </c>
    </row>
    <row r="324" spans="1:2" x14ac:dyDescent="0.4">
      <c r="A324" t="str">
        <f t="shared" si="11"/>
        <v/>
      </c>
      <c r="B324" t="str">
        <f t="shared" si="10"/>
        <v/>
      </c>
    </row>
    <row r="325" spans="1:2" x14ac:dyDescent="0.4">
      <c r="A325" t="str">
        <f t="shared" si="11"/>
        <v/>
      </c>
      <c r="B325" t="str">
        <f t="shared" si="10"/>
        <v/>
      </c>
    </row>
    <row r="326" spans="1:2" x14ac:dyDescent="0.4">
      <c r="A326" t="str">
        <f t="shared" si="11"/>
        <v/>
      </c>
      <c r="B326" t="str">
        <f t="shared" si="10"/>
        <v/>
      </c>
    </row>
    <row r="327" spans="1:2" x14ac:dyDescent="0.4">
      <c r="A327" t="str">
        <f t="shared" si="11"/>
        <v/>
      </c>
      <c r="B327" t="str">
        <f t="shared" si="10"/>
        <v/>
      </c>
    </row>
    <row r="328" spans="1:2" x14ac:dyDescent="0.4">
      <c r="A328" t="str">
        <f t="shared" si="11"/>
        <v/>
      </c>
      <c r="B328" t="str">
        <f t="shared" si="10"/>
        <v/>
      </c>
    </row>
    <row r="329" spans="1:2" x14ac:dyDescent="0.4">
      <c r="A329" t="str">
        <f t="shared" si="11"/>
        <v/>
      </c>
      <c r="B329" t="str">
        <f t="shared" si="10"/>
        <v/>
      </c>
    </row>
    <row r="330" spans="1:2" x14ac:dyDescent="0.4">
      <c r="A330" t="str">
        <f t="shared" si="11"/>
        <v/>
      </c>
      <c r="B330" t="str">
        <f t="shared" si="10"/>
        <v/>
      </c>
    </row>
    <row r="331" spans="1:2" x14ac:dyDescent="0.4">
      <c r="A331" t="str">
        <f t="shared" si="11"/>
        <v/>
      </c>
      <c r="B331" t="str">
        <f t="shared" si="10"/>
        <v/>
      </c>
    </row>
    <row r="332" spans="1:2" x14ac:dyDescent="0.4">
      <c r="A332" t="str">
        <f t="shared" si="11"/>
        <v/>
      </c>
      <c r="B332" t="str">
        <f t="shared" si="10"/>
        <v/>
      </c>
    </row>
    <row r="333" spans="1:2" x14ac:dyDescent="0.4">
      <c r="A333" t="str">
        <f t="shared" si="11"/>
        <v/>
      </c>
      <c r="B333" t="str">
        <f t="shared" si="10"/>
        <v/>
      </c>
    </row>
    <row r="334" spans="1:2" x14ac:dyDescent="0.4">
      <c r="A334" t="str">
        <f t="shared" si="11"/>
        <v/>
      </c>
      <c r="B334" t="str">
        <f t="shared" si="10"/>
        <v/>
      </c>
    </row>
    <row r="335" spans="1:2" x14ac:dyDescent="0.4">
      <c r="A335" t="str">
        <f t="shared" si="11"/>
        <v/>
      </c>
      <c r="B335" t="str">
        <f t="shared" si="10"/>
        <v/>
      </c>
    </row>
    <row r="336" spans="1:2" x14ac:dyDescent="0.4">
      <c r="A336" t="str">
        <f t="shared" si="11"/>
        <v/>
      </c>
      <c r="B336" t="str">
        <f t="shared" si="10"/>
        <v/>
      </c>
    </row>
    <row r="337" spans="1:2" x14ac:dyDescent="0.4">
      <c r="A337" t="str">
        <f t="shared" si="11"/>
        <v/>
      </c>
      <c r="B337" t="str">
        <f t="shared" si="10"/>
        <v/>
      </c>
    </row>
    <row r="338" spans="1:2" x14ac:dyDescent="0.4">
      <c r="A338" t="str">
        <f t="shared" si="11"/>
        <v/>
      </c>
      <c r="B338" t="str">
        <f t="shared" si="10"/>
        <v/>
      </c>
    </row>
    <row r="339" spans="1:2" x14ac:dyDescent="0.4">
      <c r="A339" t="str">
        <f t="shared" si="11"/>
        <v/>
      </c>
      <c r="B339" t="str">
        <f t="shared" si="10"/>
        <v/>
      </c>
    </row>
    <row r="340" spans="1:2" x14ac:dyDescent="0.4">
      <c r="A340" t="str">
        <f t="shared" si="11"/>
        <v/>
      </c>
      <c r="B340" t="str">
        <f t="shared" si="10"/>
        <v/>
      </c>
    </row>
    <row r="341" spans="1:2" x14ac:dyDescent="0.4">
      <c r="A341" t="str">
        <f t="shared" si="11"/>
        <v/>
      </c>
      <c r="B341" t="str">
        <f t="shared" si="10"/>
        <v/>
      </c>
    </row>
    <row r="342" spans="1:2" x14ac:dyDescent="0.4">
      <c r="A342" t="str">
        <f t="shared" si="11"/>
        <v/>
      </c>
      <c r="B342" t="str">
        <f t="shared" si="10"/>
        <v/>
      </c>
    </row>
    <row r="343" spans="1:2" x14ac:dyDescent="0.4">
      <c r="A343" t="str">
        <f t="shared" si="11"/>
        <v/>
      </c>
      <c r="B343" t="str">
        <f t="shared" si="10"/>
        <v/>
      </c>
    </row>
    <row r="344" spans="1:2" x14ac:dyDescent="0.4">
      <c r="A344" t="str">
        <f t="shared" si="11"/>
        <v/>
      </c>
      <c r="B344" t="str">
        <f t="shared" si="10"/>
        <v/>
      </c>
    </row>
    <row r="345" spans="1:2" x14ac:dyDescent="0.4">
      <c r="A345" t="str">
        <f t="shared" si="11"/>
        <v/>
      </c>
      <c r="B345" t="str">
        <f t="shared" si="10"/>
        <v/>
      </c>
    </row>
    <row r="346" spans="1:2" x14ac:dyDescent="0.4">
      <c r="A346" t="str">
        <f t="shared" si="11"/>
        <v/>
      </c>
      <c r="B346" t="str">
        <f t="shared" si="10"/>
        <v/>
      </c>
    </row>
    <row r="347" spans="1:2" x14ac:dyDescent="0.4">
      <c r="A347" t="str">
        <f t="shared" si="11"/>
        <v/>
      </c>
      <c r="B347" t="str">
        <f t="shared" si="10"/>
        <v/>
      </c>
    </row>
    <row r="348" spans="1:2" x14ac:dyDescent="0.4">
      <c r="A348" t="str">
        <f t="shared" si="11"/>
        <v/>
      </c>
      <c r="B348" t="str">
        <f t="shared" si="10"/>
        <v/>
      </c>
    </row>
    <row r="349" spans="1:2" x14ac:dyDescent="0.4">
      <c r="A349" t="str">
        <f t="shared" si="11"/>
        <v/>
      </c>
      <c r="B349" t="str">
        <f t="shared" si="10"/>
        <v/>
      </c>
    </row>
    <row r="350" spans="1:2" x14ac:dyDescent="0.4">
      <c r="A350" t="str">
        <f t="shared" si="11"/>
        <v/>
      </c>
      <c r="B350" t="str">
        <f t="shared" si="10"/>
        <v/>
      </c>
    </row>
    <row r="351" spans="1:2" x14ac:dyDescent="0.4">
      <c r="A351" t="str">
        <f t="shared" si="11"/>
        <v/>
      </c>
      <c r="B351" t="str">
        <f t="shared" si="10"/>
        <v/>
      </c>
    </row>
    <row r="352" spans="1:2" x14ac:dyDescent="0.4">
      <c r="A352" t="str">
        <f t="shared" si="11"/>
        <v/>
      </c>
      <c r="B352" t="str">
        <f t="shared" si="10"/>
        <v/>
      </c>
    </row>
    <row r="353" spans="1:2" x14ac:dyDescent="0.4">
      <c r="A353" t="str">
        <f t="shared" si="11"/>
        <v/>
      </c>
      <c r="B353" t="str">
        <f t="shared" si="10"/>
        <v/>
      </c>
    </row>
    <row r="354" spans="1:2" x14ac:dyDescent="0.4">
      <c r="A354" t="str">
        <f t="shared" si="11"/>
        <v/>
      </c>
      <c r="B354" t="str">
        <f t="shared" si="10"/>
        <v/>
      </c>
    </row>
    <row r="355" spans="1:2" x14ac:dyDescent="0.4">
      <c r="A355" t="str">
        <f t="shared" si="11"/>
        <v/>
      </c>
      <c r="B355" t="str">
        <f t="shared" si="10"/>
        <v/>
      </c>
    </row>
    <row r="356" spans="1:2" x14ac:dyDescent="0.4">
      <c r="A356" t="str">
        <f t="shared" si="11"/>
        <v/>
      </c>
      <c r="B356" t="str">
        <f t="shared" si="10"/>
        <v/>
      </c>
    </row>
    <row r="357" spans="1:2" x14ac:dyDescent="0.4">
      <c r="A357" t="str">
        <f t="shared" si="11"/>
        <v/>
      </c>
      <c r="B357" t="str">
        <f t="shared" si="10"/>
        <v/>
      </c>
    </row>
    <row r="358" spans="1:2" x14ac:dyDescent="0.4">
      <c r="A358" t="str">
        <f t="shared" si="11"/>
        <v/>
      </c>
      <c r="B358" t="str">
        <f t="shared" si="10"/>
        <v/>
      </c>
    </row>
    <row r="359" spans="1:2" x14ac:dyDescent="0.4">
      <c r="A359" t="str">
        <f t="shared" si="11"/>
        <v/>
      </c>
      <c r="B359" t="str">
        <f t="shared" si="10"/>
        <v/>
      </c>
    </row>
    <row r="360" spans="1:2" x14ac:dyDescent="0.4">
      <c r="A360" t="str">
        <f t="shared" si="11"/>
        <v/>
      </c>
      <c r="B360" t="str">
        <f t="shared" si="10"/>
        <v/>
      </c>
    </row>
    <row r="361" spans="1:2" x14ac:dyDescent="0.4">
      <c r="A361" t="str">
        <f t="shared" si="11"/>
        <v/>
      </c>
      <c r="B361" t="str">
        <f t="shared" si="10"/>
        <v/>
      </c>
    </row>
    <row r="362" spans="1:2" x14ac:dyDescent="0.4">
      <c r="A362" t="str">
        <f t="shared" si="11"/>
        <v/>
      </c>
      <c r="B362" t="str">
        <f t="shared" si="10"/>
        <v/>
      </c>
    </row>
    <row r="363" spans="1:2" x14ac:dyDescent="0.4">
      <c r="A363" t="str">
        <f t="shared" si="11"/>
        <v/>
      </c>
      <c r="B363" t="str">
        <f t="shared" si="10"/>
        <v/>
      </c>
    </row>
    <row r="364" spans="1:2" x14ac:dyDescent="0.4">
      <c r="A364" t="str">
        <f t="shared" si="11"/>
        <v/>
      </c>
      <c r="B364" t="str">
        <f t="shared" si="10"/>
        <v/>
      </c>
    </row>
    <row r="365" spans="1:2" x14ac:dyDescent="0.4">
      <c r="A365" t="str">
        <f t="shared" si="11"/>
        <v/>
      </c>
      <c r="B365" t="str">
        <f t="shared" si="10"/>
        <v/>
      </c>
    </row>
    <row r="366" spans="1:2" x14ac:dyDescent="0.4">
      <c r="A366" t="str">
        <f t="shared" si="11"/>
        <v/>
      </c>
      <c r="B366" t="str">
        <f t="shared" si="10"/>
        <v/>
      </c>
    </row>
    <row r="367" spans="1:2" x14ac:dyDescent="0.4">
      <c r="A367" t="str">
        <f t="shared" si="11"/>
        <v/>
      </c>
      <c r="B367" t="str">
        <f t="shared" si="10"/>
        <v/>
      </c>
    </row>
    <row r="368" spans="1:2" x14ac:dyDescent="0.4">
      <c r="A368" t="str">
        <f t="shared" si="11"/>
        <v/>
      </c>
      <c r="B368" t="str">
        <f t="shared" si="10"/>
        <v/>
      </c>
    </row>
    <row r="369" spans="1:2" x14ac:dyDescent="0.4">
      <c r="A369" t="str">
        <f t="shared" si="11"/>
        <v/>
      </c>
      <c r="B369" t="str">
        <f t="shared" si="10"/>
        <v/>
      </c>
    </row>
    <row r="370" spans="1:2" x14ac:dyDescent="0.4">
      <c r="A370" t="str">
        <f t="shared" si="11"/>
        <v/>
      </c>
      <c r="B370" t="str">
        <f t="shared" si="10"/>
        <v/>
      </c>
    </row>
    <row r="371" spans="1:2" x14ac:dyDescent="0.4">
      <c r="A371" t="str">
        <f t="shared" si="11"/>
        <v/>
      </c>
      <c r="B371" t="str">
        <f t="shared" si="10"/>
        <v/>
      </c>
    </row>
    <row r="372" spans="1:2" x14ac:dyDescent="0.4">
      <c r="A372" t="str">
        <f t="shared" si="11"/>
        <v/>
      </c>
      <c r="B372" t="str">
        <f t="shared" si="10"/>
        <v/>
      </c>
    </row>
    <row r="373" spans="1:2" x14ac:dyDescent="0.4">
      <c r="A373" t="str">
        <f t="shared" si="11"/>
        <v/>
      </c>
      <c r="B373" t="str">
        <f t="shared" si="10"/>
        <v/>
      </c>
    </row>
    <row r="374" spans="1:2" x14ac:dyDescent="0.4">
      <c r="A374" t="str">
        <f t="shared" si="11"/>
        <v/>
      </c>
      <c r="B374" t="str">
        <f t="shared" si="10"/>
        <v/>
      </c>
    </row>
    <row r="375" spans="1:2" x14ac:dyDescent="0.4">
      <c r="A375" t="str">
        <f t="shared" si="11"/>
        <v/>
      </c>
      <c r="B375" t="str">
        <f t="shared" si="10"/>
        <v/>
      </c>
    </row>
    <row r="376" spans="1:2" x14ac:dyDescent="0.4">
      <c r="A376" t="str">
        <f t="shared" si="11"/>
        <v/>
      </c>
      <c r="B376" t="str">
        <f t="shared" si="10"/>
        <v/>
      </c>
    </row>
    <row r="377" spans="1:2" x14ac:dyDescent="0.4">
      <c r="A377" t="str">
        <f t="shared" si="11"/>
        <v/>
      </c>
      <c r="B377" t="str">
        <f t="shared" si="10"/>
        <v/>
      </c>
    </row>
    <row r="378" spans="1:2" x14ac:dyDescent="0.4">
      <c r="A378" t="str">
        <f t="shared" si="11"/>
        <v/>
      </c>
      <c r="B378" t="str">
        <f t="shared" si="10"/>
        <v/>
      </c>
    </row>
    <row r="379" spans="1:2" x14ac:dyDescent="0.4">
      <c r="A379" t="str">
        <f t="shared" si="11"/>
        <v/>
      </c>
      <c r="B379" t="str">
        <f t="shared" si="10"/>
        <v/>
      </c>
    </row>
    <row r="380" spans="1:2" x14ac:dyDescent="0.4">
      <c r="A380" t="str">
        <f t="shared" si="11"/>
        <v/>
      </c>
      <c r="B380" t="str">
        <f t="shared" si="10"/>
        <v/>
      </c>
    </row>
    <row r="381" spans="1:2" x14ac:dyDescent="0.4">
      <c r="A381" t="str">
        <f t="shared" si="11"/>
        <v/>
      </c>
      <c r="B381" t="str">
        <f t="shared" si="10"/>
        <v/>
      </c>
    </row>
    <row r="382" spans="1:2" x14ac:dyDescent="0.4">
      <c r="A382" t="str">
        <f t="shared" si="11"/>
        <v/>
      </c>
      <c r="B382" t="str">
        <f t="shared" si="10"/>
        <v/>
      </c>
    </row>
    <row r="383" spans="1:2" x14ac:dyDescent="0.4">
      <c r="A383" t="str">
        <f t="shared" si="11"/>
        <v/>
      </c>
      <c r="B383" t="str">
        <f t="shared" si="10"/>
        <v/>
      </c>
    </row>
    <row r="384" spans="1:2" x14ac:dyDescent="0.4">
      <c r="A384" t="str">
        <f t="shared" si="11"/>
        <v/>
      </c>
      <c r="B384" t="str">
        <f t="shared" si="10"/>
        <v/>
      </c>
    </row>
    <row r="385" spans="1:2" x14ac:dyDescent="0.4">
      <c r="A385" t="str">
        <f t="shared" si="11"/>
        <v/>
      </c>
      <c r="B385" t="str">
        <f t="shared" si="10"/>
        <v/>
      </c>
    </row>
    <row r="386" spans="1:2" x14ac:dyDescent="0.4">
      <c r="A386" t="str">
        <f t="shared" si="11"/>
        <v/>
      </c>
      <c r="B386" t="str">
        <f t="shared" ref="B386:B449" si="12">IF($G386="","",IFERROR($I386*$J386/1000000/PriceDiv*_xlfn.XLOOKUP($K386,FX_Ccy,FX_Rate),""))</f>
        <v/>
      </c>
    </row>
    <row r="387" spans="1:2" x14ac:dyDescent="0.4">
      <c r="A387" t="str">
        <f t="shared" ref="A387:A450" si="13">IF(G387&lt;&gt;"",G387,"")</f>
        <v/>
      </c>
      <c r="B387" t="str">
        <f t="shared" si="12"/>
        <v/>
      </c>
    </row>
    <row r="388" spans="1:2" x14ac:dyDescent="0.4">
      <c r="A388" t="str">
        <f t="shared" si="13"/>
        <v/>
      </c>
      <c r="B388" t="str">
        <f t="shared" si="12"/>
        <v/>
      </c>
    </row>
    <row r="389" spans="1:2" x14ac:dyDescent="0.4">
      <c r="A389" t="str">
        <f t="shared" si="13"/>
        <v/>
      </c>
      <c r="B389" t="str">
        <f t="shared" si="12"/>
        <v/>
      </c>
    </row>
    <row r="390" spans="1:2" x14ac:dyDescent="0.4">
      <c r="A390" t="str">
        <f t="shared" si="13"/>
        <v/>
      </c>
      <c r="B390" t="str">
        <f t="shared" si="12"/>
        <v/>
      </c>
    </row>
    <row r="391" spans="1:2" x14ac:dyDescent="0.4">
      <c r="A391" t="str">
        <f t="shared" si="13"/>
        <v/>
      </c>
      <c r="B391" t="str">
        <f t="shared" si="12"/>
        <v/>
      </c>
    </row>
    <row r="392" spans="1:2" x14ac:dyDescent="0.4">
      <c r="A392" t="str">
        <f t="shared" si="13"/>
        <v/>
      </c>
      <c r="B392" t="str">
        <f t="shared" si="12"/>
        <v/>
      </c>
    </row>
    <row r="393" spans="1:2" x14ac:dyDescent="0.4">
      <c r="A393" t="str">
        <f t="shared" si="13"/>
        <v/>
      </c>
      <c r="B393" t="str">
        <f t="shared" si="12"/>
        <v/>
      </c>
    </row>
    <row r="394" spans="1:2" x14ac:dyDescent="0.4">
      <c r="A394" t="str">
        <f t="shared" si="13"/>
        <v/>
      </c>
      <c r="B394" t="str">
        <f t="shared" si="12"/>
        <v/>
      </c>
    </row>
    <row r="395" spans="1:2" x14ac:dyDescent="0.4">
      <c r="A395" t="str">
        <f t="shared" si="13"/>
        <v/>
      </c>
      <c r="B395" t="str">
        <f t="shared" si="12"/>
        <v/>
      </c>
    </row>
    <row r="396" spans="1:2" x14ac:dyDescent="0.4">
      <c r="A396" t="str">
        <f t="shared" si="13"/>
        <v/>
      </c>
      <c r="B396" t="str">
        <f t="shared" si="12"/>
        <v/>
      </c>
    </row>
    <row r="397" spans="1:2" x14ac:dyDescent="0.4">
      <c r="A397" t="str">
        <f t="shared" si="13"/>
        <v/>
      </c>
      <c r="B397" t="str">
        <f t="shared" si="12"/>
        <v/>
      </c>
    </row>
    <row r="398" spans="1:2" x14ac:dyDescent="0.4">
      <c r="A398" t="str">
        <f t="shared" si="13"/>
        <v/>
      </c>
      <c r="B398" t="str">
        <f t="shared" si="12"/>
        <v/>
      </c>
    </row>
    <row r="399" spans="1:2" x14ac:dyDescent="0.4">
      <c r="A399" t="str">
        <f t="shared" si="13"/>
        <v/>
      </c>
      <c r="B399" t="str">
        <f t="shared" si="12"/>
        <v/>
      </c>
    </row>
    <row r="400" spans="1:2" x14ac:dyDescent="0.4">
      <c r="A400" t="str">
        <f t="shared" si="13"/>
        <v/>
      </c>
      <c r="B400" t="str">
        <f t="shared" si="12"/>
        <v/>
      </c>
    </row>
    <row r="401" spans="1:2" x14ac:dyDescent="0.4">
      <c r="A401" t="str">
        <f t="shared" si="13"/>
        <v/>
      </c>
      <c r="B401" t="str">
        <f t="shared" si="12"/>
        <v/>
      </c>
    </row>
    <row r="402" spans="1:2" x14ac:dyDescent="0.4">
      <c r="A402" t="str">
        <f t="shared" si="13"/>
        <v/>
      </c>
      <c r="B402" t="str">
        <f t="shared" si="12"/>
        <v/>
      </c>
    </row>
    <row r="403" spans="1:2" x14ac:dyDescent="0.4">
      <c r="A403" t="str">
        <f t="shared" si="13"/>
        <v/>
      </c>
      <c r="B403" t="str">
        <f t="shared" si="12"/>
        <v/>
      </c>
    </row>
    <row r="404" spans="1:2" x14ac:dyDescent="0.4">
      <c r="A404" t="str">
        <f t="shared" si="13"/>
        <v/>
      </c>
      <c r="B404" t="str">
        <f t="shared" si="12"/>
        <v/>
      </c>
    </row>
    <row r="405" spans="1:2" x14ac:dyDescent="0.4">
      <c r="A405" t="str">
        <f t="shared" si="13"/>
        <v/>
      </c>
      <c r="B405" t="str">
        <f t="shared" si="12"/>
        <v/>
      </c>
    </row>
    <row r="406" spans="1:2" x14ac:dyDescent="0.4">
      <c r="A406" t="str">
        <f t="shared" si="13"/>
        <v/>
      </c>
      <c r="B406" t="str">
        <f t="shared" si="12"/>
        <v/>
      </c>
    </row>
    <row r="407" spans="1:2" x14ac:dyDescent="0.4">
      <c r="A407" t="str">
        <f t="shared" si="13"/>
        <v/>
      </c>
      <c r="B407" t="str">
        <f t="shared" si="12"/>
        <v/>
      </c>
    </row>
    <row r="408" spans="1:2" x14ac:dyDescent="0.4">
      <c r="A408" t="str">
        <f t="shared" si="13"/>
        <v/>
      </c>
      <c r="B408" t="str">
        <f t="shared" si="12"/>
        <v/>
      </c>
    </row>
    <row r="409" spans="1:2" x14ac:dyDescent="0.4">
      <c r="A409" t="str">
        <f t="shared" si="13"/>
        <v/>
      </c>
      <c r="B409" t="str">
        <f t="shared" si="12"/>
        <v/>
      </c>
    </row>
    <row r="410" spans="1:2" x14ac:dyDescent="0.4">
      <c r="A410" t="str">
        <f t="shared" si="13"/>
        <v/>
      </c>
      <c r="B410" t="str">
        <f t="shared" si="12"/>
        <v/>
      </c>
    </row>
    <row r="411" spans="1:2" x14ac:dyDescent="0.4">
      <c r="A411" t="str">
        <f t="shared" si="13"/>
        <v/>
      </c>
      <c r="B411" t="str">
        <f t="shared" si="12"/>
        <v/>
      </c>
    </row>
    <row r="412" spans="1:2" x14ac:dyDescent="0.4">
      <c r="A412" t="str">
        <f t="shared" si="13"/>
        <v/>
      </c>
      <c r="B412" t="str">
        <f t="shared" si="12"/>
        <v/>
      </c>
    </row>
    <row r="413" spans="1:2" x14ac:dyDescent="0.4">
      <c r="A413" t="str">
        <f t="shared" si="13"/>
        <v/>
      </c>
      <c r="B413" t="str">
        <f t="shared" si="12"/>
        <v/>
      </c>
    </row>
    <row r="414" spans="1:2" x14ac:dyDescent="0.4">
      <c r="A414" t="str">
        <f t="shared" si="13"/>
        <v/>
      </c>
      <c r="B414" t="str">
        <f t="shared" si="12"/>
        <v/>
      </c>
    </row>
    <row r="415" spans="1:2" x14ac:dyDescent="0.4">
      <c r="A415" t="str">
        <f t="shared" si="13"/>
        <v/>
      </c>
      <c r="B415" t="str">
        <f t="shared" si="12"/>
        <v/>
      </c>
    </row>
    <row r="416" spans="1:2" x14ac:dyDescent="0.4">
      <c r="A416" t="str">
        <f t="shared" si="13"/>
        <v/>
      </c>
      <c r="B416" t="str">
        <f t="shared" si="12"/>
        <v/>
      </c>
    </row>
    <row r="417" spans="1:2" x14ac:dyDescent="0.4">
      <c r="A417" t="str">
        <f t="shared" si="13"/>
        <v/>
      </c>
      <c r="B417" t="str">
        <f t="shared" si="12"/>
        <v/>
      </c>
    </row>
    <row r="418" spans="1:2" x14ac:dyDescent="0.4">
      <c r="A418" t="str">
        <f t="shared" si="13"/>
        <v/>
      </c>
      <c r="B418" t="str">
        <f t="shared" si="12"/>
        <v/>
      </c>
    </row>
    <row r="419" spans="1:2" x14ac:dyDescent="0.4">
      <c r="A419" t="str">
        <f t="shared" si="13"/>
        <v/>
      </c>
      <c r="B419" t="str">
        <f t="shared" si="12"/>
        <v/>
      </c>
    </row>
    <row r="420" spans="1:2" x14ac:dyDescent="0.4">
      <c r="A420" t="str">
        <f t="shared" si="13"/>
        <v/>
      </c>
      <c r="B420" t="str">
        <f t="shared" si="12"/>
        <v/>
      </c>
    </row>
    <row r="421" spans="1:2" x14ac:dyDescent="0.4">
      <c r="A421" t="str">
        <f t="shared" si="13"/>
        <v/>
      </c>
      <c r="B421" t="str">
        <f t="shared" si="12"/>
        <v/>
      </c>
    </row>
    <row r="422" spans="1:2" x14ac:dyDescent="0.4">
      <c r="A422" t="str">
        <f t="shared" si="13"/>
        <v/>
      </c>
      <c r="B422" t="str">
        <f t="shared" si="12"/>
        <v/>
      </c>
    </row>
    <row r="423" spans="1:2" x14ac:dyDescent="0.4">
      <c r="A423" t="str">
        <f t="shared" si="13"/>
        <v/>
      </c>
      <c r="B423" t="str">
        <f t="shared" si="12"/>
        <v/>
      </c>
    </row>
    <row r="424" spans="1:2" x14ac:dyDescent="0.4">
      <c r="A424" t="str">
        <f t="shared" si="13"/>
        <v/>
      </c>
      <c r="B424" t="str">
        <f t="shared" si="12"/>
        <v/>
      </c>
    </row>
    <row r="425" spans="1:2" x14ac:dyDescent="0.4">
      <c r="A425" t="str">
        <f t="shared" si="13"/>
        <v/>
      </c>
      <c r="B425" t="str">
        <f t="shared" si="12"/>
        <v/>
      </c>
    </row>
    <row r="426" spans="1:2" x14ac:dyDescent="0.4">
      <c r="A426" t="str">
        <f t="shared" si="13"/>
        <v/>
      </c>
      <c r="B426" t="str">
        <f t="shared" si="12"/>
        <v/>
      </c>
    </row>
    <row r="427" spans="1:2" x14ac:dyDescent="0.4">
      <c r="A427" t="str">
        <f t="shared" si="13"/>
        <v/>
      </c>
      <c r="B427" t="str">
        <f t="shared" si="12"/>
        <v/>
      </c>
    </row>
    <row r="428" spans="1:2" x14ac:dyDescent="0.4">
      <c r="A428" t="str">
        <f t="shared" si="13"/>
        <v/>
      </c>
      <c r="B428" t="str">
        <f t="shared" si="12"/>
        <v/>
      </c>
    </row>
    <row r="429" spans="1:2" x14ac:dyDescent="0.4">
      <c r="A429" t="str">
        <f t="shared" si="13"/>
        <v/>
      </c>
      <c r="B429" t="str">
        <f t="shared" si="12"/>
        <v/>
      </c>
    </row>
    <row r="430" spans="1:2" x14ac:dyDescent="0.4">
      <c r="A430" t="str">
        <f t="shared" si="13"/>
        <v/>
      </c>
      <c r="B430" t="str">
        <f t="shared" si="12"/>
        <v/>
      </c>
    </row>
    <row r="431" spans="1:2" x14ac:dyDescent="0.4">
      <c r="A431" t="str">
        <f t="shared" si="13"/>
        <v/>
      </c>
      <c r="B431" t="str">
        <f t="shared" si="12"/>
        <v/>
      </c>
    </row>
    <row r="432" spans="1:2" x14ac:dyDescent="0.4">
      <c r="A432" t="str">
        <f t="shared" si="13"/>
        <v/>
      </c>
      <c r="B432" t="str">
        <f t="shared" si="12"/>
        <v/>
      </c>
    </row>
    <row r="433" spans="1:2" x14ac:dyDescent="0.4">
      <c r="A433" t="str">
        <f t="shared" si="13"/>
        <v/>
      </c>
      <c r="B433" t="str">
        <f t="shared" si="12"/>
        <v/>
      </c>
    </row>
    <row r="434" spans="1:2" x14ac:dyDescent="0.4">
      <c r="A434" t="str">
        <f t="shared" si="13"/>
        <v/>
      </c>
      <c r="B434" t="str">
        <f t="shared" si="12"/>
        <v/>
      </c>
    </row>
    <row r="435" spans="1:2" x14ac:dyDescent="0.4">
      <c r="A435" t="str">
        <f t="shared" si="13"/>
        <v/>
      </c>
      <c r="B435" t="str">
        <f t="shared" si="12"/>
        <v/>
      </c>
    </row>
    <row r="436" spans="1:2" x14ac:dyDescent="0.4">
      <c r="A436" t="str">
        <f t="shared" si="13"/>
        <v/>
      </c>
      <c r="B436" t="str">
        <f t="shared" si="12"/>
        <v/>
      </c>
    </row>
    <row r="437" spans="1:2" x14ac:dyDescent="0.4">
      <c r="A437" t="str">
        <f t="shared" si="13"/>
        <v/>
      </c>
      <c r="B437" t="str">
        <f t="shared" si="12"/>
        <v/>
      </c>
    </row>
    <row r="438" spans="1:2" x14ac:dyDescent="0.4">
      <c r="A438" t="str">
        <f t="shared" si="13"/>
        <v/>
      </c>
      <c r="B438" t="str">
        <f t="shared" si="12"/>
        <v/>
      </c>
    </row>
    <row r="439" spans="1:2" x14ac:dyDescent="0.4">
      <c r="A439" t="str">
        <f t="shared" si="13"/>
        <v/>
      </c>
      <c r="B439" t="str">
        <f t="shared" si="12"/>
        <v/>
      </c>
    </row>
    <row r="440" spans="1:2" x14ac:dyDescent="0.4">
      <c r="A440" t="str">
        <f t="shared" si="13"/>
        <v/>
      </c>
      <c r="B440" t="str">
        <f t="shared" si="12"/>
        <v/>
      </c>
    </row>
    <row r="441" spans="1:2" x14ac:dyDescent="0.4">
      <c r="A441" t="str">
        <f t="shared" si="13"/>
        <v/>
      </c>
      <c r="B441" t="str">
        <f t="shared" si="12"/>
        <v/>
      </c>
    </row>
    <row r="442" spans="1:2" x14ac:dyDescent="0.4">
      <c r="A442" t="str">
        <f t="shared" si="13"/>
        <v/>
      </c>
      <c r="B442" t="str">
        <f t="shared" si="12"/>
        <v/>
      </c>
    </row>
    <row r="443" spans="1:2" x14ac:dyDescent="0.4">
      <c r="A443" t="str">
        <f t="shared" si="13"/>
        <v/>
      </c>
      <c r="B443" t="str">
        <f t="shared" si="12"/>
        <v/>
      </c>
    </row>
    <row r="444" spans="1:2" x14ac:dyDescent="0.4">
      <c r="A444" t="str">
        <f t="shared" si="13"/>
        <v/>
      </c>
      <c r="B444" t="str">
        <f t="shared" si="12"/>
        <v/>
      </c>
    </row>
    <row r="445" spans="1:2" x14ac:dyDescent="0.4">
      <c r="A445" t="str">
        <f t="shared" si="13"/>
        <v/>
      </c>
      <c r="B445" t="str">
        <f t="shared" si="12"/>
        <v/>
      </c>
    </row>
    <row r="446" spans="1:2" x14ac:dyDescent="0.4">
      <c r="A446" t="str">
        <f t="shared" si="13"/>
        <v/>
      </c>
      <c r="B446" t="str">
        <f t="shared" si="12"/>
        <v/>
      </c>
    </row>
    <row r="447" spans="1:2" x14ac:dyDescent="0.4">
      <c r="A447" t="str">
        <f t="shared" si="13"/>
        <v/>
      </c>
      <c r="B447" t="str">
        <f t="shared" si="12"/>
        <v/>
      </c>
    </row>
    <row r="448" spans="1:2" x14ac:dyDescent="0.4">
      <c r="A448" t="str">
        <f t="shared" si="13"/>
        <v/>
      </c>
      <c r="B448" t="str">
        <f t="shared" si="12"/>
        <v/>
      </c>
    </row>
    <row r="449" spans="1:2" x14ac:dyDescent="0.4">
      <c r="A449" t="str">
        <f t="shared" si="13"/>
        <v/>
      </c>
      <c r="B449" t="str">
        <f t="shared" si="12"/>
        <v/>
      </c>
    </row>
    <row r="450" spans="1:2" x14ac:dyDescent="0.4">
      <c r="A450" t="str">
        <f t="shared" si="13"/>
        <v/>
      </c>
      <c r="B450" t="str">
        <f t="shared" ref="B450:B513" si="14">IF($G450="","",IFERROR($I450*$J450/1000000/PriceDiv*_xlfn.XLOOKUP($K450,FX_Ccy,FX_Rate),""))</f>
        <v/>
      </c>
    </row>
    <row r="451" spans="1:2" x14ac:dyDescent="0.4">
      <c r="A451" t="str">
        <f t="shared" ref="A451:A514" si="15">IF(G451&lt;&gt;"",G451,"")</f>
        <v/>
      </c>
      <c r="B451" t="str">
        <f t="shared" si="14"/>
        <v/>
      </c>
    </row>
    <row r="452" spans="1:2" x14ac:dyDescent="0.4">
      <c r="A452" t="str">
        <f t="shared" si="15"/>
        <v/>
      </c>
      <c r="B452" t="str">
        <f t="shared" si="14"/>
        <v/>
      </c>
    </row>
    <row r="453" spans="1:2" x14ac:dyDescent="0.4">
      <c r="A453" t="str">
        <f t="shared" si="15"/>
        <v/>
      </c>
      <c r="B453" t="str">
        <f t="shared" si="14"/>
        <v/>
      </c>
    </row>
    <row r="454" spans="1:2" x14ac:dyDescent="0.4">
      <c r="A454" t="str">
        <f t="shared" si="15"/>
        <v/>
      </c>
      <c r="B454" t="str">
        <f t="shared" si="14"/>
        <v/>
      </c>
    </row>
    <row r="455" spans="1:2" x14ac:dyDescent="0.4">
      <c r="A455" t="str">
        <f t="shared" si="15"/>
        <v/>
      </c>
      <c r="B455" t="str">
        <f t="shared" si="14"/>
        <v/>
      </c>
    </row>
    <row r="456" spans="1:2" x14ac:dyDescent="0.4">
      <c r="A456" t="str">
        <f t="shared" si="15"/>
        <v/>
      </c>
      <c r="B456" t="str">
        <f t="shared" si="14"/>
        <v/>
      </c>
    </row>
    <row r="457" spans="1:2" x14ac:dyDescent="0.4">
      <c r="A457" t="str">
        <f t="shared" si="15"/>
        <v/>
      </c>
      <c r="B457" t="str">
        <f t="shared" si="14"/>
        <v/>
      </c>
    </row>
    <row r="458" spans="1:2" x14ac:dyDescent="0.4">
      <c r="A458" t="str">
        <f t="shared" si="15"/>
        <v/>
      </c>
      <c r="B458" t="str">
        <f t="shared" si="14"/>
        <v/>
      </c>
    </row>
    <row r="459" spans="1:2" x14ac:dyDescent="0.4">
      <c r="A459" t="str">
        <f t="shared" si="15"/>
        <v/>
      </c>
      <c r="B459" t="str">
        <f t="shared" si="14"/>
        <v/>
      </c>
    </row>
    <row r="460" spans="1:2" x14ac:dyDescent="0.4">
      <c r="A460" t="str">
        <f t="shared" si="15"/>
        <v/>
      </c>
      <c r="B460" t="str">
        <f t="shared" si="14"/>
        <v/>
      </c>
    </row>
    <row r="461" spans="1:2" x14ac:dyDescent="0.4">
      <c r="A461" t="str">
        <f t="shared" si="15"/>
        <v/>
      </c>
      <c r="B461" t="str">
        <f t="shared" si="14"/>
        <v/>
      </c>
    </row>
    <row r="462" spans="1:2" x14ac:dyDescent="0.4">
      <c r="A462" t="str">
        <f t="shared" si="15"/>
        <v/>
      </c>
      <c r="B462" t="str">
        <f t="shared" si="14"/>
        <v/>
      </c>
    </row>
    <row r="463" spans="1:2" x14ac:dyDescent="0.4">
      <c r="A463" t="str">
        <f t="shared" si="15"/>
        <v/>
      </c>
      <c r="B463" t="str">
        <f t="shared" si="14"/>
        <v/>
      </c>
    </row>
    <row r="464" spans="1:2" x14ac:dyDescent="0.4">
      <c r="A464" t="str">
        <f t="shared" si="15"/>
        <v/>
      </c>
      <c r="B464" t="str">
        <f t="shared" si="14"/>
        <v/>
      </c>
    </row>
    <row r="465" spans="1:2" x14ac:dyDescent="0.4">
      <c r="A465" t="str">
        <f t="shared" si="15"/>
        <v/>
      </c>
      <c r="B465" t="str">
        <f t="shared" si="14"/>
        <v/>
      </c>
    </row>
    <row r="466" spans="1:2" x14ac:dyDescent="0.4">
      <c r="A466" t="str">
        <f t="shared" si="15"/>
        <v/>
      </c>
      <c r="B466" t="str">
        <f t="shared" si="14"/>
        <v/>
      </c>
    </row>
    <row r="467" spans="1:2" x14ac:dyDescent="0.4">
      <c r="A467" t="str">
        <f t="shared" si="15"/>
        <v/>
      </c>
      <c r="B467" t="str">
        <f t="shared" si="14"/>
        <v/>
      </c>
    </row>
    <row r="468" spans="1:2" x14ac:dyDescent="0.4">
      <c r="A468" t="str">
        <f t="shared" si="15"/>
        <v/>
      </c>
      <c r="B468" t="str">
        <f t="shared" si="14"/>
        <v/>
      </c>
    </row>
    <row r="469" spans="1:2" x14ac:dyDescent="0.4">
      <c r="A469" t="str">
        <f t="shared" si="15"/>
        <v/>
      </c>
      <c r="B469" t="str">
        <f t="shared" si="14"/>
        <v/>
      </c>
    </row>
    <row r="470" spans="1:2" x14ac:dyDescent="0.4">
      <c r="A470" t="str">
        <f t="shared" si="15"/>
        <v/>
      </c>
      <c r="B470" t="str">
        <f t="shared" si="14"/>
        <v/>
      </c>
    </row>
    <row r="471" spans="1:2" x14ac:dyDescent="0.4">
      <c r="A471" t="str">
        <f t="shared" si="15"/>
        <v/>
      </c>
      <c r="B471" t="str">
        <f t="shared" si="14"/>
        <v/>
      </c>
    </row>
    <row r="472" spans="1:2" x14ac:dyDescent="0.4">
      <c r="A472" t="str">
        <f t="shared" si="15"/>
        <v/>
      </c>
      <c r="B472" t="str">
        <f t="shared" si="14"/>
        <v/>
      </c>
    </row>
    <row r="473" spans="1:2" x14ac:dyDescent="0.4">
      <c r="A473" t="str">
        <f t="shared" si="15"/>
        <v/>
      </c>
      <c r="B473" t="str">
        <f t="shared" si="14"/>
        <v/>
      </c>
    </row>
    <row r="474" spans="1:2" x14ac:dyDescent="0.4">
      <c r="A474" t="str">
        <f t="shared" si="15"/>
        <v/>
      </c>
      <c r="B474" t="str">
        <f t="shared" si="14"/>
        <v/>
      </c>
    </row>
    <row r="475" spans="1:2" x14ac:dyDescent="0.4">
      <c r="A475" t="str">
        <f t="shared" si="15"/>
        <v/>
      </c>
      <c r="B475" t="str">
        <f t="shared" si="14"/>
        <v/>
      </c>
    </row>
    <row r="476" spans="1:2" x14ac:dyDescent="0.4">
      <c r="A476" t="str">
        <f t="shared" si="15"/>
        <v/>
      </c>
      <c r="B476" t="str">
        <f t="shared" si="14"/>
        <v/>
      </c>
    </row>
    <row r="477" spans="1:2" x14ac:dyDescent="0.4">
      <c r="A477" t="str">
        <f t="shared" si="15"/>
        <v/>
      </c>
      <c r="B477" t="str">
        <f t="shared" si="14"/>
        <v/>
      </c>
    </row>
    <row r="478" spans="1:2" x14ac:dyDescent="0.4">
      <c r="A478" t="str">
        <f t="shared" si="15"/>
        <v/>
      </c>
      <c r="B478" t="str">
        <f t="shared" si="14"/>
        <v/>
      </c>
    </row>
    <row r="479" spans="1:2" x14ac:dyDescent="0.4">
      <c r="A479" t="str">
        <f t="shared" si="15"/>
        <v/>
      </c>
      <c r="B479" t="str">
        <f t="shared" si="14"/>
        <v/>
      </c>
    </row>
    <row r="480" spans="1:2" x14ac:dyDescent="0.4">
      <c r="A480" t="str">
        <f t="shared" si="15"/>
        <v/>
      </c>
      <c r="B480" t="str">
        <f t="shared" si="14"/>
        <v/>
      </c>
    </row>
    <row r="481" spans="1:2" x14ac:dyDescent="0.4">
      <c r="A481" t="str">
        <f t="shared" si="15"/>
        <v/>
      </c>
      <c r="B481" t="str">
        <f t="shared" si="14"/>
        <v/>
      </c>
    </row>
    <row r="482" spans="1:2" x14ac:dyDescent="0.4">
      <c r="A482" t="str">
        <f t="shared" si="15"/>
        <v/>
      </c>
      <c r="B482" t="str">
        <f t="shared" si="14"/>
        <v/>
      </c>
    </row>
    <row r="483" spans="1:2" x14ac:dyDescent="0.4">
      <c r="A483" t="str">
        <f t="shared" si="15"/>
        <v/>
      </c>
      <c r="B483" t="str">
        <f t="shared" si="14"/>
        <v/>
      </c>
    </row>
    <row r="484" spans="1:2" x14ac:dyDescent="0.4">
      <c r="A484" t="str">
        <f t="shared" si="15"/>
        <v/>
      </c>
      <c r="B484" t="str">
        <f t="shared" si="14"/>
        <v/>
      </c>
    </row>
    <row r="485" spans="1:2" x14ac:dyDescent="0.4">
      <c r="A485" t="str">
        <f t="shared" si="15"/>
        <v/>
      </c>
      <c r="B485" t="str">
        <f t="shared" si="14"/>
        <v/>
      </c>
    </row>
    <row r="486" spans="1:2" x14ac:dyDescent="0.4">
      <c r="A486" t="str">
        <f t="shared" si="15"/>
        <v/>
      </c>
      <c r="B486" t="str">
        <f t="shared" si="14"/>
        <v/>
      </c>
    </row>
    <row r="487" spans="1:2" x14ac:dyDescent="0.4">
      <c r="A487" t="str">
        <f t="shared" si="15"/>
        <v/>
      </c>
      <c r="B487" t="str">
        <f t="shared" si="14"/>
        <v/>
      </c>
    </row>
    <row r="488" spans="1:2" x14ac:dyDescent="0.4">
      <c r="A488" t="str">
        <f t="shared" si="15"/>
        <v/>
      </c>
      <c r="B488" t="str">
        <f t="shared" si="14"/>
        <v/>
      </c>
    </row>
    <row r="489" spans="1:2" x14ac:dyDescent="0.4">
      <c r="A489" t="str">
        <f t="shared" si="15"/>
        <v/>
      </c>
      <c r="B489" t="str">
        <f t="shared" si="14"/>
        <v/>
      </c>
    </row>
    <row r="490" spans="1:2" x14ac:dyDescent="0.4">
      <c r="A490" t="str">
        <f t="shared" si="15"/>
        <v/>
      </c>
      <c r="B490" t="str">
        <f t="shared" si="14"/>
        <v/>
      </c>
    </row>
    <row r="491" spans="1:2" x14ac:dyDescent="0.4">
      <c r="A491" t="str">
        <f t="shared" si="15"/>
        <v/>
      </c>
      <c r="B491" t="str">
        <f t="shared" si="14"/>
        <v/>
      </c>
    </row>
    <row r="492" spans="1:2" x14ac:dyDescent="0.4">
      <c r="A492" t="str">
        <f t="shared" si="15"/>
        <v/>
      </c>
      <c r="B492" t="str">
        <f t="shared" si="14"/>
        <v/>
      </c>
    </row>
    <row r="493" spans="1:2" x14ac:dyDescent="0.4">
      <c r="A493" t="str">
        <f t="shared" si="15"/>
        <v/>
      </c>
      <c r="B493" t="str">
        <f t="shared" si="14"/>
        <v/>
      </c>
    </row>
    <row r="494" spans="1:2" x14ac:dyDescent="0.4">
      <c r="A494" t="str">
        <f t="shared" si="15"/>
        <v/>
      </c>
      <c r="B494" t="str">
        <f t="shared" si="14"/>
        <v/>
      </c>
    </row>
    <row r="495" spans="1:2" x14ac:dyDescent="0.4">
      <c r="A495" t="str">
        <f t="shared" si="15"/>
        <v/>
      </c>
      <c r="B495" t="str">
        <f t="shared" si="14"/>
        <v/>
      </c>
    </row>
    <row r="496" spans="1:2" x14ac:dyDescent="0.4">
      <c r="A496" t="str">
        <f t="shared" si="15"/>
        <v/>
      </c>
      <c r="B496" t="str">
        <f t="shared" si="14"/>
        <v/>
      </c>
    </row>
    <row r="497" spans="1:2" x14ac:dyDescent="0.4">
      <c r="A497" t="str">
        <f t="shared" si="15"/>
        <v/>
      </c>
      <c r="B497" t="str">
        <f t="shared" si="14"/>
        <v/>
      </c>
    </row>
    <row r="498" spans="1:2" x14ac:dyDescent="0.4">
      <c r="A498" t="str">
        <f t="shared" si="15"/>
        <v/>
      </c>
      <c r="B498" t="str">
        <f t="shared" si="14"/>
        <v/>
      </c>
    </row>
    <row r="499" spans="1:2" x14ac:dyDescent="0.4">
      <c r="A499" t="str">
        <f t="shared" si="15"/>
        <v/>
      </c>
      <c r="B499" t="str">
        <f t="shared" si="14"/>
        <v/>
      </c>
    </row>
    <row r="500" spans="1:2" x14ac:dyDescent="0.4">
      <c r="A500" t="str">
        <f t="shared" si="15"/>
        <v/>
      </c>
      <c r="B500" t="str">
        <f t="shared" si="14"/>
        <v/>
      </c>
    </row>
    <row r="501" spans="1:2" x14ac:dyDescent="0.4">
      <c r="A501" t="str">
        <f t="shared" si="15"/>
        <v/>
      </c>
      <c r="B501" t="str">
        <f t="shared" si="14"/>
        <v/>
      </c>
    </row>
    <row r="502" spans="1:2" x14ac:dyDescent="0.4">
      <c r="A502" t="str">
        <f t="shared" si="15"/>
        <v/>
      </c>
      <c r="B502" t="str">
        <f t="shared" si="14"/>
        <v/>
      </c>
    </row>
    <row r="503" spans="1:2" x14ac:dyDescent="0.4">
      <c r="A503" t="str">
        <f t="shared" si="15"/>
        <v/>
      </c>
      <c r="B503" t="str">
        <f t="shared" si="14"/>
        <v/>
      </c>
    </row>
    <row r="504" spans="1:2" x14ac:dyDescent="0.4">
      <c r="A504" t="str">
        <f t="shared" si="15"/>
        <v/>
      </c>
      <c r="B504" t="str">
        <f t="shared" si="14"/>
        <v/>
      </c>
    </row>
    <row r="505" spans="1:2" x14ac:dyDescent="0.4">
      <c r="A505" t="str">
        <f t="shared" si="15"/>
        <v/>
      </c>
      <c r="B505" t="str">
        <f t="shared" si="14"/>
        <v/>
      </c>
    </row>
    <row r="506" spans="1:2" x14ac:dyDescent="0.4">
      <c r="A506" t="str">
        <f t="shared" si="15"/>
        <v/>
      </c>
      <c r="B506" t="str">
        <f t="shared" si="14"/>
        <v/>
      </c>
    </row>
    <row r="507" spans="1:2" x14ac:dyDescent="0.4">
      <c r="A507" t="str">
        <f t="shared" si="15"/>
        <v/>
      </c>
      <c r="B507" t="str">
        <f t="shared" si="14"/>
        <v/>
      </c>
    </row>
    <row r="508" spans="1:2" x14ac:dyDescent="0.4">
      <c r="A508" t="str">
        <f t="shared" si="15"/>
        <v/>
      </c>
      <c r="B508" t="str">
        <f t="shared" si="14"/>
        <v/>
      </c>
    </row>
    <row r="509" spans="1:2" x14ac:dyDescent="0.4">
      <c r="A509" t="str">
        <f t="shared" si="15"/>
        <v/>
      </c>
      <c r="B509" t="str">
        <f t="shared" si="14"/>
        <v/>
      </c>
    </row>
    <row r="510" spans="1:2" x14ac:dyDescent="0.4">
      <c r="A510" t="str">
        <f t="shared" si="15"/>
        <v/>
      </c>
      <c r="B510" t="str">
        <f t="shared" si="14"/>
        <v/>
      </c>
    </row>
    <row r="511" spans="1:2" x14ac:dyDescent="0.4">
      <c r="A511" t="str">
        <f t="shared" si="15"/>
        <v/>
      </c>
      <c r="B511" t="str">
        <f t="shared" si="14"/>
        <v/>
      </c>
    </row>
    <row r="512" spans="1:2" x14ac:dyDescent="0.4">
      <c r="A512" t="str">
        <f t="shared" si="15"/>
        <v/>
      </c>
      <c r="B512" t="str">
        <f t="shared" si="14"/>
        <v/>
      </c>
    </row>
    <row r="513" spans="1:2" x14ac:dyDescent="0.4">
      <c r="A513" t="str">
        <f t="shared" si="15"/>
        <v/>
      </c>
      <c r="B513" t="str">
        <f t="shared" si="14"/>
        <v/>
      </c>
    </row>
    <row r="514" spans="1:2" x14ac:dyDescent="0.4">
      <c r="A514" t="str">
        <f t="shared" si="15"/>
        <v/>
      </c>
      <c r="B514" t="str">
        <f t="shared" ref="B514:B577" si="16">IF($G514="","",IFERROR($I514*$J514/1000000/PriceDiv*_xlfn.XLOOKUP($K514,FX_Ccy,FX_Rate),""))</f>
        <v/>
      </c>
    </row>
    <row r="515" spans="1:2" x14ac:dyDescent="0.4">
      <c r="A515" t="str">
        <f t="shared" ref="A515:A578" si="17">IF(G515&lt;&gt;"",G515,"")</f>
        <v/>
      </c>
      <c r="B515" t="str">
        <f t="shared" si="16"/>
        <v/>
      </c>
    </row>
    <row r="516" spans="1:2" x14ac:dyDescent="0.4">
      <c r="A516" t="str">
        <f t="shared" si="17"/>
        <v/>
      </c>
      <c r="B516" t="str">
        <f t="shared" si="16"/>
        <v/>
      </c>
    </row>
    <row r="517" spans="1:2" x14ac:dyDescent="0.4">
      <c r="A517" t="str">
        <f t="shared" si="17"/>
        <v/>
      </c>
      <c r="B517" t="str">
        <f t="shared" si="16"/>
        <v/>
      </c>
    </row>
    <row r="518" spans="1:2" x14ac:dyDescent="0.4">
      <c r="A518" t="str">
        <f t="shared" si="17"/>
        <v/>
      </c>
      <c r="B518" t="str">
        <f t="shared" si="16"/>
        <v/>
      </c>
    </row>
    <row r="519" spans="1:2" x14ac:dyDescent="0.4">
      <c r="A519" t="str">
        <f t="shared" si="17"/>
        <v/>
      </c>
      <c r="B519" t="str">
        <f t="shared" si="16"/>
        <v/>
      </c>
    </row>
    <row r="520" spans="1:2" x14ac:dyDescent="0.4">
      <c r="A520" t="str">
        <f t="shared" si="17"/>
        <v/>
      </c>
      <c r="B520" t="str">
        <f t="shared" si="16"/>
        <v/>
      </c>
    </row>
    <row r="521" spans="1:2" x14ac:dyDescent="0.4">
      <c r="A521" t="str">
        <f t="shared" si="17"/>
        <v/>
      </c>
      <c r="B521" t="str">
        <f t="shared" si="16"/>
        <v/>
      </c>
    </row>
    <row r="522" spans="1:2" x14ac:dyDescent="0.4">
      <c r="A522" t="str">
        <f t="shared" si="17"/>
        <v/>
      </c>
      <c r="B522" t="str">
        <f t="shared" si="16"/>
        <v/>
      </c>
    </row>
    <row r="523" spans="1:2" x14ac:dyDescent="0.4">
      <c r="A523" t="str">
        <f t="shared" si="17"/>
        <v/>
      </c>
      <c r="B523" t="str">
        <f t="shared" si="16"/>
        <v/>
      </c>
    </row>
    <row r="524" spans="1:2" x14ac:dyDescent="0.4">
      <c r="A524" t="str">
        <f t="shared" si="17"/>
        <v/>
      </c>
      <c r="B524" t="str">
        <f t="shared" si="16"/>
        <v/>
      </c>
    </row>
    <row r="525" spans="1:2" x14ac:dyDescent="0.4">
      <c r="A525" t="str">
        <f t="shared" si="17"/>
        <v/>
      </c>
      <c r="B525" t="str">
        <f t="shared" si="16"/>
        <v/>
      </c>
    </row>
    <row r="526" spans="1:2" x14ac:dyDescent="0.4">
      <c r="A526" t="str">
        <f t="shared" si="17"/>
        <v/>
      </c>
      <c r="B526" t="str">
        <f t="shared" si="16"/>
        <v/>
      </c>
    </row>
    <row r="527" spans="1:2" x14ac:dyDescent="0.4">
      <c r="A527" t="str">
        <f t="shared" si="17"/>
        <v/>
      </c>
      <c r="B527" t="str">
        <f t="shared" si="16"/>
        <v/>
      </c>
    </row>
    <row r="528" spans="1:2" x14ac:dyDescent="0.4">
      <c r="A528" t="str">
        <f t="shared" si="17"/>
        <v/>
      </c>
      <c r="B528" t="str">
        <f t="shared" si="16"/>
        <v/>
      </c>
    </row>
    <row r="529" spans="1:2" x14ac:dyDescent="0.4">
      <c r="A529" t="str">
        <f t="shared" si="17"/>
        <v/>
      </c>
      <c r="B529" t="str">
        <f t="shared" si="16"/>
        <v/>
      </c>
    </row>
    <row r="530" spans="1:2" x14ac:dyDescent="0.4">
      <c r="A530" t="str">
        <f t="shared" si="17"/>
        <v/>
      </c>
      <c r="B530" t="str">
        <f t="shared" si="16"/>
        <v/>
      </c>
    </row>
    <row r="531" spans="1:2" x14ac:dyDescent="0.4">
      <c r="A531" t="str">
        <f t="shared" si="17"/>
        <v/>
      </c>
      <c r="B531" t="str">
        <f t="shared" si="16"/>
        <v/>
      </c>
    </row>
    <row r="532" spans="1:2" x14ac:dyDescent="0.4">
      <c r="A532" t="str">
        <f t="shared" si="17"/>
        <v/>
      </c>
      <c r="B532" t="str">
        <f t="shared" si="16"/>
        <v/>
      </c>
    </row>
    <row r="533" spans="1:2" x14ac:dyDescent="0.4">
      <c r="A533" t="str">
        <f t="shared" si="17"/>
        <v/>
      </c>
      <c r="B533" t="str">
        <f t="shared" si="16"/>
        <v/>
      </c>
    </row>
    <row r="534" spans="1:2" x14ac:dyDescent="0.4">
      <c r="A534" t="str">
        <f t="shared" si="17"/>
        <v/>
      </c>
      <c r="B534" t="str">
        <f t="shared" si="16"/>
        <v/>
      </c>
    </row>
    <row r="535" spans="1:2" x14ac:dyDescent="0.4">
      <c r="A535" t="str">
        <f t="shared" si="17"/>
        <v/>
      </c>
      <c r="B535" t="str">
        <f t="shared" si="16"/>
        <v/>
      </c>
    </row>
    <row r="536" spans="1:2" x14ac:dyDescent="0.4">
      <c r="A536" t="str">
        <f t="shared" si="17"/>
        <v/>
      </c>
      <c r="B536" t="str">
        <f t="shared" si="16"/>
        <v/>
      </c>
    </row>
    <row r="537" spans="1:2" x14ac:dyDescent="0.4">
      <c r="A537" t="str">
        <f t="shared" si="17"/>
        <v/>
      </c>
      <c r="B537" t="str">
        <f t="shared" si="16"/>
        <v/>
      </c>
    </row>
    <row r="538" spans="1:2" x14ac:dyDescent="0.4">
      <c r="A538" t="str">
        <f t="shared" si="17"/>
        <v/>
      </c>
      <c r="B538" t="str">
        <f t="shared" si="16"/>
        <v/>
      </c>
    </row>
    <row r="539" spans="1:2" x14ac:dyDescent="0.4">
      <c r="A539" t="str">
        <f t="shared" si="17"/>
        <v/>
      </c>
      <c r="B539" t="str">
        <f t="shared" si="16"/>
        <v/>
      </c>
    </row>
    <row r="540" spans="1:2" x14ac:dyDescent="0.4">
      <c r="A540" t="str">
        <f t="shared" si="17"/>
        <v/>
      </c>
      <c r="B540" t="str">
        <f t="shared" si="16"/>
        <v/>
      </c>
    </row>
    <row r="541" spans="1:2" x14ac:dyDescent="0.4">
      <c r="A541" t="str">
        <f t="shared" si="17"/>
        <v/>
      </c>
      <c r="B541" t="str">
        <f t="shared" si="16"/>
        <v/>
      </c>
    </row>
    <row r="542" spans="1:2" x14ac:dyDescent="0.4">
      <c r="A542" t="str">
        <f t="shared" si="17"/>
        <v/>
      </c>
      <c r="B542" t="str">
        <f t="shared" si="16"/>
        <v/>
      </c>
    </row>
    <row r="543" spans="1:2" x14ac:dyDescent="0.4">
      <c r="A543" t="str">
        <f t="shared" si="17"/>
        <v/>
      </c>
      <c r="B543" t="str">
        <f t="shared" si="16"/>
        <v/>
      </c>
    </row>
    <row r="544" spans="1:2" x14ac:dyDescent="0.4">
      <c r="A544" t="str">
        <f t="shared" si="17"/>
        <v/>
      </c>
      <c r="B544" t="str">
        <f t="shared" si="16"/>
        <v/>
      </c>
    </row>
    <row r="545" spans="1:2" x14ac:dyDescent="0.4">
      <c r="A545" t="str">
        <f t="shared" si="17"/>
        <v/>
      </c>
      <c r="B545" t="str">
        <f t="shared" si="16"/>
        <v/>
      </c>
    </row>
    <row r="546" spans="1:2" x14ac:dyDescent="0.4">
      <c r="A546" t="str">
        <f t="shared" si="17"/>
        <v/>
      </c>
      <c r="B546" t="str">
        <f t="shared" si="16"/>
        <v/>
      </c>
    </row>
    <row r="547" spans="1:2" x14ac:dyDescent="0.4">
      <c r="A547" t="str">
        <f t="shared" si="17"/>
        <v/>
      </c>
      <c r="B547" t="str">
        <f t="shared" si="16"/>
        <v/>
      </c>
    </row>
    <row r="548" spans="1:2" x14ac:dyDescent="0.4">
      <c r="A548" t="str">
        <f t="shared" si="17"/>
        <v/>
      </c>
      <c r="B548" t="str">
        <f t="shared" si="16"/>
        <v/>
      </c>
    </row>
    <row r="549" spans="1:2" x14ac:dyDescent="0.4">
      <c r="A549" t="str">
        <f t="shared" si="17"/>
        <v/>
      </c>
      <c r="B549" t="str">
        <f t="shared" si="16"/>
        <v/>
      </c>
    </row>
    <row r="550" spans="1:2" x14ac:dyDescent="0.4">
      <c r="A550" t="str">
        <f t="shared" si="17"/>
        <v/>
      </c>
      <c r="B550" t="str">
        <f t="shared" si="16"/>
        <v/>
      </c>
    </row>
    <row r="551" spans="1:2" x14ac:dyDescent="0.4">
      <c r="A551" t="str">
        <f t="shared" si="17"/>
        <v/>
      </c>
      <c r="B551" t="str">
        <f t="shared" si="16"/>
        <v/>
      </c>
    </row>
    <row r="552" spans="1:2" x14ac:dyDescent="0.4">
      <c r="A552" t="str">
        <f t="shared" si="17"/>
        <v/>
      </c>
      <c r="B552" t="str">
        <f t="shared" si="16"/>
        <v/>
      </c>
    </row>
    <row r="553" spans="1:2" x14ac:dyDescent="0.4">
      <c r="A553" t="str">
        <f t="shared" si="17"/>
        <v/>
      </c>
      <c r="B553" t="str">
        <f t="shared" si="16"/>
        <v/>
      </c>
    </row>
    <row r="554" spans="1:2" x14ac:dyDescent="0.4">
      <c r="A554" t="str">
        <f t="shared" si="17"/>
        <v/>
      </c>
      <c r="B554" t="str">
        <f t="shared" si="16"/>
        <v/>
      </c>
    </row>
    <row r="555" spans="1:2" x14ac:dyDescent="0.4">
      <c r="A555" t="str">
        <f t="shared" si="17"/>
        <v/>
      </c>
      <c r="B555" t="str">
        <f t="shared" si="16"/>
        <v/>
      </c>
    </row>
    <row r="556" spans="1:2" x14ac:dyDescent="0.4">
      <c r="A556" t="str">
        <f t="shared" si="17"/>
        <v/>
      </c>
      <c r="B556" t="str">
        <f t="shared" si="16"/>
        <v/>
      </c>
    </row>
    <row r="557" spans="1:2" x14ac:dyDescent="0.4">
      <c r="A557" t="str">
        <f t="shared" si="17"/>
        <v/>
      </c>
      <c r="B557" t="str">
        <f t="shared" si="16"/>
        <v/>
      </c>
    </row>
    <row r="558" spans="1:2" x14ac:dyDescent="0.4">
      <c r="A558" t="str">
        <f t="shared" si="17"/>
        <v/>
      </c>
      <c r="B558" t="str">
        <f t="shared" si="16"/>
        <v/>
      </c>
    </row>
    <row r="559" spans="1:2" x14ac:dyDescent="0.4">
      <c r="A559" t="str">
        <f t="shared" si="17"/>
        <v/>
      </c>
      <c r="B559" t="str">
        <f t="shared" si="16"/>
        <v/>
      </c>
    </row>
    <row r="560" spans="1:2" x14ac:dyDescent="0.4">
      <c r="A560" t="str">
        <f t="shared" si="17"/>
        <v/>
      </c>
      <c r="B560" t="str">
        <f t="shared" si="16"/>
        <v/>
      </c>
    </row>
    <row r="561" spans="1:2" x14ac:dyDescent="0.4">
      <c r="A561" t="str">
        <f t="shared" si="17"/>
        <v/>
      </c>
      <c r="B561" t="str">
        <f t="shared" si="16"/>
        <v/>
      </c>
    </row>
    <row r="562" spans="1:2" x14ac:dyDescent="0.4">
      <c r="A562" t="str">
        <f t="shared" si="17"/>
        <v/>
      </c>
      <c r="B562" t="str">
        <f t="shared" si="16"/>
        <v/>
      </c>
    </row>
    <row r="563" spans="1:2" x14ac:dyDescent="0.4">
      <c r="A563" t="str">
        <f t="shared" si="17"/>
        <v/>
      </c>
      <c r="B563" t="str">
        <f t="shared" si="16"/>
        <v/>
      </c>
    </row>
    <row r="564" spans="1:2" x14ac:dyDescent="0.4">
      <c r="A564" t="str">
        <f t="shared" si="17"/>
        <v/>
      </c>
      <c r="B564" t="str">
        <f t="shared" si="16"/>
        <v/>
      </c>
    </row>
    <row r="565" spans="1:2" x14ac:dyDescent="0.4">
      <c r="A565" t="str">
        <f t="shared" si="17"/>
        <v/>
      </c>
      <c r="B565" t="str">
        <f t="shared" si="16"/>
        <v/>
      </c>
    </row>
    <row r="566" spans="1:2" x14ac:dyDescent="0.4">
      <c r="A566" t="str">
        <f t="shared" si="17"/>
        <v/>
      </c>
      <c r="B566" t="str">
        <f t="shared" si="16"/>
        <v/>
      </c>
    </row>
    <row r="567" spans="1:2" x14ac:dyDescent="0.4">
      <c r="A567" t="str">
        <f t="shared" si="17"/>
        <v/>
      </c>
      <c r="B567" t="str">
        <f t="shared" si="16"/>
        <v/>
      </c>
    </row>
    <row r="568" spans="1:2" x14ac:dyDescent="0.4">
      <c r="A568" t="str">
        <f t="shared" si="17"/>
        <v/>
      </c>
      <c r="B568" t="str">
        <f t="shared" si="16"/>
        <v/>
      </c>
    </row>
    <row r="569" spans="1:2" x14ac:dyDescent="0.4">
      <c r="A569" t="str">
        <f t="shared" si="17"/>
        <v/>
      </c>
      <c r="B569" t="str">
        <f t="shared" si="16"/>
        <v/>
      </c>
    </row>
    <row r="570" spans="1:2" x14ac:dyDescent="0.4">
      <c r="A570" t="str">
        <f t="shared" si="17"/>
        <v/>
      </c>
      <c r="B570" t="str">
        <f t="shared" si="16"/>
        <v/>
      </c>
    </row>
    <row r="571" spans="1:2" x14ac:dyDescent="0.4">
      <c r="A571" t="str">
        <f t="shared" si="17"/>
        <v/>
      </c>
      <c r="B571" t="str">
        <f t="shared" si="16"/>
        <v/>
      </c>
    </row>
    <row r="572" spans="1:2" x14ac:dyDescent="0.4">
      <c r="A572" t="str">
        <f t="shared" si="17"/>
        <v/>
      </c>
      <c r="B572" t="str">
        <f t="shared" si="16"/>
        <v/>
      </c>
    </row>
    <row r="573" spans="1:2" x14ac:dyDescent="0.4">
      <c r="A573" t="str">
        <f t="shared" si="17"/>
        <v/>
      </c>
      <c r="B573" t="str">
        <f t="shared" si="16"/>
        <v/>
      </c>
    </row>
    <row r="574" spans="1:2" x14ac:dyDescent="0.4">
      <c r="A574" t="str">
        <f t="shared" si="17"/>
        <v/>
      </c>
      <c r="B574" t="str">
        <f t="shared" si="16"/>
        <v/>
      </c>
    </row>
    <row r="575" spans="1:2" x14ac:dyDescent="0.4">
      <c r="A575" t="str">
        <f t="shared" si="17"/>
        <v/>
      </c>
      <c r="B575" t="str">
        <f t="shared" si="16"/>
        <v/>
      </c>
    </row>
    <row r="576" spans="1:2" x14ac:dyDescent="0.4">
      <c r="A576" t="str">
        <f t="shared" si="17"/>
        <v/>
      </c>
      <c r="B576" t="str">
        <f t="shared" si="16"/>
        <v/>
      </c>
    </row>
    <row r="577" spans="1:2" x14ac:dyDescent="0.4">
      <c r="A577" t="str">
        <f t="shared" si="17"/>
        <v/>
      </c>
      <c r="B577" t="str">
        <f t="shared" si="16"/>
        <v/>
      </c>
    </row>
    <row r="578" spans="1:2" x14ac:dyDescent="0.4">
      <c r="A578" t="str">
        <f t="shared" si="17"/>
        <v/>
      </c>
      <c r="B578" t="str">
        <f t="shared" ref="B578:B641" si="18">IF($G578="","",IFERROR($I578*$J578/1000000/PriceDiv*_xlfn.XLOOKUP($K578,FX_Ccy,FX_Rate),""))</f>
        <v/>
      </c>
    </row>
    <row r="579" spans="1:2" x14ac:dyDescent="0.4">
      <c r="A579" t="str">
        <f t="shared" ref="A579:A642" si="19">IF(G579&lt;&gt;"",G579,"")</f>
        <v/>
      </c>
      <c r="B579" t="str">
        <f t="shared" si="18"/>
        <v/>
      </c>
    </row>
    <row r="580" spans="1:2" x14ac:dyDescent="0.4">
      <c r="A580" t="str">
        <f t="shared" si="19"/>
        <v/>
      </c>
      <c r="B580" t="str">
        <f t="shared" si="18"/>
        <v/>
      </c>
    </row>
    <row r="581" spans="1:2" x14ac:dyDescent="0.4">
      <c r="A581" t="str">
        <f t="shared" si="19"/>
        <v/>
      </c>
      <c r="B581" t="str">
        <f t="shared" si="18"/>
        <v/>
      </c>
    </row>
    <row r="582" spans="1:2" x14ac:dyDescent="0.4">
      <c r="A582" t="str">
        <f t="shared" si="19"/>
        <v/>
      </c>
      <c r="B582" t="str">
        <f t="shared" si="18"/>
        <v/>
      </c>
    </row>
    <row r="583" spans="1:2" x14ac:dyDescent="0.4">
      <c r="A583" t="str">
        <f t="shared" si="19"/>
        <v/>
      </c>
      <c r="B583" t="str">
        <f t="shared" si="18"/>
        <v/>
      </c>
    </row>
    <row r="584" spans="1:2" x14ac:dyDescent="0.4">
      <c r="A584" t="str">
        <f t="shared" si="19"/>
        <v/>
      </c>
      <c r="B584" t="str">
        <f t="shared" si="18"/>
        <v/>
      </c>
    </row>
    <row r="585" spans="1:2" x14ac:dyDescent="0.4">
      <c r="A585" t="str">
        <f t="shared" si="19"/>
        <v/>
      </c>
      <c r="B585" t="str">
        <f t="shared" si="18"/>
        <v/>
      </c>
    </row>
    <row r="586" spans="1:2" x14ac:dyDescent="0.4">
      <c r="A586" t="str">
        <f t="shared" si="19"/>
        <v/>
      </c>
      <c r="B586" t="str">
        <f t="shared" si="18"/>
        <v/>
      </c>
    </row>
    <row r="587" spans="1:2" x14ac:dyDescent="0.4">
      <c r="A587" t="str">
        <f t="shared" si="19"/>
        <v/>
      </c>
      <c r="B587" t="str">
        <f t="shared" si="18"/>
        <v/>
      </c>
    </row>
    <row r="588" spans="1:2" x14ac:dyDescent="0.4">
      <c r="A588" t="str">
        <f t="shared" si="19"/>
        <v/>
      </c>
      <c r="B588" t="str">
        <f t="shared" si="18"/>
        <v/>
      </c>
    </row>
    <row r="589" spans="1:2" x14ac:dyDescent="0.4">
      <c r="A589" t="str">
        <f t="shared" si="19"/>
        <v/>
      </c>
      <c r="B589" t="str">
        <f t="shared" si="18"/>
        <v/>
      </c>
    </row>
    <row r="590" spans="1:2" x14ac:dyDescent="0.4">
      <c r="A590" t="str">
        <f t="shared" si="19"/>
        <v/>
      </c>
      <c r="B590" t="str">
        <f t="shared" si="18"/>
        <v/>
      </c>
    </row>
    <row r="591" spans="1:2" x14ac:dyDescent="0.4">
      <c r="A591" t="str">
        <f t="shared" si="19"/>
        <v/>
      </c>
      <c r="B591" t="str">
        <f t="shared" si="18"/>
        <v/>
      </c>
    </row>
    <row r="592" spans="1:2" x14ac:dyDescent="0.4">
      <c r="A592" t="str">
        <f t="shared" si="19"/>
        <v/>
      </c>
      <c r="B592" t="str">
        <f t="shared" si="18"/>
        <v/>
      </c>
    </row>
    <row r="593" spans="1:2" x14ac:dyDescent="0.4">
      <c r="A593" t="str">
        <f t="shared" si="19"/>
        <v/>
      </c>
      <c r="B593" t="str">
        <f t="shared" si="18"/>
        <v/>
      </c>
    </row>
    <row r="594" spans="1:2" x14ac:dyDescent="0.4">
      <c r="A594" t="str">
        <f t="shared" si="19"/>
        <v/>
      </c>
      <c r="B594" t="str">
        <f t="shared" si="18"/>
        <v/>
      </c>
    </row>
    <row r="595" spans="1:2" x14ac:dyDescent="0.4">
      <c r="A595" t="str">
        <f t="shared" si="19"/>
        <v/>
      </c>
      <c r="B595" t="str">
        <f t="shared" si="18"/>
        <v/>
      </c>
    </row>
    <row r="596" spans="1:2" x14ac:dyDescent="0.4">
      <c r="A596" t="str">
        <f t="shared" si="19"/>
        <v/>
      </c>
      <c r="B596" t="str">
        <f t="shared" si="18"/>
        <v/>
      </c>
    </row>
    <row r="597" spans="1:2" x14ac:dyDescent="0.4">
      <c r="A597" t="str">
        <f t="shared" si="19"/>
        <v/>
      </c>
      <c r="B597" t="str">
        <f t="shared" si="18"/>
        <v/>
      </c>
    </row>
    <row r="598" spans="1:2" x14ac:dyDescent="0.4">
      <c r="A598" t="str">
        <f t="shared" si="19"/>
        <v/>
      </c>
      <c r="B598" t="str">
        <f t="shared" si="18"/>
        <v/>
      </c>
    </row>
    <row r="599" spans="1:2" x14ac:dyDescent="0.4">
      <c r="A599" t="str">
        <f t="shared" si="19"/>
        <v/>
      </c>
      <c r="B599" t="str">
        <f t="shared" si="18"/>
        <v/>
      </c>
    </row>
    <row r="600" spans="1:2" x14ac:dyDescent="0.4">
      <c r="A600" t="str">
        <f t="shared" si="19"/>
        <v/>
      </c>
      <c r="B600" t="str">
        <f t="shared" si="18"/>
        <v/>
      </c>
    </row>
    <row r="601" spans="1:2" x14ac:dyDescent="0.4">
      <c r="A601" t="str">
        <f t="shared" si="19"/>
        <v/>
      </c>
      <c r="B601" t="str">
        <f t="shared" si="18"/>
        <v/>
      </c>
    </row>
    <row r="602" spans="1:2" x14ac:dyDescent="0.4">
      <c r="A602" t="str">
        <f t="shared" si="19"/>
        <v/>
      </c>
      <c r="B602" t="str">
        <f t="shared" si="18"/>
        <v/>
      </c>
    </row>
    <row r="603" spans="1:2" x14ac:dyDescent="0.4">
      <c r="A603" t="str">
        <f t="shared" si="19"/>
        <v/>
      </c>
      <c r="B603" t="str">
        <f t="shared" si="18"/>
        <v/>
      </c>
    </row>
    <row r="604" spans="1:2" x14ac:dyDescent="0.4">
      <c r="A604" t="str">
        <f t="shared" si="19"/>
        <v/>
      </c>
      <c r="B604" t="str">
        <f t="shared" si="18"/>
        <v/>
      </c>
    </row>
    <row r="605" spans="1:2" x14ac:dyDescent="0.4">
      <c r="A605" t="str">
        <f t="shared" si="19"/>
        <v/>
      </c>
      <c r="B605" t="str">
        <f t="shared" si="18"/>
        <v/>
      </c>
    </row>
    <row r="606" spans="1:2" x14ac:dyDescent="0.4">
      <c r="A606" t="str">
        <f t="shared" si="19"/>
        <v/>
      </c>
      <c r="B606" t="str">
        <f t="shared" si="18"/>
        <v/>
      </c>
    </row>
    <row r="607" spans="1:2" x14ac:dyDescent="0.4">
      <c r="A607" t="str">
        <f t="shared" si="19"/>
        <v/>
      </c>
      <c r="B607" t="str">
        <f t="shared" si="18"/>
        <v/>
      </c>
    </row>
    <row r="608" spans="1:2" x14ac:dyDescent="0.4">
      <c r="A608" t="str">
        <f t="shared" si="19"/>
        <v/>
      </c>
      <c r="B608" t="str">
        <f t="shared" si="18"/>
        <v/>
      </c>
    </row>
    <row r="609" spans="1:2" x14ac:dyDescent="0.4">
      <c r="A609" t="str">
        <f t="shared" si="19"/>
        <v/>
      </c>
      <c r="B609" t="str">
        <f t="shared" si="18"/>
        <v/>
      </c>
    </row>
    <row r="610" spans="1:2" x14ac:dyDescent="0.4">
      <c r="A610" t="str">
        <f t="shared" si="19"/>
        <v/>
      </c>
      <c r="B610" t="str">
        <f t="shared" si="18"/>
        <v/>
      </c>
    </row>
    <row r="611" spans="1:2" x14ac:dyDescent="0.4">
      <c r="A611" t="str">
        <f t="shared" si="19"/>
        <v/>
      </c>
      <c r="B611" t="str">
        <f t="shared" si="18"/>
        <v/>
      </c>
    </row>
    <row r="612" spans="1:2" x14ac:dyDescent="0.4">
      <c r="A612" t="str">
        <f t="shared" si="19"/>
        <v/>
      </c>
      <c r="B612" t="str">
        <f t="shared" si="18"/>
        <v/>
      </c>
    </row>
    <row r="613" spans="1:2" x14ac:dyDescent="0.4">
      <c r="A613" t="str">
        <f t="shared" si="19"/>
        <v/>
      </c>
      <c r="B613" t="str">
        <f t="shared" si="18"/>
        <v/>
      </c>
    </row>
    <row r="614" spans="1:2" x14ac:dyDescent="0.4">
      <c r="A614" t="str">
        <f t="shared" si="19"/>
        <v/>
      </c>
      <c r="B614" t="str">
        <f t="shared" si="18"/>
        <v/>
      </c>
    </row>
    <row r="615" spans="1:2" x14ac:dyDescent="0.4">
      <c r="A615" t="str">
        <f t="shared" si="19"/>
        <v/>
      </c>
      <c r="B615" t="str">
        <f t="shared" si="18"/>
        <v/>
      </c>
    </row>
    <row r="616" spans="1:2" x14ac:dyDescent="0.4">
      <c r="A616" t="str">
        <f t="shared" si="19"/>
        <v/>
      </c>
      <c r="B616" t="str">
        <f t="shared" si="18"/>
        <v/>
      </c>
    </row>
    <row r="617" spans="1:2" x14ac:dyDescent="0.4">
      <c r="A617" t="str">
        <f t="shared" si="19"/>
        <v/>
      </c>
      <c r="B617" t="str">
        <f t="shared" si="18"/>
        <v/>
      </c>
    </row>
    <row r="618" spans="1:2" x14ac:dyDescent="0.4">
      <c r="A618" t="str">
        <f t="shared" si="19"/>
        <v/>
      </c>
      <c r="B618" t="str">
        <f t="shared" si="18"/>
        <v/>
      </c>
    </row>
    <row r="619" spans="1:2" x14ac:dyDescent="0.4">
      <c r="A619" t="str">
        <f t="shared" si="19"/>
        <v/>
      </c>
      <c r="B619" t="str">
        <f t="shared" si="18"/>
        <v/>
      </c>
    </row>
    <row r="620" spans="1:2" x14ac:dyDescent="0.4">
      <c r="A620" t="str">
        <f t="shared" si="19"/>
        <v/>
      </c>
      <c r="B620" t="str">
        <f t="shared" si="18"/>
        <v/>
      </c>
    </row>
    <row r="621" spans="1:2" x14ac:dyDescent="0.4">
      <c r="A621" t="str">
        <f t="shared" si="19"/>
        <v/>
      </c>
      <c r="B621" t="str">
        <f t="shared" si="18"/>
        <v/>
      </c>
    </row>
    <row r="622" spans="1:2" x14ac:dyDescent="0.4">
      <c r="A622" t="str">
        <f t="shared" si="19"/>
        <v/>
      </c>
      <c r="B622" t="str">
        <f t="shared" si="18"/>
        <v/>
      </c>
    </row>
    <row r="623" spans="1:2" x14ac:dyDescent="0.4">
      <c r="A623" t="str">
        <f t="shared" si="19"/>
        <v/>
      </c>
      <c r="B623" t="str">
        <f t="shared" si="18"/>
        <v/>
      </c>
    </row>
    <row r="624" spans="1:2" x14ac:dyDescent="0.4">
      <c r="A624" t="str">
        <f t="shared" si="19"/>
        <v/>
      </c>
      <c r="B624" t="str">
        <f t="shared" si="18"/>
        <v/>
      </c>
    </row>
    <row r="625" spans="1:2" x14ac:dyDescent="0.4">
      <c r="A625" t="str">
        <f t="shared" si="19"/>
        <v/>
      </c>
      <c r="B625" t="str">
        <f t="shared" si="18"/>
        <v/>
      </c>
    </row>
    <row r="626" spans="1:2" x14ac:dyDescent="0.4">
      <c r="A626" t="str">
        <f t="shared" si="19"/>
        <v/>
      </c>
      <c r="B626" t="str">
        <f t="shared" si="18"/>
        <v/>
      </c>
    </row>
    <row r="627" spans="1:2" x14ac:dyDescent="0.4">
      <c r="A627" t="str">
        <f t="shared" si="19"/>
        <v/>
      </c>
      <c r="B627" t="str">
        <f t="shared" si="18"/>
        <v/>
      </c>
    </row>
    <row r="628" spans="1:2" x14ac:dyDescent="0.4">
      <c r="A628" t="str">
        <f t="shared" si="19"/>
        <v/>
      </c>
      <c r="B628" t="str">
        <f t="shared" si="18"/>
        <v/>
      </c>
    </row>
    <row r="629" spans="1:2" x14ac:dyDescent="0.4">
      <c r="A629" t="str">
        <f t="shared" si="19"/>
        <v/>
      </c>
      <c r="B629" t="str">
        <f t="shared" si="18"/>
        <v/>
      </c>
    </row>
    <row r="630" spans="1:2" x14ac:dyDescent="0.4">
      <c r="A630" t="str">
        <f t="shared" si="19"/>
        <v/>
      </c>
      <c r="B630" t="str">
        <f t="shared" si="18"/>
        <v/>
      </c>
    </row>
    <row r="631" spans="1:2" x14ac:dyDescent="0.4">
      <c r="A631" t="str">
        <f t="shared" si="19"/>
        <v/>
      </c>
      <c r="B631" t="str">
        <f t="shared" si="18"/>
        <v/>
      </c>
    </row>
    <row r="632" spans="1:2" x14ac:dyDescent="0.4">
      <c r="A632" t="str">
        <f t="shared" si="19"/>
        <v/>
      </c>
      <c r="B632" t="str">
        <f t="shared" si="18"/>
        <v/>
      </c>
    </row>
    <row r="633" spans="1:2" x14ac:dyDescent="0.4">
      <c r="A633" t="str">
        <f t="shared" si="19"/>
        <v/>
      </c>
      <c r="B633" t="str">
        <f t="shared" si="18"/>
        <v/>
      </c>
    </row>
    <row r="634" spans="1:2" x14ac:dyDescent="0.4">
      <c r="A634" t="str">
        <f t="shared" si="19"/>
        <v/>
      </c>
      <c r="B634" t="str">
        <f t="shared" si="18"/>
        <v/>
      </c>
    </row>
    <row r="635" spans="1:2" x14ac:dyDescent="0.4">
      <c r="A635" t="str">
        <f t="shared" si="19"/>
        <v/>
      </c>
      <c r="B635" t="str">
        <f t="shared" si="18"/>
        <v/>
      </c>
    </row>
    <row r="636" spans="1:2" x14ac:dyDescent="0.4">
      <c r="A636" t="str">
        <f t="shared" si="19"/>
        <v/>
      </c>
      <c r="B636" t="str">
        <f t="shared" si="18"/>
        <v/>
      </c>
    </row>
    <row r="637" spans="1:2" x14ac:dyDescent="0.4">
      <c r="A637" t="str">
        <f t="shared" si="19"/>
        <v/>
      </c>
      <c r="B637" t="str">
        <f t="shared" si="18"/>
        <v/>
      </c>
    </row>
    <row r="638" spans="1:2" x14ac:dyDescent="0.4">
      <c r="A638" t="str">
        <f t="shared" si="19"/>
        <v/>
      </c>
      <c r="B638" t="str">
        <f t="shared" si="18"/>
        <v/>
      </c>
    </row>
    <row r="639" spans="1:2" x14ac:dyDescent="0.4">
      <c r="A639" t="str">
        <f t="shared" si="19"/>
        <v/>
      </c>
      <c r="B639" t="str">
        <f t="shared" si="18"/>
        <v/>
      </c>
    </row>
    <row r="640" spans="1:2" x14ac:dyDescent="0.4">
      <c r="A640" t="str">
        <f t="shared" si="19"/>
        <v/>
      </c>
      <c r="B640" t="str">
        <f t="shared" si="18"/>
        <v/>
      </c>
    </row>
    <row r="641" spans="1:2" x14ac:dyDescent="0.4">
      <c r="A641" t="str">
        <f t="shared" si="19"/>
        <v/>
      </c>
      <c r="B641" t="str">
        <f t="shared" si="18"/>
        <v/>
      </c>
    </row>
    <row r="642" spans="1:2" x14ac:dyDescent="0.4">
      <c r="A642" t="str">
        <f t="shared" si="19"/>
        <v/>
      </c>
      <c r="B642" t="str">
        <f t="shared" ref="B642:B705" si="20">IF($G642="","",IFERROR($I642*$J642/1000000/PriceDiv*_xlfn.XLOOKUP($K642,FX_Ccy,FX_Rate),""))</f>
        <v/>
      </c>
    </row>
    <row r="643" spans="1:2" x14ac:dyDescent="0.4">
      <c r="A643" t="str">
        <f t="shared" ref="A643:A706" si="21">IF(G643&lt;&gt;"",G643,"")</f>
        <v/>
      </c>
      <c r="B643" t="str">
        <f t="shared" si="20"/>
        <v/>
      </c>
    </row>
    <row r="644" spans="1:2" x14ac:dyDescent="0.4">
      <c r="A644" t="str">
        <f t="shared" si="21"/>
        <v/>
      </c>
      <c r="B644" t="str">
        <f t="shared" si="20"/>
        <v/>
      </c>
    </row>
    <row r="645" spans="1:2" x14ac:dyDescent="0.4">
      <c r="A645" t="str">
        <f t="shared" si="21"/>
        <v/>
      </c>
      <c r="B645" t="str">
        <f t="shared" si="20"/>
        <v/>
      </c>
    </row>
    <row r="646" spans="1:2" x14ac:dyDescent="0.4">
      <c r="A646" t="str">
        <f t="shared" si="21"/>
        <v/>
      </c>
      <c r="B646" t="str">
        <f t="shared" si="20"/>
        <v/>
      </c>
    </row>
    <row r="647" spans="1:2" x14ac:dyDescent="0.4">
      <c r="A647" t="str">
        <f t="shared" si="21"/>
        <v/>
      </c>
      <c r="B647" t="str">
        <f t="shared" si="20"/>
        <v/>
      </c>
    </row>
    <row r="648" spans="1:2" x14ac:dyDescent="0.4">
      <c r="A648" t="str">
        <f t="shared" si="21"/>
        <v/>
      </c>
      <c r="B648" t="str">
        <f t="shared" si="20"/>
        <v/>
      </c>
    </row>
    <row r="649" spans="1:2" x14ac:dyDescent="0.4">
      <c r="A649" t="str">
        <f t="shared" si="21"/>
        <v/>
      </c>
      <c r="B649" t="str">
        <f t="shared" si="20"/>
        <v/>
      </c>
    </row>
    <row r="650" spans="1:2" x14ac:dyDescent="0.4">
      <c r="A650" t="str">
        <f t="shared" si="21"/>
        <v/>
      </c>
      <c r="B650" t="str">
        <f t="shared" si="20"/>
        <v/>
      </c>
    </row>
    <row r="651" spans="1:2" x14ac:dyDescent="0.4">
      <c r="A651" t="str">
        <f t="shared" si="21"/>
        <v/>
      </c>
      <c r="B651" t="str">
        <f t="shared" si="20"/>
        <v/>
      </c>
    </row>
    <row r="652" spans="1:2" x14ac:dyDescent="0.4">
      <c r="A652" t="str">
        <f t="shared" si="21"/>
        <v/>
      </c>
      <c r="B652" t="str">
        <f t="shared" si="20"/>
        <v/>
      </c>
    </row>
    <row r="653" spans="1:2" x14ac:dyDescent="0.4">
      <c r="A653" t="str">
        <f t="shared" si="21"/>
        <v/>
      </c>
      <c r="B653" t="str">
        <f t="shared" si="20"/>
        <v/>
      </c>
    </row>
    <row r="654" spans="1:2" x14ac:dyDescent="0.4">
      <c r="A654" t="str">
        <f t="shared" si="21"/>
        <v/>
      </c>
      <c r="B654" t="str">
        <f t="shared" si="20"/>
        <v/>
      </c>
    </row>
    <row r="655" spans="1:2" x14ac:dyDescent="0.4">
      <c r="A655" t="str">
        <f t="shared" si="21"/>
        <v/>
      </c>
      <c r="B655" t="str">
        <f t="shared" si="20"/>
        <v/>
      </c>
    </row>
    <row r="656" spans="1:2" x14ac:dyDescent="0.4">
      <c r="A656" t="str">
        <f t="shared" si="21"/>
        <v/>
      </c>
      <c r="B656" t="str">
        <f t="shared" si="20"/>
        <v/>
      </c>
    </row>
    <row r="657" spans="1:2" x14ac:dyDescent="0.4">
      <c r="A657" t="str">
        <f t="shared" si="21"/>
        <v/>
      </c>
      <c r="B657" t="str">
        <f t="shared" si="20"/>
        <v/>
      </c>
    </row>
    <row r="658" spans="1:2" x14ac:dyDescent="0.4">
      <c r="A658" t="str">
        <f t="shared" si="21"/>
        <v/>
      </c>
      <c r="B658" t="str">
        <f t="shared" si="20"/>
        <v/>
      </c>
    </row>
    <row r="659" spans="1:2" x14ac:dyDescent="0.4">
      <c r="A659" t="str">
        <f t="shared" si="21"/>
        <v/>
      </c>
      <c r="B659" t="str">
        <f t="shared" si="20"/>
        <v/>
      </c>
    </row>
    <row r="660" spans="1:2" x14ac:dyDescent="0.4">
      <c r="A660" t="str">
        <f t="shared" si="21"/>
        <v/>
      </c>
      <c r="B660" t="str">
        <f t="shared" si="20"/>
        <v/>
      </c>
    </row>
    <row r="661" spans="1:2" x14ac:dyDescent="0.4">
      <c r="A661" t="str">
        <f t="shared" si="21"/>
        <v/>
      </c>
      <c r="B661" t="str">
        <f t="shared" si="20"/>
        <v/>
      </c>
    </row>
    <row r="662" spans="1:2" x14ac:dyDescent="0.4">
      <c r="A662" t="str">
        <f t="shared" si="21"/>
        <v/>
      </c>
      <c r="B662" t="str">
        <f t="shared" si="20"/>
        <v/>
      </c>
    </row>
    <row r="663" spans="1:2" x14ac:dyDescent="0.4">
      <c r="A663" t="str">
        <f t="shared" si="21"/>
        <v/>
      </c>
      <c r="B663" t="str">
        <f t="shared" si="20"/>
        <v/>
      </c>
    </row>
    <row r="664" spans="1:2" x14ac:dyDescent="0.4">
      <c r="A664" t="str">
        <f t="shared" si="21"/>
        <v/>
      </c>
      <c r="B664" t="str">
        <f t="shared" si="20"/>
        <v/>
      </c>
    </row>
    <row r="665" spans="1:2" x14ac:dyDescent="0.4">
      <c r="A665" t="str">
        <f t="shared" si="21"/>
        <v/>
      </c>
      <c r="B665" t="str">
        <f t="shared" si="20"/>
        <v/>
      </c>
    </row>
    <row r="666" spans="1:2" x14ac:dyDescent="0.4">
      <c r="A666" t="str">
        <f t="shared" si="21"/>
        <v/>
      </c>
      <c r="B666" t="str">
        <f t="shared" si="20"/>
        <v/>
      </c>
    </row>
    <row r="667" spans="1:2" x14ac:dyDescent="0.4">
      <c r="A667" t="str">
        <f t="shared" si="21"/>
        <v/>
      </c>
      <c r="B667" t="str">
        <f t="shared" si="20"/>
        <v/>
      </c>
    </row>
    <row r="668" spans="1:2" x14ac:dyDescent="0.4">
      <c r="A668" t="str">
        <f t="shared" si="21"/>
        <v/>
      </c>
      <c r="B668" t="str">
        <f t="shared" si="20"/>
        <v/>
      </c>
    </row>
    <row r="669" spans="1:2" x14ac:dyDescent="0.4">
      <c r="A669" t="str">
        <f t="shared" si="21"/>
        <v/>
      </c>
      <c r="B669" t="str">
        <f t="shared" si="20"/>
        <v/>
      </c>
    </row>
    <row r="670" spans="1:2" x14ac:dyDescent="0.4">
      <c r="A670" t="str">
        <f t="shared" si="21"/>
        <v/>
      </c>
      <c r="B670" t="str">
        <f t="shared" si="20"/>
        <v/>
      </c>
    </row>
    <row r="671" spans="1:2" x14ac:dyDescent="0.4">
      <c r="A671" t="str">
        <f t="shared" si="21"/>
        <v/>
      </c>
      <c r="B671" t="str">
        <f t="shared" si="20"/>
        <v/>
      </c>
    </row>
    <row r="672" spans="1:2" x14ac:dyDescent="0.4">
      <c r="A672" t="str">
        <f t="shared" si="21"/>
        <v/>
      </c>
      <c r="B672" t="str">
        <f t="shared" si="20"/>
        <v/>
      </c>
    </row>
    <row r="673" spans="1:2" x14ac:dyDescent="0.4">
      <c r="A673" t="str">
        <f t="shared" si="21"/>
        <v/>
      </c>
      <c r="B673" t="str">
        <f t="shared" si="20"/>
        <v/>
      </c>
    </row>
    <row r="674" spans="1:2" x14ac:dyDescent="0.4">
      <c r="A674" t="str">
        <f t="shared" si="21"/>
        <v/>
      </c>
      <c r="B674" t="str">
        <f t="shared" si="20"/>
        <v/>
      </c>
    </row>
    <row r="675" spans="1:2" x14ac:dyDescent="0.4">
      <c r="A675" t="str">
        <f t="shared" si="21"/>
        <v/>
      </c>
      <c r="B675" t="str">
        <f t="shared" si="20"/>
        <v/>
      </c>
    </row>
    <row r="676" spans="1:2" x14ac:dyDescent="0.4">
      <c r="A676" t="str">
        <f t="shared" si="21"/>
        <v/>
      </c>
      <c r="B676" t="str">
        <f t="shared" si="20"/>
        <v/>
      </c>
    </row>
    <row r="677" spans="1:2" x14ac:dyDescent="0.4">
      <c r="A677" t="str">
        <f t="shared" si="21"/>
        <v/>
      </c>
      <c r="B677" t="str">
        <f t="shared" si="20"/>
        <v/>
      </c>
    </row>
    <row r="678" spans="1:2" x14ac:dyDescent="0.4">
      <c r="A678" t="str">
        <f t="shared" si="21"/>
        <v/>
      </c>
      <c r="B678" t="str">
        <f t="shared" si="20"/>
        <v/>
      </c>
    </row>
    <row r="679" spans="1:2" x14ac:dyDescent="0.4">
      <c r="A679" t="str">
        <f t="shared" si="21"/>
        <v/>
      </c>
      <c r="B679" t="str">
        <f t="shared" si="20"/>
        <v/>
      </c>
    </row>
    <row r="680" spans="1:2" x14ac:dyDescent="0.4">
      <c r="A680" t="str">
        <f t="shared" si="21"/>
        <v/>
      </c>
      <c r="B680" t="str">
        <f t="shared" si="20"/>
        <v/>
      </c>
    </row>
    <row r="681" spans="1:2" x14ac:dyDescent="0.4">
      <c r="A681" t="str">
        <f t="shared" si="21"/>
        <v/>
      </c>
      <c r="B681" t="str">
        <f t="shared" si="20"/>
        <v/>
      </c>
    </row>
    <row r="682" spans="1:2" x14ac:dyDescent="0.4">
      <c r="A682" t="str">
        <f t="shared" si="21"/>
        <v/>
      </c>
      <c r="B682" t="str">
        <f t="shared" si="20"/>
        <v/>
      </c>
    </row>
    <row r="683" spans="1:2" x14ac:dyDescent="0.4">
      <c r="A683" t="str">
        <f t="shared" si="21"/>
        <v/>
      </c>
      <c r="B683" t="str">
        <f t="shared" si="20"/>
        <v/>
      </c>
    </row>
    <row r="684" spans="1:2" x14ac:dyDescent="0.4">
      <c r="A684" t="str">
        <f t="shared" si="21"/>
        <v/>
      </c>
      <c r="B684" t="str">
        <f t="shared" si="20"/>
        <v/>
      </c>
    </row>
    <row r="685" spans="1:2" x14ac:dyDescent="0.4">
      <c r="A685" t="str">
        <f t="shared" si="21"/>
        <v/>
      </c>
      <c r="B685" t="str">
        <f t="shared" si="20"/>
        <v/>
      </c>
    </row>
    <row r="686" spans="1:2" x14ac:dyDescent="0.4">
      <c r="A686" t="str">
        <f t="shared" si="21"/>
        <v/>
      </c>
      <c r="B686" t="str">
        <f t="shared" si="20"/>
        <v/>
      </c>
    </row>
    <row r="687" spans="1:2" x14ac:dyDescent="0.4">
      <c r="A687" t="str">
        <f t="shared" si="21"/>
        <v/>
      </c>
      <c r="B687" t="str">
        <f t="shared" si="20"/>
        <v/>
      </c>
    </row>
    <row r="688" spans="1:2" x14ac:dyDescent="0.4">
      <c r="A688" t="str">
        <f t="shared" si="21"/>
        <v/>
      </c>
      <c r="B688" t="str">
        <f t="shared" si="20"/>
        <v/>
      </c>
    </row>
    <row r="689" spans="1:2" x14ac:dyDescent="0.4">
      <c r="A689" t="str">
        <f t="shared" si="21"/>
        <v/>
      </c>
      <c r="B689" t="str">
        <f t="shared" si="20"/>
        <v/>
      </c>
    </row>
    <row r="690" spans="1:2" x14ac:dyDescent="0.4">
      <c r="A690" t="str">
        <f t="shared" si="21"/>
        <v/>
      </c>
      <c r="B690" t="str">
        <f t="shared" si="20"/>
        <v/>
      </c>
    </row>
    <row r="691" spans="1:2" x14ac:dyDescent="0.4">
      <c r="A691" t="str">
        <f t="shared" si="21"/>
        <v/>
      </c>
      <c r="B691" t="str">
        <f t="shared" si="20"/>
        <v/>
      </c>
    </row>
    <row r="692" spans="1:2" x14ac:dyDescent="0.4">
      <c r="A692" t="str">
        <f t="shared" si="21"/>
        <v/>
      </c>
      <c r="B692" t="str">
        <f t="shared" si="20"/>
        <v/>
      </c>
    </row>
    <row r="693" spans="1:2" x14ac:dyDescent="0.4">
      <c r="A693" t="str">
        <f t="shared" si="21"/>
        <v/>
      </c>
      <c r="B693" t="str">
        <f t="shared" si="20"/>
        <v/>
      </c>
    </row>
    <row r="694" spans="1:2" x14ac:dyDescent="0.4">
      <c r="A694" t="str">
        <f t="shared" si="21"/>
        <v/>
      </c>
      <c r="B694" t="str">
        <f t="shared" si="20"/>
        <v/>
      </c>
    </row>
    <row r="695" spans="1:2" x14ac:dyDescent="0.4">
      <c r="A695" t="str">
        <f t="shared" si="21"/>
        <v/>
      </c>
      <c r="B695" t="str">
        <f t="shared" si="20"/>
        <v/>
      </c>
    </row>
    <row r="696" spans="1:2" x14ac:dyDescent="0.4">
      <c r="A696" t="str">
        <f t="shared" si="21"/>
        <v/>
      </c>
      <c r="B696" t="str">
        <f t="shared" si="20"/>
        <v/>
      </c>
    </row>
    <row r="697" spans="1:2" x14ac:dyDescent="0.4">
      <c r="A697" t="str">
        <f t="shared" si="21"/>
        <v/>
      </c>
      <c r="B697" t="str">
        <f t="shared" si="20"/>
        <v/>
      </c>
    </row>
    <row r="698" spans="1:2" x14ac:dyDescent="0.4">
      <c r="A698" t="str">
        <f t="shared" si="21"/>
        <v/>
      </c>
      <c r="B698" t="str">
        <f t="shared" si="20"/>
        <v/>
      </c>
    </row>
    <row r="699" spans="1:2" x14ac:dyDescent="0.4">
      <c r="A699" t="str">
        <f t="shared" si="21"/>
        <v/>
      </c>
      <c r="B699" t="str">
        <f t="shared" si="20"/>
        <v/>
      </c>
    </row>
    <row r="700" spans="1:2" x14ac:dyDescent="0.4">
      <c r="A700" t="str">
        <f t="shared" si="21"/>
        <v/>
      </c>
      <c r="B700" t="str">
        <f t="shared" si="20"/>
        <v/>
      </c>
    </row>
    <row r="701" spans="1:2" x14ac:dyDescent="0.4">
      <c r="A701" t="str">
        <f t="shared" si="21"/>
        <v/>
      </c>
      <c r="B701" t="str">
        <f t="shared" si="20"/>
        <v/>
      </c>
    </row>
    <row r="702" spans="1:2" x14ac:dyDescent="0.4">
      <c r="A702" t="str">
        <f t="shared" si="21"/>
        <v/>
      </c>
      <c r="B702" t="str">
        <f t="shared" si="20"/>
        <v/>
      </c>
    </row>
    <row r="703" spans="1:2" x14ac:dyDescent="0.4">
      <c r="A703" t="str">
        <f t="shared" si="21"/>
        <v/>
      </c>
      <c r="B703" t="str">
        <f t="shared" si="20"/>
        <v/>
      </c>
    </row>
    <row r="704" spans="1:2" x14ac:dyDescent="0.4">
      <c r="A704" t="str">
        <f t="shared" si="21"/>
        <v/>
      </c>
      <c r="B704" t="str">
        <f t="shared" si="20"/>
        <v/>
      </c>
    </row>
    <row r="705" spans="1:2" x14ac:dyDescent="0.4">
      <c r="A705" t="str">
        <f t="shared" si="21"/>
        <v/>
      </c>
      <c r="B705" t="str">
        <f t="shared" si="20"/>
        <v/>
      </c>
    </row>
    <row r="706" spans="1:2" x14ac:dyDescent="0.4">
      <c r="A706" t="str">
        <f t="shared" si="21"/>
        <v/>
      </c>
      <c r="B706" t="str">
        <f t="shared" ref="B706:B769" si="22">IF($G706="","",IFERROR($I706*$J706/1000000/PriceDiv*_xlfn.XLOOKUP($K706,FX_Ccy,FX_Rate),""))</f>
        <v/>
      </c>
    </row>
    <row r="707" spans="1:2" x14ac:dyDescent="0.4">
      <c r="A707" t="str">
        <f t="shared" ref="A707:A770" si="23">IF(G707&lt;&gt;"",G707,"")</f>
        <v/>
      </c>
      <c r="B707" t="str">
        <f t="shared" si="22"/>
        <v/>
      </c>
    </row>
    <row r="708" spans="1:2" x14ac:dyDescent="0.4">
      <c r="A708" t="str">
        <f t="shared" si="23"/>
        <v/>
      </c>
      <c r="B708" t="str">
        <f t="shared" si="22"/>
        <v/>
      </c>
    </row>
    <row r="709" spans="1:2" x14ac:dyDescent="0.4">
      <c r="A709" t="str">
        <f t="shared" si="23"/>
        <v/>
      </c>
      <c r="B709" t="str">
        <f t="shared" si="22"/>
        <v/>
      </c>
    </row>
    <row r="710" spans="1:2" x14ac:dyDescent="0.4">
      <c r="A710" t="str">
        <f t="shared" si="23"/>
        <v/>
      </c>
      <c r="B710" t="str">
        <f t="shared" si="22"/>
        <v/>
      </c>
    </row>
    <row r="711" spans="1:2" x14ac:dyDescent="0.4">
      <c r="A711" t="str">
        <f t="shared" si="23"/>
        <v/>
      </c>
      <c r="B711" t="str">
        <f t="shared" si="22"/>
        <v/>
      </c>
    </row>
    <row r="712" spans="1:2" x14ac:dyDescent="0.4">
      <c r="A712" t="str">
        <f t="shared" si="23"/>
        <v/>
      </c>
      <c r="B712" t="str">
        <f t="shared" si="22"/>
        <v/>
      </c>
    </row>
    <row r="713" spans="1:2" x14ac:dyDescent="0.4">
      <c r="A713" t="str">
        <f t="shared" si="23"/>
        <v/>
      </c>
      <c r="B713" t="str">
        <f t="shared" si="22"/>
        <v/>
      </c>
    </row>
    <row r="714" spans="1:2" x14ac:dyDescent="0.4">
      <c r="A714" t="str">
        <f t="shared" si="23"/>
        <v/>
      </c>
      <c r="B714" t="str">
        <f t="shared" si="22"/>
        <v/>
      </c>
    </row>
    <row r="715" spans="1:2" x14ac:dyDescent="0.4">
      <c r="A715" t="str">
        <f t="shared" si="23"/>
        <v/>
      </c>
      <c r="B715" t="str">
        <f t="shared" si="22"/>
        <v/>
      </c>
    </row>
    <row r="716" spans="1:2" x14ac:dyDescent="0.4">
      <c r="A716" t="str">
        <f t="shared" si="23"/>
        <v/>
      </c>
      <c r="B716" t="str">
        <f t="shared" si="22"/>
        <v/>
      </c>
    </row>
    <row r="717" spans="1:2" x14ac:dyDescent="0.4">
      <c r="A717" t="str">
        <f t="shared" si="23"/>
        <v/>
      </c>
      <c r="B717" t="str">
        <f t="shared" si="22"/>
        <v/>
      </c>
    </row>
    <row r="718" spans="1:2" x14ac:dyDescent="0.4">
      <c r="A718" t="str">
        <f t="shared" si="23"/>
        <v/>
      </c>
      <c r="B718" t="str">
        <f t="shared" si="22"/>
        <v/>
      </c>
    </row>
    <row r="719" spans="1:2" x14ac:dyDescent="0.4">
      <c r="A719" t="str">
        <f t="shared" si="23"/>
        <v/>
      </c>
      <c r="B719" t="str">
        <f t="shared" si="22"/>
        <v/>
      </c>
    </row>
    <row r="720" spans="1:2" x14ac:dyDescent="0.4">
      <c r="A720" t="str">
        <f t="shared" si="23"/>
        <v/>
      </c>
      <c r="B720" t="str">
        <f t="shared" si="22"/>
        <v/>
      </c>
    </row>
    <row r="721" spans="1:2" x14ac:dyDescent="0.4">
      <c r="A721" t="str">
        <f t="shared" si="23"/>
        <v/>
      </c>
      <c r="B721" t="str">
        <f t="shared" si="22"/>
        <v/>
      </c>
    </row>
    <row r="722" spans="1:2" x14ac:dyDescent="0.4">
      <c r="A722" t="str">
        <f t="shared" si="23"/>
        <v/>
      </c>
      <c r="B722" t="str">
        <f t="shared" si="22"/>
        <v/>
      </c>
    </row>
    <row r="723" spans="1:2" x14ac:dyDescent="0.4">
      <c r="A723" t="str">
        <f t="shared" si="23"/>
        <v/>
      </c>
      <c r="B723" t="str">
        <f t="shared" si="22"/>
        <v/>
      </c>
    </row>
    <row r="724" spans="1:2" x14ac:dyDescent="0.4">
      <c r="A724" t="str">
        <f t="shared" si="23"/>
        <v/>
      </c>
      <c r="B724" t="str">
        <f t="shared" si="22"/>
        <v/>
      </c>
    </row>
    <row r="725" spans="1:2" x14ac:dyDescent="0.4">
      <c r="A725" t="str">
        <f t="shared" si="23"/>
        <v/>
      </c>
      <c r="B725" t="str">
        <f t="shared" si="22"/>
        <v/>
      </c>
    </row>
    <row r="726" spans="1:2" x14ac:dyDescent="0.4">
      <c r="A726" t="str">
        <f t="shared" si="23"/>
        <v/>
      </c>
      <c r="B726" t="str">
        <f t="shared" si="22"/>
        <v/>
      </c>
    </row>
    <row r="727" spans="1:2" x14ac:dyDescent="0.4">
      <c r="A727" t="str">
        <f t="shared" si="23"/>
        <v/>
      </c>
      <c r="B727" t="str">
        <f t="shared" si="22"/>
        <v/>
      </c>
    </row>
    <row r="728" spans="1:2" x14ac:dyDescent="0.4">
      <c r="A728" t="str">
        <f t="shared" si="23"/>
        <v/>
      </c>
      <c r="B728" t="str">
        <f t="shared" si="22"/>
        <v/>
      </c>
    </row>
    <row r="729" spans="1:2" x14ac:dyDescent="0.4">
      <c r="A729" t="str">
        <f t="shared" si="23"/>
        <v/>
      </c>
      <c r="B729" t="str">
        <f t="shared" si="22"/>
        <v/>
      </c>
    </row>
    <row r="730" spans="1:2" x14ac:dyDescent="0.4">
      <c r="A730" t="str">
        <f t="shared" si="23"/>
        <v/>
      </c>
      <c r="B730" t="str">
        <f t="shared" si="22"/>
        <v/>
      </c>
    </row>
    <row r="731" spans="1:2" x14ac:dyDescent="0.4">
      <c r="A731" t="str">
        <f t="shared" si="23"/>
        <v/>
      </c>
      <c r="B731" t="str">
        <f t="shared" si="22"/>
        <v/>
      </c>
    </row>
    <row r="732" spans="1:2" x14ac:dyDescent="0.4">
      <c r="A732" t="str">
        <f t="shared" si="23"/>
        <v/>
      </c>
      <c r="B732" t="str">
        <f t="shared" si="22"/>
        <v/>
      </c>
    </row>
    <row r="733" spans="1:2" x14ac:dyDescent="0.4">
      <c r="A733" t="str">
        <f t="shared" si="23"/>
        <v/>
      </c>
      <c r="B733" t="str">
        <f t="shared" si="22"/>
        <v/>
      </c>
    </row>
    <row r="734" spans="1:2" x14ac:dyDescent="0.4">
      <c r="A734" t="str">
        <f t="shared" si="23"/>
        <v/>
      </c>
      <c r="B734" t="str">
        <f t="shared" si="22"/>
        <v/>
      </c>
    </row>
    <row r="735" spans="1:2" x14ac:dyDescent="0.4">
      <c r="A735" t="str">
        <f t="shared" si="23"/>
        <v/>
      </c>
      <c r="B735" t="str">
        <f t="shared" si="22"/>
        <v/>
      </c>
    </row>
    <row r="736" spans="1:2" x14ac:dyDescent="0.4">
      <c r="A736" t="str">
        <f t="shared" si="23"/>
        <v/>
      </c>
      <c r="B736" t="str">
        <f t="shared" si="22"/>
        <v/>
      </c>
    </row>
    <row r="737" spans="1:2" x14ac:dyDescent="0.4">
      <c r="A737" t="str">
        <f t="shared" si="23"/>
        <v/>
      </c>
      <c r="B737" t="str">
        <f t="shared" si="22"/>
        <v/>
      </c>
    </row>
    <row r="738" spans="1:2" x14ac:dyDescent="0.4">
      <c r="A738" t="str">
        <f t="shared" si="23"/>
        <v/>
      </c>
      <c r="B738" t="str">
        <f t="shared" si="22"/>
        <v/>
      </c>
    </row>
    <row r="739" spans="1:2" x14ac:dyDescent="0.4">
      <c r="A739" t="str">
        <f t="shared" si="23"/>
        <v/>
      </c>
      <c r="B739" t="str">
        <f t="shared" si="22"/>
        <v/>
      </c>
    </row>
    <row r="740" spans="1:2" x14ac:dyDescent="0.4">
      <c r="A740" t="str">
        <f t="shared" si="23"/>
        <v/>
      </c>
      <c r="B740" t="str">
        <f t="shared" si="22"/>
        <v/>
      </c>
    </row>
    <row r="741" spans="1:2" x14ac:dyDescent="0.4">
      <c r="A741" t="str">
        <f t="shared" si="23"/>
        <v/>
      </c>
      <c r="B741" t="str">
        <f t="shared" si="22"/>
        <v/>
      </c>
    </row>
    <row r="742" spans="1:2" x14ac:dyDescent="0.4">
      <c r="A742" t="str">
        <f t="shared" si="23"/>
        <v/>
      </c>
      <c r="B742" t="str">
        <f t="shared" si="22"/>
        <v/>
      </c>
    </row>
    <row r="743" spans="1:2" x14ac:dyDescent="0.4">
      <c r="A743" t="str">
        <f t="shared" si="23"/>
        <v/>
      </c>
      <c r="B743" t="str">
        <f t="shared" si="22"/>
        <v/>
      </c>
    </row>
    <row r="744" spans="1:2" x14ac:dyDescent="0.4">
      <c r="A744" t="str">
        <f t="shared" si="23"/>
        <v/>
      </c>
      <c r="B744" t="str">
        <f t="shared" si="22"/>
        <v/>
      </c>
    </row>
    <row r="745" spans="1:2" x14ac:dyDescent="0.4">
      <c r="A745" t="str">
        <f t="shared" si="23"/>
        <v/>
      </c>
      <c r="B745" t="str">
        <f t="shared" si="22"/>
        <v/>
      </c>
    </row>
    <row r="746" spans="1:2" x14ac:dyDescent="0.4">
      <c r="A746" t="str">
        <f t="shared" si="23"/>
        <v/>
      </c>
      <c r="B746" t="str">
        <f t="shared" si="22"/>
        <v/>
      </c>
    </row>
    <row r="747" spans="1:2" x14ac:dyDescent="0.4">
      <c r="A747" t="str">
        <f t="shared" si="23"/>
        <v/>
      </c>
      <c r="B747" t="str">
        <f t="shared" si="22"/>
        <v/>
      </c>
    </row>
    <row r="748" spans="1:2" x14ac:dyDescent="0.4">
      <c r="A748" t="str">
        <f t="shared" si="23"/>
        <v/>
      </c>
      <c r="B748" t="str">
        <f t="shared" si="22"/>
        <v/>
      </c>
    </row>
    <row r="749" spans="1:2" x14ac:dyDescent="0.4">
      <c r="A749" t="str">
        <f t="shared" si="23"/>
        <v/>
      </c>
      <c r="B749" t="str">
        <f t="shared" si="22"/>
        <v/>
      </c>
    </row>
    <row r="750" spans="1:2" x14ac:dyDescent="0.4">
      <c r="A750" t="str">
        <f t="shared" si="23"/>
        <v/>
      </c>
      <c r="B750" t="str">
        <f t="shared" si="22"/>
        <v/>
      </c>
    </row>
    <row r="751" spans="1:2" x14ac:dyDescent="0.4">
      <c r="A751" t="str">
        <f t="shared" si="23"/>
        <v/>
      </c>
      <c r="B751" t="str">
        <f t="shared" si="22"/>
        <v/>
      </c>
    </row>
    <row r="752" spans="1:2" x14ac:dyDescent="0.4">
      <c r="A752" t="str">
        <f t="shared" si="23"/>
        <v/>
      </c>
      <c r="B752" t="str">
        <f t="shared" si="22"/>
        <v/>
      </c>
    </row>
    <row r="753" spans="1:2" x14ac:dyDescent="0.4">
      <c r="A753" t="str">
        <f t="shared" si="23"/>
        <v/>
      </c>
      <c r="B753" t="str">
        <f t="shared" si="22"/>
        <v/>
      </c>
    </row>
    <row r="754" spans="1:2" x14ac:dyDescent="0.4">
      <c r="A754" t="str">
        <f t="shared" si="23"/>
        <v/>
      </c>
      <c r="B754" t="str">
        <f t="shared" si="22"/>
        <v/>
      </c>
    </row>
    <row r="755" spans="1:2" x14ac:dyDescent="0.4">
      <c r="A755" t="str">
        <f t="shared" si="23"/>
        <v/>
      </c>
      <c r="B755" t="str">
        <f t="shared" si="22"/>
        <v/>
      </c>
    </row>
    <row r="756" spans="1:2" x14ac:dyDescent="0.4">
      <c r="A756" t="str">
        <f t="shared" si="23"/>
        <v/>
      </c>
      <c r="B756" t="str">
        <f t="shared" si="22"/>
        <v/>
      </c>
    </row>
    <row r="757" spans="1:2" x14ac:dyDescent="0.4">
      <c r="A757" t="str">
        <f t="shared" si="23"/>
        <v/>
      </c>
      <c r="B757" t="str">
        <f t="shared" si="22"/>
        <v/>
      </c>
    </row>
    <row r="758" spans="1:2" x14ac:dyDescent="0.4">
      <c r="A758" t="str">
        <f t="shared" si="23"/>
        <v/>
      </c>
      <c r="B758" t="str">
        <f t="shared" si="22"/>
        <v/>
      </c>
    </row>
    <row r="759" spans="1:2" x14ac:dyDescent="0.4">
      <c r="A759" t="str">
        <f t="shared" si="23"/>
        <v/>
      </c>
      <c r="B759" t="str">
        <f t="shared" si="22"/>
        <v/>
      </c>
    </row>
    <row r="760" spans="1:2" x14ac:dyDescent="0.4">
      <c r="A760" t="str">
        <f t="shared" si="23"/>
        <v/>
      </c>
      <c r="B760" t="str">
        <f t="shared" si="22"/>
        <v/>
      </c>
    </row>
    <row r="761" spans="1:2" x14ac:dyDescent="0.4">
      <c r="A761" t="str">
        <f t="shared" si="23"/>
        <v/>
      </c>
      <c r="B761" t="str">
        <f t="shared" si="22"/>
        <v/>
      </c>
    </row>
    <row r="762" spans="1:2" x14ac:dyDescent="0.4">
      <c r="A762" t="str">
        <f t="shared" si="23"/>
        <v/>
      </c>
      <c r="B762" t="str">
        <f t="shared" si="22"/>
        <v/>
      </c>
    </row>
    <row r="763" spans="1:2" x14ac:dyDescent="0.4">
      <c r="A763" t="str">
        <f t="shared" si="23"/>
        <v/>
      </c>
      <c r="B763" t="str">
        <f t="shared" si="22"/>
        <v/>
      </c>
    </row>
    <row r="764" spans="1:2" x14ac:dyDescent="0.4">
      <c r="A764" t="str">
        <f t="shared" si="23"/>
        <v/>
      </c>
      <c r="B764" t="str">
        <f t="shared" si="22"/>
        <v/>
      </c>
    </row>
    <row r="765" spans="1:2" x14ac:dyDescent="0.4">
      <c r="A765" t="str">
        <f t="shared" si="23"/>
        <v/>
      </c>
      <c r="B765" t="str">
        <f t="shared" si="22"/>
        <v/>
      </c>
    </row>
    <row r="766" spans="1:2" x14ac:dyDescent="0.4">
      <c r="A766" t="str">
        <f t="shared" si="23"/>
        <v/>
      </c>
      <c r="B766" t="str">
        <f t="shared" si="22"/>
        <v/>
      </c>
    </row>
    <row r="767" spans="1:2" x14ac:dyDescent="0.4">
      <c r="A767" t="str">
        <f t="shared" si="23"/>
        <v/>
      </c>
      <c r="B767" t="str">
        <f t="shared" si="22"/>
        <v/>
      </c>
    </row>
    <row r="768" spans="1:2" x14ac:dyDescent="0.4">
      <c r="A768" t="str">
        <f t="shared" si="23"/>
        <v/>
      </c>
      <c r="B768" t="str">
        <f t="shared" si="22"/>
        <v/>
      </c>
    </row>
    <row r="769" spans="1:2" x14ac:dyDescent="0.4">
      <c r="A769" t="str">
        <f t="shared" si="23"/>
        <v/>
      </c>
      <c r="B769" t="str">
        <f t="shared" si="22"/>
        <v/>
      </c>
    </row>
    <row r="770" spans="1:2" x14ac:dyDescent="0.4">
      <c r="A770" t="str">
        <f t="shared" si="23"/>
        <v/>
      </c>
      <c r="B770" t="str">
        <f t="shared" ref="B770:B833" si="24">IF($G770="","",IFERROR($I770*$J770/1000000/PriceDiv*_xlfn.XLOOKUP($K770,FX_Ccy,FX_Rate),""))</f>
        <v/>
      </c>
    </row>
    <row r="771" spans="1:2" x14ac:dyDescent="0.4">
      <c r="A771" t="str">
        <f t="shared" ref="A771:A834" si="25">IF(G771&lt;&gt;"",G771,"")</f>
        <v/>
      </c>
      <c r="B771" t="str">
        <f t="shared" si="24"/>
        <v/>
      </c>
    </row>
    <row r="772" spans="1:2" x14ac:dyDescent="0.4">
      <c r="A772" t="str">
        <f t="shared" si="25"/>
        <v/>
      </c>
      <c r="B772" t="str">
        <f t="shared" si="24"/>
        <v/>
      </c>
    </row>
    <row r="773" spans="1:2" x14ac:dyDescent="0.4">
      <c r="A773" t="str">
        <f t="shared" si="25"/>
        <v/>
      </c>
      <c r="B773" t="str">
        <f t="shared" si="24"/>
        <v/>
      </c>
    </row>
    <row r="774" spans="1:2" x14ac:dyDescent="0.4">
      <c r="A774" t="str">
        <f t="shared" si="25"/>
        <v/>
      </c>
      <c r="B774" t="str">
        <f t="shared" si="24"/>
        <v/>
      </c>
    </row>
    <row r="775" spans="1:2" x14ac:dyDescent="0.4">
      <c r="A775" t="str">
        <f t="shared" si="25"/>
        <v/>
      </c>
      <c r="B775" t="str">
        <f t="shared" si="24"/>
        <v/>
      </c>
    </row>
    <row r="776" spans="1:2" x14ac:dyDescent="0.4">
      <c r="A776" t="str">
        <f t="shared" si="25"/>
        <v/>
      </c>
      <c r="B776" t="str">
        <f t="shared" si="24"/>
        <v/>
      </c>
    </row>
    <row r="777" spans="1:2" x14ac:dyDescent="0.4">
      <c r="A777" t="str">
        <f t="shared" si="25"/>
        <v/>
      </c>
      <c r="B777" t="str">
        <f t="shared" si="24"/>
        <v/>
      </c>
    </row>
    <row r="778" spans="1:2" x14ac:dyDescent="0.4">
      <c r="A778" t="str">
        <f t="shared" si="25"/>
        <v/>
      </c>
      <c r="B778" t="str">
        <f t="shared" si="24"/>
        <v/>
      </c>
    </row>
    <row r="779" spans="1:2" x14ac:dyDescent="0.4">
      <c r="A779" t="str">
        <f t="shared" si="25"/>
        <v/>
      </c>
      <c r="B779" t="str">
        <f t="shared" si="24"/>
        <v/>
      </c>
    </row>
    <row r="780" spans="1:2" x14ac:dyDescent="0.4">
      <c r="A780" t="str">
        <f t="shared" si="25"/>
        <v/>
      </c>
      <c r="B780" t="str">
        <f t="shared" si="24"/>
        <v/>
      </c>
    </row>
    <row r="781" spans="1:2" x14ac:dyDescent="0.4">
      <c r="A781" t="str">
        <f t="shared" si="25"/>
        <v/>
      </c>
      <c r="B781" t="str">
        <f t="shared" si="24"/>
        <v/>
      </c>
    </row>
    <row r="782" spans="1:2" x14ac:dyDescent="0.4">
      <c r="A782" t="str">
        <f t="shared" si="25"/>
        <v/>
      </c>
      <c r="B782" t="str">
        <f t="shared" si="24"/>
        <v/>
      </c>
    </row>
    <row r="783" spans="1:2" x14ac:dyDescent="0.4">
      <c r="A783" t="str">
        <f t="shared" si="25"/>
        <v/>
      </c>
      <c r="B783" t="str">
        <f t="shared" si="24"/>
        <v/>
      </c>
    </row>
    <row r="784" spans="1:2" x14ac:dyDescent="0.4">
      <c r="A784" t="str">
        <f t="shared" si="25"/>
        <v/>
      </c>
      <c r="B784" t="str">
        <f t="shared" si="24"/>
        <v/>
      </c>
    </row>
    <row r="785" spans="1:2" x14ac:dyDescent="0.4">
      <c r="A785" t="str">
        <f t="shared" si="25"/>
        <v/>
      </c>
      <c r="B785" t="str">
        <f t="shared" si="24"/>
        <v/>
      </c>
    </row>
    <row r="786" spans="1:2" x14ac:dyDescent="0.4">
      <c r="A786" t="str">
        <f t="shared" si="25"/>
        <v/>
      </c>
      <c r="B786" t="str">
        <f t="shared" si="24"/>
        <v/>
      </c>
    </row>
    <row r="787" spans="1:2" x14ac:dyDescent="0.4">
      <c r="A787" t="str">
        <f t="shared" si="25"/>
        <v/>
      </c>
      <c r="B787" t="str">
        <f t="shared" si="24"/>
        <v/>
      </c>
    </row>
    <row r="788" spans="1:2" x14ac:dyDescent="0.4">
      <c r="A788" t="str">
        <f t="shared" si="25"/>
        <v/>
      </c>
      <c r="B788" t="str">
        <f t="shared" si="24"/>
        <v/>
      </c>
    </row>
    <row r="789" spans="1:2" x14ac:dyDescent="0.4">
      <c r="A789" t="str">
        <f t="shared" si="25"/>
        <v/>
      </c>
      <c r="B789" t="str">
        <f t="shared" si="24"/>
        <v/>
      </c>
    </row>
    <row r="790" spans="1:2" x14ac:dyDescent="0.4">
      <c r="A790" t="str">
        <f t="shared" si="25"/>
        <v/>
      </c>
      <c r="B790" t="str">
        <f t="shared" si="24"/>
        <v/>
      </c>
    </row>
    <row r="791" spans="1:2" x14ac:dyDescent="0.4">
      <c r="A791" t="str">
        <f t="shared" si="25"/>
        <v/>
      </c>
      <c r="B791" t="str">
        <f t="shared" si="24"/>
        <v/>
      </c>
    </row>
    <row r="792" spans="1:2" x14ac:dyDescent="0.4">
      <c r="A792" t="str">
        <f t="shared" si="25"/>
        <v/>
      </c>
      <c r="B792" t="str">
        <f t="shared" si="24"/>
        <v/>
      </c>
    </row>
    <row r="793" spans="1:2" x14ac:dyDescent="0.4">
      <c r="A793" t="str">
        <f t="shared" si="25"/>
        <v/>
      </c>
      <c r="B793" t="str">
        <f t="shared" si="24"/>
        <v/>
      </c>
    </row>
    <row r="794" spans="1:2" x14ac:dyDescent="0.4">
      <c r="A794" t="str">
        <f t="shared" si="25"/>
        <v/>
      </c>
      <c r="B794" t="str">
        <f t="shared" si="24"/>
        <v/>
      </c>
    </row>
    <row r="795" spans="1:2" x14ac:dyDescent="0.4">
      <c r="A795" t="str">
        <f t="shared" si="25"/>
        <v/>
      </c>
      <c r="B795" t="str">
        <f t="shared" si="24"/>
        <v/>
      </c>
    </row>
    <row r="796" spans="1:2" x14ac:dyDescent="0.4">
      <c r="A796" t="str">
        <f t="shared" si="25"/>
        <v/>
      </c>
      <c r="B796" t="str">
        <f t="shared" si="24"/>
        <v/>
      </c>
    </row>
    <row r="797" spans="1:2" x14ac:dyDescent="0.4">
      <c r="A797" t="str">
        <f t="shared" si="25"/>
        <v/>
      </c>
      <c r="B797" t="str">
        <f t="shared" si="24"/>
        <v/>
      </c>
    </row>
    <row r="798" spans="1:2" x14ac:dyDescent="0.4">
      <c r="A798" t="str">
        <f t="shared" si="25"/>
        <v/>
      </c>
      <c r="B798" t="str">
        <f t="shared" si="24"/>
        <v/>
      </c>
    </row>
    <row r="799" spans="1:2" x14ac:dyDescent="0.4">
      <c r="A799" t="str">
        <f t="shared" si="25"/>
        <v/>
      </c>
      <c r="B799" t="str">
        <f t="shared" si="24"/>
        <v/>
      </c>
    </row>
    <row r="800" spans="1:2" x14ac:dyDescent="0.4">
      <c r="A800" t="str">
        <f t="shared" si="25"/>
        <v/>
      </c>
      <c r="B800" t="str">
        <f t="shared" si="24"/>
        <v/>
      </c>
    </row>
    <row r="801" spans="1:2" x14ac:dyDescent="0.4">
      <c r="A801" t="str">
        <f t="shared" si="25"/>
        <v/>
      </c>
      <c r="B801" t="str">
        <f t="shared" si="24"/>
        <v/>
      </c>
    </row>
    <row r="802" spans="1:2" x14ac:dyDescent="0.4">
      <c r="A802" t="str">
        <f t="shared" si="25"/>
        <v/>
      </c>
      <c r="B802" t="str">
        <f t="shared" si="24"/>
        <v/>
      </c>
    </row>
    <row r="803" spans="1:2" x14ac:dyDescent="0.4">
      <c r="A803" t="str">
        <f t="shared" si="25"/>
        <v/>
      </c>
      <c r="B803" t="str">
        <f t="shared" si="24"/>
        <v/>
      </c>
    </row>
    <row r="804" spans="1:2" x14ac:dyDescent="0.4">
      <c r="A804" t="str">
        <f t="shared" si="25"/>
        <v/>
      </c>
      <c r="B804" t="str">
        <f t="shared" si="24"/>
        <v/>
      </c>
    </row>
    <row r="805" spans="1:2" x14ac:dyDescent="0.4">
      <c r="A805" t="str">
        <f t="shared" si="25"/>
        <v/>
      </c>
      <c r="B805" t="str">
        <f t="shared" si="24"/>
        <v/>
      </c>
    </row>
    <row r="806" spans="1:2" x14ac:dyDescent="0.4">
      <c r="A806" t="str">
        <f t="shared" si="25"/>
        <v/>
      </c>
      <c r="B806" t="str">
        <f t="shared" si="24"/>
        <v/>
      </c>
    </row>
    <row r="807" spans="1:2" x14ac:dyDescent="0.4">
      <c r="A807" t="str">
        <f t="shared" si="25"/>
        <v/>
      </c>
      <c r="B807" t="str">
        <f t="shared" si="24"/>
        <v/>
      </c>
    </row>
    <row r="808" spans="1:2" x14ac:dyDescent="0.4">
      <c r="A808" t="str">
        <f t="shared" si="25"/>
        <v/>
      </c>
      <c r="B808" t="str">
        <f t="shared" si="24"/>
        <v/>
      </c>
    </row>
    <row r="809" spans="1:2" x14ac:dyDescent="0.4">
      <c r="A809" t="str">
        <f t="shared" si="25"/>
        <v/>
      </c>
      <c r="B809" t="str">
        <f t="shared" si="24"/>
        <v/>
      </c>
    </row>
    <row r="810" spans="1:2" x14ac:dyDescent="0.4">
      <c r="A810" t="str">
        <f t="shared" si="25"/>
        <v/>
      </c>
      <c r="B810" t="str">
        <f t="shared" si="24"/>
        <v/>
      </c>
    </row>
    <row r="811" spans="1:2" x14ac:dyDescent="0.4">
      <c r="A811" t="str">
        <f t="shared" si="25"/>
        <v/>
      </c>
      <c r="B811" t="str">
        <f t="shared" si="24"/>
        <v/>
      </c>
    </row>
    <row r="812" spans="1:2" x14ac:dyDescent="0.4">
      <c r="A812" t="str">
        <f t="shared" si="25"/>
        <v/>
      </c>
      <c r="B812" t="str">
        <f t="shared" si="24"/>
        <v/>
      </c>
    </row>
    <row r="813" spans="1:2" x14ac:dyDescent="0.4">
      <c r="A813" t="str">
        <f t="shared" si="25"/>
        <v/>
      </c>
      <c r="B813" t="str">
        <f t="shared" si="24"/>
        <v/>
      </c>
    </row>
    <row r="814" spans="1:2" x14ac:dyDescent="0.4">
      <c r="A814" t="str">
        <f t="shared" si="25"/>
        <v/>
      </c>
      <c r="B814" t="str">
        <f t="shared" si="24"/>
        <v/>
      </c>
    </row>
    <row r="815" spans="1:2" x14ac:dyDescent="0.4">
      <c r="A815" t="str">
        <f t="shared" si="25"/>
        <v/>
      </c>
      <c r="B815" t="str">
        <f t="shared" si="24"/>
        <v/>
      </c>
    </row>
    <row r="816" spans="1:2" x14ac:dyDescent="0.4">
      <c r="A816" t="str">
        <f t="shared" si="25"/>
        <v/>
      </c>
      <c r="B816" t="str">
        <f t="shared" si="24"/>
        <v/>
      </c>
    </row>
    <row r="817" spans="1:2" x14ac:dyDescent="0.4">
      <c r="A817" t="str">
        <f t="shared" si="25"/>
        <v/>
      </c>
      <c r="B817" t="str">
        <f t="shared" si="24"/>
        <v/>
      </c>
    </row>
    <row r="818" spans="1:2" x14ac:dyDescent="0.4">
      <c r="A818" t="str">
        <f t="shared" si="25"/>
        <v/>
      </c>
      <c r="B818" t="str">
        <f t="shared" si="24"/>
        <v/>
      </c>
    </row>
    <row r="819" spans="1:2" x14ac:dyDescent="0.4">
      <c r="A819" t="str">
        <f t="shared" si="25"/>
        <v/>
      </c>
      <c r="B819" t="str">
        <f t="shared" si="24"/>
        <v/>
      </c>
    </row>
    <row r="820" spans="1:2" x14ac:dyDescent="0.4">
      <c r="A820" t="str">
        <f t="shared" si="25"/>
        <v/>
      </c>
      <c r="B820" t="str">
        <f t="shared" si="24"/>
        <v/>
      </c>
    </row>
    <row r="821" spans="1:2" x14ac:dyDescent="0.4">
      <c r="A821" t="str">
        <f t="shared" si="25"/>
        <v/>
      </c>
      <c r="B821" t="str">
        <f t="shared" si="24"/>
        <v/>
      </c>
    </row>
    <row r="822" spans="1:2" x14ac:dyDescent="0.4">
      <c r="A822" t="str">
        <f t="shared" si="25"/>
        <v/>
      </c>
      <c r="B822" t="str">
        <f t="shared" si="24"/>
        <v/>
      </c>
    </row>
    <row r="823" spans="1:2" x14ac:dyDescent="0.4">
      <c r="A823" t="str">
        <f t="shared" si="25"/>
        <v/>
      </c>
      <c r="B823" t="str">
        <f t="shared" si="24"/>
        <v/>
      </c>
    </row>
    <row r="824" spans="1:2" x14ac:dyDescent="0.4">
      <c r="A824" t="str">
        <f t="shared" si="25"/>
        <v/>
      </c>
      <c r="B824" t="str">
        <f t="shared" si="24"/>
        <v/>
      </c>
    </row>
    <row r="825" spans="1:2" x14ac:dyDescent="0.4">
      <c r="A825" t="str">
        <f t="shared" si="25"/>
        <v/>
      </c>
      <c r="B825" t="str">
        <f t="shared" si="24"/>
        <v/>
      </c>
    </row>
    <row r="826" spans="1:2" x14ac:dyDescent="0.4">
      <c r="A826" t="str">
        <f t="shared" si="25"/>
        <v/>
      </c>
      <c r="B826" t="str">
        <f t="shared" si="24"/>
        <v/>
      </c>
    </row>
    <row r="827" spans="1:2" x14ac:dyDescent="0.4">
      <c r="A827" t="str">
        <f t="shared" si="25"/>
        <v/>
      </c>
      <c r="B827" t="str">
        <f t="shared" si="24"/>
        <v/>
      </c>
    </row>
    <row r="828" spans="1:2" x14ac:dyDescent="0.4">
      <c r="A828" t="str">
        <f t="shared" si="25"/>
        <v/>
      </c>
      <c r="B828" t="str">
        <f t="shared" si="24"/>
        <v/>
      </c>
    </row>
    <row r="829" spans="1:2" x14ac:dyDescent="0.4">
      <c r="A829" t="str">
        <f t="shared" si="25"/>
        <v/>
      </c>
      <c r="B829" t="str">
        <f t="shared" si="24"/>
        <v/>
      </c>
    </row>
    <row r="830" spans="1:2" x14ac:dyDescent="0.4">
      <c r="A830" t="str">
        <f t="shared" si="25"/>
        <v/>
      </c>
      <c r="B830" t="str">
        <f t="shared" si="24"/>
        <v/>
      </c>
    </row>
    <row r="831" spans="1:2" x14ac:dyDescent="0.4">
      <c r="A831" t="str">
        <f t="shared" si="25"/>
        <v/>
      </c>
      <c r="B831" t="str">
        <f t="shared" si="24"/>
        <v/>
      </c>
    </row>
    <row r="832" spans="1:2" x14ac:dyDescent="0.4">
      <c r="A832" t="str">
        <f t="shared" si="25"/>
        <v/>
      </c>
      <c r="B832" t="str">
        <f t="shared" si="24"/>
        <v/>
      </c>
    </row>
    <row r="833" spans="1:2" x14ac:dyDescent="0.4">
      <c r="A833" t="str">
        <f t="shared" si="25"/>
        <v/>
      </c>
      <c r="B833" t="str">
        <f t="shared" si="24"/>
        <v/>
      </c>
    </row>
    <row r="834" spans="1:2" x14ac:dyDescent="0.4">
      <c r="A834" t="str">
        <f t="shared" si="25"/>
        <v/>
      </c>
      <c r="B834" t="str">
        <f t="shared" ref="B834:B897" si="26">IF($G834="","",IFERROR($I834*$J834/1000000/PriceDiv*_xlfn.XLOOKUP($K834,FX_Ccy,FX_Rate),""))</f>
        <v/>
      </c>
    </row>
    <row r="835" spans="1:2" x14ac:dyDescent="0.4">
      <c r="A835" t="str">
        <f t="shared" ref="A835:A898" si="27">IF(G835&lt;&gt;"",G835,"")</f>
        <v/>
      </c>
      <c r="B835" t="str">
        <f t="shared" si="26"/>
        <v/>
      </c>
    </row>
    <row r="836" spans="1:2" x14ac:dyDescent="0.4">
      <c r="A836" t="str">
        <f t="shared" si="27"/>
        <v/>
      </c>
      <c r="B836" t="str">
        <f t="shared" si="26"/>
        <v/>
      </c>
    </row>
    <row r="837" spans="1:2" x14ac:dyDescent="0.4">
      <c r="A837" t="str">
        <f t="shared" si="27"/>
        <v/>
      </c>
      <c r="B837" t="str">
        <f t="shared" si="26"/>
        <v/>
      </c>
    </row>
    <row r="838" spans="1:2" x14ac:dyDescent="0.4">
      <c r="A838" t="str">
        <f t="shared" si="27"/>
        <v/>
      </c>
      <c r="B838" t="str">
        <f t="shared" si="26"/>
        <v/>
      </c>
    </row>
    <row r="839" spans="1:2" x14ac:dyDescent="0.4">
      <c r="A839" t="str">
        <f t="shared" si="27"/>
        <v/>
      </c>
      <c r="B839" t="str">
        <f t="shared" si="26"/>
        <v/>
      </c>
    </row>
    <row r="840" spans="1:2" x14ac:dyDescent="0.4">
      <c r="A840" t="str">
        <f t="shared" si="27"/>
        <v/>
      </c>
      <c r="B840" t="str">
        <f t="shared" si="26"/>
        <v/>
      </c>
    </row>
    <row r="841" spans="1:2" x14ac:dyDescent="0.4">
      <c r="A841" t="str">
        <f t="shared" si="27"/>
        <v/>
      </c>
      <c r="B841" t="str">
        <f t="shared" si="26"/>
        <v/>
      </c>
    </row>
    <row r="842" spans="1:2" x14ac:dyDescent="0.4">
      <c r="A842" t="str">
        <f t="shared" si="27"/>
        <v/>
      </c>
      <c r="B842" t="str">
        <f t="shared" si="26"/>
        <v/>
      </c>
    </row>
    <row r="843" spans="1:2" x14ac:dyDescent="0.4">
      <c r="A843" t="str">
        <f t="shared" si="27"/>
        <v/>
      </c>
      <c r="B843" t="str">
        <f t="shared" si="26"/>
        <v/>
      </c>
    </row>
    <row r="844" spans="1:2" x14ac:dyDescent="0.4">
      <c r="A844" t="str">
        <f t="shared" si="27"/>
        <v/>
      </c>
      <c r="B844" t="str">
        <f t="shared" si="26"/>
        <v/>
      </c>
    </row>
    <row r="845" spans="1:2" x14ac:dyDescent="0.4">
      <c r="A845" t="str">
        <f t="shared" si="27"/>
        <v/>
      </c>
      <c r="B845" t="str">
        <f t="shared" si="26"/>
        <v/>
      </c>
    </row>
    <row r="846" spans="1:2" x14ac:dyDescent="0.4">
      <c r="A846" t="str">
        <f t="shared" si="27"/>
        <v/>
      </c>
      <c r="B846" t="str">
        <f t="shared" si="26"/>
        <v/>
      </c>
    </row>
    <row r="847" spans="1:2" x14ac:dyDescent="0.4">
      <c r="A847" t="str">
        <f t="shared" si="27"/>
        <v/>
      </c>
      <c r="B847" t="str">
        <f t="shared" si="26"/>
        <v/>
      </c>
    </row>
    <row r="848" spans="1:2" x14ac:dyDescent="0.4">
      <c r="A848" t="str">
        <f t="shared" si="27"/>
        <v/>
      </c>
      <c r="B848" t="str">
        <f t="shared" si="26"/>
        <v/>
      </c>
    </row>
    <row r="849" spans="1:2" x14ac:dyDescent="0.4">
      <c r="A849" t="str">
        <f t="shared" si="27"/>
        <v/>
      </c>
      <c r="B849" t="str">
        <f t="shared" si="26"/>
        <v/>
      </c>
    </row>
    <row r="850" spans="1:2" x14ac:dyDescent="0.4">
      <c r="A850" t="str">
        <f t="shared" si="27"/>
        <v/>
      </c>
      <c r="B850" t="str">
        <f t="shared" si="26"/>
        <v/>
      </c>
    </row>
    <row r="851" spans="1:2" x14ac:dyDescent="0.4">
      <c r="A851" t="str">
        <f t="shared" si="27"/>
        <v/>
      </c>
      <c r="B851" t="str">
        <f t="shared" si="26"/>
        <v/>
      </c>
    </row>
    <row r="852" spans="1:2" x14ac:dyDescent="0.4">
      <c r="A852" t="str">
        <f t="shared" si="27"/>
        <v/>
      </c>
      <c r="B852" t="str">
        <f t="shared" si="26"/>
        <v/>
      </c>
    </row>
    <row r="853" spans="1:2" x14ac:dyDescent="0.4">
      <c r="A853" t="str">
        <f t="shared" si="27"/>
        <v/>
      </c>
      <c r="B853" t="str">
        <f t="shared" si="26"/>
        <v/>
      </c>
    </row>
    <row r="854" spans="1:2" x14ac:dyDescent="0.4">
      <c r="A854" t="str">
        <f t="shared" si="27"/>
        <v/>
      </c>
      <c r="B854" t="str">
        <f t="shared" si="26"/>
        <v/>
      </c>
    </row>
    <row r="855" spans="1:2" x14ac:dyDescent="0.4">
      <c r="A855" t="str">
        <f t="shared" si="27"/>
        <v/>
      </c>
      <c r="B855" t="str">
        <f t="shared" si="26"/>
        <v/>
      </c>
    </row>
    <row r="856" spans="1:2" x14ac:dyDescent="0.4">
      <c r="A856" t="str">
        <f t="shared" si="27"/>
        <v/>
      </c>
      <c r="B856" t="str">
        <f t="shared" si="26"/>
        <v/>
      </c>
    </row>
    <row r="857" spans="1:2" x14ac:dyDescent="0.4">
      <c r="A857" t="str">
        <f t="shared" si="27"/>
        <v/>
      </c>
      <c r="B857" t="str">
        <f t="shared" si="26"/>
        <v/>
      </c>
    </row>
    <row r="858" spans="1:2" x14ac:dyDescent="0.4">
      <c r="A858" t="str">
        <f t="shared" si="27"/>
        <v/>
      </c>
      <c r="B858" t="str">
        <f t="shared" si="26"/>
        <v/>
      </c>
    </row>
    <row r="859" spans="1:2" x14ac:dyDescent="0.4">
      <c r="A859" t="str">
        <f t="shared" si="27"/>
        <v/>
      </c>
      <c r="B859" t="str">
        <f t="shared" si="26"/>
        <v/>
      </c>
    </row>
    <row r="860" spans="1:2" x14ac:dyDescent="0.4">
      <c r="A860" t="str">
        <f t="shared" si="27"/>
        <v/>
      </c>
      <c r="B860" t="str">
        <f t="shared" si="26"/>
        <v/>
      </c>
    </row>
    <row r="861" spans="1:2" x14ac:dyDescent="0.4">
      <c r="A861" t="str">
        <f t="shared" si="27"/>
        <v/>
      </c>
      <c r="B861" t="str">
        <f t="shared" si="26"/>
        <v/>
      </c>
    </row>
    <row r="862" spans="1:2" x14ac:dyDescent="0.4">
      <c r="A862" t="str">
        <f t="shared" si="27"/>
        <v/>
      </c>
      <c r="B862" t="str">
        <f t="shared" si="26"/>
        <v/>
      </c>
    </row>
    <row r="863" spans="1:2" x14ac:dyDescent="0.4">
      <c r="A863" t="str">
        <f t="shared" si="27"/>
        <v/>
      </c>
      <c r="B863" t="str">
        <f t="shared" si="26"/>
        <v/>
      </c>
    </row>
    <row r="864" spans="1:2" x14ac:dyDescent="0.4">
      <c r="A864" t="str">
        <f t="shared" si="27"/>
        <v/>
      </c>
      <c r="B864" t="str">
        <f t="shared" si="26"/>
        <v/>
      </c>
    </row>
    <row r="865" spans="1:2" x14ac:dyDescent="0.4">
      <c r="A865" t="str">
        <f t="shared" si="27"/>
        <v/>
      </c>
      <c r="B865" t="str">
        <f t="shared" si="26"/>
        <v/>
      </c>
    </row>
    <row r="866" spans="1:2" x14ac:dyDescent="0.4">
      <c r="A866" t="str">
        <f t="shared" si="27"/>
        <v/>
      </c>
      <c r="B866" t="str">
        <f t="shared" si="26"/>
        <v/>
      </c>
    </row>
    <row r="867" spans="1:2" x14ac:dyDescent="0.4">
      <c r="A867" t="str">
        <f t="shared" si="27"/>
        <v/>
      </c>
      <c r="B867" t="str">
        <f t="shared" si="26"/>
        <v/>
      </c>
    </row>
    <row r="868" spans="1:2" x14ac:dyDescent="0.4">
      <c r="A868" t="str">
        <f t="shared" si="27"/>
        <v/>
      </c>
      <c r="B868" t="str">
        <f t="shared" si="26"/>
        <v/>
      </c>
    </row>
    <row r="869" spans="1:2" x14ac:dyDescent="0.4">
      <c r="A869" t="str">
        <f t="shared" si="27"/>
        <v/>
      </c>
      <c r="B869" t="str">
        <f t="shared" si="26"/>
        <v/>
      </c>
    </row>
    <row r="870" spans="1:2" x14ac:dyDescent="0.4">
      <c r="A870" t="str">
        <f t="shared" si="27"/>
        <v/>
      </c>
      <c r="B870" t="str">
        <f t="shared" si="26"/>
        <v/>
      </c>
    </row>
    <row r="871" spans="1:2" x14ac:dyDescent="0.4">
      <c r="A871" t="str">
        <f t="shared" si="27"/>
        <v/>
      </c>
      <c r="B871" t="str">
        <f t="shared" si="26"/>
        <v/>
      </c>
    </row>
    <row r="872" spans="1:2" x14ac:dyDescent="0.4">
      <c r="A872" t="str">
        <f t="shared" si="27"/>
        <v/>
      </c>
      <c r="B872" t="str">
        <f t="shared" si="26"/>
        <v/>
      </c>
    </row>
    <row r="873" spans="1:2" x14ac:dyDescent="0.4">
      <c r="A873" t="str">
        <f t="shared" si="27"/>
        <v/>
      </c>
      <c r="B873" t="str">
        <f t="shared" si="26"/>
        <v/>
      </c>
    </row>
    <row r="874" spans="1:2" x14ac:dyDescent="0.4">
      <c r="A874" t="str">
        <f t="shared" si="27"/>
        <v/>
      </c>
      <c r="B874" t="str">
        <f t="shared" si="26"/>
        <v/>
      </c>
    </row>
    <row r="875" spans="1:2" x14ac:dyDescent="0.4">
      <c r="A875" t="str">
        <f t="shared" si="27"/>
        <v/>
      </c>
      <c r="B875" t="str">
        <f t="shared" si="26"/>
        <v/>
      </c>
    </row>
    <row r="876" spans="1:2" x14ac:dyDescent="0.4">
      <c r="A876" t="str">
        <f t="shared" si="27"/>
        <v/>
      </c>
      <c r="B876" t="str">
        <f t="shared" si="26"/>
        <v/>
      </c>
    </row>
    <row r="877" spans="1:2" x14ac:dyDescent="0.4">
      <c r="A877" t="str">
        <f t="shared" si="27"/>
        <v/>
      </c>
      <c r="B877" t="str">
        <f t="shared" si="26"/>
        <v/>
      </c>
    </row>
    <row r="878" spans="1:2" x14ac:dyDescent="0.4">
      <c r="A878" t="str">
        <f t="shared" si="27"/>
        <v/>
      </c>
      <c r="B878" t="str">
        <f t="shared" si="26"/>
        <v/>
      </c>
    </row>
    <row r="879" spans="1:2" x14ac:dyDescent="0.4">
      <c r="A879" t="str">
        <f t="shared" si="27"/>
        <v/>
      </c>
      <c r="B879" t="str">
        <f t="shared" si="26"/>
        <v/>
      </c>
    </row>
    <row r="880" spans="1:2" x14ac:dyDescent="0.4">
      <c r="A880" t="str">
        <f t="shared" si="27"/>
        <v/>
      </c>
      <c r="B880" t="str">
        <f t="shared" si="26"/>
        <v/>
      </c>
    </row>
    <row r="881" spans="1:2" x14ac:dyDescent="0.4">
      <c r="A881" t="str">
        <f t="shared" si="27"/>
        <v/>
      </c>
      <c r="B881" t="str">
        <f t="shared" si="26"/>
        <v/>
      </c>
    </row>
    <row r="882" spans="1:2" x14ac:dyDescent="0.4">
      <c r="A882" t="str">
        <f t="shared" si="27"/>
        <v/>
      </c>
      <c r="B882" t="str">
        <f t="shared" si="26"/>
        <v/>
      </c>
    </row>
    <row r="883" spans="1:2" x14ac:dyDescent="0.4">
      <c r="A883" t="str">
        <f t="shared" si="27"/>
        <v/>
      </c>
      <c r="B883" t="str">
        <f t="shared" si="26"/>
        <v/>
      </c>
    </row>
    <row r="884" spans="1:2" x14ac:dyDescent="0.4">
      <c r="A884" t="str">
        <f t="shared" si="27"/>
        <v/>
      </c>
      <c r="B884" t="str">
        <f t="shared" si="26"/>
        <v/>
      </c>
    </row>
    <row r="885" spans="1:2" x14ac:dyDescent="0.4">
      <c r="A885" t="str">
        <f t="shared" si="27"/>
        <v/>
      </c>
      <c r="B885" t="str">
        <f t="shared" si="26"/>
        <v/>
      </c>
    </row>
    <row r="886" spans="1:2" x14ac:dyDescent="0.4">
      <c r="A886" t="str">
        <f t="shared" si="27"/>
        <v/>
      </c>
      <c r="B886" t="str">
        <f t="shared" si="26"/>
        <v/>
      </c>
    </row>
    <row r="887" spans="1:2" x14ac:dyDescent="0.4">
      <c r="A887" t="str">
        <f t="shared" si="27"/>
        <v/>
      </c>
      <c r="B887" t="str">
        <f t="shared" si="26"/>
        <v/>
      </c>
    </row>
    <row r="888" spans="1:2" x14ac:dyDescent="0.4">
      <c r="A888" t="str">
        <f t="shared" si="27"/>
        <v/>
      </c>
      <c r="B888" t="str">
        <f t="shared" si="26"/>
        <v/>
      </c>
    </row>
    <row r="889" spans="1:2" x14ac:dyDescent="0.4">
      <c r="A889" t="str">
        <f t="shared" si="27"/>
        <v/>
      </c>
      <c r="B889" t="str">
        <f t="shared" si="26"/>
        <v/>
      </c>
    </row>
    <row r="890" spans="1:2" x14ac:dyDescent="0.4">
      <c r="A890" t="str">
        <f t="shared" si="27"/>
        <v/>
      </c>
      <c r="B890" t="str">
        <f t="shared" si="26"/>
        <v/>
      </c>
    </row>
    <row r="891" spans="1:2" x14ac:dyDescent="0.4">
      <c r="A891" t="str">
        <f t="shared" si="27"/>
        <v/>
      </c>
      <c r="B891" t="str">
        <f t="shared" si="26"/>
        <v/>
      </c>
    </row>
    <row r="892" spans="1:2" x14ac:dyDescent="0.4">
      <c r="A892" t="str">
        <f t="shared" si="27"/>
        <v/>
      </c>
      <c r="B892" t="str">
        <f t="shared" si="26"/>
        <v/>
      </c>
    </row>
    <row r="893" spans="1:2" x14ac:dyDescent="0.4">
      <c r="A893" t="str">
        <f t="shared" si="27"/>
        <v/>
      </c>
      <c r="B893" t="str">
        <f t="shared" si="26"/>
        <v/>
      </c>
    </row>
    <row r="894" spans="1:2" x14ac:dyDescent="0.4">
      <c r="A894" t="str">
        <f t="shared" si="27"/>
        <v/>
      </c>
      <c r="B894" t="str">
        <f t="shared" si="26"/>
        <v/>
      </c>
    </row>
    <row r="895" spans="1:2" x14ac:dyDescent="0.4">
      <c r="A895" t="str">
        <f t="shared" si="27"/>
        <v/>
      </c>
      <c r="B895" t="str">
        <f t="shared" si="26"/>
        <v/>
      </c>
    </row>
    <row r="896" spans="1:2" x14ac:dyDescent="0.4">
      <c r="A896" t="str">
        <f t="shared" si="27"/>
        <v/>
      </c>
      <c r="B896" t="str">
        <f t="shared" si="26"/>
        <v/>
      </c>
    </row>
    <row r="897" spans="1:2" x14ac:dyDescent="0.4">
      <c r="A897" t="str">
        <f t="shared" si="27"/>
        <v/>
      </c>
      <c r="B897" t="str">
        <f t="shared" si="26"/>
        <v/>
      </c>
    </row>
    <row r="898" spans="1:2" x14ac:dyDescent="0.4">
      <c r="A898" t="str">
        <f t="shared" si="27"/>
        <v/>
      </c>
      <c r="B898" t="str">
        <f t="shared" ref="B898:B961" si="28">IF($G898="","",IFERROR($I898*$J898/1000000/PriceDiv*_xlfn.XLOOKUP($K898,FX_Ccy,FX_Rate),""))</f>
        <v/>
      </c>
    </row>
    <row r="899" spans="1:2" x14ac:dyDescent="0.4">
      <c r="A899" t="str">
        <f t="shared" ref="A899:A962" si="29">IF(G899&lt;&gt;"",G899,"")</f>
        <v/>
      </c>
      <c r="B899" t="str">
        <f t="shared" si="28"/>
        <v/>
      </c>
    </row>
    <row r="900" spans="1:2" x14ac:dyDescent="0.4">
      <c r="A900" t="str">
        <f t="shared" si="29"/>
        <v/>
      </c>
      <c r="B900" t="str">
        <f t="shared" si="28"/>
        <v/>
      </c>
    </row>
    <row r="901" spans="1:2" x14ac:dyDescent="0.4">
      <c r="A901" t="str">
        <f t="shared" si="29"/>
        <v/>
      </c>
      <c r="B901" t="str">
        <f t="shared" si="28"/>
        <v/>
      </c>
    </row>
    <row r="902" spans="1:2" x14ac:dyDescent="0.4">
      <c r="A902" t="str">
        <f t="shared" si="29"/>
        <v/>
      </c>
      <c r="B902" t="str">
        <f t="shared" si="28"/>
        <v/>
      </c>
    </row>
    <row r="903" spans="1:2" x14ac:dyDescent="0.4">
      <c r="A903" t="str">
        <f t="shared" si="29"/>
        <v/>
      </c>
      <c r="B903" t="str">
        <f t="shared" si="28"/>
        <v/>
      </c>
    </row>
    <row r="904" spans="1:2" x14ac:dyDescent="0.4">
      <c r="A904" t="str">
        <f t="shared" si="29"/>
        <v/>
      </c>
      <c r="B904" t="str">
        <f t="shared" si="28"/>
        <v/>
      </c>
    </row>
    <row r="905" spans="1:2" x14ac:dyDescent="0.4">
      <c r="A905" t="str">
        <f t="shared" si="29"/>
        <v/>
      </c>
      <c r="B905" t="str">
        <f t="shared" si="28"/>
        <v/>
      </c>
    </row>
    <row r="906" spans="1:2" x14ac:dyDescent="0.4">
      <c r="A906" t="str">
        <f t="shared" si="29"/>
        <v/>
      </c>
      <c r="B906" t="str">
        <f t="shared" si="28"/>
        <v/>
      </c>
    </row>
    <row r="907" spans="1:2" x14ac:dyDescent="0.4">
      <c r="A907" t="str">
        <f t="shared" si="29"/>
        <v/>
      </c>
      <c r="B907" t="str">
        <f t="shared" si="28"/>
        <v/>
      </c>
    </row>
    <row r="908" spans="1:2" x14ac:dyDescent="0.4">
      <c r="A908" t="str">
        <f t="shared" si="29"/>
        <v/>
      </c>
      <c r="B908" t="str">
        <f t="shared" si="28"/>
        <v/>
      </c>
    </row>
    <row r="909" spans="1:2" x14ac:dyDescent="0.4">
      <c r="A909" t="str">
        <f t="shared" si="29"/>
        <v/>
      </c>
      <c r="B909" t="str">
        <f t="shared" si="28"/>
        <v/>
      </c>
    </row>
    <row r="910" spans="1:2" x14ac:dyDescent="0.4">
      <c r="A910" t="str">
        <f t="shared" si="29"/>
        <v/>
      </c>
      <c r="B910" t="str">
        <f t="shared" si="28"/>
        <v/>
      </c>
    </row>
    <row r="911" spans="1:2" x14ac:dyDescent="0.4">
      <c r="A911" t="str">
        <f t="shared" si="29"/>
        <v/>
      </c>
      <c r="B911" t="str">
        <f t="shared" si="28"/>
        <v/>
      </c>
    </row>
    <row r="912" spans="1:2" x14ac:dyDescent="0.4">
      <c r="A912" t="str">
        <f t="shared" si="29"/>
        <v/>
      </c>
      <c r="B912" t="str">
        <f t="shared" si="28"/>
        <v/>
      </c>
    </row>
    <row r="913" spans="1:2" x14ac:dyDescent="0.4">
      <c r="A913" t="str">
        <f t="shared" si="29"/>
        <v/>
      </c>
      <c r="B913" t="str">
        <f t="shared" si="28"/>
        <v/>
      </c>
    </row>
    <row r="914" spans="1:2" x14ac:dyDescent="0.4">
      <c r="A914" t="str">
        <f t="shared" si="29"/>
        <v/>
      </c>
      <c r="B914" t="str">
        <f t="shared" si="28"/>
        <v/>
      </c>
    </row>
    <row r="915" spans="1:2" x14ac:dyDescent="0.4">
      <c r="A915" t="str">
        <f t="shared" si="29"/>
        <v/>
      </c>
      <c r="B915" t="str">
        <f t="shared" si="28"/>
        <v/>
      </c>
    </row>
    <row r="916" spans="1:2" x14ac:dyDescent="0.4">
      <c r="A916" t="str">
        <f t="shared" si="29"/>
        <v/>
      </c>
      <c r="B916" t="str">
        <f t="shared" si="28"/>
        <v/>
      </c>
    </row>
    <row r="917" spans="1:2" x14ac:dyDescent="0.4">
      <c r="A917" t="str">
        <f t="shared" si="29"/>
        <v/>
      </c>
      <c r="B917" t="str">
        <f t="shared" si="28"/>
        <v/>
      </c>
    </row>
    <row r="918" spans="1:2" x14ac:dyDescent="0.4">
      <c r="A918" t="str">
        <f t="shared" si="29"/>
        <v/>
      </c>
      <c r="B918" t="str">
        <f t="shared" si="28"/>
        <v/>
      </c>
    </row>
    <row r="919" spans="1:2" x14ac:dyDescent="0.4">
      <c r="A919" t="str">
        <f t="shared" si="29"/>
        <v/>
      </c>
      <c r="B919" t="str">
        <f t="shared" si="28"/>
        <v/>
      </c>
    </row>
    <row r="920" spans="1:2" x14ac:dyDescent="0.4">
      <c r="A920" t="str">
        <f t="shared" si="29"/>
        <v/>
      </c>
      <c r="B920" t="str">
        <f t="shared" si="28"/>
        <v/>
      </c>
    </row>
    <row r="921" spans="1:2" x14ac:dyDescent="0.4">
      <c r="A921" t="str">
        <f t="shared" si="29"/>
        <v/>
      </c>
      <c r="B921" t="str">
        <f t="shared" si="28"/>
        <v/>
      </c>
    </row>
    <row r="922" spans="1:2" x14ac:dyDescent="0.4">
      <c r="A922" t="str">
        <f t="shared" si="29"/>
        <v/>
      </c>
      <c r="B922" t="str">
        <f t="shared" si="28"/>
        <v/>
      </c>
    </row>
    <row r="923" spans="1:2" x14ac:dyDescent="0.4">
      <c r="A923" t="str">
        <f t="shared" si="29"/>
        <v/>
      </c>
      <c r="B923" t="str">
        <f t="shared" si="28"/>
        <v/>
      </c>
    </row>
    <row r="924" spans="1:2" x14ac:dyDescent="0.4">
      <c r="A924" t="str">
        <f t="shared" si="29"/>
        <v/>
      </c>
      <c r="B924" t="str">
        <f t="shared" si="28"/>
        <v/>
      </c>
    </row>
    <row r="925" spans="1:2" x14ac:dyDescent="0.4">
      <c r="A925" t="str">
        <f t="shared" si="29"/>
        <v/>
      </c>
      <c r="B925" t="str">
        <f t="shared" si="28"/>
        <v/>
      </c>
    </row>
    <row r="926" spans="1:2" x14ac:dyDescent="0.4">
      <c r="A926" t="str">
        <f t="shared" si="29"/>
        <v/>
      </c>
      <c r="B926" t="str">
        <f t="shared" si="28"/>
        <v/>
      </c>
    </row>
    <row r="927" spans="1:2" x14ac:dyDescent="0.4">
      <c r="A927" t="str">
        <f t="shared" si="29"/>
        <v/>
      </c>
      <c r="B927" t="str">
        <f t="shared" si="28"/>
        <v/>
      </c>
    </row>
    <row r="928" spans="1:2" x14ac:dyDescent="0.4">
      <c r="A928" t="str">
        <f t="shared" si="29"/>
        <v/>
      </c>
      <c r="B928" t="str">
        <f t="shared" si="28"/>
        <v/>
      </c>
    </row>
    <row r="929" spans="1:2" x14ac:dyDescent="0.4">
      <c r="A929" t="str">
        <f t="shared" si="29"/>
        <v/>
      </c>
      <c r="B929" t="str">
        <f t="shared" si="28"/>
        <v/>
      </c>
    </row>
    <row r="930" spans="1:2" x14ac:dyDescent="0.4">
      <c r="A930" t="str">
        <f t="shared" si="29"/>
        <v/>
      </c>
      <c r="B930" t="str">
        <f t="shared" si="28"/>
        <v/>
      </c>
    </row>
    <row r="931" spans="1:2" x14ac:dyDescent="0.4">
      <c r="A931" t="str">
        <f t="shared" si="29"/>
        <v/>
      </c>
      <c r="B931" t="str">
        <f t="shared" si="28"/>
        <v/>
      </c>
    </row>
    <row r="932" spans="1:2" x14ac:dyDescent="0.4">
      <c r="A932" t="str">
        <f t="shared" si="29"/>
        <v/>
      </c>
      <c r="B932" t="str">
        <f t="shared" si="28"/>
        <v/>
      </c>
    </row>
    <row r="933" spans="1:2" x14ac:dyDescent="0.4">
      <c r="A933" t="str">
        <f t="shared" si="29"/>
        <v/>
      </c>
      <c r="B933" t="str">
        <f t="shared" si="28"/>
        <v/>
      </c>
    </row>
    <row r="934" spans="1:2" x14ac:dyDescent="0.4">
      <c r="A934" t="str">
        <f t="shared" si="29"/>
        <v/>
      </c>
      <c r="B934" t="str">
        <f t="shared" si="28"/>
        <v/>
      </c>
    </row>
    <row r="935" spans="1:2" x14ac:dyDescent="0.4">
      <c r="A935" t="str">
        <f t="shared" si="29"/>
        <v/>
      </c>
      <c r="B935" t="str">
        <f t="shared" si="28"/>
        <v/>
      </c>
    </row>
    <row r="936" spans="1:2" x14ac:dyDescent="0.4">
      <c r="A936" t="str">
        <f t="shared" si="29"/>
        <v/>
      </c>
      <c r="B936" t="str">
        <f t="shared" si="28"/>
        <v/>
      </c>
    </row>
    <row r="937" spans="1:2" x14ac:dyDescent="0.4">
      <c r="A937" t="str">
        <f t="shared" si="29"/>
        <v/>
      </c>
      <c r="B937" t="str">
        <f t="shared" si="28"/>
        <v/>
      </c>
    </row>
    <row r="938" spans="1:2" x14ac:dyDescent="0.4">
      <c r="A938" t="str">
        <f t="shared" si="29"/>
        <v/>
      </c>
      <c r="B938" t="str">
        <f t="shared" si="28"/>
        <v/>
      </c>
    </row>
    <row r="939" spans="1:2" x14ac:dyDescent="0.4">
      <c r="A939" t="str">
        <f t="shared" si="29"/>
        <v/>
      </c>
      <c r="B939" t="str">
        <f t="shared" si="28"/>
        <v/>
      </c>
    </row>
    <row r="940" spans="1:2" x14ac:dyDescent="0.4">
      <c r="A940" t="str">
        <f t="shared" si="29"/>
        <v/>
      </c>
      <c r="B940" t="str">
        <f t="shared" si="28"/>
        <v/>
      </c>
    </row>
    <row r="941" spans="1:2" x14ac:dyDescent="0.4">
      <c r="A941" t="str">
        <f t="shared" si="29"/>
        <v/>
      </c>
      <c r="B941" t="str">
        <f t="shared" si="28"/>
        <v/>
      </c>
    </row>
    <row r="942" spans="1:2" x14ac:dyDescent="0.4">
      <c r="A942" t="str">
        <f t="shared" si="29"/>
        <v/>
      </c>
      <c r="B942" t="str">
        <f t="shared" si="28"/>
        <v/>
      </c>
    </row>
    <row r="943" spans="1:2" x14ac:dyDescent="0.4">
      <c r="A943" t="str">
        <f t="shared" si="29"/>
        <v/>
      </c>
      <c r="B943" t="str">
        <f t="shared" si="28"/>
        <v/>
      </c>
    </row>
    <row r="944" spans="1:2" x14ac:dyDescent="0.4">
      <c r="A944" t="str">
        <f t="shared" si="29"/>
        <v/>
      </c>
      <c r="B944" t="str">
        <f t="shared" si="28"/>
        <v/>
      </c>
    </row>
    <row r="945" spans="1:2" x14ac:dyDescent="0.4">
      <c r="A945" t="str">
        <f t="shared" si="29"/>
        <v/>
      </c>
      <c r="B945" t="str">
        <f t="shared" si="28"/>
        <v/>
      </c>
    </row>
    <row r="946" spans="1:2" x14ac:dyDescent="0.4">
      <c r="A946" t="str">
        <f t="shared" si="29"/>
        <v/>
      </c>
      <c r="B946" t="str">
        <f t="shared" si="28"/>
        <v/>
      </c>
    </row>
    <row r="947" spans="1:2" x14ac:dyDescent="0.4">
      <c r="A947" t="str">
        <f t="shared" si="29"/>
        <v/>
      </c>
      <c r="B947" t="str">
        <f t="shared" si="28"/>
        <v/>
      </c>
    </row>
    <row r="948" spans="1:2" x14ac:dyDescent="0.4">
      <c r="A948" t="str">
        <f t="shared" si="29"/>
        <v/>
      </c>
      <c r="B948" t="str">
        <f t="shared" si="28"/>
        <v/>
      </c>
    </row>
    <row r="949" spans="1:2" x14ac:dyDescent="0.4">
      <c r="A949" t="str">
        <f t="shared" si="29"/>
        <v/>
      </c>
      <c r="B949" t="str">
        <f t="shared" si="28"/>
        <v/>
      </c>
    </row>
    <row r="950" spans="1:2" x14ac:dyDescent="0.4">
      <c r="A950" t="str">
        <f t="shared" si="29"/>
        <v/>
      </c>
      <c r="B950" t="str">
        <f t="shared" si="28"/>
        <v/>
      </c>
    </row>
    <row r="951" spans="1:2" x14ac:dyDescent="0.4">
      <c r="A951" t="str">
        <f t="shared" si="29"/>
        <v/>
      </c>
      <c r="B951" t="str">
        <f t="shared" si="28"/>
        <v/>
      </c>
    </row>
    <row r="952" spans="1:2" x14ac:dyDescent="0.4">
      <c r="A952" t="str">
        <f t="shared" si="29"/>
        <v/>
      </c>
      <c r="B952" t="str">
        <f t="shared" si="28"/>
        <v/>
      </c>
    </row>
    <row r="953" spans="1:2" x14ac:dyDescent="0.4">
      <c r="A953" t="str">
        <f t="shared" si="29"/>
        <v/>
      </c>
      <c r="B953" t="str">
        <f t="shared" si="28"/>
        <v/>
      </c>
    </row>
    <row r="954" spans="1:2" x14ac:dyDescent="0.4">
      <c r="A954" t="str">
        <f t="shared" si="29"/>
        <v/>
      </c>
      <c r="B954" t="str">
        <f t="shared" si="28"/>
        <v/>
      </c>
    </row>
    <row r="955" spans="1:2" x14ac:dyDescent="0.4">
      <c r="A955" t="str">
        <f t="shared" si="29"/>
        <v/>
      </c>
      <c r="B955" t="str">
        <f t="shared" si="28"/>
        <v/>
      </c>
    </row>
    <row r="956" spans="1:2" x14ac:dyDescent="0.4">
      <c r="A956" t="str">
        <f t="shared" si="29"/>
        <v/>
      </c>
      <c r="B956" t="str">
        <f t="shared" si="28"/>
        <v/>
      </c>
    </row>
    <row r="957" spans="1:2" x14ac:dyDescent="0.4">
      <c r="A957" t="str">
        <f t="shared" si="29"/>
        <v/>
      </c>
      <c r="B957" t="str">
        <f t="shared" si="28"/>
        <v/>
      </c>
    </row>
    <row r="958" spans="1:2" x14ac:dyDescent="0.4">
      <c r="A958" t="str">
        <f t="shared" si="29"/>
        <v/>
      </c>
      <c r="B958" t="str">
        <f t="shared" si="28"/>
        <v/>
      </c>
    </row>
    <row r="959" spans="1:2" x14ac:dyDescent="0.4">
      <c r="A959" t="str">
        <f t="shared" si="29"/>
        <v/>
      </c>
      <c r="B959" t="str">
        <f t="shared" si="28"/>
        <v/>
      </c>
    </row>
    <row r="960" spans="1:2" x14ac:dyDescent="0.4">
      <c r="A960" t="str">
        <f t="shared" si="29"/>
        <v/>
      </c>
      <c r="B960" t="str">
        <f t="shared" si="28"/>
        <v/>
      </c>
    </row>
    <row r="961" spans="1:2" x14ac:dyDescent="0.4">
      <c r="A961" t="str">
        <f t="shared" si="29"/>
        <v/>
      </c>
      <c r="B961" t="str">
        <f t="shared" si="28"/>
        <v/>
      </c>
    </row>
    <row r="962" spans="1:2" x14ac:dyDescent="0.4">
      <c r="A962" t="str">
        <f t="shared" si="29"/>
        <v/>
      </c>
      <c r="B962" t="str">
        <f t="shared" ref="B962:B1000" si="30">IF($G962="","",IFERROR($I962*$J962/1000000/PriceDiv*_xlfn.XLOOKUP($K962,FX_Ccy,FX_Rate),""))</f>
        <v/>
      </c>
    </row>
    <row r="963" spans="1:2" x14ac:dyDescent="0.4">
      <c r="A963" t="str">
        <f t="shared" ref="A963:A1000" si="31">IF(G963&lt;&gt;"",G963,"")</f>
        <v/>
      </c>
      <c r="B963" t="str">
        <f t="shared" si="30"/>
        <v/>
      </c>
    </row>
    <row r="964" spans="1:2" x14ac:dyDescent="0.4">
      <c r="A964" t="str">
        <f t="shared" si="31"/>
        <v/>
      </c>
      <c r="B964" t="str">
        <f t="shared" si="30"/>
        <v/>
      </c>
    </row>
    <row r="965" spans="1:2" x14ac:dyDescent="0.4">
      <c r="A965" t="str">
        <f t="shared" si="31"/>
        <v/>
      </c>
      <c r="B965" t="str">
        <f t="shared" si="30"/>
        <v/>
      </c>
    </row>
    <row r="966" spans="1:2" x14ac:dyDescent="0.4">
      <c r="A966" t="str">
        <f t="shared" si="31"/>
        <v/>
      </c>
      <c r="B966" t="str">
        <f t="shared" si="30"/>
        <v/>
      </c>
    </row>
    <row r="967" spans="1:2" x14ac:dyDescent="0.4">
      <c r="A967" t="str">
        <f t="shared" si="31"/>
        <v/>
      </c>
      <c r="B967" t="str">
        <f t="shared" si="30"/>
        <v/>
      </c>
    </row>
    <row r="968" spans="1:2" x14ac:dyDescent="0.4">
      <c r="A968" t="str">
        <f t="shared" si="31"/>
        <v/>
      </c>
      <c r="B968" t="str">
        <f t="shared" si="30"/>
        <v/>
      </c>
    </row>
    <row r="969" spans="1:2" x14ac:dyDescent="0.4">
      <c r="A969" t="str">
        <f t="shared" si="31"/>
        <v/>
      </c>
      <c r="B969" t="str">
        <f t="shared" si="30"/>
        <v/>
      </c>
    </row>
    <row r="970" spans="1:2" x14ac:dyDescent="0.4">
      <c r="A970" t="str">
        <f t="shared" si="31"/>
        <v/>
      </c>
      <c r="B970" t="str">
        <f t="shared" si="30"/>
        <v/>
      </c>
    </row>
    <row r="971" spans="1:2" x14ac:dyDescent="0.4">
      <c r="A971" t="str">
        <f t="shared" si="31"/>
        <v/>
      </c>
      <c r="B971" t="str">
        <f t="shared" si="30"/>
        <v/>
      </c>
    </row>
    <row r="972" spans="1:2" x14ac:dyDescent="0.4">
      <c r="A972" t="str">
        <f t="shared" si="31"/>
        <v/>
      </c>
      <c r="B972" t="str">
        <f t="shared" si="30"/>
        <v/>
      </c>
    </row>
    <row r="973" spans="1:2" x14ac:dyDescent="0.4">
      <c r="A973" t="str">
        <f t="shared" si="31"/>
        <v/>
      </c>
      <c r="B973" t="str">
        <f t="shared" si="30"/>
        <v/>
      </c>
    </row>
    <row r="974" spans="1:2" x14ac:dyDescent="0.4">
      <c r="A974" t="str">
        <f t="shared" si="31"/>
        <v/>
      </c>
      <c r="B974" t="str">
        <f t="shared" si="30"/>
        <v/>
      </c>
    </row>
    <row r="975" spans="1:2" x14ac:dyDescent="0.4">
      <c r="A975" t="str">
        <f t="shared" si="31"/>
        <v/>
      </c>
      <c r="B975" t="str">
        <f t="shared" si="30"/>
        <v/>
      </c>
    </row>
    <row r="976" spans="1:2" x14ac:dyDescent="0.4">
      <c r="A976" t="str">
        <f t="shared" si="31"/>
        <v/>
      </c>
      <c r="B976" t="str">
        <f t="shared" si="30"/>
        <v/>
      </c>
    </row>
    <row r="977" spans="1:2" x14ac:dyDescent="0.4">
      <c r="A977" t="str">
        <f t="shared" si="31"/>
        <v/>
      </c>
      <c r="B977" t="str">
        <f t="shared" si="30"/>
        <v/>
      </c>
    </row>
    <row r="978" spans="1:2" x14ac:dyDescent="0.4">
      <c r="A978" t="str">
        <f t="shared" si="31"/>
        <v/>
      </c>
      <c r="B978" t="str">
        <f t="shared" si="30"/>
        <v/>
      </c>
    </row>
    <row r="979" spans="1:2" x14ac:dyDescent="0.4">
      <c r="A979" t="str">
        <f t="shared" si="31"/>
        <v/>
      </c>
      <c r="B979" t="str">
        <f t="shared" si="30"/>
        <v/>
      </c>
    </row>
    <row r="980" spans="1:2" x14ac:dyDescent="0.4">
      <c r="A980" t="str">
        <f t="shared" si="31"/>
        <v/>
      </c>
      <c r="B980" t="str">
        <f t="shared" si="30"/>
        <v/>
      </c>
    </row>
    <row r="981" spans="1:2" x14ac:dyDescent="0.4">
      <c r="A981" t="str">
        <f t="shared" si="31"/>
        <v/>
      </c>
      <c r="B981" t="str">
        <f t="shared" si="30"/>
        <v/>
      </c>
    </row>
    <row r="982" spans="1:2" x14ac:dyDescent="0.4">
      <c r="A982" t="str">
        <f t="shared" si="31"/>
        <v/>
      </c>
      <c r="B982" t="str">
        <f t="shared" si="30"/>
        <v/>
      </c>
    </row>
    <row r="983" spans="1:2" x14ac:dyDescent="0.4">
      <c r="A983" t="str">
        <f t="shared" si="31"/>
        <v/>
      </c>
      <c r="B983" t="str">
        <f t="shared" si="30"/>
        <v/>
      </c>
    </row>
    <row r="984" spans="1:2" x14ac:dyDescent="0.4">
      <c r="A984" t="str">
        <f t="shared" si="31"/>
        <v/>
      </c>
      <c r="B984" t="str">
        <f t="shared" si="30"/>
        <v/>
      </c>
    </row>
    <row r="985" spans="1:2" x14ac:dyDescent="0.4">
      <c r="A985" t="str">
        <f t="shared" si="31"/>
        <v/>
      </c>
      <c r="B985" t="str">
        <f t="shared" si="30"/>
        <v/>
      </c>
    </row>
    <row r="986" spans="1:2" x14ac:dyDescent="0.4">
      <c r="A986" t="str">
        <f t="shared" si="31"/>
        <v/>
      </c>
      <c r="B986" t="str">
        <f t="shared" si="30"/>
        <v/>
      </c>
    </row>
    <row r="987" spans="1:2" x14ac:dyDescent="0.4">
      <c r="A987" t="str">
        <f t="shared" si="31"/>
        <v/>
      </c>
      <c r="B987" t="str">
        <f t="shared" si="30"/>
        <v/>
      </c>
    </row>
    <row r="988" spans="1:2" x14ac:dyDescent="0.4">
      <c r="A988" t="str">
        <f t="shared" si="31"/>
        <v/>
      </c>
      <c r="B988" t="str">
        <f t="shared" si="30"/>
        <v/>
      </c>
    </row>
    <row r="989" spans="1:2" x14ac:dyDescent="0.4">
      <c r="A989" t="str">
        <f t="shared" si="31"/>
        <v/>
      </c>
      <c r="B989" t="str">
        <f t="shared" si="30"/>
        <v/>
      </c>
    </row>
    <row r="990" spans="1:2" x14ac:dyDescent="0.4">
      <c r="A990" t="str">
        <f t="shared" si="31"/>
        <v/>
      </c>
      <c r="B990" t="str">
        <f t="shared" si="30"/>
        <v/>
      </c>
    </row>
    <row r="991" spans="1:2" x14ac:dyDescent="0.4">
      <c r="A991" t="str">
        <f t="shared" si="31"/>
        <v/>
      </c>
      <c r="B991" t="str">
        <f t="shared" si="30"/>
        <v/>
      </c>
    </row>
    <row r="992" spans="1:2" x14ac:dyDescent="0.4">
      <c r="A992" t="str">
        <f t="shared" si="31"/>
        <v/>
      </c>
      <c r="B992" t="str">
        <f t="shared" si="30"/>
        <v/>
      </c>
    </row>
    <row r="993" spans="1:2" x14ac:dyDescent="0.4">
      <c r="A993" t="str">
        <f t="shared" si="31"/>
        <v/>
      </c>
      <c r="B993" t="str">
        <f t="shared" si="30"/>
        <v/>
      </c>
    </row>
    <row r="994" spans="1:2" x14ac:dyDescent="0.4">
      <c r="A994" t="str">
        <f t="shared" si="31"/>
        <v/>
      </c>
      <c r="B994" t="str">
        <f t="shared" si="30"/>
        <v/>
      </c>
    </row>
    <row r="995" spans="1:2" x14ac:dyDescent="0.4">
      <c r="A995" t="str">
        <f t="shared" si="31"/>
        <v/>
      </c>
      <c r="B995" t="str">
        <f t="shared" si="30"/>
        <v/>
      </c>
    </row>
    <row r="996" spans="1:2" x14ac:dyDescent="0.4">
      <c r="A996" t="str">
        <f t="shared" si="31"/>
        <v/>
      </c>
      <c r="B996" t="str">
        <f t="shared" si="30"/>
        <v/>
      </c>
    </row>
    <row r="997" spans="1:2" x14ac:dyDescent="0.4">
      <c r="A997" t="str">
        <f t="shared" si="31"/>
        <v/>
      </c>
      <c r="B997" t="str">
        <f t="shared" si="30"/>
        <v/>
      </c>
    </row>
    <row r="998" spans="1:2" x14ac:dyDescent="0.4">
      <c r="A998" t="str">
        <f t="shared" si="31"/>
        <v/>
      </c>
      <c r="B998" t="str">
        <f t="shared" si="30"/>
        <v/>
      </c>
    </row>
    <row r="999" spans="1:2" x14ac:dyDescent="0.4">
      <c r="A999" t="str">
        <f t="shared" si="31"/>
        <v/>
      </c>
      <c r="B999" t="str">
        <f t="shared" si="30"/>
        <v/>
      </c>
    </row>
    <row r="1000" spans="1:2" x14ac:dyDescent="0.4">
      <c r="A1000" t="str">
        <f t="shared" si="31"/>
        <v/>
      </c>
      <c r="B1000" t="str">
        <f t="shared" si="30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8E97-5DB6-4853-B776-9D1116B07A86}">
  <dimension ref="A3:Z305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RowHeight="14.6" x14ac:dyDescent="0.4"/>
  <sheetData>
    <row r="3" spans="1:26" x14ac:dyDescent="0.4">
      <c r="E3" t="s">
        <v>60</v>
      </c>
      <c r="G3" t="s">
        <v>43</v>
      </c>
      <c r="I3" t="s">
        <v>44</v>
      </c>
      <c r="J3" t="s">
        <v>44</v>
      </c>
      <c r="K3" t="s">
        <v>45</v>
      </c>
      <c r="L3" t="s">
        <v>46</v>
      </c>
      <c r="M3" t="s">
        <v>47</v>
      </c>
      <c r="N3" t="s">
        <v>47</v>
      </c>
      <c r="O3" t="s">
        <v>47</v>
      </c>
      <c r="P3" t="s">
        <v>48</v>
      </c>
      <c r="Q3" t="s">
        <v>48</v>
      </c>
      <c r="R3" t="s">
        <v>48</v>
      </c>
      <c r="S3" t="s">
        <v>49</v>
      </c>
      <c r="T3" t="s">
        <v>49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</row>
    <row r="4" spans="1:26" x14ac:dyDescent="0.4">
      <c r="E4" t="s">
        <v>61</v>
      </c>
      <c r="I4">
        <v>0</v>
      </c>
      <c r="J4">
        <v>-3</v>
      </c>
      <c r="K4">
        <v>0</v>
      </c>
      <c r="L4">
        <v>0</v>
      </c>
      <c r="M4">
        <v>0</v>
      </c>
      <c r="N4">
        <v>-1</v>
      </c>
      <c r="O4">
        <v>-2</v>
      </c>
      <c r="P4">
        <v>0</v>
      </c>
      <c r="Q4">
        <v>-1</v>
      </c>
      <c r="R4">
        <v>-2</v>
      </c>
      <c r="S4">
        <v>0</v>
      </c>
      <c r="T4">
        <v>-1</v>
      </c>
      <c r="U4">
        <v>-2</v>
      </c>
    </row>
    <row r="5" spans="1:26" x14ac:dyDescent="0.4">
      <c r="A5" t="s">
        <v>22</v>
      </c>
      <c r="B5" t="s">
        <v>23</v>
      </c>
      <c r="C5" t="s">
        <v>24</v>
      </c>
      <c r="D5" t="s">
        <v>25</v>
      </c>
      <c r="E5" t="s">
        <v>59</v>
      </c>
      <c r="F5" t="s">
        <v>62</v>
      </c>
      <c r="G5" t="s">
        <v>15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  <c r="Z5" t="s">
        <v>81</v>
      </c>
    </row>
    <row r="6" spans="1:26" x14ac:dyDescent="0.4">
      <c r="A6" t="str">
        <f>IF(Universe!A6&lt;&gt;"",Universe!A6,"")</f>
        <v>3IN</v>
      </c>
      <c r="B6" t="str">
        <f>IF(Universe!B6&lt;&gt;"",Universe!B6,"")</f>
        <v>3i Infrastructure</v>
      </c>
      <c r="C6" t="str">
        <f>IF(Universe!C6&lt;&gt;"",Universe!C6,"")</f>
        <v>JE00BF5FX167</v>
      </c>
      <c r="D6" t="str">
        <f>IF(Universe!D6&lt;&gt;"",Universe!D6,"")</f>
        <v>Financials</v>
      </c>
      <c r="E6" t="str">
        <f>Universe!G6</f>
        <v>Exclude</v>
      </c>
      <c r="F6" t="str">
        <f>IF($E6&lt;&gt;"Include","",_xlfn.LET(_xlpm.latest,_xlfn.MAXIFS(Raw_Fund!$C:$C,Raw_Fund!$B:$B,Data!$C6),IF(_xlpm.latest=0,"",_xlpm.latest)))</f>
        <v/>
      </c>
      <c r="G6" t="str">
        <f>IF($F6="","",INDEX(Raw_Fund!$E:$AZ,MATCH($C6&amp;"|"&amp;$F6,Raw_Fund!$A:$A,0),MATCH(G$3,Raw_Fund!$E$1:$AZ$1,0)))</f>
        <v/>
      </c>
      <c r="H6" t="str">
        <f t="shared" ref="H6:H69" si="0">IF($G6="","",_xlfn.XLOOKUP($G6,FX_Ccy,FX_Rate,"Missing FX"))</f>
        <v/>
      </c>
      <c r="I6" s="6" t="str">
        <f>_xlfn.LET(
_xlpm.rowNo, MATCH($C6&amp;"|"&amp;
($F6+I$4),Raw_Fund!$A:$A,0),
_xlpm.colNo,
MATCH(I$3,Raw_Fund!$E$1:$AZ$1,0),
_xlpm.val,
INDEX(Raw_Fund!$E:$AZ,_xlpm.rowNo,_xlpm.colNo),
IF(ISNUMBER(_xlpm.val),_xlpm.val*$H6,""))</f>
        <v/>
      </c>
      <c r="J6" s="6" t="str">
        <f>_xlfn.LET(
_xlpm.rowNo, MATCH($C6&amp;"|"&amp;
($F6+J$4),Raw_Fund!$A:$A,0),
_xlpm.colNo,
MATCH(J$3,Raw_Fund!$E$1:$AZ$1,0),
_xlpm.val,
INDEX(Raw_Fund!$E:$AZ,_xlpm.rowNo,_xlpm.colNo),
IF(ISNUMBER(_xlpm.val),_xlpm.val*$H6,""))</f>
        <v/>
      </c>
      <c r="K6" s="6" t="str">
        <f>_xlfn.LET(
_xlpm.rowNo, MATCH($C6&amp;"|"&amp;
($F6+K$4),Raw_Fund!$A:$A,0),
_xlpm.colNo,
MATCH(K$3,Raw_Fund!$E$1:$AZ$1,0),
_xlpm.val,
INDEX(Raw_Fund!$E:$AZ,_xlpm.rowNo,_xlpm.colNo),
IF(ISNUMBER(_xlpm.val),_xlpm.val*$H6,""))</f>
        <v/>
      </c>
      <c r="L6" s="6" t="str">
        <f>_xlfn.LET(
_xlpm.rowNo, MATCH($C6&amp;"|"&amp;
($F6+L$4),Raw_Fund!$A:$A,0),
_xlpm.colNo,
MATCH(L$3,Raw_Fund!$E$1:$AZ$1,0),
_xlpm.val,
INDEX(Raw_Fund!$E:$AZ,_xlpm.rowNo,_xlpm.colNo),
IF(ISNUMBER(_xlpm.val),_xlpm.val*$H6,""))</f>
        <v/>
      </c>
      <c r="M6" s="6" t="str">
        <f>_xlfn.LET(
_xlpm.rowNo, MATCH($C6&amp;"|"&amp;
($F6+M$4),Raw_Fund!$A:$A,0),
_xlpm.colNo,
MATCH(M$3,Raw_Fund!$E$1:$AZ$1,0),
_xlpm.val,
INDEX(Raw_Fund!$E:$AZ,_xlpm.rowNo,_xlpm.colNo),
IF(ISNUMBER(_xlpm.val),_xlpm.val*$H6,""))</f>
        <v/>
      </c>
      <c r="N6" s="6" t="str">
        <f>_xlfn.LET(
_xlpm.rowNo, MATCH($C6&amp;"|"&amp;
($F6+N$4),Raw_Fund!$A:$A,0),
_xlpm.colNo,
MATCH(N$3,Raw_Fund!$E$1:$AZ$1,0),
_xlpm.val,
INDEX(Raw_Fund!$E:$AZ,_xlpm.rowNo,_xlpm.colNo),
IF(ISNUMBER(_xlpm.val),_xlpm.val*$H6,""))</f>
        <v/>
      </c>
      <c r="O6" s="6" t="str">
        <f>_xlfn.LET(
_xlpm.rowNo, MATCH($C6&amp;"|"&amp;
($F6+O$4),Raw_Fund!$A:$A,0),
_xlpm.colNo,
MATCH(O$3,Raw_Fund!$E$1:$AZ$1,0),
_xlpm.val,
INDEX(Raw_Fund!$E:$AZ,_xlpm.rowNo,_xlpm.colNo),
IF(ISNUMBER(_xlpm.val),_xlpm.val*$H6,""))</f>
        <v/>
      </c>
      <c r="P6" s="6" t="str">
        <f>_xlfn.LET(
_xlpm.rowNo, MATCH($C6&amp;"|"&amp;
($F6+P$4),Raw_Fund!$A:$A,0),
_xlpm.colNo,
MATCH(P$3,Raw_Fund!$E$1:$AZ$1,0),
_xlpm.val,
INDEX(Raw_Fund!$E:$AZ,_xlpm.rowNo,_xlpm.colNo),
IF(ISNUMBER(_xlpm.val),_xlpm.val*$H6,""))</f>
        <v/>
      </c>
      <c r="Q6" s="6" t="str">
        <f>_xlfn.LET(
_xlpm.rowNo, MATCH($C6&amp;"|"&amp;
($F6+Q$4),Raw_Fund!$A:$A,0),
_xlpm.colNo,
MATCH(Q$3,Raw_Fund!$E$1:$AZ$1,0),
_xlpm.val,
INDEX(Raw_Fund!$E:$AZ,_xlpm.rowNo,_xlpm.colNo),
IF(ISNUMBER(_xlpm.val),_xlpm.val*$H6,""))</f>
        <v/>
      </c>
      <c r="R6" s="6" t="str">
        <f>_xlfn.LET(
_xlpm.rowNo, MATCH($C6&amp;"|"&amp;
($F6+R$4),Raw_Fund!$A:$A,0),
_xlpm.colNo,
MATCH(R$3,Raw_Fund!$E$1:$AZ$1,0),
_xlpm.val,
INDEX(Raw_Fund!$E:$AZ,_xlpm.rowNo,_xlpm.colNo),
IF(ISNUMBER(_xlpm.val),_xlpm.val*$H6,""))</f>
        <v/>
      </c>
      <c r="S6" s="6" t="str">
        <f>_xlfn.LET(
_xlpm.rowNo, MATCH($C6&amp;"|"&amp;
($F6+S$4),Raw_Fund!$A:$A,0),
_xlpm.colNo,
MATCH(S$3,Raw_Fund!$E$1:$AZ$1,0),
_xlpm.val,
INDEX(Raw_Fund!$E:$AZ,_xlpm.rowNo,_xlpm.colNo),
IF(ISNUMBER(_xlpm.val),_xlpm.val*$H6,""))</f>
        <v/>
      </c>
      <c r="T6" s="6" t="str">
        <f>_xlfn.LET(
_xlpm.rowNo, MATCH($C6&amp;"|"&amp;
($F6+T$4),Raw_Fund!$A:$A,0),
_xlpm.colNo,
MATCH(T$3,Raw_Fund!$E$1:$AZ$1,0),
_xlpm.val,
INDEX(Raw_Fund!$E:$AZ,_xlpm.rowNo,_xlpm.colNo),
IF(ISNUMBER(_xlpm.val),_xlpm.val*$H6,""))</f>
        <v/>
      </c>
      <c r="U6" s="6" t="str">
        <f>_xlfn.LET(
_xlpm.rowNo, MATCH($C6&amp;"|"&amp;
($F6+U$4),Raw_Fund!$A:$A,0),
_xlpm.colNo,
MATCH(U$3,Raw_Fund!$E$1:$AZ$1,0),
_xlpm.val,
INDEX(Raw_Fund!$E:$AZ,_xlpm.rowNo,_xlpm.colNo),
IF(ISNUMBER(_xlpm.val),_xlpm.val*$H6,""))</f>
        <v/>
      </c>
      <c r="V6" s="6" t="str">
        <f>_xlfn.LET(
_xlpm.rowNo, MATCH($C6&amp;"|"&amp;
($F6+V$4),Raw_Fund!$A:$A,0),
_xlpm.colNo,
MATCH(V$3,Raw_Fund!$E$1:$AZ$1,0),
_xlpm.val,
INDEX(Raw_Fund!$E:$AZ,_xlpm.rowNo,_xlpm.colNo),
IF(ISNUMBER(_xlpm.val),_xlpm.val*$H6,""))</f>
        <v/>
      </c>
      <c r="W6" s="6" t="str">
        <f>_xlfn.LET(
_xlpm.rowNo, MATCH($C6&amp;"|"&amp;
($F6+W$4),Raw_Fund!$A:$A,0),
_xlpm.colNo,
MATCH(W$3,Raw_Fund!$E$1:$AZ$1,0),
_xlpm.val,
INDEX(Raw_Fund!$E:$AZ,_xlpm.rowNo,_xlpm.colNo),
IF(ISNUMBER(_xlpm.val),_xlpm.val*$H6,""))</f>
        <v/>
      </c>
      <c r="X6" s="6" t="str">
        <f>_xlfn.LET(
_xlpm.rowNo, MATCH($C6&amp;"|"&amp;
($F6+X$4),Raw_Fund!$A:$A,0),
_xlpm.colNo,
MATCH(X$3,Raw_Fund!$E$1:$AZ$1,0),
_xlpm.val,
INDEX(Raw_Fund!$E:$AZ,_xlpm.rowNo,_xlpm.colNo),
IF(ISNUMBER(_xlpm.val),_xlpm.val*$H6,""))</f>
        <v/>
      </c>
      <c r="Y6" s="6" t="str">
        <f>_xlfn.LET(
_xlpm.rowNo, MATCH($C6&amp;"|"&amp;
($F6+Y$4),Raw_Fund!$A:$A,0),
_xlpm.colNo,
MATCH(Y$3,Raw_Fund!$E$1:$AZ$1,0),
_xlpm.val,
INDEX(Raw_Fund!$E:$AZ,_xlpm.rowNo,_xlpm.colNo),
IF(ISNUMBER(_xlpm.val),_xlpm.val*$H6,""))</f>
        <v/>
      </c>
      <c r="Z6" s="6" t="str">
        <f>IF($E6&lt;&gt;"Include","",_xlfn.XLOOKUP($C6,Raw_Mkt!$A:$A,Raw_Mkt!$B:$B))</f>
        <v/>
      </c>
    </row>
    <row r="7" spans="1:26" x14ac:dyDescent="0.4">
      <c r="A7" t="str">
        <f>IF(Universe!A7&lt;&gt;"",Universe!A7,"")</f>
        <v>FOUR</v>
      </c>
      <c r="B7" t="str">
        <f>IF(Universe!B7&lt;&gt;"",Universe!B7,"")</f>
        <v>4imprint</v>
      </c>
      <c r="C7" t="str">
        <f>IF(Universe!C7&lt;&gt;"",Universe!C7,"")</f>
        <v>GB0006640972</v>
      </c>
      <c r="D7" t="str">
        <f>IF(Universe!D7&lt;&gt;"",Universe!D7,"")</f>
        <v>Consumer Discretionary</v>
      </c>
      <c r="E7" t="str">
        <f>Universe!G7</f>
        <v>Include</v>
      </c>
      <c r="F7" t="str">
        <f>IF($E7&lt;&gt;"Include","",_xlfn.LET(_xlpm.latest,_xlfn.MAXIFS(Raw_Fund!$C:$C,Raw_Fund!$B:$B,Data!$C7),IF(_xlpm.latest=0,"",_xlpm.latest)))</f>
        <v/>
      </c>
      <c r="G7" t="str">
        <f>IF($F7="","",INDEX(Raw_Fund!$E:$AZ,MATCH($C7&amp;"|"&amp;$F7,Raw_Fund!$A:$A,0),MATCH(G$3,Raw_Fund!$E$1:$AZ$1,0)))</f>
        <v/>
      </c>
      <c r="H7" t="str">
        <f t="shared" si="0"/>
        <v/>
      </c>
      <c r="I7" s="6" t="str">
        <f>_xlfn.LET(
_xlpm.rowNo, MATCH($C7&amp;"|"&amp;
($F7+I$4),Raw_Fund!$A:$A,0),
_xlpm.colNo,
MATCH(I$3,Raw_Fund!$E$1:$AZ$1,0),
_xlpm.val,
INDEX(Raw_Fund!$E:$AZ,_xlpm.rowNo,_xlpm.colNo),
IF(ISNUMBER(_xlpm.val),_xlpm.val*$H7,""))</f>
        <v/>
      </c>
      <c r="J7" s="6" t="str">
        <f>_xlfn.LET(
_xlpm.rowNo, MATCH($C7&amp;"|"&amp;
($F7+J$4),Raw_Fund!$A:$A,0),
_xlpm.colNo,
MATCH(J$3,Raw_Fund!$E$1:$AZ$1,0),
_xlpm.val,
INDEX(Raw_Fund!$E:$AZ,_xlpm.rowNo,_xlpm.colNo),
IF(ISNUMBER(_xlpm.val),_xlpm.val*$H7,""))</f>
        <v/>
      </c>
      <c r="K7" s="6" t="str">
        <f>_xlfn.LET(
_xlpm.rowNo, MATCH($C7&amp;"|"&amp;
($F7+K$4),Raw_Fund!$A:$A,0),
_xlpm.colNo,
MATCH(K$3,Raw_Fund!$E$1:$AZ$1,0),
_xlpm.val,
INDEX(Raw_Fund!$E:$AZ,_xlpm.rowNo,_xlpm.colNo),
IF(ISNUMBER(_xlpm.val),_xlpm.val*$H7,""))</f>
        <v/>
      </c>
      <c r="L7" s="6" t="str">
        <f>_xlfn.LET(
_xlpm.rowNo, MATCH($C7&amp;"|"&amp;
($F7+L$4),Raw_Fund!$A:$A,0),
_xlpm.colNo,
MATCH(L$3,Raw_Fund!$E$1:$AZ$1,0),
_xlpm.val,
INDEX(Raw_Fund!$E:$AZ,_xlpm.rowNo,_xlpm.colNo),
IF(ISNUMBER(_xlpm.val),_xlpm.val*$H7,""))</f>
        <v/>
      </c>
      <c r="M7" s="6" t="str">
        <f>_xlfn.LET(
_xlpm.rowNo, MATCH($C7&amp;"|"&amp;
($F7+M$4),Raw_Fund!$A:$A,0),
_xlpm.colNo,
MATCH(M$3,Raw_Fund!$E$1:$AZ$1,0),
_xlpm.val,
INDEX(Raw_Fund!$E:$AZ,_xlpm.rowNo,_xlpm.colNo),
IF(ISNUMBER(_xlpm.val),_xlpm.val*$H7,""))</f>
        <v/>
      </c>
      <c r="N7" s="6" t="str">
        <f>_xlfn.LET(
_xlpm.rowNo, MATCH($C7&amp;"|"&amp;
($F7+N$4),Raw_Fund!$A:$A,0),
_xlpm.colNo,
MATCH(N$3,Raw_Fund!$E$1:$AZ$1,0),
_xlpm.val,
INDEX(Raw_Fund!$E:$AZ,_xlpm.rowNo,_xlpm.colNo),
IF(ISNUMBER(_xlpm.val),_xlpm.val*$H7,""))</f>
        <v/>
      </c>
      <c r="O7" s="6" t="str">
        <f>_xlfn.LET(
_xlpm.rowNo, MATCH($C7&amp;"|"&amp;
($F7+O$4),Raw_Fund!$A:$A,0),
_xlpm.colNo,
MATCH(O$3,Raw_Fund!$E$1:$AZ$1,0),
_xlpm.val,
INDEX(Raw_Fund!$E:$AZ,_xlpm.rowNo,_xlpm.colNo),
IF(ISNUMBER(_xlpm.val),_xlpm.val*$H7,""))</f>
        <v/>
      </c>
      <c r="P7" s="6" t="str">
        <f>_xlfn.LET(
_xlpm.rowNo, MATCH($C7&amp;"|"&amp;
($F7+P$4),Raw_Fund!$A:$A,0),
_xlpm.colNo,
MATCH(P$3,Raw_Fund!$E$1:$AZ$1,0),
_xlpm.val,
INDEX(Raw_Fund!$E:$AZ,_xlpm.rowNo,_xlpm.colNo),
IF(ISNUMBER(_xlpm.val),_xlpm.val*$H7,""))</f>
        <v/>
      </c>
      <c r="Q7" s="6" t="str">
        <f>_xlfn.LET(
_xlpm.rowNo, MATCH($C7&amp;"|"&amp;
($F7+Q$4),Raw_Fund!$A:$A,0),
_xlpm.colNo,
MATCH(Q$3,Raw_Fund!$E$1:$AZ$1,0),
_xlpm.val,
INDEX(Raw_Fund!$E:$AZ,_xlpm.rowNo,_xlpm.colNo),
IF(ISNUMBER(_xlpm.val),_xlpm.val*$H7,""))</f>
        <v/>
      </c>
      <c r="R7" s="6" t="str">
        <f>_xlfn.LET(
_xlpm.rowNo, MATCH($C7&amp;"|"&amp;
($F7+R$4),Raw_Fund!$A:$A,0),
_xlpm.colNo,
MATCH(R$3,Raw_Fund!$E$1:$AZ$1,0),
_xlpm.val,
INDEX(Raw_Fund!$E:$AZ,_xlpm.rowNo,_xlpm.colNo),
IF(ISNUMBER(_xlpm.val),_xlpm.val*$H7,""))</f>
        <v/>
      </c>
      <c r="S7" s="6" t="str">
        <f>_xlfn.LET(
_xlpm.rowNo, MATCH($C7&amp;"|"&amp;
($F7+S$4),Raw_Fund!$A:$A,0),
_xlpm.colNo,
MATCH(S$3,Raw_Fund!$E$1:$AZ$1,0),
_xlpm.val,
INDEX(Raw_Fund!$E:$AZ,_xlpm.rowNo,_xlpm.colNo),
IF(ISNUMBER(_xlpm.val),_xlpm.val*$H7,""))</f>
        <v/>
      </c>
      <c r="T7" s="6" t="str">
        <f>_xlfn.LET(
_xlpm.rowNo, MATCH($C7&amp;"|"&amp;
($F7+T$4),Raw_Fund!$A:$A,0),
_xlpm.colNo,
MATCH(T$3,Raw_Fund!$E$1:$AZ$1,0),
_xlpm.val,
INDEX(Raw_Fund!$E:$AZ,_xlpm.rowNo,_xlpm.colNo),
IF(ISNUMBER(_xlpm.val),_xlpm.val*$H7,""))</f>
        <v/>
      </c>
      <c r="U7" s="6" t="str">
        <f>_xlfn.LET(
_xlpm.rowNo, MATCH($C7&amp;"|"&amp;
($F7+U$4),Raw_Fund!$A:$A,0),
_xlpm.colNo,
MATCH(U$3,Raw_Fund!$E$1:$AZ$1,0),
_xlpm.val,
INDEX(Raw_Fund!$E:$AZ,_xlpm.rowNo,_xlpm.colNo),
IF(ISNUMBER(_xlpm.val),_xlpm.val*$H7,""))</f>
        <v/>
      </c>
      <c r="V7" s="6" t="str">
        <f>_xlfn.LET(
_xlpm.rowNo, MATCH($C7&amp;"|"&amp;
($F7+V$4),Raw_Fund!$A:$A,0),
_xlpm.colNo,
MATCH(V$3,Raw_Fund!$E$1:$AZ$1,0),
_xlpm.val,
INDEX(Raw_Fund!$E:$AZ,_xlpm.rowNo,_xlpm.colNo),
IF(ISNUMBER(_xlpm.val),_xlpm.val*$H7,""))</f>
        <v/>
      </c>
      <c r="W7" s="6" t="str">
        <f>_xlfn.LET(
_xlpm.rowNo, MATCH($C7&amp;"|"&amp;
($F7+W$4),Raw_Fund!$A:$A,0),
_xlpm.colNo,
MATCH(W$3,Raw_Fund!$E$1:$AZ$1,0),
_xlpm.val,
INDEX(Raw_Fund!$E:$AZ,_xlpm.rowNo,_xlpm.colNo),
IF(ISNUMBER(_xlpm.val),_xlpm.val*$H7,""))</f>
        <v/>
      </c>
      <c r="X7" s="6" t="str">
        <f>_xlfn.LET(
_xlpm.rowNo, MATCH($C7&amp;"|"&amp;
($F7+X$4),Raw_Fund!$A:$A,0),
_xlpm.colNo,
MATCH(X$3,Raw_Fund!$E$1:$AZ$1,0),
_xlpm.val,
INDEX(Raw_Fund!$E:$AZ,_xlpm.rowNo,_xlpm.colNo),
IF(ISNUMBER(_xlpm.val),_xlpm.val*$H7,""))</f>
        <v/>
      </c>
      <c r="Y7" s="6" t="str">
        <f>_xlfn.LET(
_xlpm.rowNo, MATCH($C7&amp;"|"&amp;
($F7+Y$4),Raw_Fund!$A:$A,0),
_xlpm.colNo,
MATCH(Y$3,Raw_Fund!$E$1:$AZ$1,0),
_xlpm.val,
INDEX(Raw_Fund!$E:$AZ,_xlpm.rowNo,_xlpm.colNo),
IF(ISNUMBER(_xlpm.val),_xlpm.val*$H7,""))</f>
        <v/>
      </c>
      <c r="Z7" s="6" t="e">
        <f>IF($E7&lt;&gt;"Include","",_xlfn.XLOOKUP($C7,Raw_Mkt!$A:$A,Raw_Mkt!$B:$B))</f>
        <v>#N/A</v>
      </c>
    </row>
    <row r="8" spans="1:26" x14ac:dyDescent="0.4">
      <c r="A8" t="str">
        <f>IF(Universe!A8&lt;&gt;"",Universe!A8,"")</f>
        <v>AAS</v>
      </c>
      <c r="B8" t="str">
        <f>IF(Universe!B8&lt;&gt;"",Universe!B8,"")</f>
        <v>Aberdeen Asia Focus</v>
      </c>
      <c r="C8" t="str">
        <f>IF(Universe!C8&lt;&gt;"",Universe!C8,"")</f>
        <v>GB00BMF19B58</v>
      </c>
      <c r="D8" t="str">
        <f>IF(Universe!D8&lt;&gt;"",Universe!D8,"")</f>
        <v>Financials</v>
      </c>
      <c r="E8" t="str">
        <f>Universe!G8</f>
        <v>Exclude</v>
      </c>
      <c r="F8" t="str">
        <f>IF($E8&lt;&gt;"Include","",_xlfn.LET(_xlpm.latest,_xlfn.MAXIFS(Raw_Fund!$C:$C,Raw_Fund!$B:$B,Data!$C8),IF(_xlpm.latest=0,"",_xlpm.latest)))</f>
        <v/>
      </c>
      <c r="G8" t="str">
        <f>IF($F8="","",INDEX(Raw_Fund!$E:$AZ,MATCH($C8&amp;"|"&amp;$F8,Raw_Fund!$A:$A,0),MATCH(G$3,Raw_Fund!$E$1:$AZ$1,0)))</f>
        <v/>
      </c>
      <c r="H8" t="str">
        <f t="shared" si="0"/>
        <v/>
      </c>
      <c r="I8" s="6" t="str">
        <f>_xlfn.LET(
_xlpm.rowNo, MATCH($C8&amp;"|"&amp;
($F8+I$4),Raw_Fund!$A:$A,0),
_xlpm.colNo,
MATCH(I$3,Raw_Fund!$E$1:$AZ$1,0),
_xlpm.val,
INDEX(Raw_Fund!$E:$AZ,_xlpm.rowNo,_xlpm.colNo),
IF(ISNUMBER(_xlpm.val),_xlpm.val*$H8,""))</f>
        <v/>
      </c>
      <c r="J8" s="6" t="str">
        <f>_xlfn.LET(
_xlpm.rowNo, MATCH($C8&amp;"|"&amp;
($F8+J$4),Raw_Fund!$A:$A,0),
_xlpm.colNo,
MATCH(J$3,Raw_Fund!$E$1:$AZ$1,0),
_xlpm.val,
INDEX(Raw_Fund!$E:$AZ,_xlpm.rowNo,_xlpm.colNo),
IF(ISNUMBER(_xlpm.val),_xlpm.val*$H8,""))</f>
        <v/>
      </c>
      <c r="K8" s="6" t="str">
        <f>_xlfn.LET(
_xlpm.rowNo, MATCH($C8&amp;"|"&amp;
($F8+K$4),Raw_Fund!$A:$A,0),
_xlpm.colNo,
MATCH(K$3,Raw_Fund!$E$1:$AZ$1,0),
_xlpm.val,
INDEX(Raw_Fund!$E:$AZ,_xlpm.rowNo,_xlpm.colNo),
IF(ISNUMBER(_xlpm.val),_xlpm.val*$H8,""))</f>
        <v/>
      </c>
      <c r="L8" s="6" t="str">
        <f>_xlfn.LET(
_xlpm.rowNo, MATCH($C8&amp;"|"&amp;
($F8+L$4),Raw_Fund!$A:$A,0),
_xlpm.colNo,
MATCH(L$3,Raw_Fund!$E$1:$AZ$1,0),
_xlpm.val,
INDEX(Raw_Fund!$E:$AZ,_xlpm.rowNo,_xlpm.colNo),
IF(ISNUMBER(_xlpm.val),_xlpm.val*$H8,""))</f>
        <v/>
      </c>
      <c r="M8" s="6" t="str">
        <f>_xlfn.LET(
_xlpm.rowNo, MATCH($C8&amp;"|"&amp;
($F8+M$4),Raw_Fund!$A:$A,0),
_xlpm.colNo,
MATCH(M$3,Raw_Fund!$E$1:$AZ$1,0),
_xlpm.val,
INDEX(Raw_Fund!$E:$AZ,_xlpm.rowNo,_xlpm.colNo),
IF(ISNUMBER(_xlpm.val),_xlpm.val*$H8,""))</f>
        <v/>
      </c>
      <c r="N8" s="6" t="str">
        <f>_xlfn.LET(
_xlpm.rowNo, MATCH($C8&amp;"|"&amp;
($F8+N$4),Raw_Fund!$A:$A,0),
_xlpm.colNo,
MATCH(N$3,Raw_Fund!$E$1:$AZ$1,0),
_xlpm.val,
INDEX(Raw_Fund!$E:$AZ,_xlpm.rowNo,_xlpm.colNo),
IF(ISNUMBER(_xlpm.val),_xlpm.val*$H8,""))</f>
        <v/>
      </c>
      <c r="O8" s="6" t="str">
        <f>_xlfn.LET(
_xlpm.rowNo, MATCH($C8&amp;"|"&amp;
($F8+O$4),Raw_Fund!$A:$A,0),
_xlpm.colNo,
MATCH(O$3,Raw_Fund!$E$1:$AZ$1,0),
_xlpm.val,
INDEX(Raw_Fund!$E:$AZ,_xlpm.rowNo,_xlpm.colNo),
IF(ISNUMBER(_xlpm.val),_xlpm.val*$H8,""))</f>
        <v/>
      </c>
      <c r="P8" s="6" t="str">
        <f>_xlfn.LET(
_xlpm.rowNo, MATCH($C8&amp;"|"&amp;
($F8+P$4),Raw_Fund!$A:$A,0),
_xlpm.colNo,
MATCH(P$3,Raw_Fund!$E$1:$AZ$1,0),
_xlpm.val,
INDEX(Raw_Fund!$E:$AZ,_xlpm.rowNo,_xlpm.colNo),
IF(ISNUMBER(_xlpm.val),_xlpm.val*$H8,""))</f>
        <v/>
      </c>
      <c r="Q8" s="6" t="str">
        <f>_xlfn.LET(
_xlpm.rowNo, MATCH($C8&amp;"|"&amp;
($F8+Q$4),Raw_Fund!$A:$A,0),
_xlpm.colNo,
MATCH(Q$3,Raw_Fund!$E$1:$AZ$1,0),
_xlpm.val,
INDEX(Raw_Fund!$E:$AZ,_xlpm.rowNo,_xlpm.colNo),
IF(ISNUMBER(_xlpm.val),_xlpm.val*$H8,""))</f>
        <v/>
      </c>
      <c r="R8" s="6" t="str">
        <f>_xlfn.LET(
_xlpm.rowNo, MATCH($C8&amp;"|"&amp;
($F8+R$4),Raw_Fund!$A:$A,0),
_xlpm.colNo,
MATCH(R$3,Raw_Fund!$E$1:$AZ$1,0),
_xlpm.val,
INDEX(Raw_Fund!$E:$AZ,_xlpm.rowNo,_xlpm.colNo),
IF(ISNUMBER(_xlpm.val),_xlpm.val*$H8,""))</f>
        <v/>
      </c>
      <c r="S8" s="6" t="str">
        <f>_xlfn.LET(
_xlpm.rowNo, MATCH($C8&amp;"|"&amp;
($F8+S$4),Raw_Fund!$A:$A,0),
_xlpm.colNo,
MATCH(S$3,Raw_Fund!$E$1:$AZ$1,0),
_xlpm.val,
INDEX(Raw_Fund!$E:$AZ,_xlpm.rowNo,_xlpm.colNo),
IF(ISNUMBER(_xlpm.val),_xlpm.val*$H8,""))</f>
        <v/>
      </c>
      <c r="T8" s="6" t="str">
        <f>_xlfn.LET(
_xlpm.rowNo, MATCH($C8&amp;"|"&amp;
($F8+T$4),Raw_Fund!$A:$A,0),
_xlpm.colNo,
MATCH(T$3,Raw_Fund!$E$1:$AZ$1,0),
_xlpm.val,
INDEX(Raw_Fund!$E:$AZ,_xlpm.rowNo,_xlpm.colNo),
IF(ISNUMBER(_xlpm.val),_xlpm.val*$H8,""))</f>
        <v/>
      </c>
      <c r="U8" s="6" t="str">
        <f>_xlfn.LET(
_xlpm.rowNo, MATCH($C8&amp;"|"&amp;
($F8+U$4),Raw_Fund!$A:$A,0),
_xlpm.colNo,
MATCH(U$3,Raw_Fund!$E$1:$AZ$1,0),
_xlpm.val,
INDEX(Raw_Fund!$E:$AZ,_xlpm.rowNo,_xlpm.colNo),
IF(ISNUMBER(_xlpm.val),_xlpm.val*$H8,""))</f>
        <v/>
      </c>
      <c r="V8" s="6" t="str">
        <f>_xlfn.LET(
_xlpm.rowNo, MATCH($C8&amp;"|"&amp;
($F8+V$4),Raw_Fund!$A:$A,0),
_xlpm.colNo,
MATCH(V$3,Raw_Fund!$E$1:$AZ$1,0),
_xlpm.val,
INDEX(Raw_Fund!$E:$AZ,_xlpm.rowNo,_xlpm.colNo),
IF(ISNUMBER(_xlpm.val),_xlpm.val*$H8,""))</f>
        <v/>
      </c>
      <c r="W8" s="6" t="str">
        <f>_xlfn.LET(
_xlpm.rowNo, MATCH($C8&amp;"|"&amp;
($F8+W$4),Raw_Fund!$A:$A,0),
_xlpm.colNo,
MATCH(W$3,Raw_Fund!$E$1:$AZ$1,0),
_xlpm.val,
INDEX(Raw_Fund!$E:$AZ,_xlpm.rowNo,_xlpm.colNo),
IF(ISNUMBER(_xlpm.val),_xlpm.val*$H8,""))</f>
        <v/>
      </c>
      <c r="X8" s="6" t="str">
        <f>_xlfn.LET(
_xlpm.rowNo, MATCH($C8&amp;"|"&amp;
($F8+X$4),Raw_Fund!$A:$A,0),
_xlpm.colNo,
MATCH(X$3,Raw_Fund!$E$1:$AZ$1,0),
_xlpm.val,
INDEX(Raw_Fund!$E:$AZ,_xlpm.rowNo,_xlpm.colNo),
IF(ISNUMBER(_xlpm.val),_xlpm.val*$H8,""))</f>
        <v/>
      </c>
      <c r="Y8" s="6" t="str">
        <f>_xlfn.LET(
_xlpm.rowNo, MATCH($C8&amp;"|"&amp;
($F8+Y$4),Raw_Fund!$A:$A,0),
_xlpm.colNo,
MATCH(Y$3,Raw_Fund!$E$1:$AZ$1,0),
_xlpm.val,
INDEX(Raw_Fund!$E:$AZ,_xlpm.rowNo,_xlpm.colNo),
IF(ISNUMBER(_xlpm.val),_xlpm.val*$H8,""))</f>
        <v/>
      </c>
      <c r="Z8" s="6" t="str">
        <f>IF($E8&lt;&gt;"Include","",_xlfn.XLOOKUP($C8,Raw_Mkt!$A:$A,Raw_Mkt!$B:$B))</f>
        <v/>
      </c>
    </row>
    <row r="9" spans="1:26" x14ac:dyDescent="0.4">
      <c r="A9" t="str">
        <f>IF(Universe!A9&lt;&gt;"",Universe!A9,"")</f>
        <v>ASL</v>
      </c>
      <c r="B9" t="str">
        <f>IF(Universe!B9&lt;&gt;"",Universe!B9,"")</f>
        <v>Aberforth Smaller Companies Trust</v>
      </c>
      <c r="C9" t="str">
        <f>IF(Universe!C9&lt;&gt;"",Universe!C9,"")</f>
        <v>GB0000066554</v>
      </c>
      <c r="D9" t="str">
        <f>IF(Universe!D9&lt;&gt;"",Universe!D9,"")</f>
        <v>Financials</v>
      </c>
      <c r="E9" t="str">
        <f>Universe!G9</f>
        <v>Exclude</v>
      </c>
      <c r="F9" t="str">
        <f>IF($E9&lt;&gt;"Include","",_xlfn.LET(_xlpm.latest,_xlfn.MAXIFS(Raw_Fund!$C:$C,Raw_Fund!$B:$B,Data!$C9),IF(_xlpm.latest=0,"",_xlpm.latest)))</f>
        <v/>
      </c>
      <c r="G9" t="str">
        <f>IF($F9="","",INDEX(Raw_Fund!$E:$AZ,MATCH($C9&amp;"|"&amp;$F9,Raw_Fund!$A:$A,0),MATCH(G$3,Raw_Fund!$E$1:$AZ$1,0)))</f>
        <v/>
      </c>
      <c r="H9" t="str">
        <f t="shared" si="0"/>
        <v/>
      </c>
      <c r="I9" s="6" t="str">
        <f>_xlfn.LET(
_xlpm.rowNo, MATCH($C9&amp;"|"&amp;
($F9+I$4),Raw_Fund!$A:$A,0),
_xlpm.colNo,
MATCH(I$3,Raw_Fund!$E$1:$AZ$1,0),
_xlpm.val,
INDEX(Raw_Fund!$E:$AZ,_xlpm.rowNo,_xlpm.colNo),
IF(ISNUMBER(_xlpm.val),_xlpm.val*$H9,""))</f>
        <v/>
      </c>
      <c r="J9" s="6" t="str">
        <f>_xlfn.LET(
_xlpm.rowNo, MATCH($C9&amp;"|"&amp;
($F9+J$4),Raw_Fund!$A:$A,0),
_xlpm.colNo,
MATCH(J$3,Raw_Fund!$E$1:$AZ$1,0),
_xlpm.val,
INDEX(Raw_Fund!$E:$AZ,_xlpm.rowNo,_xlpm.colNo),
IF(ISNUMBER(_xlpm.val),_xlpm.val*$H9,""))</f>
        <v/>
      </c>
      <c r="K9" s="6" t="str">
        <f>_xlfn.LET(
_xlpm.rowNo, MATCH($C9&amp;"|"&amp;
($F9+K$4),Raw_Fund!$A:$A,0),
_xlpm.colNo,
MATCH(K$3,Raw_Fund!$E$1:$AZ$1,0),
_xlpm.val,
INDEX(Raw_Fund!$E:$AZ,_xlpm.rowNo,_xlpm.colNo),
IF(ISNUMBER(_xlpm.val),_xlpm.val*$H9,""))</f>
        <v/>
      </c>
      <c r="L9" s="6" t="str">
        <f>_xlfn.LET(
_xlpm.rowNo, MATCH($C9&amp;"|"&amp;
($F9+L$4),Raw_Fund!$A:$A,0),
_xlpm.colNo,
MATCH(L$3,Raw_Fund!$E$1:$AZ$1,0),
_xlpm.val,
INDEX(Raw_Fund!$E:$AZ,_xlpm.rowNo,_xlpm.colNo),
IF(ISNUMBER(_xlpm.val),_xlpm.val*$H9,""))</f>
        <v/>
      </c>
      <c r="M9" s="6" t="str">
        <f>_xlfn.LET(
_xlpm.rowNo, MATCH($C9&amp;"|"&amp;
($F9+M$4),Raw_Fund!$A:$A,0),
_xlpm.colNo,
MATCH(M$3,Raw_Fund!$E$1:$AZ$1,0),
_xlpm.val,
INDEX(Raw_Fund!$E:$AZ,_xlpm.rowNo,_xlpm.colNo),
IF(ISNUMBER(_xlpm.val),_xlpm.val*$H9,""))</f>
        <v/>
      </c>
      <c r="N9" s="6" t="str">
        <f>_xlfn.LET(
_xlpm.rowNo, MATCH($C9&amp;"|"&amp;
($F9+N$4),Raw_Fund!$A:$A,0),
_xlpm.colNo,
MATCH(N$3,Raw_Fund!$E$1:$AZ$1,0),
_xlpm.val,
INDEX(Raw_Fund!$E:$AZ,_xlpm.rowNo,_xlpm.colNo),
IF(ISNUMBER(_xlpm.val),_xlpm.val*$H9,""))</f>
        <v/>
      </c>
      <c r="O9" s="6" t="str">
        <f>_xlfn.LET(
_xlpm.rowNo, MATCH($C9&amp;"|"&amp;
($F9+O$4),Raw_Fund!$A:$A,0),
_xlpm.colNo,
MATCH(O$3,Raw_Fund!$E$1:$AZ$1,0),
_xlpm.val,
INDEX(Raw_Fund!$E:$AZ,_xlpm.rowNo,_xlpm.colNo),
IF(ISNUMBER(_xlpm.val),_xlpm.val*$H9,""))</f>
        <v/>
      </c>
      <c r="P9" s="6" t="str">
        <f>_xlfn.LET(
_xlpm.rowNo, MATCH($C9&amp;"|"&amp;
($F9+P$4),Raw_Fund!$A:$A,0),
_xlpm.colNo,
MATCH(P$3,Raw_Fund!$E$1:$AZ$1,0),
_xlpm.val,
INDEX(Raw_Fund!$E:$AZ,_xlpm.rowNo,_xlpm.colNo),
IF(ISNUMBER(_xlpm.val),_xlpm.val*$H9,""))</f>
        <v/>
      </c>
      <c r="Q9" s="6" t="str">
        <f>_xlfn.LET(
_xlpm.rowNo, MATCH($C9&amp;"|"&amp;
($F9+Q$4),Raw_Fund!$A:$A,0),
_xlpm.colNo,
MATCH(Q$3,Raw_Fund!$E$1:$AZ$1,0),
_xlpm.val,
INDEX(Raw_Fund!$E:$AZ,_xlpm.rowNo,_xlpm.colNo),
IF(ISNUMBER(_xlpm.val),_xlpm.val*$H9,""))</f>
        <v/>
      </c>
      <c r="R9" s="6" t="str">
        <f>_xlfn.LET(
_xlpm.rowNo, MATCH($C9&amp;"|"&amp;
($F9+R$4),Raw_Fund!$A:$A,0),
_xlpm.colNo,
MATCH(R$3,Raw_Fund!$E$1:$AZ$1,0),
_xlpm.val,
INDEX(Raw_Fund!$E:$AZ,_xlpm.rowNo,_xlpm.colNo),
IF(ISNUMBER(_xlpm.val),_xlpm.val*$H9,""))</f>
        <v/>
      </c>
      <c r="S9" s="6" t="str">
        <f>_xlfn.LET(
_xlpm.rowNo, MATCH($C9&amp;"|"&amp;
($F9+S$4),Raw_Fund!$A:$A,0),
_xlpm.colNo,
MATCH(S$3,Raw_Fund!$E$1:$AZ$1,0),
_xlpm.val,
INDEX(Raw_Fund!$E:$AZ,_xlpm.rowNo,_xlpm.colNo),
IF(ISNUMBER(_xlpm.val),_xlpm.val*$H9,""))</f>
        <v/>
      </c>
      <c r="T9" s="6" t="str">
        <f>_xlfn.LET(
_xlpm.rowNo, MATCH($C9&amp;"|"&amp;
($F9+T$4),Raw_Fund!$A:$A,0),
_xlpm.colNo,
MATCH(T$3,Raw_Fund!$E$1:$AZ$1,0),
_xlpm.val,
INDEX(Raw_Fund!$E:$AZ,_xlpm.rowNo,_xlpm.colNo),
IF(ISNUMBER(_xlpm.val),_xlpm.val*$H9,""))</f>
        <v/>
      </c>
      <c r="U9" s="6" t="str">
        <f>_xlfn.LET(
_xlpm.rowNo, MATCH($C9&amp;"|"&amp;
($F9+U$4),Raw_Fund!$A:$A,0),
_xlpm.colNo,
MATCH(U$3,Raw_Fund!$E$1:$AZ$1,0),
_xlpm.val,
INDEX(Raw_Fund!$E:$AZ,_xlpm.rowNo,_xlpm.colNo),
IF(ISNUMBER(_xlpm.val),_xlpm.val*$H9,""))</f>
        <v/>
      </c>
      <c r="V9" s="6" t="str">
        <f>_xlfn.LET(
_xlpm.rowNo, MATCH($C9&amp;"|"&amp;
($F9+V$4),Raw_Fund!$A:$A,0),
_xlpm.colNo,
MATCH(V$3,Raw_Fund!$E$1:$AZ$1,0),
_xlpm.val,
INDEX(Raw_Fund!$E:$AZ,_xlpm.rowNo,_xlpm.colNo),
IF(ISNUMBER(_xlpm.val),_xlpm.val*$H9,""))</f>
        <v/>
      </c>
      <c r="W9" s="6" t="str">
        <f>_xlfn.LET(
_xlpm.rowNo, MATCH($C9&amp;"|"&amp;
($F9+W$4),Raw_Fund!$A:$A,0),
_xlpm.colNo,
MATCH(W$3,Raw_Fund!$E$1:$AZ$1,0),
_xlpm.val,
INDEX(Raw_Fund!$E:$AZ,_xlpm.rowNo,_xlpm.colNo),
IF(ISNUMBER(_xlpm.val),_xlpm.val*$H9,""))</f>
        <v/>
      </c>
      <c r="X9" s="6" t="str">
        <f>_xlfn.LET(
_xlpm.rowNo, MATCH($C9&amp;"|"&amp;
($F9+X$4),Raw_Fund!$A:$A,0),
_xlpm.colNo,
MATCH(X$3,Raw_Fund!$E$1:$AZ$1,0),
_xlpm.val,
INDEX(Raw_Fund!$E:$AZ,_xlpm.rowNo,_xlpm.colNo),
IF(ISNUMBER(_xlpm.val),_xlpm.val*$H9,""))</f>
        <v/>
      </c>
      <c r="Y9" s="6" t="str">
        <f>_xlfn.LET(
_xlpm.rowNo, MATCH($C9&amp;"|"&amp;
($F9+Y$4),Raw_Fund!$A:$A,0),
_xlpm.colNo,
MATCH(Y$3,Raw_Fund!$E$1:$AZ$1,0),
_xlpm.val,
INDEX(Raw_Fund!$E:$AZ,_xlpm.rowNo,_xlpm.colNo),
IF(ISNUMBER(_xlpm.val),_xlpm.val*$H9,""))</f>
        <v/>
      </c>
      <c r="Z9" s="6" t="str">
        <f>IF($E9&lt;&gt;"Include","",_xlfn.XLOOKUP($C9,Raw_Mkt!$A:$A,Raw_Mkt!$B:$B))</f>
        <v/>
      </c>
    </row>
    <row r="10" spans="1:26" x14ac:dyDescent="0.4">
      <c r="A10" t="str">
        <f>IF(Universe!A10&lt;&gt;"",Universe!A10,"")</f>
        <v>AEP</v>
      </c>
      <c r="B10" t="str">
        <f>IF(Universe!B10&lt;&gt;"",Universe!B10,"")</f>
        <v>AEP Plantations</v>
      </c>
      <c r="C10" t="str">
        <f>IF(Universe!C10&lt;&gt;"",Universe!C10,"")</f>
        <v>GB00BWPD4D87</v>
      </c>
      <c r="D10" t="str">
        <f>IF(Universe!D10&lt;&gt;"",Universe!D10,"")</f>
        <v>Consumer Staples</v>
      </c>
      <c r="E10" t="str">
        <f>Universe!G10</f>
        <v>Include</v>
      </c>
      <c r="F10" t="str">
        <f>IF($E10&lt;&gt;"Include","",_xlfn.LET(_xlpm.latest,_xlfn.MAXIFS(Raw_Fund!$C:$C,Raw_Fund!$B:$B,Data!$C10),IF(_xlpm.latest=0,"",_xlpm.latest)))</f>
        <v/>
      </c>
      <c r="G10" t="str">
        <f>IF($F10="","",INDEX(Raw_Fund!$E:$AZ,MATCH($C10&amp;"|"&amp;$F10,Raw_Fund!$A:$A,0),MATCH(G$3,Raw_Fund!$E$1:$AZ$1,0)))</f>
        <v/>
      </c>
      <c r="H10" t="str">
        <f t="shared" si="0"/>
        <v/>
      </c>
      <c r="I10" s="6" t="str">
        <f>_xlfn.LET(
_xlpm.rowNo, MATCH($C10&amp;"|"&amp;
($F10+I$4),Raw_Fund!$A:$A,0),
_xlpm.colNo,
MATCH(I$3,Raw_Fund!$E$1:$AZ$1,0),
_xlpm.val,
INDEX(Raw_Fund!$E:$AZ,_xlpm.rowNo,_xlpm.colNo),
IF(ISNUMBER(_xlpm.val),_xlpm.val*$H10,""))</f>
        <v/>
      </c>
      <c r="J10" s="6" t="str">
        <f>_xlfn.LET(
_xlpm.rowNo, MATCH($C10&amp;"|"&amp;
($F10+J$4),Raw_Fund!$A:$A,0),
_xlpm.colNo,
MATCH(J$3,Raw_Fund!$E$1:$AZ$1,0),
_xlpm.val,
INDEX(Raw_Fund!$E:$AZ,_xlpm.rowNo,_xlpm.colNo),
IF(ISNUMBER(_xlpm.val),_xlpm.val*$H10,""))</f>
        <v/>
      </c>
      <c r="K10" s="6" t="str">
        <f>_xlfn.LET(
_xlpm.rowNo, MATCH($C10&amp;"|"&amp;
($F10+K$4),Raw_Fund!$A:$A,0),
_xlpm.colNo,
MATCH(K$3,Raw_Fund!$E$1:$AZ$1,0),
_xlpm.val,
INDEX(Raw_Fund!$E:$AZ,_xlpm.rowNo,_xlpm.colNo),
IF(ISNUMBER(_xlpm.val),_xlpm.val*$H10,""))</f>
        <v/>
      </c>
      <c r="L10" s="6" t="str">
        <f>_xlfn.LET(
_xlpm.rowNo, MATCH($C10&amp;"|"&amp;
($F10+L$4),Raw_Fund!$A:$A,0),
_xlpm.colNo,
MATCH(L$3,Raw_Fund!$E$1:$AZ$1,0),
_xlpm.val,
INDEX(Raw_Fund!$E:$AZ,_xlpm.rowNo,_xlpm.colNo),
IF(ISNUMBER(_xlpm.val),_xlpm.val*$H10,""))</f>
        <v/>
      </c>
      <c r="M10" s="6" t="str">
        <f>_xlfn.LET(
_xlpm.rowNo, MATCH($C10&amp;"|"&amp;
($F10+M$4),Raw_Fund!$A:$A,0),
_xlpm.colNo,
MATCH(M$3,Raw_Fund!$E$1:$AZ$1,0),
_xlpm.val,
INDEX(Raw_Fund!$E:$AZ,_xlpm.rowNo,_xlpm.colNo),
IF(ISNUMBER(_xlpm.val),_xlpm.val*$H10,""))</f>
        <v/>
      </c>
      <c r="N10" s="6" t="str">
        <f>_xlfn.LET(
_xlpm.rowNo, MATCH($C10&amp;"|"&amp;
($F10+N$4),Raw_Fund!$A:$A,0),
_xlpm.colNo,
MATCH(N$3,Raw_Fund!$E$1:$AZ$1,0),
_xlpm.val,
INDEX(Raw_Fund!$E:$AZ,_xlpm.rowNo,_xlpm.colNo),
IF(ISNUMBER(_xlpm.val),_xlpm.val*$H10,""))</f>
        <v/>
      </c>
      <c r="O10" s="6" t="str">
        <f>_xlfn.LET(
_xlpm.rowNo, MATCH($C10&amp;"|"&amp;
($F10+O$4),Raw_Fund!$A:$A,0),
_xlpm.colNo,
MATCH(O$3,Raw_Fund!$E$1:$AZ$1,0),
_xlpm.val,
INDEX(Raw_Fund!$E:$AZ,_xlpm.rowNo,_xlpm.colNo),
IF(ISNUMBER(_xlpm.val),_xlpm.val*$H10,""))</f>
        <v/>
      </c>
      <c r="P10" s="6" t="str">
        <f>_xlfn.LET(
_xlpm.rowNo, MATCH($C10&amp;"|"&amp;
($F10+P$4),Raw_Fund!$A:$A,0),
_xlpm.colNo,
MATCH(P$3,Raw_Fund!$E$1:$AZ$1,0),
_xlpm.val,
INDEX(Raw_Fund!$E:$AZ,_xlpm.rowNo,_xlpm.colNo),
IF(ISNUMBER(_xlpm.val),_xlpm.val*$H10,""))</f>
        <v/>
      </c>
      <c r="Q10" s="6" t="str">
        <f>_xlfn.LET(
_xlpm.rowNo, MATCH($C10&amp;"|"&amp;
($F10+Q$4),Raw_Fund!$A:$A,0),
_xlpm.colNo,
MATCH(Q$3,Raw_Fund!$E$1:$AZ$1,0),
_xlpm.val,
INDEX(Raw_Fund!$E:$AZ,_xlpm.rowNo,_xlpm.colNo),
IF(ISNUMBER(_xlpm.val),_xlpm.val*$H10,""))</f>
        <v/>
      </c>
      <c r="R10" s="6" t="str">
        <f>_xlfn.LET(
_xlpm.rowNo, MATCH($C10&amp;"|"&amp;
($F10+R$4),Raw_Fund!$A:$A,0),
_xlpm.colNo,
MATCH(R$3,Raw_Fund!$E$1:$AZ$1,0),
_xlpm.val,
INDEX(Raw_Fund!$E:$AZ,_xlpm.rowNo,_xlpm.colNo),
IF(ISNUMBER(_xlpm.val),_xlpm.val*$H10,""))</f>
        <v/>
      </c>
      <c r="S10" s="6" t="str">
        <f>_xlfn.LET(
_xlpm.rowNo, MATCH($C10&amp;"|"&amp;
($F10+S$4),Raw_Fund!$A:$A,0),
_xlpm.colNo,
MATCH(S$3,Raw_Fund!$E$1:$AZ$1,0),
_xlpm.val,
INDEX(Raw_Fund!$E:$AZ,_xlpm.rowNo,_xlpm.colNo),
IF(ISNUMBER(_xlpm.val),_xlpm.val*$H10,""))</f>
        <v/>
      </c>
      <c r="T10" s="6" t="str">
        <f>_xlfn.LET(
_xlpm.rowNo, MATCH($C10&amp;"|"&amp;
($F10+T$4),Raw_Fund!$A:$A,0),
_xlpm.colNo,
MATCH(T$3,Raw_Fund!$E$1:$AZ$1,0),
_xlpm.val,
INDEX(Raw_Fund!$E:$AZ,_xlpm.rowNo,_xlpm.colNo),
IF(ISNUMBER(_xlpm.val),_xlpm.val*$H10,""))</f>
        <v/>
      </c>
      <c r="U10" s="6" t="str">
        <f>_xlfn.LET(
_xlpm.rowNo, MATCH($C10&amp;"|"&amp;
($F10+U$4),Raw_Fund!$A:$A,0),
_xlpm.colNo,
MATCH(U$3,Raw_Fund!$E$1:$AZ$1,0),
_xlpm.val,
INDEX(Raw_Fund!$E:$AZ,_xlpm.rowNo,_xlpm.colNo),
IF(ISNUMBER(_xlpm.val),_xlpm.val*$H10,""))</f>
        <v/>
      </c>
      <c r="V10" s="6" t="str">
        <f>_xlfn.LET(
_xlpm.rowNo, MATCH($C10&amp;"|"&amp;
($F10+V$4),Raw_Fund!$A:$A,0),
_xlpm.colNo,
MATCH(V$3,Raw_Fund!$E$1:$AZ$1,0),
_xlpm.val,
INDEX(Raw_Fund!$E:$AZ,_xlpm.rowNo,_xlpm.colNo),
IF(ISNUMBER(_xlpm.val),_xlpm.val*$H10,""))</f>
        <v/>
      </c>
      <c r="W10" s="6" t="str">
        <f>_xlfn.LET(
_xlpm.rowNo, MATCH($C10&amp;"|"&amp;
($F10+W$4),Raw_Fund!$A:$A,0),
_xlpm.colNo,
MATCH(W$3,Raw_Fund!$E$1:$AZ$1,0),
_xlpm.val,
INDEX(Raw_Fund!$E:$AZ,_xlpm.rowNo,_xlpm.colNo),
IF(ISNUMBER(_xlpm.val),_xlpm.val*$H10,""))</f>
        <v/>
      </c>
      <c r="X10" s="6" t="str">
        <f>_xlfn.LET(
_xlpm.rowNo, MATCH($C10&amp;"|"&amp;
($F10+X$4),Raw_Fund!$A:$A,0),
_xlpm.colNo,
MATCH(X$3,Raw_Fund!$E$1:$AZ$1,0),
_xlpm.val,
INDEX(Raw_Fund!$E:$AZ,_xlpm.rowNo,_xlpm.colNo),
IF(ISNUMBER(_xlpm.val),_xlpm.val*$H10,""))</f>
        <v/>
      </c>
      <c r="Y10" s="6" t="str">
        <f>_xlfn.LET(
_xlpm.rowNo, MATCH($C10&amp;"|"&amp;
($F10+Y$4),Raw_Fund!$A:$A,0),
_xlpm.colNo,
MATCH(Y$3,Raw_Fund!$E$1:$AZ$1,0),
_xlpm.val,
INDEX(Raw_Fund!$E:$AZ,_xlpm.rowNo,_xlpm.colNo),
IF(ISNUMBER(_xlpm.val),_xlpm.val*$H10,""))</f>
        <v/>
      </c>
      <c r="Z10" s="6" t="e">
        <f>IF($E10&lt;&gt;"Include","",_xlfn.XLOOKUP($C10,Raw_Mkt!$A:$A,Raw_Mkt!$B:$B))</f>
        <v>#N/A</v>
      </c>
    </row>
    <row r="11" spans="1:26" x14ac:dyDescent="0.4">
      <c r="A11" t="str">
        <f>IF(Universe!A11&lt;&gt;"",Universe!A11,"")</f>
        <v>ALFA</v>
      </c>
      <c r="B11" t="str">
        <f>IF(Universe!B11&lt;&gt;"",Universe!B11,"")</f>
        <v>Alfa Financial Software</v>
      </c>
      <c r="C11" t="str">
        <f>IF(Universe!C11&lt;&gt;"",Universe!C11,"")</f>
        <v>GB00BDHXPG30</v>
      </c>
      <c r="D11" t="str">
        <f>IF(Universe!D11&lt;&gt;"",Universe!D11,"")</f>
        <v>Technology</v>
      </c>
      <c r="E11" t="str">
        <f>Universe!G11</f>
        <v>Include</v>
      </c>
      <c r="F11" t="str">
        <f>IF($E11&lt;&gt;"Include","",_xlfn.LET(_xlpm.latest,_xlfn.MAXIFS(Raw_Fund!$C:$C,Raw_Fund!$B:$B,Data!$C11),IF(_xlpm.latest=0,"",_xlpm.latest)))</f>
        <v/>
      </c>
      <c r="G11" t="str">
        <f>IF($F11="","",INDEX(Raw_Fund!$E:$AZ,MATCH($C11&amp;"|"&amp;$F11,Raw_Fund!$A:$A,0),MATCH(G$3,Raw_Fund!$E$1:$AZ$1,0)))</f>
        <v/>
      </c>
      <c r="H11" t="str">
        <f t="shared" si="0"/>
        <v/>
      </c>
      <c r="I11" s="6" t="str">
        <f>_xlfn.LET(
_xlpm.rowNo, MATCH($C11&amp;"|"&amp;
($F11+I$4),Raw_Fund!$A:$A,0),
_xlpm.colNo,
MATCH(I$3,Raw_Fund!$E$1:$AZ$1,0),
_xlpm.val,
INDEX(Raw_Fund!$E:$AZ,_xlpm.rowNo,_xlpm.colNo),
IF(ISNUMBER(_xlpm.val),_xlpm.val*$H11,""))</f>
        <v/>
      </c>
      <c r="J11" s="6" t="str">
        <f>_xlfn.LET(
_xlpm.rowNo, MATCH($C11&amp;"|"&amp;
($F11+J$4),Raw_Fund!$A:$A,0),
_xlpm.colNo,
MATCH(J$3,Raw_Fund!$E$1:$AZ$1,0),
_xlpm.val,
INDEX(Raw_Fund!$E:$AZ,_xlpm.rowNo,_xlpm.colNo),
IF(ISNUMBER(_xlpm.val),_xlpm.val*$H11,""))</f>
        <v/>
      </c>
      <c r="K11" s="6" t="str">
        <f>_xlfn.LET(
_xlpm.rowNo, MATCH($C11&amp;"|"&amp;
($F11+K$4),Raw_Fund!$A:$A,0),
_xlpm.colNo,
MATCH(K$3,Raw_Fund!$E$1:$AZ$1,0),
_xlpm.val,
INDEX(Raw_Fund!$E:$AZ,_xlpm.rowNo,_xlpm.colNo),
IF(ISNUMBER(_xlpm.val),_xlpm.val*$H11,""))</f>
        <v/>
      </c>
      <c r="L11" s="6" t="str">
        <f>_xlfn.LET(
_xlpm.rowNo, MATCH($C11&amp;"|"&amp;
($F11+L$4),Raw_Fund!$A:$A,0),
_xlpm.colNo,
MATCH(L$3,Raw_Fund!$E$1:$AZ$1,0),
_xlpm.val,
INDEX(Raw_Fund!$E:$AZ,_xlpm.rowNo,_xlpm.colNo),
IF(ISNUMBER(_xlpm.val),_xlpm.val*$H11,""))</f>
        <v/>
      </c>
      <c r="M11" s="6" t="str">
        <f>_xlfn.LET(
_xlpm.rowNo, MATCH($C11&amp;"|"&amp;
($F11+M$4),Raw_Fund!$A:$A,0),
_xlpm.colNo,
MATCH(M$3,Raw_Fund!$E$1:$AZ$1,0),
_xlpm.val,
INDEX(Raw_Fund!$E:$AZ,_xlpm.rowNo,_xlpm.colNo),
IF(ISNUMBER(_xlpm.val),_xlpm.val*$H11,""))</f>
        <v/>
      </c>
      <c r="N11" s="6" t="str">
        <f>_xlfn.LET(
_xlpm.rowNo, MATCH($C11&amp;"|"&amp;
($F11+N$4),Raw_Fund!$A:$A,0),
_xlpm.colNo,
MATCH(N$3,Raw_Fund!$E$1:$AZ$1,0),
_xlpm.val,
INDEX(Raw_Fund!$E:$AZ,_xlpm.rowNo,_xlpm.colNo),
IF(ISNUMBER(_xlpm.val),_xlpm.val*$H11,""))</f>
        <v/>
      </c>
      <c r="O11" s="6" t="str">
        <f>_xlfn.LET(
_xlpm.rowNo, MATCH($C11&amp;"|"&amp;
($F11+O$4),Raw_Fund!$A:$A,0),
_xlpm.colNo,
MATCH(O$3,Raw_Fund!$E$1:$AZ$1,0),
_xlpm.val,
INDEX(Raw_Fund!$E:$AZ,_xlpm.rowNo,_xlpm.colNo),
IF(ISNUMBER(_xlpm.val),_xlpm.val*$H11,""))</f>
        <v/>
      </c>
      <c r="P11" s="6" t="str">
        <f>_xlfn.LET(
_xlpm.rowNo, MATCH($C11&amp;"|"&amp;
($F11+P$4),Raw_Fund!$A:$A,0),
_xlpm.colNo,
MATCH(P$3,Raw_Fund!$E$1:$AZ$1,0),
_xlpm.val,
INDEX(Raw_Fund!$E:$AZ,_xlpm.rowNo,_xlpm.colNo),
IF(ISNUMBER(_xlpm.val),_xlpm.val*$H11,""))</f>
        <v/>
      </c>
      <c r="Q11" s="6" t="str">
        <f>_xlfn.LET(
_xlpm.rowNo, MATCH($C11&amp;"|"&amp;
($F11+Q$4),Raw_Fund!$A:$A,0),
_xlpm.colNo,
MATCH(Q$3,Raw_Fund!$E$1:$AZ$1,0),
_xlpm.val,
INDEX(Raw_Fund!$E:$AZ,_xlpm.rowNo,_xlpm.colNo),
IF(ISNUMBER(_xlpm.val),_xlpm.val*$H11,""))</f>
        <v/>
      </c>
      <c r="R11" s="6" t="str">
        <f>_xlfn.LET(
_xlpm.rowNo, MATCH($C11&amp;"|"&amp;
($F11+R$4),Raw_Fund!$A:$A,0),
_xlpm.colNo,
MATCH(R$3,Raw_Fund!$E$1:$AZ$1,0),
_xlpm.val,
INDEX(Raw_Fund!$E:$AZ,_xlpm.rowNo,_xlpm.colNo),
IF(ISNUMBER(_xlpm.val),_xlpm.val*$H11,""))</f>
        <v/>
      </c>
      <c r="S11" s="6" t="str">
        <f>_xlfn.LET(
_xlpm.rowNo, MATCH($C11&amp;"|"&amp;
($F11+S$4),Raw_Fund!$A:$A,0),
_xlpm.colNo,
MATCH(S$3,Raw_Fund!$E$1:$AZ$1,0),
_xlpm.val,
INDEX(Raw_Fund!$E:$AZ,_xlpm.rowNo,_xlpm.colNo),
IF(ISNUMBER(_xlpm.val),_xlpm.val*$H11,""))</f>
        <v/>
      </c>
      <c r="T11" s="6" t="str">
        <f>_xlfn.LET(
_xlpm.rowNo, MATCH($C11&amp;"|"&amp;
($F11+T$4),Raw_Fund!$A:$A,0),
_xlpm.colNo,
MATCH(T$3,Raw_Fund!$E$1:$AZ$1,0),
_xlpm.val,
INDEX(Raw_Fund!$E:$AZ,_xlpm.rowNo,_xlpm.colNo),
IF(ISNUMBER(_xlpm.val),_xlpm.val*$H11,""))</f>
        <v/>
      </c>
      <c r="U11" s="6" t="str">
        <f>_xlfn.LET(
_xlpm.rowNo, MATCH($C11&amp;"|"&amp;
($F11+U$4),Raw_Fund!$A:$A,0),
_xlpm.colNo,
MATCH(U$3,Raw_Fund!$E$1:$AZ$1,0),
_xlpm.val,
INDEX(Raw_Fund!$E:$AZ,_xlpm.rowNo,_xlpm.colNo),
IF(ISNUMBER(_xlpm.val),_xlpm.val*$H11,""))</f>
        <v/>
      </c>
      <c r="V11" s="6" t="str">
        <f>_xlfn.LET(
_xlpm.rowNo, MATCH($C11&amp;"|"&amp;
($F11+V$4),Raw_Fund!$A:$A,0),
_xlpm.colNo,
MATCH(V$3,Raw_Fund!$E$1:$AZ$1,0),
_xlpm.val,
INDEX(Raw_Fund!$E:$AZ,_xlpm.rowNo,_xlpm.colNo),
IF(ISNUMBER(_xlpm.val),_xlpm.val*$H11,""))</f>
        <v/>
      </c>
      <c r="W11" s="6" t="str">
        <f>_xlfn.LET(
_xlpm.rowNo, MATCH($C11&amp;"|"&amp;
($F11+W$4),Raw_Fund!$A:$A,0),
_xlpm.colNo,
MATCH(W$3,Raw_Fund!$E$1:$AZ$1,0),
_xlpm.val,
INDEX(Raw_Fund!$E:$AZ,_xlpm.rowNo,_xlpm.colNo),
IF(ISNUMBER(_xlpm.val),_xlpm.val*$H11,""))</f>
        <v/>
      </c>
      <c r="X11" s="6" t="str">
        <f>_xlfn.LET(
_xlpm.rowNo, MATCH($C11&amp;"|"&amp;
($F11+X$4),Raw_Fund!$A:$A,0),
_xlpm.colNo,
MATCH(X$3,Raw_Fund!$E$1:$AZ$1,0),
_xlpm.val,
INDEX(Raw_Fund!$E:$AZ,_xlpm.rowNo,_xlpm.colNo),
IF(ISNUMBER(_xlpm.val),_xlpm.val*$H11,""))</f>
        <v/>
      </c>
      <c r="Y11" s="6" t="str">
        <f>_xlfn.LET(
_xlpm.rowNo, MATCH($C11&amp;"|"&amp;
($F11+Y$4),Raw_Fund!$A:$A,0),
_xlpm.colNo,
MATCH(Y$3,Raw_Fund!$E$1:$AZ$1,0),
_xlpm.val,
INDEX(Raw_Fund!$E:$AZ,_xlpm.rowNo,_xlpm.colNo),
IF(ISNUMBER(_xlpm.val),_xlpm.val*$H11,""))</f>
        <v/>
      </c>
      <c r="Z11" s="6" t="e">
        <f>IF($E11&lt;&gt;"Include","",_xlfn.XLOOKUP($C11,Raw_Mkt!$A:$A,Raw_Mkt!$B:$B))</f>
        <v>#N/A</v>
      </c>
    </row>
    <row r="12" spans="1:26" x14ac:dyDescent="0.4">
      <c r="A12" t="str">
        <f>IF(Universe!A12&lt;&gt;"",Universe!A12,"")</f>
        <v>ATT</v>
      </c>
      <c r="B12" t="str">
        <f>IF(Universe!B12&lt;&gt;"",Universe!B12,"")</f>
        <v>Allianz Technology Trust</v>
      </c>
      <c r="C12" t="str">
        <f>IF(Universe!C12&lt;&gt;"",Universe!C12,"")</f>
        <v>GB00BNG2M159</v>
      </c>
      <c r="D12" t="str">
        <f>IF(Universe!D12&lt;&gt;"",Universe!D12,"")</f>
        <v>Financials</v>
      </c>
      <c r="E12" t="str">
        <f>Universe!G12</f>
        <v>Exclude</v>
      </c>
      <c r="F12" t="str">
        <f>IF($E12&lt;&gt;"Include","",_xlfn.LET(_xlpm.latest,_xlfn.MAXIFS(Raw_Fund!$C:$C,Raw_Fund!$B:$B,Data!$C12),IF(_xlpm.latest=0,"",_xlpm.latest)))</f>
        <v/>
      </c>
      <c r="G12" t="str">
        <f>IF($F12="","",INDEX(Raw_Fund!$E:$AZ,MATCH($C12&amp;"|"&amp;$F12,Raw_Fund!$A:$A,0),MATCH(G$3,Raw_Fund!$E$1:$AZ$1,0)))</f>
        <v/>
      </c>
      <c r="H12" t="str">
        <f t="shared" si="0"/>
        <v/>
      </c>
      <c r="I12" s="6" t="str">
        <f>_xlfn.LET(
_xlpm.rowNo, MATCH($C12&amp;"|"&amp;
($F12+I$4),Raw_Fund!$A:$A,0),
_xlpm.colNo,
MATCH(I$3,Raw_Fund!$E$1:$AZ$1,0),
_xlpm.val,
INDEX(Raw_Fund!$E:$AZ,_xlpm.rowNo,_xlpm.colNo),
IF(ISNUMBER(_xlpm.val),_xlpm.val*$H12,""))</f>
        <v/>
      </c>
      <c r="J12" s="6" t="str">
        <f>_xlfn.LET(
_xlpm.rowNo, MATCH($C12&amp;"|"&amp;
($F12+J$4),Raw_Fund!$A:$A,0),
_xlpm.colNo,
MATCH(J$3,Raw_Fund!$E$1:$AZ$1,0),
_xlpm.val,
INDEX(Raw_Fund!$E:$AZ,_xlpm.rowNo,_xlpm.colNo),
IF(ISNUMBER(_xlpm.val),_xlpm.val*$H12,""))</f>
        <v/>
      </c>
      <c r="K12" s="6" t="str">
        <f>_xlfn.LET(
_xlpm.rowNo, MATCH($C12&amp;"|"&amp;
($F12+K$4),Raw_Fund!$A:$A,0),
_xlpm.colNo,
MATCH(K$3,Raw_Fund!$E$1:$AZ$1,0),
_xlpm.val,
INDEX(Raw_Fund!$E:$AZ,_xlpm.rowNo,_xlpm.colNo),
IF(ISNUMBER(_xlpm.val),_xlpm.val*$H12,""))</f>
        <v/>
      </c>
      <c r="L12" s="6" t="str">
        <f>_xlfn.LET(
_xlpm.rowNo, MATCH($C12&amp;"|"&amp;
($F12+L$4),Raw_Fund!$A:$A,0),
_xlpm.colNo,
MATCH(L$3,Raw_Fund!$E$1:$AZ$1,0),
_xlpm.val,
INDEX(Raw_Fund!$E:$AZ,_xlpm.rowNo,_xlpm.colNo),
IF(ISNUMBER(_xlpm.val),_xlpm.val*$H12,""))</f>
        <v/>
      </c>
      <c r="M12" s="6" t="str">
        <f>_xlfn.LET(
_xlpm.rowNo, MATCH($C12&amp;"|"&amp;
($F12+M$4),Raw_Fund!$A:$A,0),
_xlpm.colNo,
MATCH(M$3,Raw_Fund!$E$1:$AZ$1,0),
_xlpm.val,
INDEX(Raw_Fund!$E:$AZ,_xlpm.rowNo,_xlpm.colNo),
IF(ISNUMBER(_xlpm.val),_xlpm.val*$H12,""))</f>
        <v/>
      </c>
      <c r="N12" s="6" t="str">
        <f>_xlfn.LET(
_xlpm.rowNo, MATCH($C12&amp;"|"&amp;
($F12+N$4),Raw_Fund!$A:$A,0),
_xlpm.colNo,
MATCH(N$3,Raw_Fund!$E$1:$AZ$1,0),
_xlpm.val,
INDEX(Raw_Fund!$E:$AZ,_xlpm.rowNo,_xlpm.colNo),
IF(ISNUMBER(_xlpm.val),_xlpm.val*$H12,""))</f>
        <v/>
      </c>
      <c r="O12" s="6" t="str">
        <f>_xlfn.LET(
_xlpm.rowNo, MATCH($C12&amp;"|"&amp;
($F12+O$4),Raw_Fund!$A:$A,0),
_xlpm.colNo,
MATCH(O$3,Raw_Fund!$E$1:$AZ$1,0),
_xlpm.val,
INDEX(Raw_Fund!$E:$AZ,_xlpm.rowNo,_xlpm.colNo),
IF(ISNUMBER(_xlpm.val),_xlpm.val*$H12,""))</f>
        <v/>
      </c>
      <c r="P12" s="6" t="str">
        <f>_xlfn.LET(
_xlpm.rowNo, MATCH($C12&amp;"|"&amp;
($F12+P$4),Raw_Fund!$A:$A,0),
_xlpm.colNo,
MATCH(P$3,Raw_Fund!$E$1:$AZ$1,0),
_xlpm.val,
INDEX(Raw_Fund!$E:$AZ,_xlpm.rowNo,_xlpm.colNo),
IF(ISNUMBER(_xlpm.val),_xlpm.val*$H12,""))</f>
        <v/>
      </c>
      <c r="Q12" s="6" t="str">
        <f>_xlfn.LET(
_xlpm.rowNo, MATCH($C12&amp;"|"&amp;
($F12+Q$4),Raw_Fund!$A:$A,0),
_xlpm.colNo,
MATCH(Q$3,Raw_Fund!$E$1:$AZ$1,0),
_xlpm.val,
INDEX(Raw_Fund!$E:$AZ,_xlpm.rowNo,_xlpm.colNo),
IF(ISNUMBER(_xlpm.val),_xlpm.val*$H12,""))</f>
        <v/>
      </c>
      <c r="R12" s="6" t="str">
        <f>_xlfn.LET(
_xlpm.rowNo, MATCH($C12&amp;"|"&amp;
($F12+R$4),Raw_Fund!$A:$A,0),
_xlpm.colNo,
MATCH(R$3,Raw_Fund!$E$1:$AZ$1,0),
_xlpm.val,
INDEX(Raw_Fund!$E:$AZ,_xlpm.rowNo,_xlpm.colNo),
IF(ISNUMBER(_xlpm.val),_xlpm.val*$H12,""))</f>
        <v/>
      </c>
      <c r="S12" s="6" t="str">
        <f>_xlfn.LET(
_xlpm.rowNo, MATCH($C12&amp;"|"&amp;
($F12+S$4),Raw_Fund!$A:$A,0),
_xlpm.colNo,
MATCH(S$3,Raw_Fund!$E$1:$AZ$1,0),
_xlpm.val,
INDEX(Raw_Fund!$E:$AZ,_xlpm.rowNo,_xlpm.colNo),
IF(ISNUMBER(_xlpm.val),_xlpm.val*$H12,""))</f>
        <v/>
      </c>
      <c r="T12" s="6" t="str">
        <f>_xlfn.LET(
_xlpm.rowNo, MATCH($C12&amp;"|"&amp;
($F12+T$4),Raw_Fund!$A:$A,0),
_xlpm.colNo,
MATCH(T$3,Raw_Fund!$E$1:$AZ$1,0),
_xlpm.val,
INDEX(Raw_Fund!$E:$AZ,_xlpm.rowNo,_xlpm.colNo),
IF(ISNUMBER(_xlpm.val),_xlpm.val*$H12,""))</f>
        <v/>
      </c>
      <c r="U12" s="6" t="str">
        <f>_xlfn.LET(
_xlpm.rowNo, MATCH($C12&amp;"|"&amp;
($F12+U$4),Raw_Fund!$A:$A,0),
_xlpm.colNo,
MATCH(U$3,Raw_Fund!$E$1:$AZ$1,0),
_xlpm.val,
INDEX(Raw_Fund!$E:$AZ,_xlpm.rowNo,_xlpm.colNo),
IF(ISNUMBER(_xlpm.val),_xlpm.val*$H12,""))</f>
        <v/>
      </c>
      <c r="V12" s="6" t="str">
        <f>_xlfn.LET(
_xlpm.rowNo, MATCH($C12&amp;"|"&amp;
($F12+V$4),Raw_Fund!$A:$A,0),
_xlpm.colNo,
MATCH(V$3,Raw_Fund!$E$1:$AZ$1,0),
_xlpm.val,
INDEX(Raw_Fund!$E:$AZ,_xlpm.rowNo,_xlpm.colNo),
IF(ISNUMBER(_xlpm.val),_xlpm.val*$H12,""))</f>
        <v/>
      </c>
      <c r="W12" s="6" t="str">
        <f>_xlfn.LET(
_xlpm.rowNo, MATCH($C12&amp;"|"&amp;
($F12+W$4),Raw_Fund!$A:$A,0),
_xlpm.colNo,
MATCH(W$3,Raw_Fund!$E$1:$AZ$1,0),
_xlpm.val,
INDEX(Raw_Fund!$E:$AZ,_xlpm.rowNo,_xlpm.colNo),
IF(ISNUMBER(_xlpm.val),_xlpm.val*$H12,""))</f>
        <v/>
      </c>
      <c r="X12" s="6" t="str">
        <f>_xlfn.LET(
_xlpm.rowNo, MATCH($C12&amp;"|"&amp;
($F12+X$4),Raw_Fund!$A:$A,0),
_xlpm.colNo,
MATCH(X$3,Raw_Fund!$E$1:$AZ$1,0),
_xlpm.val,
INDEX(Raw_Fund!$E:$AZ,_xlpm.rowNo,_xlpm.colNo),
IF(ISNUMBER(_xlpm.val),_xlpm.val*$H12,""))</f>
        <v/>
      </c>
      <c r="Y12" s="6" t="str">
        <f>_xlfn.LET(
_xlpm.rowNo, MATCH($C12&amp;"|"&amp;
($F12+Y$4),Raw_Fund!$A:$A,0),
_xlpm.colNo,
MATCH(Y$3,Raw_Fund!$E$1:$AZ$1,0),
_xlpm.val,
INDEX(Raw_Fund!$E:$AZ,_xlpm.rowNo,_xlpm.colNo),
IF(ISNUMBER(_xlpm.val),_xlpm.val*$H12,""))</f>
        <v/>
      </c>
      <c r="Z12" s="6" t="str">
        <f>IF($E12&lt;&gt;"Include","",_xlfn.XLOOKUP($C12,Raw_Mkt!$A:$A,Raw_Mkt!$B:$B))</f>
        <v/>
      </c>
    </row>
    <row r="13" spans="1:26" x14ac:dyDescent="0.4">
      <c r="A13" t="str">
        <f>IF(Universe!A13&lt;&gt;"",Universe!A13,"")</f>
        <v>AMRQ</v>
      </c>
      <c r="B13" t="str">
        <f>IF(Universe!B13&lt;&gt;"",Universe!B13,"")</f>
        <v>Amaroq</v>
      </c>
      <c r="C13" t="str">
        <f>IF(Universe!C13&lt;&gt;"",Universe!C13,"")</f>
        <v/>
      </c>
      <c r="D13" t="str">
        <f>IF(Universe!D13&lt;&gt;"",Universe!D13,"")</f>
        <v>Basic Materials</v>
      </c>
      <c r="E13" t="str">
        <f>Universe!G13</f>
        <v>Exclude</v>
      </c>
      <c r="F13" t="str">
        <f>IF($E13&lt;&gt;"Include","",_xlfn.LET(_xlpm.latest,_xlfn.MAXIFS(Raw_Fund!$C:$C,Raw_Fund!$B:$B,Data!$C13),IF(_xlpm.latest=0,"",_xlpm.latest)))</f>
        <v/>
      </c>
      <c r="G13" t="str">
        <f>IF($F13="","",INDEX(Raw_Fund!$E:$AZ,MATCH($C13&amp;"|"&amp;$F13,Raw_Fund!$A:$A,0),MATCH(G$3,Raw_Fund!$E$1:$AZ$1,0)))</f>
        <v/>
      </c>
      <c r="H13" t="str">
        <f t="shared" si="0"/>
        <v/>
      </c>
      <c r="I13" s="6" t="str">
        <f>_xlfn.LET(
_xlpm.rowNo, MATCH($C13&amp;"|"&amp;
($F13+I$4),Raw_Fund!$A:$A,0),
_xlpm.colNo,
MATCH(I$3,Raw_Fund!$E$1:$AZ$1,0),
_xlpm.val,
INDEX(Raw_Fund!$E:$AZ,_xlpm.rowNo,_xlpm.colNo),
IF(ISNUMBER(_xlpm.val),_xlpm.val*$H13,""))</f>
        <v/>
      </c>
      <c r="J13" s="6" t="str">
        <f>_xlfn.LET(
_xlpm.rowNo, MATCH($C13&amp;"|"&amp;
($F13+J$4),Raw_Fund!$A:$A,0),
_xlpm.colNo,
MATCH(J$3,Raw_Fund!$E$1:$AZ$1,0),
_xlpm.val,
INDEX(Raw_Fund!$E:$AZ,_xlpm.rowNo,_xlpm.colNo),
IF(ISNUMBER(_xlpm.val),_xlpm.val*$H13,""))</f>
        <v/>
      </c>
      <c r="K13" s="6" t="str">
        <f>_xlfn.LET(
_xlpm.rowNo, MATCH($C13&amp;"|"&amp;
($F13+K$4),Raw_Fund!$A:$A,0),
_xlpm.colNo,
MATCH(K$3,Raw_Fund!$E$1:$AZ$1,0),
_xlpm.val,
INDEX(Raw_Fund!$E:$AZ,_xlpm.rowNo,_xlpm.colNo),
IF(ISNUMBER(_xlpm.val),_xlpm.val*$H13,""))</f>
        <v/>
      </c>
      <c r="L13" s="6" t="str">
        <f>_xlfn.LET(
_xlpm.rowNo, MATCH($C13&amp;"|"&amp;
($F13+L$4),Raw_Fund!$A:$A,0),
_xlpm.colNo,
MATCH(L$3,Raw_Fund!$E$1:$AZ$1,0),
_xlpm.val,
INDEX(Raw_Fund!$E:$AZ,_xlpm.rowNo,_xlpm.colNo),
IF(ISNUMBER(_xlpm.val),_xlpm.val*$H13,""))</f>
        <v/>
      </c>
      <c r="M13" s="6" t="str">
        <f>_xlfn.LET(
_xlpm.rowNo, MATCH($C13&amp;"|"&amp;
($F13+M$4),Raw_Fund!$A:$A,0),
_xlpm.colNo,
MATCH(M$3,Raw_Fund!$E$1:$AZ$1,0),
_xlpm.val,
INDEX(Raw_Fund!$E:$AZ,_xlpm.rowNo,_xlpm.colNo),
IF(ISNUMBER(_xlpm.val),_xlpm.val*$H13,""))</f>
        <v/>
      </c>
      <c r="N13" s="6" t="str">
        <f>_xlfn.LET(
_xlpm.rowNo, MATCH($C13&amp;"|"&amp;
($F13+N$4),Raw_Fund!$A:$A,0),
_xlpm.colNo,
MATCH(N$3,Raw_Fund!$E$1:$AZ$1,0),
_xlpm.val,
INDEX(Raw_Fund!$E:$AZ,_xlpm.rowNo,_xlpm.colNo),
IF(ISNUMBER(_xlpm.val),_xlpm.val*$H13,""))</f>
        <v/>
      </c>
      <c r="O13" s="6" t="str">
        <f>_xlfn.LET(
_xlpm.rowNo, MATCH($C13&amp;"|"&amp;
($F13+O$4),Raw_Fund!$A:$A,0),
_xlpm.colNo,
MATCH(O$3,Raw_Fund!$E$1:$AZ$1,0),
_xlpm.val,
INDEX(Raw_Fund!$E:$AZ,_xlpm.rowNo,_xlpm.colNo),
IF(ISNUMBER(_xlpm.val),_xlpm.val*$H13,""))</f>
        <v/>
      </c>
      <c r="P13" s="6" t="str">
        <f>_xlfn.LET(
_xlpm.rowNo, MATCH($C13&amp;"|"&amp;
($F13+P$4),Raw_Fund!$A:$A,0),
_xlpm.colNo,
MATCH(P$3,Raw_Fund!$E$1:$AZ$1,0),
_xlpm.val,
INDEX(Raw_Fund!$E:$AZ,_xlpm.rowNo,_xlpm.colNo),
IF(ISNUMBER(_xlpm.val),_xlpm.val*$H13,""))</f>
        <v/>
      </c>
      <c r="Q13" s="6" t="str">
        <f>_xlfn.LET(
_xlpm.rowNo, MATCH($C13&amp;"|"&amp;
($F13+Q$4),Raw_Fund!$A:$A,0),
_xlpm.colNo,
MATCH(Q$3,Raw_Fund!$E$1:$AZ$1,0),
_xlpm.val,
INDEX(Raw_Fund!$E:$AZ,_xlpm.rowNo,_xlpm.colNo),
IF(ISNUMBER(_xlpm.val),_xlpm.val*$H13,""))</f>
        <v/>
      </c>
      <c r="R13" s="6" t="str">
        <f>_xlfn.LET(
_xlpm.rowNo, MATCH($C13&amp;"|"&amp;
($F13+R$4),Raw_Fund!$A:$A,0),
_xlpm.colNo,
MATCH(R$3,Raw_Fund!$E$1:$AZ$1,0),
_xlpm.val,
INDEX(Raw_Fund!$E:$AZ,_xlpm.rowNo,_xlpm.colNo),
IF(ISNUMBER(_xlpm.val),_xlpm.val*$H13,""))</f>
        <v/>
      </c>
      <c r="S13" s="6" t="str">
        <f>_xlfn.LET(
_xlpm.rowNo, MATCH($C13&amp;"|"&amp;
($F13+S$4),Raw_Fund!$A:$A,0),
_xlpm.colNo,
MATCH(S$3,Raw_Fund!$E$1:$AZ$1,0),
_xlpm.val,
INDEX(Raw_Fund!$E:$AZ,_xlpm.rowNo,_xlpm.colNo),
IF(ISNUMBER(_xlpm.val),_xlpm.val*$H13,""))</f>
        <v/>
      </c>
      <c r="T13" s="6" t="str">
        <f>_xlfn.LET(
_xlpm.rowNo, MATCH($C13&amp;"|"&amp;
($F13+T$4),Raw_Fund!$A:$A,0),
_xlpm.colNo,
MATCH(T$3,Raw_Fund!$E$1:$AZ$1,0),
_xlpm.val,
INDEX(Raw_Fund!$E:$AZ,_xlpm.rowNo,_xlpm.colNo),
IF(ISNUMBER(_xlpm.val),_xlpm.val*$H13,""))</f>
        <v/>
      </c>
      <c r="U13" s="6" t="str">
        <f>_xlfn.LET(
_xlpm.rowNo, MATCH($C13&amp;"|"&amp;
($F13+U$4),Raw_Fund!$A:$A,0),
_xlpm.colNo,
MATCH(U$3,Raw_Fund!$E$1:$AZ$1,0),
_xlpm.val,
INDEX(Raw_Fund!$E:$AZ,_xlpm.rowNo,_xlpm.colNo),
IF(ISNUMBER(_xlpm.val),_xlpm.val*$H13,""))</f>
        <v/>
      </c>
      <c r="V13" s="6" t="str">
        <f>_xlfn.LET(
_xlpm.rowNo, MATCH($C13&amp;"|"&amp;
($F13+V$4),Raw_Fund!$A:$A,0),
_xlpm.colNo,
MATCH(V$3,Raw_Fund!$E$1:$AZ$1,0),
_xlpm.val,
INDEX(Raw_Fund!$E:$AZ,_xlpm.rowNo,_xlpm.colNo),
IF(ISNUMBER(_xlpm.val),_xlpm.val*$H13,""))</f>
        <v/>
      </c>
      <c r="W13" s="6" t="str">
        <f>_xlfn.LET(
_xlpm.rowNo, MATCH($C13&amp;"|"&amp;
($F13+W$4),Raw_Fund!$A:$A,0),
_xlpm.colNo,
MATCH(W$3,Raw_Fund!$E$1:$AZ$1,0),
_xlpm.val,
INDEX(Raw_Fund!$E:$AZ,_xlpm.rowNo,_xlpm.colNo),
IF(ISNUMBER(_xlpm.val),_xlpm.val*$H13,""))</f>
        <v/>
      </c>
      <c r="X13" s="6" t="str">
        <f>_xlfn.LET(
_xlpm.rowNo, MATCH($C13&amp;"|"&amp;
($F13+X$4),Raw_Fund!$A:$A,0),
_xlpm.colNo,
MATCH(X$3,Raw_Fund!$E$1:$AZ$1,0),
_xlpm.val,
INDEX(Raw_Fund!$E:$AZ,_xlpm.rowNo,_xlpm.colNo),
IF(ISNUMBER(_xlpm.val),_xlpm.val*$H13,""))</f>
        <v/>
      </c>
      <c r="Y13" s="6" t="str">
        <f>_xlfn.LET(
_xlpm.rowNo, MATCH($C13&amp;"|"&amp;
($F13+Y$4),Raw_Fund!$A:$A,0),
_xlpm.colNo,
MATCH(Y$3,Raw_Fund!$E$1:$AZ$1,0),
_xlpm.val,
INDEX(Raw_Fund!$E:$AZ,_xlpm.rowNo,_xlpm.colNo),
IF(ISNUMBER(_xlpm.val),_xlpm.val*$H13,""))</f>
        <v/>
      </c>
      <c r="Z13" s="6" t="str">
        <f>IF($E13&lt;&gt;"Include","",_xlfn.XLOOKUP($C13,Raw_Mkt!$A:$A,Raw_Mkt!$B:$B))</f>
        <v/>
      </c>
    </row>
    <row r="14" spans="1:26" x14ac:dyDescent="0.4">
      <c r="A14" t="str">
        <f>IF(Universe!A14&lt;&gt;"",Universe!A14,"")</f>
        <v>AO</v>
      </c>
      <c r="B14" t="str">
        <f>IF(Universe!B14&lt;&gt;"",Universe!B14,"")</f>
        <v>AO World</v>
      </c>
      <c r="C14" t="str">
        <f>IF(Universe!C14&lt;&gt;"",Universe!C14,"")</f>
        <v>GB00BJTNFH41</v>
      </c>
      <c r="D14" t="str">
        <f>IF(Universe!D14&lt;&gt;"",Universe!D14,"")</f>
        <v>Consumer Discretionary</v>
      </c>
      <c r="E14" t="str">
        <f>Universe!G14</f>
        <v>Include</v>
      </c>
      <c r="F14" t="str">
        <f>IF($E14&lt;&gt;"Include","",_xlfn.LET(_xlpm.latest,_xlfn.MAXIFS(Raw_Fund!$C:$C,Raw_Fund!$B:$B,Data!$C14),IF(_xlpm.latest=0,"",_xlpm.latest)))</f>
        <v/>
      </c>
      <c r="G14" t="str">
        <f>IF($F14="","",INDEX(Raw_Fund!$E:$AZ,MATCH($C14&amp;"|"&amp;$F14,Raw_Fund!$A:$A,0),MATCH(G$3,Raw_Fund!$E$1:$AZ$1,0)))</f>
        <v/>
      </c>
      <c r="H14" t="str">
        <f t="shared" si="0"/>
        <v/>
      </c>
      <c r="I14" s="6" t="str">
        <f>_xlfn.LET(
_xlpm.rowNo, MATCH($C14&amp;"|"&amp;
($F14+I$4),Raw_Fund!$A:$A,0),
_xlpm.colNo,
MATCH(I$3,Raw_Fund!$E$1:$AZ$1,0),
_xlpm.val,
INDEX(Raw_Fund!$E:$AZ,_xlpm.rowNo,_xlpm.colNo),
IF(ISNUMBER(_xlpm.val),_xlpm.val*$H14,""))</f>
        <v/>
      </c>
      <c r="J14" s="6" t="str">
        <f>_xlfn.LET(
_xlpm.rowNo, MATCH($C14&amp;"|"&amp;
($F14+J$4),Raw_Fund!$A:$A,0),
_xlpm.colNo,
MATCH(J$3,Raw_Fund!$E$1:$AZ$1,0),
_xlpm.val,
INDEX(Raw_Fund!$E:$AZ,_xlpm.rowNo,_xlpm.colNo),
IF(ISNUMBER(_xlpm.val),_xlpm.val*$H14,""))</f>
        <v/>
      </c>
      <c r="K14" s="6" t="str">
        <f>_xlfn.LET(
_xlpm.rowNo, MATCH($C14&amp;"|"&amp;
($F14+K$4),Raw_Fund!$A:$A,0),
_xlpm.colNo,
MATCH(K$3,Raw_Fund!$E$1:$AZ$1,0),
_xlpm.val,
INDEX(Raw_Fund!$E:$AZ,_xlpm.rowNo,_xlpm.colNo),
IF(ISNUMBER(_xlpm.val),_xlpm.val*$H14,""))</f>
        <v/>
      </c>
      <c r="L14" s="6" t="str">
        <f>_xlfn.LET(
_xlpm.rowNo, MATCH($C14&amp;"|"&amp;
($F14+L$4),Raw_Fund!$A:$A,0),
_xlpm.colNo,
MATCH(L$3,Raw_Fund!$E$1:$AZ$1,0),
_xlpm.val,
INDEX(Raw_Fund!$E:$AZ,_xlpm.rowNo,_xlpm.colNo),
IF(ISNUMBER(_xlpm.val),_xlpm.val*$H14,""))</f>
        <v/>
      </c>
      <c r="M14" s="6" t="str">
        <f>_xlfn.LET(
_xlpm.rowNo, MATCH($C14&amp;"|"&amp;
($F14+M$4),Raw_Fund!$A:$A,0),
_xlpm.colNo,
MATCH(M$3,Raw_Fund!$E$1:$AZ$1,0),
_xlpm.val,
INDEX(Raw_Fund!$E:$AZ,_xlpm.rowNo,_xlpm.colNo),
IF(ISNUMBER(_xlpm.val),_xlpm.val*$H14,""))</f>
        <v/>
      </c>
      <c r="N14" s="6" t="str">
        <f>_xlfn.LET(
_xlpm.rowNo, MATCH($C14&amp;"|"&amp;
($F14+N$4),Raw_Fund!$A:$A,0),
_xlpm.colNo,
MATCH(N$3,Raw_Fund!$E$1:$AZ$1,0),
_xlpm.val,
INDEX(Raw_Fund!$E:$AZ,_xlpm.rowNo,_xlpm.colNo),
IF(ISNUMBER(_xlpm.val),_xlpm.val*$H14,""))</f>
        <v/>
      </c>
      <c r="O14" s="6" t="str">
        <f>_xlfn.LET(
_xlpm.rowNo, MATCH($C14&amp;"|"&amp;
($F14+O$4),Raw_Fund!$A:$A,0),
_xlpm.colNo,
MATCH(O$3,Raw_Fund!$E$1:$AZ$1,0),
_xlpm.val,
INDEX(Raw_Fund!$E:$AZ,_xlpm.rowNo,_xlpm.colNo),
IF(ISNUMBER(_xlpm.val),_xlpm.val*$H14,""))</f>
        <v/>
      </c>
      <c r="P14" s="6" t="str">
        <f>_xlfn.LET(
_xlpm.rowNo, MATCH($C14&amp;"|"&amp;
($F14+P$4),Raw_Fund!$A:$A,0),
_xlpm.colNo,
MATCH(P$3,Raw_Fund!$E$1:$AZ$1,0),
_xlpm.val,
INDEX(Raw_Fund!$E:$AZ,_xlpm.rowNo,_xlpm.colNo),
IF(ISNUMBER(_xlpm.val),_xlpm.val*$H14,""))</f>
        <v/>
      </c>
      <c r="Q14" s="6" t="str">
        <f>_xlfn.LET(
_xlpm.rowNo, MATCH($C14&amp;"|"&amp;
($F14+Q$4),Raw_Fund!$A:$A,0),
_xlpm.colNo,
MATCH(Q$3,Raw_Fund!$E$1:$AZ$1,0),
_xlpm.val,
INDEX(Raw_Fund!$E:$AZ,_xlpm.rowNo,_xlpm.colNo),
IF(ISNUMBER(_xlpm.val),_xlpm.val*$H14,""))</f>
        <v/>
      </c>
      <c r="R14" s="6" t="str">
        <f>_xlfn.LET(
_xlpm.rowNo, MATCH($C14&amp;"|"&amp;
($F14+R$4),Raw_Fund!$A:$A,0),
_xlpm.colNo,
MATCH(R$3,Raw_Fund!$E$1:$AZ$1,0),
_xlpm.val,
INDEX(Raw_Fund!$E:$AZ,_xlpm.rowNo,_xlpm.colNo),
IF(ISNUMBER(_xlpm.val),_xlpm.val*$H14,""))</f>
        <v/>
      </c>
      <c r="S14" s="6" t="str">
        <f>_xlfn.LET(
_xlpm.rowNo, MATCH($C14&amp;"|"&amp;
($F14+S$4),Raw_Fund!$A:$A,0),
_xlpm.colNo,
MATCH(S$3,Raw_Fund!$E$1:$AZ$1,0),
_xlpm.val,
INDEX(Raw_Fund!$E:$AZ,_xlpm.rowNo,_xlpm.colNo),
IF(ISNUMBER(_xlpm.val),_xlpm.val*$H14,""))</f>
        <v/>
      </c>
      <c r="T14" s="6" t="str">
        <f>_xlfn.LET(
_xlpm.rowNo, MATCH($C14&amp;"|"&amp;
($F14+T$4),Raw_Fund!$A:$A,0),
_xlpm.colNo,
MATCH(T$3,Raw_Fund!$E$1:$AZ$1,0),
_xlpm.val,
INDEX(Raw_Fund!$E:$AZ,_xlpm.rowNo,_xlpm.colNo),
IF(ISNUMBER(_xlpm.val),_xlpm.val*$H14,""))</f>
        <v/>
      </c>
      <c r="U14" s="6" t="str">
        <f>_xlfn.LET(
_xlpm.rowNo, MATCH($C14&amp;"|"&amp;
($F14+U$4),Raw_Fund!$A:$A,0),
_xlpm.colNo,
MATCH(U$3,Raw_Fund!$E$1:$AZ$1,0),
_xlpm.val,
INDEX(Raw_Fund!$E:$AZ,_xlpm.rowNo,_xlpm.colNo),
IF(ISNUMBER(_xlpm.val),_xlpm.val*$H14,""))</f>
        <v/>
      </c>
      <c r="V14" s="6" t="str">
        <f>_xlfn.LET(
_xlpm.rowNo, MATCH($C14&amp;"|"&amp;
($F14+V$4),Raw_Fund!$A:$A,0),
_xlpm.colNo,
MATCH(V$3,Raw_Fund!$E$1:$AZ$1,0),
_xlpm.val,
INDEX(Raw_Fund!$E:$AZ,_xlpm.rowNo,_xlpm.colNo),
IF(ISNUMBER(_xlpm.val),_xlpm.val*$H14,""))</f>
        <v/>
      </c>
      <c r="W14" s="6" t="str">
        <f>_xlfn.LET(
_xlpm.rowNo, MATCH($C14&amp;"|"&amp;
($F14+W$4),Raw_Fund!$A:$A,0),
_xlpm.colNo,
MATCH(W$3,Raw_Fund!$E$1:$AZ$1,0),
_xlpm.val,
INDEX(Raw_Fund!$E:$AZ,_xlpm.rowNo,_xlpm.colNo),
IF(ISNUMBER(_xlpm.val),_xlpm.val*$H14,""))</f>
        <v/>
      </c>
      <c r="X14" s="6" t="str">
        <f>_xlfn.LET(
_xlpm.rowNo, MATCH($C14&amp;"|"&amp;
($F14+X$4),Raw_Fund!$A:$A,0),
_xlpm.colNo,
MATCH(X$3,Raw_Fund!$E$1:$AZ$1,0),
_xlpm.val,
INDEX(Raw_Fund!$E:$AZ,_xlpm.rowNo,_xlpm.colNo),
IF(ISNUMBER(_xlpm.val),_xlpm.val*$H14,""))</f>
        <v/>
      </c>
      <c r="Y14" s="6" t="str">
        <f>_xlfn.LET(
_xlpm.rowNo, MATCH($C14&amp;"|"&amp;
($F14+Y$4),Raw_Fund!$A:$A,0),
_xlpm.colNo,
MATCH(Y$3,Raw_Fund!$E$1:$AZ$1,0),
_xlpm.val,
INDEX(Raw_Fund!$E:$AZ,_xlpm.rowNo,_xlpm.colNo),
IF(ISNUMBER(_xlpm.val),_xlpm.val*$H14,""))</f>
        <v/>
      </c>
      <c r="Z14" s="6" t="e">
        <f>IF($E14&lt;&gt;"Include","",_xlfn.XLOOKUP($C14,Raw_Mkt!$A:$A,Raw_Mkt!$B:$B))</f>
        <v>#N/A</v>
      </c>
    </row>
    <row r="15" spans="1:26" x14ac:dyDescent="0.4">
      <c r="A15" t="str">
        <f>IF(Universe!A15&lt;&gt;"",Universe!A15,"")</f>
        <v>APN</v>
      </c>
      <c r="B15" t="str">
        <f>IF(Universe!B15&lt;&gt;"",Universe!B15,"")</f>
        <v>Applied Nutrition</v>
      </c>
      <c r="C15" t="str">
        <f>IF(Universe!C15&lt;&gt;"",Universe!C15,"")</f>
        <v>GB00BPVDXX64</v>
      </c>
      <c r="D15" t="str">
        <f>IF(Universe!D15&lt;&gt;"",Universe!D15,"")</f>
        <v>Consumer Staples</v>
      </c>
      <c r="E15" t="str">
        <f>Universe!G15</f>
        <v>Include</v>
      </c>
      <c r="F15" t="str">
        <f>IF($E15&lt;&gt;"Include","",_xlfn.LET(_xlpm.latest,_xlfn.MAXIFS(Raw_Fund!$C:$C,Raw_Fund!$B:$B,Data!$C15),IF(_xlpm.latest=0,"",_xlpm.latest)))</f>
        <v/>
      </c>
      <c r="G15" t="str">
        <f>IF($F15="","",INDEX(Raw_Fund!$E:$AZ,MATCH($C15&amp;"|"&amp;$F15,Raw_Fund!$A:$A,0),MATCH(G$3,Raw_Fund!$E$1:$AZ$1,0)))</f>
        <v/>
      </c>
      <c r="H15" t="str">
        <f t="shared" si="0"/>
        <v/>
      </c>
      <c r="I15" s="6" t="str">
        <f>_xlfn.LET(
_xlpm.rowNo, MATCH($C15&amp;"|"&amp;
($F15+I$4),Raw_Fund!$A:$A,0),
_xlpm.colNo,
MATCH(I$3,Raw_Fund!$E$1:$AZ$1,0),
_xlpm.val,
INDEX(Raw_Fund!$E:$AZ,_xlpm.rowNo,_xlpm.colNo),
IF(ISNUMBER(_xlpm.val),_xlpm.val*$H15,""))</f>
        <v/>
      </c>
      <c r="J15" s="6" t="str">
        <f>_xlfn.LET(
_xlpm.rowNo, MATCH($C15&amp;"|"&amp;
($F15+J$4),Raw_Fund!$A:$A,0),
_xlpm.colNo,
MATCH(J$3,Raw_Fund!$E$1:$AZ$1,0),
_xlpm.val,
INDEX(Raw_Fund!$E:$AZ,_xlpm.rowNo,_xlpm.colNo),
IF(ISNUMBER(_xlpm.val),_xlpm.val*$H15,""))</f>
        <v/>
      </c>
      <c r="K15" s="6" t="str">
        <f>_xlfn.LET(
_xlpm.rowNo, MATCH($C15&amp;"|"&amp;
($F15+K$4),Raw_Fund!$A:$A,0),
_xlpm.colNo,
MATCH(K$3,Raw_Fund!$E$1:$AZ$1,0),
_xlpm.val,
INDEX(Raw_Fund!$E:$AZ,_xlpm.rowNo,_xlpm.colNo),
IF(ISNUMBER(_xlpm.val),_xlpm.val*$H15,""))</f>
        <v/>
      </c>
      <c r="L15" s="6" t="str">
        <f>_xlfn.LET(
_xlpm.rowNo, MATCH($C15&amp;"|"&amp;
($F15+L$4),Raw_Fund!$A:$A,0),
_xlpm.colNo,
MATCH(L$3,Raw_Fund!$E$1:$AZ$1,0),
_xlpm.val,
INDEX(Raw_Fund!$E:$AZ,_xlpm.rowNo,_xlpm.colNo),
IF(ISNUMBER(_xlpm.val),_xlpm.val*$H15,""))</f>
        <v/>
      </c>
      <c r="M15" s="6" t="str">
        <f>_xlfn.LET(
_xlpm.rowNo, MATCH($C15&amp;"|"&amp;
($F15+M$4),Raw_Fund!$A:$A,0),
_xlpm.colNo,
MATCH(M$3,Raw_Fund!$E$1:$AZ$1,0),
_xlpm.val,
INDEX(Raw_Fund!$E:$AZ,_xlpm.rowNo,_xlpm.colNo),
IF(ISNUMBER(_xlpm.val),_xlpm.val*$H15,""))</f>
        <v/>
      </c>
      <c r="N15" s="6" t="str">
        <f>_xlfn.LET(
_xlpm.rowNo, MATCH($C15&amp;"|"&amp;
($F15+N$4),Raw_Fund!$A:$A,0),
_xlpm.colNo,
MATCH(N$3,Raw_Fund!$E$1:$AZ$1,0),
_xlpm.val,
INDEX(Raw_Fund!$E:$AZ,_xlpm.rowNo,_xlpm.colNo),
IF(ISNUMBER(_xlpm.val),_xlpm.val*$H15,""))</f>
        <v/>
      </c>
      <c r="O15" s="6" t="str">
        <f>_xlfn.LET(
_xlpm.rowNo, MATCH($C15&amp;"|"&amp;
($F15+O$4),Raw_Fund!$A:$A,0),
_xlpm.colNo,
MATCH(O$3,Raw_Fund!$E$1:$AZ$1,0),
_xlpm.val,
INDEX(Raw_Fund!$E:$AZ,_xlpm.rowNo,_xlpm.colNo),
IF(ISNUMBER(_xlpm.val),_xlpm.val*$H15,""))</f>
        <v/>
      </c>
      <c r="P15" s="6" t="str">
        <f>_xlfn.LET(
_xlpm.rowNo, MATCH($C15&amp;"|"&amp;
($F15+P$4),Raw_Fund!$A:$A,0),
_xlpm.colNo,
MATCH(P$3,Raw_Fund!$E$1:$AZ$1,0),
_xlpm.val,
INDEX(Raw_Fund!$E:$AZ,_xlpm.rowNo,_xlpm.colNo),
IF(ISNUMBER(_xlpm.val),_xlpm.val*$H15,""))</f>
        <v/>
      </c>
      <c r="Q15" s="6" t="str">
        <f>_xlfn.LET(
_xlpm.rowNo, MATCH($C15&amp;"|"&amp;
($F15+Q$4),Raw_Fund!$A:$A,0),
_xlpm.colNo,
MATCH(Q$3,Raw_Fund!$E$1:$AZ$1,0),
_xlpm.val,
INDEX(Raw_Fund!$E:$AZ,_xlpm.rowNo,_xlpm.colNo),
IF(ISNUMBER(_xlpm.val),_xlpm.val*$H15,""))</f>
        <v/>
      </c>
      <c r="R15" s="6" t="str">
        <f>_xlfn.LET(
_xlpm.rowNo, MATCH($C15&amp;"|"&amp;
($F15+R$4),Raw_Fund!$A:$A,0),
_xlpm.colNo,
MATCH(R$3,Raw_Fund!$E$1:$AZ$1,0),
_xlpm.val,
INDEX(Raw_Fund!$E:$AZ,_xlpm.rowNo,_xlpm.colNo),
IF(ISNUMBER(_xlpm.val),_xlpm.val*$H15,""))</f>
        <v/>
      </c>
      <c r="S15" s="6" t="str">
        <f>_xlfn.LET(
_xlpm.rowNo, MATCH($C15&amp;"|"&amp;
($F15+S$4),Raw_Fund!$A:$A,0),
_xlpm.colNo,
MATCH(S$3,Raw_Fund!$E$1:$AZ$1,0),
_xlpm.val,
INDEX(Raw_Fund!$E:$AZ,_xlpm.rowNo,_xlpm.colNo),
IF(ISNUMBER(_xlpm.val),_xlpm.val*$H15,""))</f>
        <v/>
      </c>
      <c r="T15" s="6" t="str">
        <f>_xlfn.LET(
_xlpm.rowNo, MATCH($C15&amp;"|"&amp;
($F15+T$4),Raw_Fund!$A:$A,0),
_xlpm.colNo,
MATCH(T$3,Raw_Fund!$E$1:$AZ$1,0),
_xlpm.val,
INDEX(Raw_Fund!$E:$AZ,_xlpm.rowNo,_xlpm.colNo),
IF(ISNUMBER(_xlpm.val),_xlpm.val*$H15,""))</f>
        <v/>
      </c>
      <c r="U15" s="6" t="str">
        <f>_xlfn.LET(
_xlpm.rowNo, MATCH($C15&amp;"|"&amp;
($F15+U$4),Raw_Fund!$A:$A,0),
_xlpm.colNo,
MATCH(U$3,Raw_Fund!$E$1:$AZ$1,0),
_xlpm.val,
INDEX(Raw_Fund!$E:$AZ,_xlpm.rowNo,_xlpm.colNo),
IF(ISNUMBER(_xlpm.val),_xlpm.val*$H15,""))</f>
        <v/>
      </c>
      <c r="V15" s="6" t="str">
        <f>_xlfn.LET(
_xlpm.rowNo, MATCH($C15&amp;"|"&amp;
($F15+V$4),Raw_Fund!$A:$A,0),
_xlpm.colNo,
MATCH(V$3,Raw_Fund!$E$1:$AZ$1,0),
_xlpm.val,
INDEX(Raw_Fund!$E:$AZ,_xlpm.rowNo,_xlpm.colNo),
IF(ISNUMBER(_xlpm.val),_xlpm.val*$H15,""))</f>
        <v/>
      </c>
      <c r="W15" s="6" t="str">
        <f>_xlfn.LET(
_xlpm.rowNo, MATCH($C15&amp;"|"&amp;
($F15+W$4),Raw_Fund!$A:$A,0),
_xlpm.colNo,
MATCH(W$3,Raw_Fund!$E$1:$AZ$1,0),
_xlpm.val,
INDEX(Raw_Fund!$E:$AZ,_xlpm.rowNo,_xlpm.colNo),
IF(ISNUMBER(_xlpm.val),_xlpm.val*$H15,""))</f>
        <v/>
      </c>
      <c r="X15" s="6" t="str">
        <f>_xlfn.LET(
_xlpm.rowNo, MATCH($C15&amp;"|"&amp;
($F15+X$4),Raw_Fund!$A:$A,0),
_xlpm.colNo,
MATCH(X$3,Raw_Fund!$E$1:$AZ$1,0),
_xlpm.val,
INDEX(Raw_Fund!$E:$AZ,_xlpm.rowNo,_xlpm.colNo),
IF(ISNUMBER(_xlpm.val),_xlpm.val*$H15,""))</f>
        <v/>
      </c>
      <c r="Y15" s="6" t="str">
        <f>_xlfn.LET(
_xlpm.rowNo, MATCH($C15&amp;"|"&amp;
($F15+Y$4),Raw_Fund!$A:$A,0),
_xlpm.colNo,
MATCH(Y$3,Raw_Fund!$E$1:$AZ$1,0),
_xlpm.val,
INDEX(Raw_Fund!$E:$AZ,_xlpm.rowNo,_xlpm.colNo),
IF(ISNUMBER(_xlpm.val),_xlpm.val*$H15,""))</f>
        <v/>
      </c>
      <c r="Z15" s="6" t="e">
        <f>IF($E15&lt;&gt;"Include","",_xlfn.XLOOKUP($C15,Raw_Mkt!$A:$A,Raw_Mkt!$B:$B))</f>
        <v>#N/A</v>
      </c>
    </row>
    <row r="16" spans="1:26" x14ac:dyDescent="0.4">
      <c r="A16" t="str">
        <f>IF(Universe!A16&lt;&gt;"",Universe!A16,"")</f>
        <v>ASHM</v>
      </c>
      <c r="B16" t="str">
        <f>IF(Universe!B16&lt;&gt;"",Universe!B16,"")</f>
        <v>Ashmore Group</v>
      </c>
      <c r="C16" t="str">
        <f>IF(Universe!C16&lt;&gt;"",Universe!C16,"")</f>
        <v>GB00B132NW22</v>
      </c>
      <c r="D16" t="str">
        <f>IF(Universe!D16&lt;&gt;"",Universe!D16,"")</f>
        <v>Financials</v>
      </c>
      <c r="E16" t="str">
        <f>Universe!G16</f>
        <v>Exclude</v>
      </c>
      <c r="G16" t="str">
        <f>IF($F16="","",INDEX(Raw_Fund!$E:$AZ,MATCH($C16&amp;"|"&amp;$F16,Raw_Fund!$A:$A,0),MATCH(G$3,Raw_Fund!$E$1:$AZ$1,0)))</f>
        <v/>
      </c>
      <c r="H16" t="str">
        <f t="shared" si="0"/>
        <v/>
      </c>
      <c r="I16" s="6" t="str">
        <f>_xlfn.LET(
_xlpm.rowNo, MATCH($C16&amp;"|"&amp;
($F16+I$4),Raw_Fund!$A:$A,0),
_xlpm.colNo,
MATCH(I$3,Raw_Fund!$E$1:$AZ$1,0),
_xlpm.val,
INDEX(Raw_Fund!$E:$AZ,_xlpm.rowNo,_xlpm.colNo),
IF(ISNUMBER(_xlpm.val),_xlpm.val*$H16,""))</f>
        <v/>
      </c>
      <c r="J16" s="6" t="str">
        <f>_xlfn.LET(
_xlpm.rowNo, MATCH($C16&amp;"|"&amp;
($F16+J$4),Raw_Fund!$A:$A,0),
_xlpm.colNo,
MATCH(J$3,Raw_Fund!$E$1:$AZ$1,0),
_xlpm.val,
INDEX(Raw_Fund!$E:$AZ,_xlpm.rowNo,_xlpm.colNo),
IF(ISNUMBER(_xlpm.val),_xlpm.val*$H16,""))</f>
        <v/>
      </c>
      <c r="K16" s="6" t="str">
        <f>_xlfn.LET(
_xlpm.rowNo, MATCH($C16&amp;"|"&amp;
($F16+K$4),Raw_Fund!$A:$A,0),
_xlpm.colNo,
MATCH(K$3,Raw_Fund!$E$1:$AZ$1,0),
_xlpm.val,
INDEX(Raw_Fund!$E:$AZ,_xlpm.rowNo,_xlpm.colNo),
IF(ISNUMBER(_xlpm.val),_xlpm.val*$H16,""))</f>
        <v/>
      </c>
      <c r="L16" s="6" t="str">
        <f>_xlfn.LET(
_xlpm.rowNo, MATCH($C16&amp;"|"&amp;
($F16+L$4),Raw_Fund!$A:$A,0),
_xlpm.colNo,
MATCH(L$3,Raw_Fund!$E$1:$AZ$1,0),
_xlpm.val,
INDEX(Raw_Fund!$E:$AZ,_xlpm.rowNo,_xlpm.colNo),
IF(ISNUMBER(_xlpm.val),_xlpm.val*$H16,""))</f>
        <v/>
      </c>
      <c r="M16" s="6" t="str">
        <f>_xlfn.LET(
_xlpm.rowNo, MATCH($C16&amp;"|"&amp;
($F16+M$4),Raw_Fund!$A:$A,0),
_xlpm.colNo,
MATCH(M$3,Raw_Fund!$E$1:$AZ$1,0),
_xlpm.val,
INDEX(Raw_Fund!$E:$AZ,_xlpm.rowNo,_xlpm.colNo),
IF(ISNUMBER(_xlpm.val),_xlpm.val*$H16,""))</f>
        <v/>
      </c>
      <c r="N16" s="6" t="str">
        <f>_xlfn.LET(
_xlpm.rowNo, MATCH($C16&amp;"|"&amp;
($F16+N$4),Raw_Fund!$A:$A,0),
_xlpm.colNo,
MATCH(N$3,Raw_Fund!$E$1:$AZ$1,0),
_xlpm.val,
INDEX(Raw_Fund!$E:$AZ,_xlpm.rowNo,_xlpm.colNo),
IF(ISNUMBER(_xlpm.val),_xlpm.val*$H16,""))</f>
        <v/>
      </c>
      <c r="O16" s="6" t="str">
        <f>_xlfn.LET(
_xlpm.rowNo, MATCH($C16&amp;"|"&amp;
($F16+O$4),Raw_Fund!$A:$A,0),
_xlpm.colNo,
MATCH(O$3,Raw_Fund!$E$1:$AZ$1,0),
_xlpm.val,
INDEX(Raw_Fund!$E:$AZ,_xlpm.rowNo,_xlpm.colNo),
IF(ISNUMBER(_xlpm.val),_xlpm.val*$H16,""))</f>
        <v/>
      </c>
      <c r="P16" s="6" t="str">
        <f>_xlfn.LET(
_xlpm.rowNo, MATCH($C16&amp;"|"&amp;
($F16+P$4),Raw_Fund!$A:$A,0),
_xlpm.colNo,
MATCH(P$3,Raw_Fund!$E$1:$AZ$1,0),
_xlpm.val,
INDEX(Raw_Fund!$E:$AZ,_xlpm.rowNo,_xlpm.colNo),
IF(ISNUMBER(_xlpm.val),_xlpm.val*$H16,""))</f>
        <v/>
      </c>
      <c r="Q16" s="6" t="str">
        <f>_xlfn.LET(
_xlpm.rowNo, MATCH($C16&amp;"|"&amp;
($F16+Q$4),Raw_Fund!$A:$A,0),
_xlpm.colNo,
MATCH(Q$3,Raw_Fund!$E$1:$AZ$1,0),
_xlpm.val,
INDEX(Raw_Fund!$E:$AZ,_xlpm.rowNo,_xlpm.colNo),
IF(ISNUMBER(_xlpm.val),_xlpm.val*$H16,""))</f>
        <v/>
      </c>
      <c r="R16" s="6" t="str">
        <f>_xlfn.LET(
_xlpm.rowNo, MATCH($C16&amp;"|"&amp;
($F16+R$4),Raw_Fund!$A:$A,0),
_xlpm.colNo,
MATCH(R$3,Raw_Fund!$E$1:$AZ$1,0),
_xlpm.val,
INDEX(Raw_Fund!$E:$AZ,_xlpm.rowNo,_xlpm.colNo),
IF(ISNUMBER(_xlpm.val),_xlpm.val*$H16,""))</f>
        <v/>
      </c>
      <c r="S16" s="6" t="str">
        <f>_xlfn.LET(
_xlpm.rowNo, MATCH($C16&amp;"|"&amp;
($F16+S$4),Raw_Fund!$A:$A,0),
_xlpm.colNo,
MATCH(S$3,Raw_Fund!$E$1:$AZ$1,0),
_xlpm.val,
INDEX(Raw_Fund!$E:$AZ,_xlpm.rowNo,_xlpm.colNo),
IF(ISNUMBER(_xlpm.val),_xlpm.val*$H16,""))</f>
        <v/>
      </c>
      <c r="T16" s="6" t="str">
        <f>_xlfn.LET(
_xlpm.rowNo, MATCH($C16&amp;"|"&amp;
($F16+T$4),Raw_Fund!$A:$A,0),
_xlpm.colNo,
MATCH(T$3,Raw_Fund!$E$1:$AZ$1,0),
_xlpm.val,
INDEX(Raw_Fund!$E:$AZ,_xlpm.rowNo,_xlpm.colNo),
IF(ISNUMBER(_xlpm.val),_xlpm.val*$H16,""))</f>
        <v/>
      </c>
      <c r="U16" s="6" t="str">
        <f>_xlfn.LET(
_xlpm.rowNo, MATCH($C16&amp;"|"&amp;
($F16+U$4),Raw_Fund!$A:$A,0),
_xlpm.colNo,
MATCH(U$3,Raw_Fund!$E$1:$AZ$1,0),
_xlpm.val,
INDEX(Raw_Fund!$E:$AZ,_xlpm.rowNo,_xlpm.colNo),
IF(ISNUMBER(_xlpm.val),_xlpm.val*$H16,""))</f>
        <v/>
      </c>
      <c r="V16" s="6" t="str">
        <f>_xlfn.LET(
_xlpm.rowNo, MATCH($C16&amp;"|"&amp;
($F16+V$4),Raw_Fund!$A:$A,0),
_xlpm.colNo,
MATCH(V$3,Raw_Fund!$E$1:$AZ$1,0),
_xlpm.val,
INDEX(Raw_Fund!$E:$AZ,_xlpm.rowNo,_xlpm.colNo),
IF(ISNUMBER(_xlpm.val),_xlpm.val*$H16,""))</f>
        <v/>
      </c>
      <c r="W16" s="6" t="str">
        <f>_xlfn.LET(
_xlpm.rowNo, MATCH($C16&amp;"|"&amp;
($F16+W$4),Raw_Fund!$A:$A,0),
_xlpm.colNo,
MATCH(W$3,Raw_Fund!$E$1:$AZ$1,0),
_xlpm.val,
INDEX(Raw_Fund!$E:$AZ,_xlpm.rowNo,_xlpm.colNo),
IF(ISNUMBER(_xlpm.val),_xlpm.val*$H16,""))</f>
        <v/>
      </c>
      <c r="X16" s="6" t="str">
        <f>_xlfn.LET(
_xlpm.rowNo, MATCH($C16&amp;"|"&amp;
($F16+X$4),Raw_Fund!$A:$A,0),
_xlpm.colNo,
MATCH(X$3,Raw_Fund!$E$1:$AZ$1,0),
_xlpm.val,
INDEX(Raw_Fund!$E:$AZ,_xlpm.rowNo,_xlpm.colNo),
IF(ISNUMBER(_xlpm.val),_xlpm.val*$H16,""))</f>
        <v/>
      </c>
      <c r="Y16" s="6" t="str">
        <f>_xlfn.LET(
_xlpm.rowNo, MATCH($C16&amp;"|"&amp;
($F16+Y$4),Raw_Fund!$A:$A,0),
_xlpm.colNo,
MATCH(Y$3,Raw_Fund!$E$1:$AZ$1,0),
_xlpm.val,
INDEX(Raw_Fund!$E:$AZ,_xlpm.rowNo,_xlpm.colNo),
IF(ISNUMBER(_xlpm.val),_xlpm.val*$H16,""))</f>
        <v/>
      </c>
      <c r="Z16" s="6" t="str">
        <f>IF($E16&lt;&gt;"Include","",_xlfn.XLOOKUP($C16,Raw_Mkt!$A:$A,Raw_Mkt!$B:$B))</f>
        <v/>
      </c>
    </row>
    <row r="17" spans="1:26" x14ac:dyDescent="0.4">
      <c r="A17" t="str">
        <f>IF(Universe!A17&lt;&gt;"",Universe!A17,"")</f>
        <v>AIE</v>
      </c>
      <c r="B17" t="str">
        <f>IF(Universe!B17&lt;&gt;"",Universe!B17,"")</f>
        <v>Ashoka India Equity Investment Trust</v>
      </c>
      <c r="C17" t="str">
        <f>IF(Universe!C17&lt;&gt;"",Universe!C17,"")</f>
        <v>GB00BF50VS41</v>
      </c>
      <c r="D17" t="str">
        <f>IF(Universe!D17&lt;&gt;"",Universe!D17,"")</f>
        <v>Financials</v>
      </c>
      <c r="E17" t="str">
        <f>Universe!G17</f>
        <v>Exclude</v>
      </c>
      <c r="F17" t="str">
        <f>IF($E17&lt;&gt;"Include","",_xlfn.LET(_xlpm.latest,_xlfn.MAXIFS(Raw_Fund!$C:$C,Raw_Fund!$B:$B,Data!$C17),IF(_xlpm.latest=0,"",_xlpm.latest)))</f>
        <v/>
      </c>
      <c r="G17" t="str">
        <f>IF($F17="","",INDEX(Raw_Fund!$E:$AZ,MATCH($C17&amp;"|"&amp;$F17,Raw_Fund!$A:$A,0),MATCH(G$3,Raw_Fund!$E$1:$AZ$1,0)))</f>
        <v/>
      </c>
      <c r="H17" t="str">
        <f t="shared" si="0"/>
        <v/>
      </c>
      <c r="I17" s="6" t="str">
        <f>_xlfn.LET(
_xlpm.rowNo, MATCH($C17&amp;"|"&amp;
($F17+I$4),Raw_Fund!$A:$A,0),
_xlpm.colNo,
MATCH(I$3,Raw_Fund!$E$1:$AZ$1,0),
_xlpm.val,
INDEX(Raw_Fund!$E:$AZ,_xlpm.rowNo,_xlpm.colNo),
IF(ISNUMBER(_xlpm.val),_xlpm.val*$H17,""))</f>
        <v/>
      </c>
      <c r="J17" s="6" t="str">
        <f>_xlfn.LET(
_xlpm.rowNo, MATCH($C17&amp;"|"&amp;
($F17+J$4),Raw_Fund!$A:$A,0),
_xlpm.colNo,
MATCH(J$3,Raw_Fund!$E$1:$AZ$1,0),
_xlpm.val,
INDEX(Raw_Fund!$E:$AZ,_xlpm.rowNo,_xlpm.colNo),
IF(ISNUMBER(_xlpm.val),_xlpm.val*$H17,""))</f>
        <v/>
      </c>
      <c r="K17" s="6" t="str">
        <f>_xlfn.LET(
_xlpm.rowNo, MATCH($C17&amp;"|"&amp;
($F17+K$4),Raw_Fund!$A:$A,0),
_xlpm.colNo,
MATCH(K$3,Raw_Fund!$E$1:$AZ$1,0),
_xlpm.val,
INDEX(Raw_Fund!$E:$AZ,_xlpm.rowNo,_xlpm.colNo),
IF(ISNUMBER(_xlpm.val),_xlpm.val*$H17,""))</f>
        <v/>
      </c>
      <c r="L17" s="6" t="str">
        <f>_xlfn.LET(
_xlpm.rowNo, MATCH($C17&amp;"|"&amp;
($F17+L$4),Raw_Fund!$A:$A,0),
_xlpm.colNo,
MATCH(L$3,Raw_Fund!$E$1:$AZ$1,0),
_xlpm.val,
INDEX(Raw_Fund!$E:$AZ,_xlpm.rowNo,_xlpm.colNo),
IF(ISNUMBER(_xlpm.val),_xlpm.val*$H17,""))</f>
        <v/>
      </c>
      <c r="M17" s="6" t="str">
        <f>_xlfn.LET(
_xlpm.rowNo, MATCH($C17&amp;"|"&amp;
($F17+M$4),Raw_Fund!$A:$A,0),
_xlpm.colNo,
MATCH(M$3,Raw_Fund!$E$1:$AZ$1,0),
_xlpm.val,
INDEX(Raw_Fund!$E:$AZ,_xlpm.rowNo,_xlpm.colNo),
IF(ISNUMBER(_xlpm.val),_xlpm.val*$H17,""))</f>
        <v/>
      </c>
      <c r="N17" s="6" t="str">
        <f>_xlfn.LET(
_xlpm.rowNo, MATCH($C17&amp;"|"&amp;
($F17+N$4),Raw_Fund!$A:$A,0),
_xlpm.colNo,
MATCH(N$3,Raw_Fund!$E$1:$AZ$1,0),
_xlpm.val,
INDEX(Raw_Fund!$E:$AZ,_xlpm.rowNo,_xlpm.colNo),
IF(ISNUMBER(_xlpm.val),_xlpm.val*$H17,""))</f>
        <v/>
      </c>
      <c r="O17" s="6" t="str">
        <f>_xlfn.LET(
_xlpm.rowNo, MATCH($C17&amp;"|"&amp;
($F17+O$4),Raw_Fund!$A:$A,0),
_xlpm.colNo,
MATCH(O$3,Raw_Fund!$E$1:$AZ$1,0),
_xlpm.val,
INDEX(Raw_Fund!$E:$AZ,_xlpm.rowNo,_xlpm.colNo),
IF(ISNUMBER(_xlpm.val),_xlpm.val*$H17,""))</f>
        <v/>
      </c>
      <c r="P17" s="6" t="str">
        <f>_xlfn.LET(
_xlpm.rowNo, MATCH($C17&amp;"|"&amp;
($F17+P$4),Raw_Fund!$A:$A,0),
_xlpm.colNo,
MATCH(P$3,Raw_Fund!$E$1:$AZ$1,0),
_xlpm.val,
INDEX(Raw_Fund!$E:$AZ,_xlpm.rowNo,_xlpm.colNo),
IF(ISNUMBER(_xlpm.val),_xlpm.val*$H17,""))</f>
        <v/>
      </c>
      <c r="Q17" s="6" t="str">
        <f>_xlfn.LET(
_xlpm.rowNo, MATCH($C17&amp;"|"&amp;
($F17+Q$4),Raw_Fund!$A:$A,0),
_xlpm.colNo,
MATCH(Q$3,Raw_Fund!$E$1:$AZ$1,0),
_xlpm.val,
INDEX(Raw_Fund!$E:$AZ,_xlpm.rowNo,_xlpm.colNo),
IF(ISNUMBER(_xlpm.val),_xlpm.val*$H17,""))</f>
        <v/>
      </c>
      <c r="R17" s="6" t="str">
        <f>_xlfn.LET(
_xlpm.rowNo, MATCH($C17&amp;"|"&amp;
($F17+R$4),Raw_Fund!$A:$A,0),
_xlpm.colNo,
MATCH(R$3,Raw_Fund!$E$1:$AZ$1,0),
_xlpm.val,
INDEX(Raw_Fund!$E:$AZ,_xlpm.rowNo,_xlpm.colNo),
IF(ISNUMBER(_xlpm.val),_xlpm.val*$H17,""))</f>
        <v/>
      </c>
      <c r="S17" s="6" t="str">
        <f>_xlfn.LET(
_xlpm.rowNo, MATCH($C17&amp;"|"&amp;
($F17+S$4),Raw_Fund!$A:$A,0),
_xlpm.colNo,
MATCH(S$3,Raw_Fund!$E$1:$AZ$1,0),
_xlpm.val,
INDEX(Raw_Fund!$E:$AZ,_xlpm.rowNo,_xlpm.colNo),
IF(ISNUMBER(_xlpm.val),_xlpm.val*$H17,""))</f>
        <v/>
      </c>
      <c r="T17" s="6" t="str">
        <f>_xlfn.LET(
_xlpm.rowNo, MATCH($C17&amp;"|"&amp;
($F17+T$4),Raw_Fund!$A:$A,0),
_xlpm.colNo,
MATCH(T$3,Raw_Fund!$E$1:$AZ$1,0),
_xlpm.val,
INDEX(Raw_Fund!$E:$AZ,_xlpm.rowNo,_xlpm.colNo),
IF(ISNUMBER(_xlpm.val),_xlpm.val*$H17,""))</f>
        <v/>
      </c>
      <c r="U17" s="6" t="str">
        <f>_xlfn.LET(
_xlpm.rowNo, MATCH($C17&amp;"|"&amp;
($F17+U$4),Raw_Fund!$A:$A,0),
_xlpm.colNo,
MATCH(U$3,Raw_Fund!$E$1:$AZ$1,0),
_xlpm.val,
INDEX(Raw_Fund!$E:$AZ,_xlpm.rowNo,_xlpm.colNo),
IF(ISNUMBER(_xlpm.val),_xlpm.val*$H17,""))</f>
        <v/>
      </c>
      <c r="V17" s="6" t="str">
        <f>_xlfn.LET(
_xlpm.rowNo, MATCH($C17&amp;"|"&amp;
($F17+V$4),Raw_Fund!$A:$A,0),
_xlpm.colNo,
MATCH(V$3,Raw_Fund!$E$1:$AZ$1,0),
_xlpm.val,
INDEX(Raw_Fund!$E:$AZ,_xlpm.rowNo,_xlpm.colNo),
IF(ISNUMBER(_xlpm.val),_xlpm.val*$H17,""))</f>
        <v/>
      </c>
      <c r="W17" s="6" t="str">
        <f>_xlfn.LET(
_xlpm.rowNo, MATCH($C17&amp;"|"&amp;
($F17+W$4),Raw_Fund!$A:$A,0),
_xlpm.colNo,
MATCH(W$3,Raw_Fund!$E$1:$AZ$1,0),
_xlpm.val,
INDEX(Raw_Fund!$E:$AZ,_xlpm.rowNo,_xlpm.colNo),
IF(ISNUMBER(_xlpm.val),_xlpm.val*$H17,""))</f>
        <v/>
      </c>
      <c r="X17" s="6" t="str">
        <f>_xlfn.LET(
_xlpm.rowNo, MATCH($C17&amp;"|"&amp;
($F17+X$4),Raw_Fund!$A:$A,0),
_xlpm.colNo,
MATCH(X$3,Raw_Fund!$E$1:$AZ$1,0),
_xlpm.val,
INDEX(Raw_Fund!$E:$AZ,_xlpm.rowNo,_xlpm.colNo),
IF(ISNUMBER(_xlpm.val),_xlpm.val*$H17,""))</f>
        <v/>
      </c>
      <c r="Y17" s="6" t="str">
        <f>_xlfn.LET(
_xlpm.rowNo, MATCH($C17&amp;"|"&amp;
($F17+Y$4),Raw_Fund!$A:$A,0),
_xlpm.colNo,
MATCH(Y$3,Raw_Fund!$E$1:$AZ$1,0),
_xlpm.val,
INDEX(Raw_Fund!$E:$AZ,_xlpm.rowNo,_xlpm.colNo),
IF(ISNUMBER(_xlpm.val),_xlpm.val*$H17,""))</f>
        <v/>
      </c>
      <c r="Z17" s="6" t="str">
        <f>IF($E17&lt;&gt;"Include","",_xlfn.XLOOKUP($C17,Raw_Mkt!$A:$A,Raw_Mkt!$B:$B))</f>
        <v/>
      </c>
    </row>
    <row r="18" spans="1:26" x14ac:dyDescent="0.4">
      <c r="A18" t="str">
        <f>IF(Universe!A18&lt;&gt;"",Universe!A18,"")</f>
        <v>ASC</v>
      </c>
      <c r="B18" t="str">
        <f>IF(Universe!B18&lt;&gt;"",Universe!B18,"")</f>
        <v>ASOS</v>
      </c>
      <c r="C18" t="str">
        <f>IF(Universe!C18&lt;&gt;"",Universe!C18,"")</f>
        <v>GB0030927254</v>
      </c>
      <c r="D18" t="str">
        <f>IF(Universe!D18&lt;&gt;"",Universe!D18,"")</f>
        <v>Consumer Discretionary</v>
      </c>
      <c r="E18" t="str">
        <f>Universe!G18</f>
        <v>Include</v>
      </c>
      <c r="F18" t="str">
        <f>IF($E18&lt;&gt;"Include","",_xlfn.LET(_xlpm.latest,_xlfn.MAXIFS(Raw_Fund!$C:$C,Raw_Fund!$B:$B,Data!$C18),IF(_xlpm.latest=0,"",_xlpm.latest)))</f>
        <v/>
      </c>
      <c r="G18" t="str">
        <f>IF($F18="","",INDEX(Raw_Fund!$E:$AZ,MATCH($C18&amp;"|"&amp;$F18,Raw_Fund!$A:$A,0),MATCH(G$3,Raw_Fund!$E$1:$AZ$1,0)))</f>
        <v/>
      </c>
      <c r="H18" t="str">
        <f t="shared" si="0"/>
        <v/>
      </c>
      <c r="I18" s="6" t="str">
        <f>_xlfn.LET(
_xlpm.rowNo, MATCH($C18&amp;"|"&amp;
($F18+I$4),Raw_Fund!$A:$A,0),
_xlpm.colNo,
MATCH(I$3,Raw_Fund!$E$1:$AZ$1,0),
_xlpm.val,
INDEX(Raw_Fund!$E:$AZ,_xlpm.rowNo,_xlpm.colNo),
IF(ISNUMBER(_xlpm.val),_xlpm.val*$H18,""))</f>
        <v/>
      </c>
      <c r="J18" s="6" t="str">
        <f>_xlfn.LET(
_xlpm.rowNo, MATCH($C18&amp;"|"&amp;
($F18+J$4),Raw_Fund!$A:$A,0),
_xlpm.colNo,
MATCH(J$3,Raw_Fund!$E$1:$AZ$1,0),
_xlpm.val,
INDEX(Raw_Fund!$E:$AZ,_xlpm.rowNo,_xlpm.colNo),
IF(ISNUMBER(_xlpm.val),_xlpm.val*$H18,""))</f>
        <v/>
      </c>
      <c r="K18" s="6" t="str">
        <f>_xlfn.LET(
_xlpm.rowNo, MATCH($C18&amp;"|"&amp;
($F18+K$4),Raw_Fund!$A:$A,0),
_xlpm.colNo,
MATCH(K$3,Raw_Fund!$E$1:$AZ$1,0),
_xlpm.val,
INDEX(Raw_Fund!$E:$AZ,_xlpm.rowNo,_xlpm.colNo),
IF(ISNUMBER(_xlpm.val),_xlpm.val*$H18,""))</f>
        <v/>
      </c>
      <c r="L18" s="6" t="str">
        <f>_xlfn.LET(
_xlpm.rowNo, MATCH($C18&amp;"|"&amp;
($F18+L$4),Raw_Fund!$A:$A,0),
_xlpm.colNo,
MATCH(L$3,Raw_Fund!$E$1:$AZ$1,0),
_xlpm.val,
INDEX(Raw_Fund!$E:$AZ,_xlpm.rowNo,_xlpm.colNo),
IF(ISNUMBER(_xlpm.val),_xlpm.val*$H18,""))</f>
        <v/>
      </c>
      <c r="M18" s="6" t="str">
        <f>_xlfn.LET(
_xlpm.rowNo, MATCH($C18&amp;"|"&amp;
($F18+M$4),Raw_Fund!$A:$A,0),
_xlpm.colNo,
MATCH(M$3,Raw_Fund!$E$1:$AZ$1,0),
_xlpm.val,
INDEX(Raw_Fund!$E:$AZ,_xlpm.rowNo,_xlpm.colNo),
IF(ISNUMBER(_xlpm.val),_xlpm.val*$H18,""))</f>
        <v/>
      </c>
      <c r="N18" s="6" t="str">
        <f>_xlfn.LET(
_xlpm.rowNo, MATCH($C18&amp;"|"&amp;
($F18+N$4),Raw_Fund!$A:$A,0),
_xlpm.colNo,
MATCH(N$3,Raw_Fund!$E$1:$AZ$1,0),
_xlpm.val,
INDEX(Raw_Fund!$E:$AZ,_xlpm.rowNo,_xlpm.colNo),
IF(ISNUMBER(_xlpm.val),_xlpm.val*$H18,""))</f>
        <v/>
      </c>
      <c r="O18" s="6" t="str">
        <f>_xlfn.LET(
_xlpm.rowNo, MATCH($C18&amp;"|"&amp;
($F18+O$4),Raw_Fund!$A:$A,0),
_xlpm.colNo,
MATCH(O$3,Raw_Fund!$E$1:$AZ$1,0),
_xlpm.val,
INDEX(Raw_Fund!$E:$AZ,_xlpm.rowNo,_xlpm.colNo),
IF(ISNUMBER(_xlpm.val),_xlpm.val*$H18,""))</f>
        <v/>
      </c>
      <c r="P18" s="6" t="str">
        <f>_xlfn.LET(
_xlpm.rowNo, MATCH($C18&amp;"|"&amp;
($F18+P$4),Raw_Fund!$A:$A,0),
_xlpm.colNo,
MATCH(P$3,Raw_Fund!$E$1:$AZ$1,0),
_xlpm.val,
INDEX(Raw_Fund!$E:$AZ,_xlpm.rowNo,_xlpm.colNo),
IF(ISNUMBER(_xlpm.val),_xlpm.val*$H18,""))</f>
        <v/>
      </c>
      <c r="Q18" s="6" t="str">
        <f>_xlfn.LET(
_xlpm.rowNo, MATCH($C18&amp;"|"&amp;
($F18+Q$4),Raw_Fund!$A:$A,0),
_xlpm.colNo,
MATCH(Q$3,Raw_Fund!$E$1:$AZ$1,0),
_xlpm.val,
INDEX(Raw_Fund!$E:$AZ,_xlpm.rowNo,_xlpm.colNo),
IF(ISNUMBER(_xlpm.val),_xlpm.val*$H18,""))</f>
        <v/>
      </c>
      <c r="R18" s="6" t="str">
        <f>_xlfn.LET(
_xlpm.rowNo, MATCH($C18&amp;"|"&amp;
($F18+R$4),Raw_Fund!$A:$A,0),
_xlpm.colNo,
MATCH(R$3,Raw_Fund!$E$1:$AZ$1,0),
_xlpm.val,
INDEX(Raw_Fund!$E:$AZ,_xlpm.rowNo,_xlpm.colNo),
IF(ISNUMBER(_xlpm.val),_xlpm.val*$H18,""))</f>
        <v/>
      </c>
      <c r="S18" s="6" t="str">
        <f>_xlfn.LET(
_xlpm.rowNo, MATCH($C18&amp;"|"&amp;
($F18+S$4),Raw_Fund!$A:$A,0),
_xlpm.colNo,
MATCH(S$3,Raw_Fund!$E$1:$AZ$1,0),
_xlpm.val,
INDEX(Raw_Fund!$E:$AZ,_xlpm.rowNo,_xlpm.colNo),
IF(ISNUMBER(_xlpm.val),_xlpm.val*$H18,""))</f>
        <v/>
      </c>
      <c r="T18" s="6" t="str">
        <f>_xlfn.LET(
_xlpm.rowNo, MATCH($C18&amp;"|"&amp;
($F18+T$4),Raw_Fund!$A:$A,0),
_xlpm.colNo,
MATCH(T$3,Raw_Fund!$E$1:$AZ$1,0),
_xlpm.val,
INDEX(Raw_Fund!$E:$AZ,_xlpm.rowNo,_xlpm.colNo),
IF(ISNUMBER(_xlpm.val),_xlpm.val*$H18,""))</f>
        <v/>
      </c>
      <c r="U18" s="6" t="str">
        <f>_xlfn.LET(
_xlpm.rowNo, MATCH($C18&amp;"|"&amp;
($F18+U$4),Raw_Fund!$A:$A,0),
_xlpm.colNo,
MATCH(U$3,Raw_Fund!$E$1:$AZ$1,0),
_xlpm.val,
INDEX(Raw_Fund!$E:$AZ,_xlpm.rowNo,_xlpm.colNo),
IF(ISNUMBER(_xlpm.val),_xlpm.val*$H18,""))</f>
        <v/>
      </c>
      <c r="V18" s="6" t="str">
        <f>_xlfn.LET(
_xlpm.rowNo, MATCH($C18&amp;"|"&amp;
($F18+V$4),Raw_Fund!$A:$A,0),
_xlpm.colNo,
MATCH(V$3,Raw_Fund!$E$1:$AZ$1,0),
_xlpm.val,
INDEX(Raw_Fund!$E:$AZ,_xlpm.rowNo,_xlpm.colNo),
IF(ISNUMBER(_xlpm.val),_xlpm.val*$H18,""))</f>
        <v/>
      </c>
      <c r="W18" s="6" t="str">
        <f>_xlfn.LET(
_xlpm.rowNo, MATCH($C18&amp;"|"&amp;
($F18+W$4),Raw_Fund!$A:$A,0),
_xlpm.colNo,
MATCH(W$3,Raw_Fund!$E$1:$AZ$1,0),
_xlpm.val,
INDEX(Raw_Fund!$E:$AZ,_xlpm.rowNo,_xlpm.colNo),
IF(ISNUMBER(_xlpm.val),_xlpm.val*$H18,""))</f>
        <v/>
      </c>
      <c r="X18" s="6" t="str">
        <f>_xlfn.LET(
_xlpm.rowNo, MATCH($C18&amp;"|"&amp;
($F18+X$4),Raw_Fund!$A:$A,0),
_xlpm.colNo,
MATCH(X$3,Raw_Fund!$E$1:$AZ$1,0),
_xlpm.val,
INDEX(Raw_Fund!$E:$AZ,_xlpm.rowNo,_xlpm.colNo),
IF(ISNUMBER(_xlpm.val),_xlpm.val*$H18,""))</f>
        <v/>
      </c>
      <c r="Y18" s="6" t="str">
        <f>_xlfn.LET(
_xlpm.rowNo, MATCH($C18&amp;"|"&amp;
($F18+Y$4),Raw_Fund!$A:$A,0),
_xlpm.colNo,
MATCH(Y$3,Raw_Fund!$E$1:$AZ$1,0),
_xlpm.val,
INDEX(Raw_Fund!$E:$AZ,_xlpm.rowNo,_xlpm.colNo),
IF(ISNUMBER(_xlpm.val),_xlpm.val*$H18,""))</f>
        <v/>
      </c>
      <c r="Z18" s="6" t="e">
        <f>IF($E18&lt;&gt;"Include","",_xlfn.XLOOKUP($C18,Raw_Mkt!$A:$A,Raw_Mkt!$B:$B))</f>
        <v>#N/A</v>
      </c>
    </row>
    <row r="19" spans="1:26" x14ac:dyDescent="0.4">
      <c r="A19" t="str">
        <f>IF(Universe!A19&lt;&gt;"",Universe!A19,"")</f>
        <v>ATYM</v>
      </c>
      <c r="B19" t="str">
        <f>IF(Universe!B19&lt;&gt;"",Universe!B19,"")</f>
        <v>Atalaya Mining</v>
      </c>
      <c r="C19" t="str">
        <f>IF(Universe!C19&lt;&gt;"",Universe!C19,"")</f>
        <v>CY0106002112</v>
      </c>
      <c r="D19" t="str">
        <f>IF(Universe!D19&lt;&gt;"",Universe!D19,"")</f>
        <v>Basic Materials</v>
      </c>
      <c r="E19" t="str">
        <f>Universe!G19</f>
        <v>Include</v>
      </c>
      <c r="F19" t="str">
        <f>IF($E19&lt;&gt;"Include","",_xlfn.LET(_xlpm.latest,_xlfn.MAXIFS(Raw_Fund!$C:$C,Raw_Fund!$B:$B,Data!$C19),IF(_xlpm.latest=0,"",_xlpm.latest)))</f>
        <v/>
      </c>
      <c r="G19" t="str">
        <f>IF($F19="","",INDEX(Raw_Fund!$E:$AZ,MATCH($C19&amp;"|"&amp;$F19,Raw_Fund!$A:$A,0),MATCH(G$3,Raw_Fund!$E$1:$AZ$1,0)))</f>
        <v/>
      </c>
      <c r="H19" t="str">
        <f t="shared" si="0"/>
        <v/>
      </c>
      <c r="I19" s="6" t="str">
        <f>_xlfn.LET(
_xlpm.rowNo, MATCH($C19&amp;"|"&amp;
($F19+I$4),Raw_Fund!$A:$A,0),
_xlpm.colNo,
MATCH(I$3,Raw_Fund!$E$1:$AZ$1,0),
_xlpm.val,
INDEX(Raw_Fund!$E:$AZ,_xlpm.rowNo,_xlpm.colNo),
IF(ISNUMBER(_xlpm.val),_xlpm.val*$H19,""))</f>
        <v/>
      </c>
      <c r="J19" s="6" t="str">
        <f>_xlfn.LET(
_xlpm.rowNo, MATCH($C19&amp;"|"&amp;
($F19+J$4),Raw_Fund!$A:$A,0),
_xlpm.colNo,
MATCH(J$3,Raw_Fund!$E$1:$AZ$1,0),
_xlpm.val,
INDEX(Raw_Fund!$E:$AZ,_xlpm.rowNo,_xlpm.colNo),
IF(ISNUMBER(_xlpm.val),_xlpm.val*$H19,""))</f>
        <v/>
      </c>
      <c r="K19" s="6" t="str">
        <f>_xlfn.LET(
_xlpm.rowNo, MATCH($C19&amp;"|"&amp;
($F19+K$4),Raw_Fund!$A:$A,0),
_xlpm.colNo,
MATCH(K$3,Raw_Fund!$E$1:$AZ$1,0),
_xlpm.val,
INDEX(Raw_Fund!$E:$AZ,_xlpm.rowNo,_xlpm.colNo),
IF(ISNUMBER(_xlpm.val),_xlpm.val*$H19,""))</f>
        <v/>
      </c>
      <c r="L19" s="6" t="str">
        <f>_xlfn.LET(
_xlpm.rowNo, MATCH($C19&amp;"|"&amp;
($F19+L$4),Raw_Fund!$A:$A,0),
_xlpm.colNo,
MATCH(L$3,Raw_Fund!$E$1:$AZ$1,0),
_xlpm.val,
INDEX(Raw_Fund!$E:$AZ,_xlpm.rowNo,_xlpm.colNo),
IF(ISNUMBER(_xlpm.val),_xlpm.val*$H19,""))</f>
        <v/>
      </c>
      <c r="M19" s="6" t="str">
        <f>_xlfn.LET(
_xlpm.rowNo, MATCH($C19&amp;"|"&amp;
($F19+M$4),Raw_Fund!$A:$A,0),
_xlpm.colNo,
MATCH(M$3,Raw_Fund!$E$1:$AZ$1,0),
_xlpm.val,
INDEX(Raw_Fund!$E:$AZ,_xlpm.rowNo,_xlpm.colNo),
IF(ISNUMBER(_xlpm.val),_xlpm.val*$H19,""))</f>
        <v/>
      </c>
      <c r="N19" s="6" t="str">
        <f>_xlfn.LET(
_xlpm.rowNo, MATCH($C19&amp;"|"&amp;
($F19+N$4),Raw_Fund!$A:$A,0),
_xlpm.colNo,
MATCH(N$3,Raw_Fund!$E$1:$AZ$1,0),
_xlpm.val,
INDEX(Raw_Fund!$E:$AZ,_xlpm.rowNo,_xlpm.colNo),
IF(ISNUMBER(_xlpm.val),_xlpm.val*$H19,""))</f>
        <v/>
      </c>
      <c r="O19" s="6" t="str">
        <f>_xlfn.LET(
_xlpm.rowNo, MATCH($C19&amp;"|"&amp;
($F19+O$4),Raw_Fund!$A:$A,0),
_xlpm.colNo,
MATCH(O$3,Raw_Fund!$E$1:$AZ$1,0),
_xlpm.val,
INDEX(Raw_Fund!$E:$AZ,_xlpm.rowNo,_xlpm.colNo),
IF(ISNUMBER(_xlpm.val),_xlpm.val*$H19,""))</f>
        <v/>
      </c>
      <c r="P19" s="6" t="str">
        <f>_xlfn.LET(
_xlpm.rowNo, MATCH($C19&amp;"|"&amp;
($F19+P$4),Raw_Fund!$A:$A,0),
_xlpm.colNo,
MATCH(P$3,Raw_Fund!$E$1:$AZ$1,0),
_xlpm.val,
INDEX(Raw_Fund!$E:$AZ,_xlpm.rowNo,_xlpm.colNo),
IF(ISNUMBER(_xlpm.val),_xlpm.val*$H19,""))</f>
        <v/>
      </c>
      <c r="Q19" s="6" t="str">
        <f>_xlfn.LET(
_xlpm.rowNo, MATCH($C19&amp;"|"&amp;
($F19+Q$4),Raw_Fund!$A:$A,0),
_xlpm.colNo,
MATCH(Q$3,Raw_Fund!$E$1:$AZ$1,0),
_xlpm.val,
INDEX(Raw_Fund!$E:$AZ,_xlpm.rowNo,_xlpm.colNo),
IF(ISNUMBER(_xlpm.val),_xlpm.val*$H19,""))</f>
        <v/>
      </c>
      <c r="R19" s="6" t="str">
        <f>_xlfn.LET(
_xlpm.rowNo, MATCH($C19&amp;"|"&amp;
($F19+R$4),Raw_Fund!$A:$A,0),
_xlpm.colNo,
MATCH(R$3,Raw_Fund!$E$1:$AZ$1,0),
_xlpm.val,
INDEX(Raw_Fund!$E:$AZ,_xlpm.rowNo,_xlpm.colNo),
IF(ISNUMBER(_xlpm.val),_xlpm.val*$H19,""))</f>
        <v/>
      </c>
      <c r="S19" s="6" t="str">
        <f>_xlfn.LET(
_xlpm.rowNo, MATCH($C19&amp;"|"&amp;
($F19+S$4),Raw_Fund!$A:$A,0),
_xlpm.colNo,
MATCH(S$3,Raw_Fund!$E$1:$AZ$1,0),
_xlpm.val,
INDEX(Raw_Fund!$E:$AZ,_xlpm.rowNo,_xlpm.colNo),
IF(ISNUMBER(_xlpm.val),_xlpm.val*$H19,""))</f>
        <v/>
      </c>
      <c r="T19" s="6" t="str">
        <f>_xlfn.LET(
_xlpm.rowNo, MATCH($C19&amp;"|"&amp;
($F19+T$4),Raw_Fund!$A:$A,0),
_xlpm.colNo,
MATCH(T$3,Raw_Fund!$E$1:$AZ$1,0),
_xlpm.val,
INDEX(Raw_Fund!$E:$AZ,_xlpm.rowNo,_xlpm.colNo),
IF(ISNUMBER(_xlpm.val),_xlpm.val*$H19,""))</f>
        <v/>
      </c>
      <c r="U19" s="6" t="str">
        <f>_xlfn.LET(
_xlpm.rowNo, MATCH($C19&amp;"|"&amp;
($F19+U$4),Raw_Fund!$A:$A,0),
_xlpm.colNo,
MATCH(U$3,Raw_Fund!$E$1:$AZ$1,0),
_xlpm.val,
INDEX(Raw_Fund!$E:$AZ,_xlpm.rowNo,_xlpm.colNo),
IF(ISNUMBER(_xlpm.val),_xlpm.val*$H19,""))</f>
        <v/>
      </c>
      <c r="V19" s="6" t="str">
        <f>_xlfn.LET(
_xlpm.rowNo, MATCH($C19&amp;"|"&amp;
($F19+V$4),Raw_Fund!$A:$A,0),
_xlpm.colNo,
MATCH(V$3,Raw_Fund!$E$1:$AZ$1,0),
_xlpm.val,
INDEX(Raw_Fund!$E:$AZ,_xlpm.rowNo,_xlpm.colNo),
IF(ISNUMBER(_xlpm.val),_xlpm.val*$H19,""))</f>
        <v/>
      </c>
      <c r="W19" s="6" t="str">
        <f>_xlfn.LET(
_xlpm.rowNo, MATCH($C19&amp;"|"&amp;
($F19+W$4),Raw_Fund!$A:$A,0),
_xlpm.colNo,
MATCH(W$3,Raw_Fund!$E$1:$AZ$1,0),
_xlpm.val,
INDEX(Raw_Fund!$E:$AZ,_xlpm.rowNo,_xlpm.colNo),
IF(ISNUMBER(_xlpm.val),_xlpm.val*$H19,""))</f>
        <v/>
      </c>
      <c r="X19" s="6" t="str">
        <f>_xlfn.LET(
_xlpm.rowNo, MATCH($C19&amp;"|"&amp;
($F19+X$4),Raw_Fund!$A:$A,0),
_xlpm.colNo,
MATCH(X$3,Raw_Fund!$E$1:$AZ$1,0),
_xlpm.val,
INDEX(Raw_Fund!$E:$AZ,_xlpm.rowNo,_xlpm.colNo),
IF(ISNUMBER(_xlpm.val),_xlpm.val*$H19,""))</f>
        <v/>
      </c>
      <c r="Y19" s="6" t="str">
        <f>_xlfn.LET(
_xlpm.rowNo, MATCH($C19&amp;"|"&amp;
($F19+Y$4),Raw_Fund!$A:$A,0),
_xlpm.colNo,
MATCH(Y$3,Raw_Fund!$E$1:$AZ$1,0),
_xlpm.val,
INDEX(Raw_Fund!$E:$AZ,_xlpm.rowNo,_xlpm.colNo),
IF(ISNUMBER(_xlpm.val),_xlpm.val*$H19,""))</f>
        <v/>
      </c>
      <c r="Z19" s="6" t="e">
        <f>IF($E19&lt;&gt;"Include","",_xlfn.XLOOKUP($C19,Raw_Mkt!$A:$A,Raw_Mkt!$B:$B))</f>
        <v>#N/A</v>
      </c>
    </row>
    <row r="20" spans="1:26" x14ac:dyDescent="0.4">
      <c r="A20" t="str">
        <f>IF(Universe!A20&lt;&gt;"",Universe!A20,"")</f>
        <v>ATG</v>
      </c>
      <c r="B20" t="str">
        <f>IF(Universe!B20&lt;&gt;"",Universe!B20,"")</f>
        <v>Auction Technology Group</v>
      </c>
      <c r="C20" t="str">
        <f>IF(Universe!C20&lt;&gt;"",Universe!C20,"")</f>
        <v>GB00BMVQDZ64</v>
      </c>
      <c r="D20" t="str">
        <f>IF(Universe!D20&lt;&gt;"",Universe!D20,"")</f>
        <v>Technology</v>
      </c>
      <c r="E20" t="str">
        <f>Universe!G20</f>
        <v>Include</v>
      </c>
      <c r="F20" t="str">
        <f>IF($E20&lt;&gt;"Include","",_xlfn.LET(_xlpm.latest,_xlfn.MAXIFS(Raw_Fund!$C:$C,Raw_Fund!$B:$B,Data!$C20),IF(_xlpm.latest=0,"",_xlpm.latest)))</f>
        <v/>
      </c>
      <c r="G20" t="str">
        <f>IF($F20="","",INDEX(Raw_Fund!$E:$AZ,MATCH($C20&amp;"|"&amp;$F20,Raw_Fund!$A:$A,0),MATCH(G$3,Raw_Fund!$E$1:$AZ$1,0)))</f>
        <v/>
      </c>
      <c r="H20" t="str">
        <f t="shared" si="0"/>
        <v/>
      </c>
      <c r="I20" s="6" t="str">
        <f>_xlfn.LET(
_xlpm.rowNo, MATCH($C20&amp;"|"&amp;
($F20+I$4),Raw_Fund!$A:$A,0),
_xlpm.colNo,
MATCH(I$3,Raw_Fund!$E$1:$AZ$1,0),
_xlpm.val,
INDEX(Raw_Fund!$E:$AZ,_xlpm.rowNo,_xlpm.colNo),
IF(ISNUMBER(_xlpm.val),_xlpm.val*$H20,""))</f>
        <v/>
      </c>
      <c r="J20" s="6" t="str">
        <f>_xlfn.LET(
_xlpm.rowNo, MATCH($C20&amp;"|"&amp;
($F20+J$4),Raw_Fund!$A:$A,0),
_xlpm.colNo,
MATCH(J$3,Raw_Fund!$E$1:$AZ$1,0),
_xlpm.val,
INDEX(Raw_Fund!$E:$AZ,_xlpm.rowNo,_xlpm.colNo),
IF(ISNUMBER(_xlpm.val),_xlpm.val*$H20,""))</f>
        <v/>
      </c>
      <c r="K20" s="6" t="str">
        <f>_xlfn.LET(
_xlpm.rowNo, MATCH($C20&amp;"|"&amp;
($F20+K$4),Raw_Fund!$A:$A,0),
_xlpm.colNo,
MATCH(K$3,Raw_Fund!$E$1:$AZ$1,0),
_xlpm.val,
INDEX(Raw_Fund!$E:$AZ,_xlpm.rowNo,_xlpm.colNo),
IF(ISNUMBER(_xlpm.val),_xlpm.val*$H20,""))</f>
        <v/>
      </c>
      <c r="L20" s="6" t="str">
        <f>_xlfn.LET(
_xlpm.rowNo, MATCH($C20&amp;"|"&amp;
($F20+L$4),Raw_Fund!$A:$A,0),
_xlpm.colNo,
MATCH(L$3,Raw_Fund!$E$1:$AZ$1,0),
_xlpm.val,
INDEX(Raw_Fund!$E:$AZ,_xlpm.rowNo,_xlpm.colNo),
IF(ISNUMBER(_xlpm.val),_xlpm.val*$H20,""))</f>
        <v/>
      </c>
      <c r="M20" s="6" t="str">
        <f>_xlfn.LET(
_xlpm.rowNo, MATCH($C20&amp;"|"&amp;
($F20+M$4),Raw_Fund!$A:$A,0),
_xlpm.colNo,
MATCH(M$3,Raw_Fund!$E$1:$AZ$1,0),
_xlpm.val,
INDEX(Raw_Fund!$E:$AZ,_xlpm.rowNo,_xlpm.colNo),
IF(ISNUMBER(_xlpm.val),_xlpm.val*$H20,""))</f>
        <v/>
      </c>
      <c r="N20" s="6" t="str">
        <f>_xlfn.LET(
_xlpm.rowNo, MATCH($C20&amp;"|"&amp;
($F20+N$4),Raw_Fund!$A:$A,0),
_xlpm.colNo,
MATCH(N$3,Raw_Fund!$E$1:$AZ$1,0),
_xlpm.val,
INDEX(Raw_Fund!$E:$AZ,_xlpm.rowNo,_xlpm.colNo),
IF(ISNUMBER(_xlpm.val),_xlpm.val*$H20,""))</f>
        <v/>
      </c>
      <c r="O20" s="6" t="str">
        <f>_xlfn.LET(
_xlpm.rowNo, MATCH($C20&amp;"|"&amp;
($F20+O$4),Raw_Fund!$A:$A,0),
_xlpm.colNo,
MATCH(O$3,Raw_Fund!$E$1:$AZ$1,0),
_xlpm.val,
INDEX(Raw_Fund!$E:$AZ,_xlpm.rowNo,_xlpm.colNo),
IF(ISNUMBER(_xlpm.val),_xlpm.val*$H20,""))</f>
        <v/>
      </c>
      <c r="P20" s="6" t="str">
        <f>_xlfn.LET(
_xlpm.rowNo, MATCH($C20&amp;"|"&amp;
($F20+P$4),Raw_Fund!$A:$A,0),
_xlpm.colNo,
MATCH(P$3,Raw_Fund!$E$1:$AZ$1,0),
_xlpm.val,
INDEX(Raw_Fund!$E:$AZ,_xlpm.rowNo,_xlpm.colNo),
IF(ISNUMBER(_xlpm.val),_xlpm.val*$H20,""))</f>
        <v/>
      </c>
      <c r="Q20" s="6" t="str">
        <f>_xlfn.LET(
_xlpm.rowNo, MATCH($C20&amp;"|"&amp;
($F20+Q$4),Raw_Fund!$A:$A,0),
_xlpm.colNo,
MATCH(Q$3,Raw_Fund!$E$1:$AZ$1,0),
_xlpm.val,
INDEX(Raw_Fund!$E:$AZ,_xlpm.rowNo,_xlpm.colNo),
IF(ISNUMBER(_xlpm.val),_xlpm.val*$H20,""))</f>
        <v/>
      </c>
      <c r="R20" s="6" t="str">
        <f>_xlfn.LET(
_xlpm.rowNo, MATCH($C20&amp;"|"&amp;
($F20+R$4),Raw_Fund!$A:$A,0),
_xlpm.colNo,
MATCH(R$3,Raw_Fund!$E$1:$AZ$1,0),
_xlpm.val,
INDEX(Raw_Fund!$E:$AZ,_xlpm.rowNo,_xlpm.colNo),
IF(ISNUMBER(_xlpm.val),_xlpm.val*$H20,""))</f>
        <v/>
      </c>
      <c r="S20" s="6" t="str">
        <f>_xlfn.LET(
_xlpm.rowNo, MATCH($C20&amp;"|"&amp;
($F20+S$4),Raw_Fund!$A:$A,0),
_xlpm.colNo,
MATCH(S$3,Raw_Fund!$E$1:$AZ$1,0),
_xlpm.val,
INDEX(Raw_Fund!$E:$AZ,_xlpm.rowNo,_xlpm.colNo),
IF(ISNUMBER(_xlpm.val),_xlpm.val*$H20,""))</f>
        <v/>
      </c>
      <c r="T20" s="6" t="str">
        <f>_xlfn.LET(
_xlpm.rowNo, MATCH($C20&amp;"|"&amp;
($F20+T$4),Raw_Fund!$A:$A,0),
_xlpm.colNo,
MATCH(T$3,Raw_Fund!$E$1:$AZ$1,0),
_xlpm.val,
INDEX(Raw_Fund!$E:$AZ,_xlpm.rowNo,_xlpm.colNo),
IF(ISNUMBER(_xlpm.val),_xlpm.val*$H20,""))</f>
        <v/>
      </c>
      <c r="U20" s="6" t="str">
        <f>_xlfn.LET(
_xlpm.rowNo, MATCH($C20&amp;"|"&amp;
($F20+U$4),Raw_Fund!$A:$A,0),
_xlpm.colNo,
MATCH(U$3,Raw_Fund!$E$1:$AZ$1,0),
_xlpm.val,
INDEX(Raw_Fund!$E:$AZ,_xlpm.rowNo,_xlpm.colNo),
IF(ISNUMBER(_xlpm.val),_xlpm.val*$H20,""))</f>
        <v/>
      </c>
      <c r="V20" s="6" t="str">
        <f>_xlfn.LET(
_xlpm.rowNo, MATCH($C20&amp;"|"&amp;
($F20+V$4),Raw_Fund!$A:$A,0),
_xlpm.colNo,
MATCH(V$3,Raw_Fund!$E$1:$AZ$1,0),
_xlpm.val,
INDEX(Raw_Fund!$E:$AZ,_xlpm.rowNo,_xlpm.colNo),
IF(ISNUMBER(_xlpm.val),_xlpm.val*$H20,""))</f>
        <v/>
      </c>
      <c r="W20" s="6" t="str">
        <f>_xlfn.LET(
_xlpm.rowNo, MATCH($C20&amp;"|"&amp;
($F20+W$4),Raw_Fund!$A:$A,0),
_xlpm.colNo,
MATCH(W$3,Raw_Fund!$E$1:$AZ$1,0),
_xlpm.val,
INDEX(Raw_Fund!$E:$AZ,_xlpm.rowNo,_xlpm.colNo),
IF(ISNUMBER(_xlpm.val),_xlpm.val*$H20,""))</f>
        <v/>
      </c>
      <c r="X20" s="6" t="str">
        <f>_xlfn.LET(
_xlpm.rowNo, MATCH($C20&amp;"|"&amp;
($F20+X$4),Raw_Fund!$A:$A,0),
_xlpm.colNo,
MATCH(X$3,Raw_Fund!$E$1:$AZ$1,0),
_xlpm.val,
INDEX(Raw_Fund!$E:$AZ,_xlpm.rowNo,_xlpm.colNo),
IF(ISNUMBER(_xlpm.val),_xlpm.val*$H20,""))</f>
        <v/>
      </c>
      <c r="Y20" s="6" t="str">
        <f>_xlfn.LET(
_xlpm.rowNo, MATCH($C20&amp;"|"&amp;
($F20+Y$4),Raw_Fund!$A:$A,0),
_xlpm.colNo,
MATCH(Y$3,Raw_Fund!$E$1:$AZ$1,0),
_xlpm.val,
INDEX(Raw_Fund!$E:$AZ,_xlpm.rowNo,_xlpm.colNo),
IF(ISNUMBER(_xlpm.val),_xlpm.val*$H20,""))</f>
        <v/>
      </c>
      <c r="Z20" s="6" t="e">
        <f>IF($E20&lt;&gt;"Include","",_xlfn.XLOOKUP($C20,Raw_Mkt!$A:$A,Raw_Mkt!$B:$B))</f>
        <v>#N/A</v>
      </c>
    </row>
    <row r="21" spans="1:26" x14ac:dyDescent="0.4">
      <c r="A21" t="str">
        <f>IF(Universe!A21&lt;&gt;"",Universe!A21,"")</f>
        <v>AGT</v>
      </c>
      <c r="B21" t="str">
        <f>IF(Universe!B21&lt;&gt;"",Universe!B21,"")</f>
        <v>AVI Global Trust</v>
      </c>
      <c r="C21" t="str">
        <f>IF(Universe!C21&lt;&gt;"",Universe!C21,"")</f>
        <v>GB00BLH3CY60</v>
      </c>
      <c r="D21" t="str">
        <f>IF(Universe!D21&lt;&gt;"",Universe!D21,"")</f>
        <v>Financials</v>
      </c>
      <c r="E21" t="str">
        <f>Universe!G21</f>
        <v>Exclude</v>
      </c>
      <c r="F21" t="str">
        <f>IF($E21&lt;&gt;"Include","",_xlfn.LET(_xlpm.latest,_xlfn.MAXIFS(Raw_Fund!$C:$C,Raw_Fund!$B:$B,Data!$C21),IF(_xlpm.latest=0,"",_xlpm.latest)))</f>
        <v/>
      </c>
      <c r="G21" t="str">
        <f>IF($F21="","",INDEX(Raw_Fund!$E:$AZ,MATCH($C21&amp;"|"&amp;$F21,Raw_Fund!$A:$A,0),MATCH(G$3,Raw_Fund!$E$1:$AZ$1,0)))</f>
        <v/>
      </c>
      <c r="H21" t="str">
        <f t="shared" si="0"/>
        <v/>
      </c>
      <c r="I21" s="6" t="str">
        <f>_xlfn.LET(
_xlpm.rowNo, MATCH($C21&amp;"|"&amp;
($F21+I$4),Raw_Fund!$A:$A,0),
_xlpm.colNo,
MATCH(I$3,Raw_Fund!$E$1:$AZ$1,0),
_xlpm.val,
INDEX(Raw_Fund!$E:$AZ,_xlpm.rowNo,_xlpm.colNo),
IF(ISNUMBER(_xlpm.val),_xlpm.val*$H21,""))</f>
        <v/>
      </c>
      <c r="J21" s="6" t="str">
        <f>_xlfn.LET(
_xlpm.rowNo, MATCH($C21&amp;"|"&amp;
($F21+J$4),Raw_Fund!$A:$A,0),
_xlpm.colNo,
MATCH(J$3,Raw_Fund!$E$1:$AZ$1,0),
_xlpm.val,
INDEX(Raw_Fund!$E:$AZ,_xlpm.rowNo,_xlpm.colNo),
IF(ISNUMBER(_xlpm.val),_xlpm.val*$H21,""))</f>
        <v/>
      </c>
      <c r="K21" s="6" t="str">
        <f>_xlfn.LET(
_xlpm.rowNo, MATCH($C21&amp;"|"&amp;
($F21+K$4),Raw_Fund!$A:$A,0),
_xlpm.colNo,
MATCH(K$3,Raw_Fund!$E$1:$AZ$1,0),
_xlpm.val,
INDEX(Raw_Fund!$E:$AZ,_xlpm.rowNo,_xlpm.colNo),
IF(ISNUMBER(_xlpm.val),_xlpm.val*$H21,""))</f>
        <v/>
      </c>
      <c r="L21" s="6" t="str">
        <f>_xlfn.LET(
_xlpm.rowNo, MATCH($C21&amp;"|"&amp;
($F21+L$4),Raw_Fund!$A:$A,0),
_xlpm.colNo,
MATCH(L$3,Raw_Fund!$E$1:$AZ$1,0),
_xlpm.val,
INDEX(Raw_Fund!$E:$AZ,_xlpm.rowNo,_xlpm.colNo),
IF(ISNUMBER(_xlpm.val),_xlpm.val*$H21,""))</f>
        <v/>
      </c>
      <c r="M21" s="6" t="str">
        <f>_xlfn.LET(
_xlpm.rowNo, MATCH($C21&amp;"|"&amp;
($F21+M$4),Raw_Fund!$A:$A,0),
_xlpm.colNo,
MATCH(M$3,Raw_Fund!$E$1:$AZ$1,0),
_xlpm.val,
INDEX(Raw_Fund!$E:$AZ,_xlpm.rowNo,_xlpm.colNo),
IF(ISNUMBER(_xlpm.val),_xlpm.val*$H21,""))</f>
        <v/>
      </c>
      <c r="N21" s="6" t="str">
        <f>_xlfn.LET(
_xlpm.rowNo, MATCH($C21&amp;"|"&amp;
($F21+N$4),Raw_Fund!$A:$A,0),
_xlpm.colNo,
MATCH(N$3,Raw_Fund!$E$1:$AZ$1,0),
_xlpm.val,
INDEX(Raw_Fund!$E:$AZ,_xlpm.rowNo,_xlpm.colNo),
IF(ISNUMBER(_xlpm.val),_xlpm.val*$H21,""))</f>
        <v/>
      </c>
      <c r="O21" s="6" t="str">
        <f>_xlfn.LET(
_xlpm.rowNo, MATCH($C21&amp;"|"&amp;
($F21+O$4),Raw_Fund!$A:$A,0),
_xlpm.colNo,
MATCH(O$3,Raw_Fund!$E$1:$AZ$1,0),
_xlpm.val,
INDEX(Raw_Fund!$E:$AZ,_xlpm.rowNo,_xlpm.colNo),
IF(ISNUMBER(_xlpm.val),_xlpm.val*$H21,""))</f>
        <v/>
      </c>
      <c r="P21" s="6" t="str">
        <f>_xlfn.LET(
_xlpm.rowNo, MATCH($C21&amp;"|"&amp;
($F21+P$4),Raw_Fund!$A:$A,0),
_xlpm.colNo,
MATCH(P$3,Raw_Fund!$E$1:$AZ$1,0),
_xlpm.val,
INDEX(Raw_Fund!$E:$AZ,_xlpm.rowNo,_xlpm.colNo),
IF(ISNUMBER(_xlpm.val),_xlpm.val*$H21,""))</f>
        <v/>
      </c>
      <c r="Q21" s="6" t="str">
        <f>_xlfn.LET(
_xlpm.rowNo, MATCH($C21&amp;"|"&amp;
($F21+Q$4),Raw_Fund!$A:$A,0),
_xlpm.colNo,
MATCH(Q$3,Raw_Fund!$E$1:$AZ$1,0),
_xlpm.val,
INDEX(Raw_Fund!$E:$AZ,_xlpm.rowNo,_xlpm.colNo),
IF(ISNUMBER(_xlpm.val),_xlpm.val*$H21,""))</f>
        <v/>
      </c>
      <c r="R21" s="6" t="str">
        <f>_xlfn.LET(
_xlpm.rowNo, MATCH($C21&amp;"|"&amp;
($F21+R$4),Raw_Fund!$A:$A,0),
_xlpm.colNo,
MATCH(R$3,Raw_Fund!$E$1:$AZ$1,0),
_xlpm.val,
INDEX(Raw_Fund!$E:$AZ,_xlpm.rowNo,_xlpm.colNo),
IF(ISNUMBER(_xlpm.val),_xlpm.val*$H21,""))</f>
        <v/>
      </c>
      <c r="S21" s="6" t="str">
        <f>_xlfn.LET(
_xlpm.rowNo, MATCH($C21&amp;"|"&amp;
($F21+S$4),Raw_Fund!$A:$A,0),
_xlpm.colNo,
MATCH(S$3,Raw_Fund!$E$1:$AZ$1,0),
_xlpm.val,
INDEX(Raw_Fund!$E:$AZ,_xlpm.rowNo,_xlpm.colNo),
IF(ISNUMBER(_xlpm.val),_xlpm.val*$H21,""))</f>
        <v/>
      </c>
      <c r="T21" s="6" t="str">
        <f>_xlfn.LET(
_xlpm.rowNo, MATCH($C21&amp;"|"&amp;
($F21+T$4),Raw_Fund!$A:$A,0),
_xlpm.colNo,
MATCH(T$3,Raw_Fund!$E$1:$AZ$1,0),
_xlpm.val,
INDEX(Raw_Fund!$E:$AZ,_xlpm.rowNo,_xlpm.colNo),
IF(ISNUMBER(_xlpm.val),_xlpm.val*$H21,""))</f>
        <v/>
      </c>
      <c r="U21" s="6" t="str">
        <f>_xlfn.LET(
_xlpm.rowNo, MATCH($C21&amp;"|"&amp;
($F21+U$4),Raw_Fund!$A:$A,0),
_xlpm.colNo,
MATCH(U$3,Raw_Fund!$E$1:$AZ$1,0),
_xlpm.val,
INDEX(Raw_Fund!$E:$AZ,_xlpm.rowNo,_xlpm.colNo),
IF(ISNUMBER(_xlpm.val),_xlpm.val*$H21,""))</f>
        <v/>
      </c>
      <c r="V21" s="6" t="str">
        <f>_xlfn.LET(
_xlpm.rowNo, MATCH($C21&amp;"|"&amp;
($F21+V$4),Raw_Fund!$A:$A,0),
_xlpm.colNo,
MATCH(V$3,Raw_Fund!$E$1:$AZ$1,0),
_xlpm.val,
INDEX(Raw_Fund!$E:$AZ,_xlpm.rowNo,_xlpm.colNo),
IF(ISNUMBER(_xlpm.val),_xlpm.val*$H21,""))</f>
        <v/>
      </c>
      <c r="W21" s="6" t="str">
        <f>_xlfn.LET(
_xlpm.rowNo, MATCH($C21&amp;"|"&amp;
($F21+W$4),Raw_Fund!$A:$A,0),
_xlpm.colNo,
MATCH(W$3,Raw_Fund!$E$1:$AZ$1,0),
_xlpm.val,
INDEX(Raw_Fund!$E:$AZ,_xlpm.rowNo,_xlpm.colNo),
IF(ISNUMBER(_xlpm.val),_xlpm.val*$H21,""))</f>
        <v/>
      </c>
      <c r="X21" s="6" t="str">
        <f>_xlfn.LET(
_xlpm.rowNo, MATCH($C21&amp;"|"&amp;
($F21+X$4),Raw_Fund!$A:$A,0),
_xlpm.colNo,
MATCH(X$3,Raw_Fund!$E$1:$AZ$1,0),
_xlpm.val,
INDEX(Raw_Fund!$E:$AZ,_xlpm.rowNo,_xlpm.colNo),
IF(ISNUMBER(_xlpm.val),_xlpm.val*$H21,""))</f>
        <v/>
      </c>
      <c r="Y21" s="6" t="str">
        <f>_xlfn.LET(
_xlpm.rowNo, MATCH($C21&amp;"|"&amp;
($F21+Y$4),Raw_Fund!$A:$A,0),
_xlpm.colNo,
MATCH(Y$3,Raw_Fund!$E$1:$AZ$1,0),
_xlpm.val,
INDEX(Raw_Fund!$E:$AZ,_xlpm.rowNo,_xlpm.colNo),
IF(ISNUMBER(_xlpm.val),_xlpm.val*$H21,""))</f>
        <v/>
      </c>
      <c r="Z21" s="6" t="str">
        <f>IF($E21&lt;&gt;"Include","",_xlfn.XLOOKUP($C21,Raw_Mkt!$A:$A,Raw_Mkt!$B:$B))</f>
        <v/>
      </c>
    </row>
    <row r="22" spans="1:26" x14ac:dyDescent="0.4">
      <c r="A22" t="str">
        <f>IF(Universe!A22&lt;&gt;"",Universe!A22,"")</f>
        <v>AVON</v>
      </c>
      <c r="B22" t="str">
        <f>IF(Universe!B22&lt;&gt;"",Universe!B22,"")</f>
        <v>Avon Technologies</v>
      </c>
      <c r="C22" t="str">
        <f>IF(Universe!C22&lt;&gt;"",Universe!C22,"")</f>
        <v>GB0000667013</v>
      </c>
      <c r="D22" t="str">
        <f>IF(Universe!D22&lt;&gt;"",Universe!D22,"")</f>
        <v>Industrials</v>
      </c>
      <c r="E22" t="str">
        <f>Universe!G22</f>
        <v>Include</v>
      </c>
      <c r="F22" t="str">
        <f>IF($E22&lt;&gt;"Include","",_xlfn.LET(_xlpm.latest,_xlfn.MAXIFS(Raw_Fund!$C:$C,Raw_Fund!$B:$B,Data!$C22),IF(_xlpm.latest=0,"",_xlpm.latest)))</f>
        <v/>
      </c>
      <c r="G22" t="str">
        <f>IF($F22="","",INDEX(Raw_Fund!$E:$AZ,MATCH($C22&amp;"|"&amp;$F22,Raw_Fund!$A:$A,0),MATCH(G$3,Raw_Fund!$E$1:$AZ$1,0)))</f>
        <v/>
      </c>
      <c r="H22" t="str">
        <f t="shared" si="0"/>
        <v/>
      </c>
      <c r="I22" s="6" t="str">
        <f>_xlfn.LET(
_xlpm.rowNo, MATCH($C22&amp;"|"&amp;
($F22+I$4),Raw_Fund!$A:$A,0),
_xlpm.colNo,
MATCH(I$3,Raw_Fund!$E$1:$AZ$1,0),
_xlpm.val,
INDEX(Raw_Fund!$E:$AZ,_xlpm.rowNo,_xlpm.colNo),
IF(ISNUMBER(_xlpm.val),_xlpm.val*$H22,""))</f>
        <v/>
      </c>
      <c r="J22" s="6" t="str">
        <f>_xlfn.LET(
_xlpm.rowNo, MATCH($C22&amp;"|"&amp;
($F22+J$4),Raw_Fund!$A:$A,0),
_xlpm.colNo,
MATCH(J$3,Raw_Fund!$E$1:$AZ$1,0),
_xlpm.val,
INDEX(Raw_Fund!$E:$AZ,_xlpm.rowNo,_xlpm.colNo),
IF(ISNUMBER(_xlpm.val),_xlpm.val*$H22,""))</f>
        <v/>
      </c>
      <c r="K22" s="6" t="str">
        <f>_xlfn.LET(
_xlpm.rowNo, MATCH($C22&amp;"|"&amp;
($F22+K$4),Raw_Fund!$A:$A,0),
_xlpm.colNo,
MATCH(K$3,Raw_Fund!$E$1:$AZ$1,0),
_xlpm.val,
INDEX(Raw_Fund!$E:$AZ,_xlpm.rowNo,_xlpm.colNo),
IF(ISNUMBER(_xlpm.val),_xlpm.val*$H22,""))</f>
        <v/>
      </c>
      <c r="L22" s="6" t="str">
        <f>_xlfn.LET(
_xlpm.rowNo, MATCH($C22&amp;"|"&amp;
($F22+L$4),Raw_Fund!$A:$A,0),
_xlpm.colNo,
MATCH(L$3,Raw_Fund!$E$1:$AZ$1,0),
_xlpm.val,
INDEX(Raw_Fund!$E:$AZ,_xlpm.rowNo,_xlpm.colNo),
IF(ISNUMBER(_xlpm.val),_xlpm.val*$H22,""))</f>
        <v/>
      </c>
      <c r="M22" s="6" t="str">
        <f>_xlfn.LET(
_xlpm.rowNo, MATCH($C22&amp;"|"&amp;
($F22+M$4),Raw_Fund!$A:$A,0),
_xlpm.colNo,
MATCH(M$3,Raw_Fund!$E$1:$AZ$1,0),
_xlpm.val,
INDEX(Raw_Fund!$E:$AZ,_xlpm.rowNo,_xlpm.colNo),
IF(ISNUMBER(_xlpm.val),_xlpm.val*$H22,""))</f>
        <v/>
      </c>
      <c r="N22" s="6" t="str">
        <f>_xlfn.LET(
_xlpm.rowNo, MATCH($C22&amp;"|"&amp;
($F22+N$4),Raw_Fund!$A:$A,0),
_xlpm.colNo,
MATCH(N$3,Raw_Fund!$E$1:$AZ$1,0),
_xlpm.val,
INDEX(Raw_Fund!$E:$AZ,_xlpm.rowNo,_xlpm.colNo),
IF(ISNUMBER(_xlpm.val),_xlpm.val*$H22,""))</f>
        <v/>
      </c>
      <c r="O22" s="6" t="str">
        <f>_xlfn.LET(
_xlpm.rowNo, MATCH($C22&amp;"|"&amp;
($F22+O$4),Raw_Fund!$A:$A,0),
_xlpm.colNo,
MATCH(O$3,Raw_Fund!$E$1:$AZ$1,0),
_xlpm.val,
INDEX(Raw_Fund!$E:$AZ,_xlpm.rowNo,_xlpm.colNo),
IF(ISNUMBER(_xlpm.val),_xlpm.val*$H22,""))</f>
        <v/>
      </c>
      <c r="P22" s="6" t="str">
        <f>_xlfn.LET(
_xlpm.rowNo, MATCH($C22&amp;"|"&amp;
($F22+P$4),Raw_Fund!$A:$A,0),
_xlpm.colNo,
MATCH(P$3,Raw_Fund!$E$1:$AZ$1,0),
_xlpm.val,
INDEX(Raw_Fund!$E:$AZ,_xlpm.rowNo,_xlpm.colNo),
IF(ISNUMBER(_xlpm.val),_xlpm.val*$H22,""))</f>
        <v/>
      </c>
      <c r="Q22" s="6" t="str">
        <f>_xlfn.LET(
_xlpm.rowNo, MATCH($C22&amp;"|"&amp;
($F22+Q$4),Raw_Fund!$A:$A,0),
_xlpm.colNo,
MATCH(Q$3,Raw_Fund!$E$1:$AZ$1,0),
_xlpm.val,
INDEX(Raw_Fund!$E:$AZ,_xlpm.rowNo,_xlpm.colNo),
IF(ISNUMBER(_xlpm.val),_xlpm.val*$H22,""))</f>
        <v/>
      </c>
      <c r="R22" s="6" t="str">
        <f>_xlfn.LET(
_xlpm.rowNo, MATCH($C22&amp;"|"&amp;
($F22+R$4),Raw_Fund!$A:$A,0),
_xlpm.colNo,
MATCH(R$3,Raw_Fund!$E$1:$AZ$1,0),
_xlpm.val,
INDEX(Raw_Fund!$E:$AZ,_xlpm.rowNo,_xlpm.colNo),
IF(ISNUMBER(_xlpm.val),_xlpm.val*$H22,""))</f>
        <v/>
      </c>
      <c r="S22" s="6" t="str">
        <f>_xlfn.LET(
_xlpm.rowNo, MATCH($C22&amp;"|"&amp;
($F22+S$4),Raw_Fund!$A:$A,0),
_xlpm.colNo,
MATCH(S$3,Raw_Fund!$E$1:$AZ$1,0),
_xlpm.val,
INDEX(Raw_Fund!$E:$AZ,_xlpm.rowNo,_xlpm.colNo),
IF(ISNUMBER(_xlpm.val),_xlpm.val*$H22,""))</f>
        <v/>
      </c>
      <c r="T22" s="6" t="str">
        <f>_xlfn.LET(
_xlpm.rowNo, MATCH($C22&amp;"|"&amp;
($F22+T$4),Raw_Fund!$A:$A,0),
_xlpm.colNo,
MATCH(T$3,Raw_Fund!$E$1:$AZ$1,0),
_xlpm.val,
INDEX(Raw_Fund!$E:$AZ,_xlpm.rowNo,_xlpm.colNo),
IF(ISNUMBER(_xlpm.val),_xlpm.val*$H22,""))</f>
        <v/>
      </c>
      <c r="U22" s="6" t="str">
        <f>_xlfn.LET(
_xlpm.rowNo, MATCH($C22&amp;"|"&amp;
($F22+U$4),Raw_Fund!$A:$A,0),
_xlpm.colNo,
MATCH(U$3,Raw_Fund!$E$1:$AZ$1,0),
_xlpm.val,
INDEX(Raw_Fund!$E:$AZ,_xlpm.rowNo,_xlpm.colNo),
IF(ISNUMBER(_xlpm.val),_xlpm.val*$H22,""))</f>
        <v/>
      </c>
      <c r="V22" s="6" t="str">
        <f>_xlfn.LET(
_xlpm.rowNo, MATCH($C22&amp;"|"&amp;
($F22+V$4),Raw_Fund!$A:$A,0),
_xlpm.colNo,
MATCH(V$3,Raw_Fund!$E$1:$AZ$1,0),
_xlpm.val,
INDEX(Raw_Fund!$E:$AZ,_xlpm.rowNo,_xlpm.colNo),
IF(ISNUMBER(_xlpm.val),_xlpm.val*$H22,""))</f>
        <v/>
      </c>
      <c r="W22" s="6" t="str">
        <f>_xlfn.LET(
_xlpm.rowNo, MATCH($C22&amp;"|"&amp;
($F22+W$4),Raw_Fund!$A:$A,0),
_xlpm.colNo,
MATCH(W$3,Raw_Fund!$E$1:$AZ$1,0),
_xlpm.val,
INDEX(Raw_Fund!$E:$AZ,_xlpm.rowNo,_xlpm.colNo),
IF(ISNUMBER(_xlpm.val),_xlpm.val*$H22,""))</f>
        <v/>
      </c>
      <c r="X22" s="6" t="str">
        <f>_xlfn.LET(
_xlpm.rowNo, MATCH($C22&amp;"|"&amp;
($F22+X$4),Raw_Fund!$A:$A,0),
_xlpm.colNo,
MATCH(X$3,Raw_Fund!$E$1:$AZ$1,0),
_xlpm.val,
INDEX(Raw_Fund!$E:$AZ,_xlpm.rowNo,_xlpm.colNo),
IF(ISNUMBER(_xlpm.val),_xlpm.val*$H22,""))</f>
        <v/>
      </c>
      <c r="Y22" s="6" t="str">
        <f>_xlfn.LET(
_xlpm.rowNo, MATCH($C22&amp;"|"&amp;
($F22+Y$4),Raw_Fund!$A:$A,0),
_xlpm.colNo,
MATCH(Y$3,Raw_Fund!$E$1:$AZ$1,0),
_xlpm.val,
INDEX(Raw_Fund!$E:$AZ,_xlpm.rowNo,_xlpm.colNo),
IF(ISNUMBER(_xlpm.val),_xlpm.val*$H22,""))</f>
        <v/>
      </c>
      <c r="Z22" s="6" t="e">
        <f>IF($E22&lt;&gt;"Include","",_xlfn.XLOOKUP($C22,Raw_Mkt!$A:$A,Raw_Mkt!$B:$B))</f>
        <v>#N/A</v>
      </c>
    </row>
    <row r="23" spans="1:26" x14ac:dyDescent="0.4">
      <c r="A23" t="str">
        <f>IF(Universe!A23&lt;&gt;"",Universe!A23,"")</f>
        <v>BME</v>
      </c>
      <c r="B23" t="str">
        <f>IF(Universe!B23&lt;&gt;"",Universe!B23,"")</f>
        <v>B&amp;M</v>
      </c>
      <c r="C23" t="str">
        <f>IF(Universe!C23&lt;&gt;"",Universe!C23,"")</f>
        <v>JE00BVSYJW51</v>
      </c>
      <c r="D23" t="str">
        <f>IF(Universe!D23&lt;&gt;"",Universe!D23,"")</f>
        <v>Consumer Discretionary</v>
      </c>
      <c r="E23" t="str">
        <f>Universe!G23</f>
        <v>Include</v>
      </c>
      <c r="F23" t="str">
        <f>IF($E23&lt;&gt;"Include","",_xlfn.LET(_xlpm.latest,_xlfn.MAXIFS(Raw_Fund!$C:$C,Raw_Fund!$B:$B,Data!$C23),IF(_xlpm.latest=0,"",_xlpm.latest)))</f>
        <v/>
      </c>
      <c r="G23" t="str">
        <f>IF($F23="","",INDEX(Raw_Fund!$E:$AZ,MATCH($C23&amp;"|"&amp;$F23,Raw_Fund!$A:$A,0),MATCH(G$3,Raw_Fund!$E$1:$AZ$1,0)))</f>
        <v/>
      </c>
      <c r="H23" t="str">
        <f t="shared" si="0"/>
        <v/>
      </c>
      <c r="I23" s="6" t="str">
        <f>_xlfn.LET(
_xlpm.rowNo, MATCH($C23&amp;"|"&amp;
($F23+I$4),Raw_Fund!$A:$A,0),
_xlpm.colNo,
MATCH(I$3,Raw_Fund!$E$1:$AZ$1,0),
_xlpm.val,
INDEX(Raw_Fund!$E:$AZ,_xlpm.rowNo,_xlpm.colNo),
IF(ISNUMBER(_xlpm.val),_xlpm.val*$H23,""))</f>
        <v/>
      </c>
      <c r="J23" s="6" t="str">
        <f>_xlfn.LET(
_xlpm.rowNo, MATCH($C23&amp;"|"&amp;
($F23+J$4),Raw_Fund!$A:$A,0),
_xlpm.colNo,
MATCH(J$3,Raw_Fund!$E$1:$AZ$1,0),
_xlpm.val,
INDEX(Raw_Fund!$E:$AZ,_xlpm.rowNo,_xlpm.colNo),
IF(ISNUMBER(_xlpm.val),_xlpm.val*$H23,""))</f>
        <v/>
      </c>
      <c r="K23" s="6" t="str">
        <f>_xlfn.LET(
_xlpm.rowNo, MATCH($C23&amp;"|"&amp;
($F23+K$4),Raw_Fund!$A:$A,0),
_xlpm.colNo,
MATCH(K$3,Raw_Fund!$E$1:$AZ$1,0),
_xlpm.val,
INDEX(Raw_Fund!$E:$AZ,_xlpm.rowNo,_xlpm.colNo),
IF(ISNUMBER(_xlpm.val),_xlpm.val*$H23,""))</f>
        <v/>
      </c>
      <c r="L23" s="6" t="str">
        <f>_xlfn.LET(
_xlpm.rowNo, MATCH($C23&amp;"|"&amp;
($F23+L$4),Raw_Fund!$A:$A,0),
_xlpm.colNo,
MATCH(L$3,Raw_Fund!$E$1:$AZ$1,0),
_xlpm.val,
INDEX(Raw_Fund!$E:$AZ,_xlpm.rowNo,_xlpm.colNo),
IF(ISNUMBER(_xlpm.val),_xlpm.val*$H23,""))</f>
        <v/>
      </c>
      <c r="M23" s="6" t="str">
        <f>_xlfn.LET(
_xlpm.rowNo, MATCH($C23&amp;"|"&amp;
($F23+M$4),Raw_Fund!$A:$A,0),
_xlpm.colNo,
MATCH(M$3,Raw_Fund!$E$1:$AZ$1,0),
_xlpm.val,
INDEX(Raw_Fund!$E:$AZ,_xlpm.rowNo,_xlpm.colNo),
IF(ISNUMBER(_xlpm.val),_xlpm.val*$H23,""))</f>
        <v/>
      </c>
      <c r="N23" s="6" t="str">
        <f>_xlfn.LET(
_xlpm.rowNo, MATCH($C23&amp;"|"&amp;
($F23+N$4),Raw_Fund!$A:$A,0),
_xlpm.colNo,
MATCH(N$3,Raw_Fund!$E$1:$AZ$1,0),
_xlpm.val,
INDEX(Raw_Fund!$E:$AZ,_xlpm.rowNo,_xlpm.colNo),
IF(ISNUMBER(_xlpm.val),_xlpm.val*$H23,""))</f>
        <v/>
      </c>
      <c r="O23" s="6" t="str">
        <f>_xlfn.LET(
_xlpm.rowNo, MATCH($C23&amp;"|"&amp;
($F23+O$4),Raw_Fund!$A:$A,0),
_xlpm.colNo,
MATCH(O$3,Raw_Fund!$E$1:$AZ$1,0),
_xlpm.val,
INDEX(Raw_Fund!$E:$AZ,_xlpm.rowNo,_xlpm.colNo),
IF(ISNUMBER(_xlpm.val),_xlpm.val*$H23,""))</f>
        <v/>
      </c>
      <c r="P23" s="6" t="str">
        <f>_xlfn.LET(
_xlpm.rowNo, MATCH($C23&amp;"|"&amp;
($F23+P$4),Raw_Fund!$A:$A,0),
_xlpm.colNo,
MATCH(P$3,Raw_Fund!$E$1:$AZ$1,0),
_xlpm.val,
INDEX(Raw_Fund!$E:$AZ,_xlpm.rowNo,_xlpm.colNo),
IF(ISNUMBER(_xlpm.val),_xlpm.val*$H23,""))</f>
        <v/>
      </c>
      <c r="Q23" s="6" t="str">
        <f>_xlfn.LET(
_xlpm.rowNo, MATCH($C23&amp;"|"&amp;
($F23+Q$4),Raw_Fund!$A:$A,0),
_xlpm.colNo,
MATCH(Q$3,Raw_Fund!$E$1:$AZ$1,0),
_xlpm.val,
INDEX(Raw_Fund!$E:$AZ,_xlpm.rowNo,_xlpm.colNo),
IF(ISNUMBER(_xlpm.val),_xlpm.val*$H23,""))</f>
        <v/>
      </c>
      <c r="R23" s="6" t="str">
        <f>_xlfn.LET(
_xlpm.rowNo, MATCH($C23&amp;"|"&amp;
($F23+R$4),Raw_Fund!$A:$A,0),
_xlpm.colNo,
MATCH(R$3,Raw_Fund!$E$1:$AZ$1,0),
_xlpm.val,
INDEX(Raw_Fund!$E:$AZ,_xlpm.rowNo,_xlpm.colNo),
IF(ISNUMBER(_xlpm.val),_xlpm.val*$H23,""))</f>
        <v/>
      </c>
      <c r="S23" s="6" t="str">
        <f>_xlfn.LET(
_xlpm.rowNo, MATCH($C23&amp;"|"&amp;
($F23+S$4),Raw_Fund!$A:$A,0),
_xlpm.colNo,
MATCH(S$3,Raw_Fund!$E$1:$AZ$1,0),
_xlpm.val,
INDEX(Raw_Fund!$E:$AZ,_xlpm.rowNo,_xlpm.colNo),
IF(ISNUMBER(_xlpm.val),_xlpm.val*$H23,""))</f>
        <v/>
      </c>
      <c r="T23" s="6" t="str">
        <f>_xlfn.LET(
_xlpm.rowNo, MATCH($C23&amp;"|"&amp;
($F23+T$4),Raw_Fund!$A:$A,0),
_xlpm.colNo,
MATCH(T$3,Raw_Fund!$E$1:$AZ$1,0),
_xlpm.val,
INDEX(Raw_Fund!$E:$AZ,_xlpm.rowNo,_xlpm.colNo),
IF(ISNUMBER(_xlpm.val),_xlpm.val*$H23,""))</f>
        <v/>
      </c>
      <c r="U23" s="6" t="str">
        <f>_xlfn.LET(
_xlpm.rowNo, MATCH($C23&amp;"|"&amp;
($F23+U$4),Raw_Fund!$A:$A,0),
_xlpm.colNo,
MATCH(U$3,Raw_Fund!$E$1:$AZ$1,0),
_xlpm.val,
INDEX(Raw_Fund!$E:$AZ,_xlpm.rowNo,_xlpm.colNo),
IF(ISNUMBER(_xlpm.val),_xlpm.val*$H23,""))</f>
        <v/>
      </c>
      <c r="V23" s="6" t="str">
        <f>_xlfn.LET(
_xlpm.rowNo, MATCH($C23&amp;"|"&amp;
($F23+V$4),Raw_Fund!$A:$A,0),
_xlpm.colNo,
MATCH(V$3,Raw_Fund!$E$1:$AZ$1,0),
_xlpm.val,
INDEX(Raw_Fund!$E:$AZ,_xlpm.rowNo,_xlpm.colNo),
IF(ISNUMBER(_xlpm.val),_xlpm.val*$H23,""))</f>
        <v/>
      </c>
      <c r="W23" s="6" t="str">
        <f>_xlfn.LET(
_xlpm.rowNo, MATCH($C23&amp;"|"&amp;
($F23+W$4),Raw_Fund!$A:$A,0),
_xlpm.colNo,
MATCH(W$3,Raw_Fund!$E$1:$AZ$1,0),
_xlpm.val,
INDEX(Raw_Fund!$E:$AZ,_xlpm.rowNo,_xlpm.colNo),
IF(ISNUMBER(_xlpm.val),_xlpm.val*$H23,""))</f>
        <v/>
      </c>
      <c r="X23" s="6" t="str">
        <f>_xlfn.LET(
_xlpm.rowNo, MATCH($C23&amp;"|"&amp;
($F23+X$4),Raw_Fund!$A:$A,0),
_xlpm.colNo,
MATCH(X$3,Raw_Fund!$E$1:$AZ$1,0),
_xlpm.val,
INDEX(Raw_Fund!$E:$AZ,_xlpm.rowNo,_xlpm.colNo),
IF(ISNUMBER(_xlpm.val),_xlpm.val*$H23,""))</f>
        <v/>
      </c>
      <c r="Y23" s="6" t="str">
        <f>_xlfn.LET(
_xlpm.rowNo, MATCH($C23&amp;"|"&amp;
($F23+Y$4),Raw_Fund!$A:$A,0),
_xlpm.colNo,
MATCH(Y$3,Raw_Fund!$E$1:$AZ$1,0),
_xlpm.val,
INDEX(Raw_Fund!$E:$AZ,_xlpm.rowNo,_xlpm.colNo),
IF(ISNUMBER(_xlpm.val),_xlpm.val*$H23,""))</f>
        <v/>
      </c>
      <c r="Z23" s="6" t="e">
        <f>IF($E23&lt;&gt;"Include","",_xlfn.XLOOKUP($C23,Raw_Mkt!$A:$A,Raw_Mkt!$B:$B))</f>
        <v>#N/A</v>
      </c>
    </row>
    <row r="24" spans="1:26" x14ac:dyDescent="0.4">
      <c r="A24" t="str">
        <f>IF(Universe!A24&lt;&gt;"",Universe!A24,"")</f>
        <v>BGFD</v>
      </c>
      <c r="B24" t="str">
        <f>IF(Universe!B24&lt;&gt;"",Universe!B24,"")</f>
        <v>Baillie Gifford Japan Trust</v>
      </c>
      <c r="C24" t="str">
        <f>IF(Universe!C24&lt;&gt;"",Universe!C24,"")</f>
        <v>GB0000485838</v>
      </c>
      <c r="D24" t="str">
        <f>IF(Universe!D24&lt;&gt;"",Universe!D24,"")</f>
        <v>Financials</v>
      </c>
      <c r="E24" t="str">
        <f>Universe!G24</f>
        <v>Exclude</v>
      </c>
      <c r="F24" t="str">
        <f>IF($E24&lt;&gt;"Include","",_xlfn.LET(_xlpm.latest,_xlfn.MAXIFS(Raw_Fund!$C:$C,Raw_Fund!$B:$B,Data!$C24),IF(_xlpm.latest=0,"",_xlpm.latest)))</f>
        <v/>
      </c>
      <c r="G24" t="str">
        <f>IF($F24="","",INDEX(Raw_Fund!$E:$AZ,MATCH($C24&amp;"|"&amp;$F24,Raw_Fund!$A:$A,0),MATCH(G$3,Raw_Fund!$E$1:$AZ$1,0)))</f>
        <v/>
      </c>
      <c r="H24" t="str">
        <f t="shared" si="0"/>
        <v/>
      </c>
      <c r="I24" s="6" t="str">
        <f>_xlfn.LET(
_xlpm.rowNo, MATCH($C24&amp;"|"&amp;
($F24+I$4),Raw_Fund!$A:$A,0),
_xlpm.colNo,
MATCH(I$3,Raw_Fund!$E$1:$AZ$1,0),
_xlpm.val,
INDEX(Raw_Fund!$E:$AZ,_xlpm.rowNo,_xlpm.colNo),
IF(ISNUMBER(_xlpm.val),_xlpm.val*$H24,""))</f>
        <v/>
      </c>
      <c r="J24" s="6" t="str">
        <f>_xlfn.LET(
_xlpm.rowNo, MATCH($C24&amp;"|"&amp;
($F24+J$4),Raw_Fund!$A:$A,0),
_xlpm.colNo,
MATCH(J$3,Raw_Fund!$E$1:$AZ$1,0),
_xlpm.val,
INDEX(Raw_Fund!$E:$AZ,_xlpm.rowNo,_xlpm.colNo),
IF(ISNUMBER(_xlpm.val),_xlpm.val*$H24,""))</f>
        <v/>
      </c>
      <c r="K24" s="6" t="str">
        <f>_xlfn.LET(
_xlpm.rowNo, MATCH($C24&amp;"|"&amp;
($F24+K$4),Raw_Fund!$A:$A,0),
_xlpm.colNo,
MATCH(K$3,Raw_Fund!$E$1:$AZ$1,0),
_xlpm.val,
INDEX(Raw_Fund!$E:$AZ,_xlpm.rowNo,_xlpm.colNo),
IF(ISNUMBER(_xlpm.val),_xlpm.val*$H24,""))</f>
        <v/>
      </c>
      <c r="L24" s="6" t="str">
        <f>_xlfn.LET(
_xlpm.rowNo, MATCH($C24&amp;"|"&amp;
($F24+L$4),Raw_Fund!$A:$A,0),
_xlpm.colNo,
MATCH(L$3,Raw_Fund!$E$1:$AZ$1,0),
_xlpm.val,
INDEX(Raw_Fund!$E:$AZ,_xlpm.rowNo,_xlpm.colNo),
IF(ISNUMBER(_xlpm.val),_xlpm.val*$H24,""))</f>
        <v/>
      </c>
      <c r="M24" s="6" t="str">
        <f>_xlfn.LET(
_xlpm.rowNo, MATCH($C24&amp;"|"&amp;
($F24+M$4),Raw_Fund!$A:$A,0),
_xlpm.colNo,
MATCH(M$3,Raw_Fund!$E$1:$AZ$1,0),
_xlpm.val,
INDEX(Raw_Fund!$E:$AZ,_xlpm.rowNo,_xlpm.colNo),
IF(ISNUMBER(_xlpm.val),_xlpm.val*$H24,""))</f>
        <v/>
      </c>
      <c r="N24" s="6" t="str">
        <f>_xlfn.LET(
_xlpm.rowNo, MATCH($C24&amp;"|"&amp;
($F24+N$4),Raw_Fund!$A:$A,0),
_xlpm.colNo,
MATCH(N$3,Raw_Fund!$E$1:$AZ$1,0),
_xlpm.val,
INDEX(Raw_Fund!$E:$AZ,_xlpm.rowNo,_xlpm.colNo),
IF(ISNUMBER(_xlpm.val),_xlpm.val*$H24,""))</f>
        <v/>
      </c>
      <c r="O24" s="6" t="str">
        <f>_xlfn.LET(
_xlpm.rowNo, MATCH($C24&amp;"|"&amp;
($F24+O$4),Raw_Fund!$A:$A,0),
_xlpm.colNo,
MATCH(O$3,Raw_Fund!$E$1:$AZ$1,0),
_xlpm.val,
INDEX(Raw_Fund!$E:$AZ,_xlpm.rowNo,_xlpm.colNo),
IF(ISNUMBER(_xlpm.val),_xlpm.val*$H24,""))</f>
        <v/>
      </c>
      <c r="P24" s="6" t="str">
        <f>_xlfn.LET(
_xlpm.rowNo, MATCH($C24&amp;"|"&amp;
($F24+P$4),Raw_Fund!$A:$A,0),
_xlpm.colNo,
MATCH(P$3,Raw_Fund!$E$1:$AZ$1,0),
_xlpm.val,
INDEX(Raw_Fund!$E:$AZ,_xlpm.rowNo,_xlpm.colNo),
IF(ISNUMBER(_xlpm.val),_xlpm.val*$H24,""))</f>
        <v/>
      </c>
      <c r="Q24" s="6" t="str">
        <f>_xlfn.LET(
_xlpm.rowNo, MATCH($C24&amp;"|"&amp;
($F24+Q$4),Raw_Fund!$A:$A,0),
_xlpm.colNo,
MATCH(Q$3,Raw_Fund!$E$1:$AZ$1,0),
_xlpm.val,
INDEX(Raw_Fund!$E:$AZ,_xlpm.rowNo,_xlpm.colNo),
IF(ISNUMBER(_xlpm.val),_xlpm.val*$H24,""))</f>
        <v/>
      </c>
      <c r="R24" s="6" t="str">
        <f>_xlfn.LET(
_xlpm.rowNo, MATCH($C24&amp;"|"&amp;
($F24+R$4),Raw_Fund!$A:$A,0),
_xlpm.colNo,
MATCH(R$3,Raw_Fund!$E$1:$AZ$1,0),
_xlpm.val,
INDEX(Raw_Fund!$E:$AZ,_xlpm.rowNo,_xlpm.colNo),
IF(ISNUMBER(_xlpm.val),_xlpm.val*$H24,""))</f>
        <v/>
      </c>
      <c r="S24" s="6" t="str">
        <f>_xlfn.LET(
_xlpm.rowNo, MATCH($C24&amp;"|"&amp;
($F24+S$4),Raw_Fund!$A:$A,0),
_xlpm.colNo,
MATCH(S$3,Raw_Fund!$E$1:$AZ$1,0),
_xlpm.val,
INDEX(Raw_Fund!$E:$AZ,_xlpm.rowNo,_xlpm.colNo),
IF(ISNUMBER(_xlpm.val),_xlpm.val*$H24,""))</f>
        <v/>
      </c>
      <c r="T24" s="6" t="str">
        <f>_xlfn.LET(
_xlpm.rowNo, MATCH($C24&amp;"|"&amp;
($F24+T$4),Raw_Fund!$A:$A,0),
_xlpm.colNo,
MATCH(T$3,Raw_Fund!$E$1:$AZ$1,0),
_xlpm.val,
INDEX(Raw_Fund!$E:$AZ,_xlpm.rowNo,_xlpm.colNo),
IF(ISNUMBER(_xlpm.val),_xlpm.val*$H24,""))</f>
        <v/>
      </c>
      <c r="U24" s="6" t="str">
        <f>_xlfn.LET(
_xlpm.rowNo, MATCH($C24&amp;"|"&amp;
($F24+U$4),Raw_Fund!$A:$A,0),
_xlpm.colNo,
MATCH(U$3,Raw_Fund!$E$1:$AZ$1,0),
_xlpm.val,
INDEX(Raw_Fund!$E:$AZ,_xlpm.rowNo,_xlpm.colNo),
IF(ISNUMBER(_xlpm.val),_xlpm.val*$H24,""))</f>
        <v/>
      </c>
      <c r="V24" s="6" t="str">
        <f>_xlfn.LET(
_xlpm.rowNo, MATCH($C24&amp;"|"&amp;
($F24+V$4),Raw_Fund!$A:$A,0),
_xlpm.colNo,
MATCH(V$3,Raw_Fund!$E$1:$AZ$1,0),
_xlpm.val,
INDEX(Raw_Fund!$E:$AZ,_xlpm.rowNo,_xlpm.colNo),
IF(ISNUMBER(_xlpm.val),_xlpm.val*$H24,""))</f>
        <v/>
      </c>
      <c r="W24" s="6" t="str">
        <f>_xlfn.LET(
_xlpm.rowNo, MATCH($C24&amp;"|"&amp;
($F24+W$4),Raw_Fund!$A:$A,0),
_xlpm.colNo,
MATCH(W$3,Raw_Fund!$E$1:$AZ$1,0),
_xlpm.val,
INDEX(Raw_Fund!$E:$AZ,_xlpm.rowNo,_xlpm.colNo),
IF(ISNUMBER(_xlpm.val),_xlpm.val*$H24,""))</f>
        <v/>
      </c>
      <c r="X24" s="6" t="str">
        <f>_xlfn.LET(
_xlpm.rowNo, MATCH($C24&amp;"|"&amp;
($F24+X$4),Raw_Fund!$A:$A,0),
_xlpm.colNo,
MATCH(X$3,Raw_Fund!$E$1:$AZ$1,0),
_xlpm.val,
INDEX(Raw_Fund!$E:$AZ,_xlpm.rowNo,_xlpm.colNo),
IF(ISNUMBER(_xlpm.val),_xlpm.val*$H24,""))</f>
        <v/>
      </c>
      <c r="Y24" s="6" t="str">
        <f>_xlfn.LET(
_xlpm.rowNo, MATCH($C24&amp;"|"&amp;
($F24+Y$4),Raw_Fund!$A:$A,0),
_xlpm.colNo,
MATCH(Y$3,Raw_Fund!$E$1:$AZ$1,0),
_xlpm.val,
INDEX(Raw_Fund!$E:$AZ,_xlpm.rowNo,_xlpm.colNo),
IF(ISNUMBER(_xlpm.val),_xlpm.val*$H24,""))</f>
        <v/>
      </c>
      <c r="Z24" s="6" t="str">
        <f>IF($E24&lt;&gt;"Include","",_xlfn.XLOOKUP($C24,Raw_Mkt!$A:$A,Raw_Mkt!$B:$B))</f>
        <v/>
      </c>
    </row>
    <row r="25" spans="1:26" x14ac:dyDescent="0.4">
      <c r="A25" t="str">
        <f>IF(Universe!A25&lt;&gt;"",Universe!A25,"")</f>
        <v>USA</v>
      </c>
      <c r="B25" t="str">
        <f>IF(Universe!B25&lt;&gt;"",Universe!B25,"")</f>
        <v>Baillie Gifford US Growth Trust</v>
      </c>
      <c r="C25" t="str">
        <f>IF(Universe!C25&lt;&gt;"",Universe!C25,"")</f>
        <v>GB00BDFGHW41</v>
      </c>
      <c r="D25" t="str">
        <f>IF(Universe!D25&lt;&gt;"",Universe!D25,"")</f>
        <v>Financials</v>
      </c>
      <c r="E25" t="str">
        <f>Universe!G25</f>
        <v>Exclude</v>
      </c>
      <c r="F25" t="str">
        <f>IF($E25&lt;&gt;"Include","",_xlfn.LET(_xlpm.latest,_xlfn.MAXIFS(Raw_Fund!$C:$C,Raw_Fund!$B:$B,Data!$C25),IF(_xlpm.latest=0,"",_xlpm.latest)))</f>
        <v/>
      </c>
      <c r="G25" t="str">
        <f>IF($F25="","",INDEX(Raw_Fund!$E:$AZ,MATCH($C25&amp;"|"&amp;$F25,Raw_Fund!$A:$A,0),MATCH(G$3,Raw_Fund!$E$1:$AZ$1,0)))</f>
        <v/>
      </c>
      <c r="H25" t="str">
        <f t="shared" si="0"/>
        <v/>
      </c>
      <c r="I25" s="6" t="str">
        <f>_xlfn.LET(
_xlpm.rowNo, MATCH($C25&amp;"|"&amp;
($F25+I$4),Raw_Fund!$A:$A,0),
_xlpm.colNo,
MATCH(I$3,Raw_Fund!$E$1:$AZ$1,0),
_xlpm.val,
INDEX(Raw_Fund!$E:$AZ,_xlpm.rowNo,_xlpm.colNo),
IF(ISNUMBER(_xlpm.val),_xlpm.val*$H25,""))</f>
        <v/>
      </c>
      <c r="J25" s="6" t="str">
        <f>_xlfn.LET(
_xlpm.rowNo, MATCH($C25&amp;"|"&amp;
($F25+J$4),Raw_Fund!$A:$A,0),
_xlpm.colNo,
MATCH(J$3,Raw_Fund!$E$1:$AZ$1,0),
_xlpm.val,
INDEX(Raw_Fund!$E:$AZ,_xlpm.rowNo,_xlpm.colNo),
IF(ISNUMBER(_xlpm.val),_xlpm.val*$H25,""))</f>
        <v/>
      </c>
      <c r="K25" s="6" t="str">
        <f>_xlfn.LET(
_xlpm.rowNo, MATCH($C25&amp;"|"&amp;
($F25+K$4),Raw_Fund!$A:$A,0),
_xlpm.colNo,
MATCH(K$3,Raw_Fund!$E$1:$AZ$1,0),
_xlpm.val,
INDEX(Raw_Fund!$E:$AZ,_xlpm.rowNo,_xlpm.colNo),
IF(ISNUMBER(_xlpm.val),_xlpm.val*$H25,""))</f>
        <v/>
      </c>
      <c r="L25" s="6" t="str">
        <f>_xlfn.LET(
_xlpm.rowNo, MATCH($C25&amp;"|"&amp;
($F25+L$4),Raw_Fund!$A:$A,0),
_xlpm.colNo,
MATCH(L$3,Raw_Fund!$E$1:$AZ$1,0),
_xlpm.val,
INDEX(Raw_Fund!$E:$AZ,_xlpm.rowNo,_xlpm.colNo),
IF(ISNUMBER(_xlpm.val),_xlpm.val*$H25,""))</f>
        <v/>
      </c>
      <c r="M25" s="6" t="str">
        <f>_xlfn.LET(
_xlpm.rowNo, MATCH($C25&amp;"|"&amp;
($F25+M$4),Raw_Fund!$A:$A,0),
_xlpm.colNo,
MATCH(M$3,Raw_Fund!$E$1:$AZ$1,0),
_xlpm.val,
INDEX(Raw_Fund!$E:$AZ,_xlpm.rowNo,_xlpm.colNo),
IF(ISNUMBER(_xlpm.val),_xlpm.val*$H25,""))</f>
        <v/>
      </c>
      <c r="N25" s="6" t="str">
        <f>_xlfn.LET(
_xlpm.rowNo, MATCH($C25&amp;"|"&amp;
($F25+N$4),Raw_Fund!$A:$A,0),
_xlpm.colNo,
MATCH(N$3,Raw_Fund!$E$1:$AZ$1,0),
_xlpm.val,
INDEX(Raw_Fund!$E:$AZ,_xlpm.rowNo,_xlpm.colNo),
IF(ISNUMBER(_xlpm.val),_xlpm.val*$H25,""))</f>
        <v/>
      </c>
      <c r="O25" s="6" t="str">
        <f>_xlfn.LET(
_xlpm.rowNo, MATCH($C25&amp;"|"&amp;
($F25+O$4),Raw_Fund!$A:$A,0),
_xlpm.colNo,
MATCH(O$3,Raw_Fund!$E$1:$AZ$1,0),
_xlpm.val,
INDEX(Raw_Fund!$E:$AZ,_xlpm.rowNo,_xlpm.colNo),
IF(ISNUMBER(_xlpm.val),_xlpm.val*$H25,""))</f>
        <v/>
      </c>
      <c r="P25" s="6" t="str">
        <f>_xlfn.LET(
_xlpm.rowNo, MATCH($C25&amp;"|"&amp;
($F25+P$4),Raw_Fund!$A:$A,0),
_xlpm.colNo,
MATCH(P$3,Raw_Fund!$E$1:$AZ$1,0),
_xlpm.val,
INDEX(Raw_Fund!$E:$AZ,_xlpm.rowNo,_xlpm.colNo),
IF(ISNUMBER(_xlpm.val),_xlpm.val*$H25,""))</f>
        <v/>
      </c>
      <c r="Q25" s="6" t="str">
        <f>_xlfn.LET(
_xlpm.rowNo, MATCH($C25&amp;"|"&amp;
($F25+Q$4),Raw_Fund!$A:$A,0),
_xlpm.colNo,
MATCH(Q$3,Raw_Fund!$E$1:$AZ$1,0),
_xlpm.val,
INDEX(Raw_Fund!$E:$AZ,_xlpm.rowNo,_xlpm.colNo),
IF(ISNUMBER(_xlpm.val),_xlpm.val*$H25,""))</f>
        <v/>
      </c>
      <c r="R25" s="6" t="str">
        <f>_xlfn.LET(
_xlpm.rowNo, MATCH($C25&amp;"|"&amp;
($F25+R$4),Raw_Fund!$A:$A,0),
_xlpm.colNo,
MATCH(R$3,Raw_Fund!$E$1:$AZ$1,0),
_xlpm.val,
INDEX(Raw_Fund!$E:$AZ,_xlpm.rowNo,_xlpm.colNo),
IF(ISNUMBER(_xlpm.val),_xlpm.val*$H25,""))</f>
        <v/>
      </c>
      <c r="S25" s="6" t="str">
        <f>_xlfn.LET(
_xlpm.rowNo, MATCH($C25&amp;"|"&amp;
($F25+S$4),Raw_Fund!$A:$A,0),
_xlpm.colNo,
MATCH(S$3,Raw_Fund!$E$1:$AZ$1,0),
_xlpm.val,
INDEX(Raw_Fund!$E:$AZ,_xlpm.rowNo,_xlpm.colNo),
IF(ISNUMBER(_xlpm.val),_xlpm.val*$H25,""))</f>
        <v/>
      </c>
      <c r="T25" s="6" t="str">
        <f>_xlfn.LET(
_xlpm.rowNo, MATCH($C25&amp;"|"&amp;
($F25+T$4),Raw_Fund!$A:$A,0),
_xlpm.colNo,
MATCH(T$3,Raw_Fund!$E$1:$AZ$1,0),
_xlpm.val,
INDEX(Raw_Fund!$E:$AZ,_xlpm.rowNo,_xlpm.colNo),
IF(ISNUMBER(_xlpm.val),_xlpm.val*$H25,""))</f>
        <v/>
      </c>
      <c r="U25" s="6" t="str">
        <f>_xlfn.LET(
_xlpm.rowNo, MATCH($C25&amp;"|"&amp;
($F25+U$4),Raw_Fund!$A:$A,0),
_xlpm.colNo,
MATCH(U$3,Raw_Fund!$E$1:$AZ$1,0),
_xlpm.val,
INDEX(Raw_Fund!$E:$AZ,_xlpm.rowNo,_xlpm.colNo),
IF(ISNUMBER(_xlpm.val),_xlpm.val*$H25,""))</f>
        <v/>
      </c>
      <c r="V25" s="6" t="str">
        <f>_xlfn.LET(
_xlpm.rowNo, MATCH($C25&amp;"|"&amp;
($F25+V$4),Raw_Fund!$A:$A,0),
_xlpm.colNo,
MATCH(V$3,Raw_Fund!$E$1:$AZ$1,0),
_xlpm.val,
INDEX(Raw_Fund!$E:$AZ,_xlpm.rowNo,_xlpm.colNo),
IF(ISNUMBER(_xlpm.val),_xlpm.val*$H25,""))</f>
        <v/>
      </c>
      <c r="W25" s="6" t="str">
        <f>_xlfn.LET(
_xlpm.rowNo, MATCH($C25&amp;"|"&amp;
($F25+W$4),Raw_Fund!$A:$A,0),
_xlpm.colNo,
MATCH(W$3,Raw_Fund!$E$1:$AZ$1,0),
_xlpm.val,
INDEX(Raw_Fund!$E:$AZ,_xlpm.rowNo,_xlpm.colNo),
IF(ISNUMBER(_xlpm.val),_xlpm.val*$H25,""))</f>
        <v/>
      </c>
      <c r="X25" s="6" t="str">
        <f>_xlfn.LET(
_xlpm.rowNo, MATCH($C25&amp;"|"&amp;
($F25+X$4),Raw_Fund!$A:$A,0),
_xlpm.colNo,
MATCH(X$3,Raw_Fund!$E$1:$AZ$1,0),
_xlpm.val,
INDEX(Raw_Fund!$E:$AZ,_xlpm.rowNo,_xlpm.colNo),
IF(ISNUMBER(_xlpm.val),_xlpm.val*$H25,""))</f>
        <v/>
      </c>
      <c r="Y25" s="6" t="str">
        <f>_xlfn.LET(
_xlpm.rowNo, MATCH($C25&amp;"|"&amp;
($F25+Y$4),Raw_Fund!$A:$A,0),
_xlpm.colNo,
MATCH(Y$3,Raw_Fund!$E$1:$AZ$1,0),
_xlpm.val,
INDEX(Raw_Fund!$E:$AZ,_xlpm.rowNo,_xlpm.colNo),
IF(ISNUMBER(_xlpm.val),_xlpm.val*$H25,""))</f>
        <v/>
      </c>
      <c r="Z25" s="6" t="str">
        <f>IF($E25&lt;&gt;"Include","",_xlfn.XLOOKUP($C25,Raw_Mkt!$A:$A,Raw_Mkt!$B:$B))</f>
        <v/>
      </c>
    </row>
    <row r="26" spans="1:26" x14ac:dyDescent="0.4">
      <c r="A26" t="str">
        <f>IF(Universe!A26&lt;&gt;"",Universe!A26,"")</f>
        <v>BCG</v>
      </c>
      <c r="B26" t="str">
        <f>IF(Universe!B26&lt;&gt;"",Universe!B26,"")</f>
        <v>Baltic Classifieds</v>
      </c>
      <c r="C26" t="str">
        <f>IF(Universe!C26&lt;&gt;"",Universe!C26,"")</f>
        <v>GB00BN44P254</v>
      </c>
      <c r="D26" t="str">
        <f>IF(Universe!D26&lt;&gt;"",Universe!D26,"")</f>
        <v>Consumer Discretionary</v>
      </c>
      <c r="E26" t="str">
        <f>Universe!G26</f>
        <v>Include</v>
      </c>
      <c r="F26" t="str">
        <f>IF($E26&lt;&gt;"Include","",_xlfn.LET(_xlpm.latest,_xlfn.MAXIFS(Raw_Fund!$C:$C,Raw_Fund!$B:$B,Data!$C26),IF(_xlpm.latest=0,"",_xlpm.latest)))</f>
        <v/>
      </c>
      <c r="G26" t="str">
        <f>IF($F26="","",INDEX(Raw_Fund!$E:$AZ,MATCH($C26&amp;"|"&amp;$F26,Raw_Fund!$A:$A,0),MATCH(G$3,Raw_Fund!$E$1:$AZ$1,0)))</f>
        <v/>
      </c>
      <c r="H26" t="str">
        <f t="shared" si="0"/>
        <v/>
      </c>
      <c r="I26" s="6" t="str">
        <f>_xlfn.LET(
_xlpm.rowNo, MATCH($C26&amp;"|"&amp;
($F26+I$4),Raw_Fund!$A:$A,0),
_xlpm.colNo,
MATCH(I$3,Raw_Fund!$E$1:$AZ$1,0),
_xlpm.val,
INDEX(Raw_Fund!$E:$AZ,_xlpm.rowNo,_xlpm.colNo),
IF(ISNUMBER(_xlpm.val),_xlpm.val*$H26,""))</f>
        <v/>
      </c>
      <c r="J26" s="6" t="str">
        <f>_xlfn.LET(
_xlpm.rowNo, MATCH($C26&amp;"|"&amp;
($F26+J$4),Raw_Fund!$A:$A,0),
_xlpm.colNo,
MATCH(J$3,Raw_Fund!$E$1:$AZ$1,0),
_xlpm.val,
INDEX(Raw_Fund!$E:$AZ,_xlpm.rowNo,_xlpm.colNo),
IF(ISNUMBER(_xlpm.val),_xlpm.val*$H26,""))</f>
        <v/>
      </c>
      <c r="K26" s="6" t="str">
        <f>_xlfn.LET(
_xlpm.rowNo, MATCH($C26&amp;"|"&amp;
($F26+K$4),Raw_Fund!$A:$A,0),
_xlpm.colNo,
MATCH(K$3,Raw_Fund!$E$1:$AZ$1,0),
_xlpm.val,
INDEX(Raw_Fund!$E:$AZ,_xlpm.rowNo,_xlpm.colNo),
IF(ISNUMBER(_xlpm.val),_xlpm.val*$H26,""))</f>
        <v/>
      </c>
      <c r="L26" s="6" t="str">
        <f>_xlfn.LET(
_xlpm.rowNo, MATCH($C26&amp;"|"&amp;
($F26+L$4),Raw_Fund!$A:$A,0),
_xlpm.colNo,
MATCH(L$3,Raw_Fund!$E$1:$AZ$1,0),
_xlpm.val,
INDEX(Raw_Fund!$E:$AZ,_xlpm.rowNo,_xlpm.colNo),
IF(ISNUMBER(_xlpm.val),_xlpm.val*$H26,""))</f>
        <v/>
      </c>
      <c r="M26" s="6" t="str">
        <f>_xlfn.LET(
_xlpm.rowNo, MATCH($C26&amp;"|"&amp;
($F26+M$4),Raw_Fund!$A:$A,0),
_xlpm.colNo,
MATCH(M$3,Raw_Fund!$E$1:$AZ$1,0),
_xlpm.val,
INDEX(Raw_Fund!$E:$AZ,_xlpm.rowNo,_xlpm.colNo),
IF(ISNUMBER(_xlpm.val),_xlpm.val*$H26,""))</f>
        <v/>
      </c>
      <c r="N26" s="6" t="str">
        <f>_xlfn.LET(
_xlpm.rowNo, MATCH($C26&amp;"|"&amp;
($F26+N$4),Raw_Fund!$A:$A,0),
_xlpm.colNo,
MATCH(N$3,Raw_Fund!$E$1:$AZ$1,0),
_xlpm.val,
INDEX(Raw_Fund!$E:$AZ,_xlpm.rowNo,_xlpm.colNo),
IF(ISNUMBER(_xlpm.val),_xlpm.val*$H26,""))</f>
        <v/>
      </c>
      <c r="O26" s="6" t="str">
        <f>_xlfn.LET(
_xlpm.rowNo, MATCH($C26&amp;"|"&amp;
($F26+O$4),Raw_Fund!$A:$A,0),
_xlpm.colNo,
MATCH(O$3,Raw_Fund!$E$1:$AZ$1,0),
_xlpm.val,
INDEX(Raw_Fund!$E:$AZ,_xlpm.rowNo,_xlpm.colNo),
IF(ISNUMBER(_xlpm.val),_xlpm.val*$H26,""))</f>
        <v/>
      </c>
      <c r="P26" s="6" t="str">
        <f>_xlfn.LET(
_xlpm.rowNo, MATCH($C26&amp;"|"&amp;
($F26+P$4),Raw_Fund!$A:$A,0),
_xlpm.colNo,
MATCH(P$3,Raw_Fund!$E$1:$AZ$1,0),
_xlpm.val,
INDEX(Raw_Fund!$E:$AZ,_xlpm.rowNo,_xlpm.colNo),
IF(ISNUMBER(_xlpm.val),_xlpm.val*$H26,""))</f>
        <v/>
      </c>
      <c r="Q26" s="6" t="str">
        <f>_xlfn.LET(
_xlpm.rowNo, MATCH($C26&amp;"|"&amp;
($F26+Q$4),Raw_Fund!$A:$A,0),
_xlpm.colNo,
MATCH(Q$3,Raw_Fund!$E$1:$AZ$1,0),
_xlpm.val,
INDEX(Raw_Fund!$E:$AZ,_xlpm.rowNo,_xlpm.colNo),
IF(ISNUMBER(_xlpm.val),_xlpm.val*$H26,""))</f>
        <v/>
      </c>
      <c r="R26" s="6" t="str">
        <f>_xlfn.LET(
_xlpm.rowNo, MATCH($C26&amp;"|"&amp;
($F26+R$4),Raw_Fund!$A:$A,0),
_xlpm.colNo,
MATCH(R$3,Raw_Fund!$E$1:$AZ$1,0),
_xlpm.val,
INDEX(Raw_Fund!$E:$AZ,_xlpm.rowNo,_xlpm.colNo),
IF(ISNUMBER(_xlpm.val),_xlpm.val*$H26,""))</f>
        <v/>
      </c>
      <c r="S26" s="6" t="str">
        <f>_xlfn.LET(
_xlpm.rowNo, MATCH($C26&amp;"|"&amp;
($F26+S$4),Raw_Fund!$A:$A,0),
_xlpm.colNo,
MATCH(S$3,Raw_Fund!$E$1:$AZ$1,0),
_xlpm.val,
INDEX(Raw_Fund!$E:$AZ,_xlpm.rowNo,_xlpm.colNo),
IF(ISNUMBER(_xlpm.val),_xlpm.val*$H26,""))</f>
        <v/>
      </c>
      <c r="T26" s="6" t="str">
        <f>_xlfn.LET(
_xlpm.rowNo, MATCH($C26&amp;"|"&amp;
($F26+T$4),Raw_Fund!$A:$A,0),
_xlpm.colNo,
MATCH(T$3,Raw_Fund!$E$1:$AZ$1,0),
_xlpm.val,
INDEX(Raw_Fund!$E:$AZ,_xlpm.rowNo,_xlpm.colNo),
IF(ISNUMBER(_xlpm.val),_xlpm.val*$H26,""))</f>
        <v/>
      </c>
      <c r="U26" s="6" t="str">
        <f>_xlfn.LET(
_xlpm.rowNo, MATCH($C26&amp;"|"&amp;
($F26+U$4),Raw_Fund!$A:$A,0),
_xlpm.colNo,
MATCH(U$3,Raw_Fund!$E$1:$AZ$1,0),
_xlpm.val,
INDEX(Raw_Fund!$E:$AZ,_xlpm.rowNo,_xlpm.colNo),
IF(ISNUMBER(_xlpm.val),_xlpm.val*$H26,""))</f>
        <v/>
      </c>
      <c r="V26" s="6" t="str">
        <f>_xlfn.LET(
_xlpm.rowNo, MATCH($C26&amp;"|"&amp;
($F26+V$4),Raw_Fund!$A:$A,0),
_xlpm.colNo,
MATCH(V$3,Raw_Fund!$E$1:$AZ$1,0),
_xlpm.val,
INDEX(Raw_Fund!$E:$AZ,_xlpm.rowNo,_xlpm.colNo),
IF(ISNUMBER(_xlpm.val),_xlpm.val*$H26,""))</f>
        <v/>
      </c>
      <c r="W26" s="6" t="str">
        <f>_xlfn.LET(
_xlpm.rowNo, MATCH($C26&amp;"|"&amp;
($F26+W$4),Raw_Fund!$A:$A,0),
_xlpm.colNo,
MATCH(W$3,Raw_Fund!$E$1:$AZ$1,0),
_xlpm.val,
INDEX(Raw_Fund!$E:$AZ,_xlpm.rowNo,_xlpm.colNo),
IF(ISNUMBER(_xlpm.val),_xlpm.val*$H26,""))</f>
        <v/>
      </c>
      <c r="X26" s="6" t="str">
        <f>_xlfn.LET(
_xlpm.rowNo, MATCH($C26&amp;"|"&amp;
($F26+X$4),Raw_Fund!$A:$A,0),
_xlpm.colNo,
MATCH(X$3,Raw_Fund!$E$1:$AZ$1,0),
_xlpm.val,
INDEX(Raw_Fund!$E:$AZ,_xlpm.rowNo,_xlpm.colNo),
IF(ISNUMBER(_xlpm.val),_xlpm.val*$H26,""))</f>
        <v/>
      </c>
      <c r="Y26" s="6" t="str">
        <f>_xlfn.LET(
_xlpm.rowNo, MATCH($C26&amp;"|"&amp;
($F26+Y$4),Raw_Fund!$A:$A,0),
_xlpm.colNo,
MATCH(Y$3,Raw_Fund!$E$1:$AZ$1,0),
_xlpm.val,
INDEX(Raw_Fund!$E:$AZ,_xlpm.rowNo,_xlpm.colNo),
IF(ISNUMBER(_xlpm.val),_xlpm.val*$H26,""))</f>
        <v/>
      </c>
      <c r="Z26" s="6" t="e">
        <f>IF($E26&lt;&gt;"Include","",_xlfn.XLOOKUP($C26,Raw_Mkt!$A:$A,Raw_Mkt!$B:$B))</f>
        <v>#N/A</v>
      </c>
    </row>
    <row r="27" spans="1:26" x14ac:dyDescent="0.4">
      <c r="A27" t="str">
        <f>IF(Universe!A27&lt;&gt;"",Universe!A27,"")</f>
        <v>BNKR</v>
      </c>
      <c r="B27" t="str">
        <f>IF(Universe!B27&lt;&gt;"",Universe!B27,"")</f>
        <v>Bankers Investment Trust</v>
      </c>
      <c r="C27" t="str">
        <f>IF(Universe!C27&lt;&gt;"",Universe!C27,"")</f>
        <v>GB00BN4NDR39</v>
      </c>
      <c r="D27" t="str">
        <f>IF(Universe!D27&lt;&gt;"",Universe!D27,"")</f>
        <v>Financials</v>
      </c>
      <c r="E27" t="str">
        <f>Universe!G27</f>
        <v>Exclude</v>
      </c>
      <c r="F27" t="str">
        <f>IF($E27&lt;&gt;"Include","",_xlfn.LET(_xlpm.latest,_xlfn.MAXIFS(Raw_Fund!$C:$C,Raw_Fund!$B:$B,Data!$C27),IF(_xlpm.latest=0,"",_xlpm.latest)))</f>
        <v/>
      </c>
      <c r="G27" t="str">
        <f>IF($F27="","",INDEX(Raw_Fund!$E:$AZ,MATCH($C27&amp;"|"&amp;$F27,Raw_Fund!$A:$A,0),MATCH(G$3,Raw_Fund!$E$1:$AZ$1,0)))</f>
        <v/>
      </c>
      <c r="H27" t="str">
        <f t="shared" si="0"/>
        <v/>
      </c>
      <c r="I27" s="6" t="str">
        <f>_xlfn.LET(
_xlpm.rowNo, MATCH($C27&amp;"|"&amp;
($F27+I$4),Raw_Fund!$A:$A,0),
_xlpm.colNo,
MATCH(I$3,Raw_Fund!$E$1:$AZ$1,0),
_xlpm.val,
INDEX(Raw_Fund!$E:$AZ,_xlpm.rowNo,_xlpm.colNo),
IF(ISNUMBER(_xlpm.val),_xlpm.val*$H27,""))</f>
        <v/>
      </c>
      <c r="J27" s="6" t="str">
        <f>_xlfn.LET(
_xlpm.rowNo, MATCH($C27&amp;"|"&amp;
($F27+J$4),Raw_Fund!$A:$A,0),
_xlpm.colNo,
MATCH(J$3,Raw_Fund!$E$1:$AZ$1,0),
_xlpm.val,
INDEX(Raw_Fund!$E:$AZ,_xlpm.rowNo,_xlpm.colNo),
IF(ISNUMBER(_xlpm.val),_xlpm.val*$H27,""))</f>
        <v/>
      </c>
      <c r="K27" s="6" t="str">
        <f>_xlfn.LET(
_xlpm.rowNo, MATCH($C27&amp;"|"&amp;
($F27+K$4),Raw_Fund!$A:$A,0),
_xlpm.colNo,
MATCH(K$3,Raw_Fund!$E$1:$AZ$1,0),
_xlpm.val,
INDEX(Raw_Fund!$E:$AZ,_xlpm.rowNo,_xlpm.colNo),
IF(ISNUMBER(_xlpm.val),_xlpm.val*$H27,""))</f>
        <v/>
      </c>
      <c r="L27" s="6" t="str">
        <f>_xlfn.LET(
_xlpm.rowNo, MATCH($C27&amp;"|"&amp;
($F27+L$4),Raw_Fund!$A:$A,0),
_xlpm.colNo,
MATCH(L$3,Raw_Fund!$E$1:$AZ$1,0),
_xlpm.val,
INDEX(Raw_Fund!$E:$AZ,_xlpm.rowNo,_xlpm.colNo),
IF(ISNUMBER(_xlpm.val),_xlpm.val*$H27,""))</f>
        <v/>
      </c>
      <c r="M27" s="6" t="str">
        <f>_xlfn.LET(
_xlpm.rowNo, MATCH($C27&amp;"|"&amp;
($F27+M$4),Raw_Fund!$A:$A,0),
_xlpm.colNo,
MATCH(M$3,Raw_Fund!$E$1:$AZ$1,0),
_xlpm.val,
INDEX(Raw_Fund!$E:$AZ,_xlpm.rowNo,_xlpm.colNo),
IF(ISNUMBER(_xlpm.val),_xlpm.val*$H27,""))</f>
        <v/>
      </c>
      <c r="N27" s="6" t="str">
        <f>_xlfn.LET(
_xlpm.rowNo, MATCH($C27&amp;"|"&amp;
($F27+N$4),Raw_Fund!$A:$A,0),
_xlpm.colNo,
MATCH(N$3,Raw_Fund!$E$1:$AZ$1,0),
_xlpm.val,
INDEX(Raw_Fund!$E:$AZ,_xlpm.rowNo,_xlpm.colNo),
IF(ISNUMBER(_xlpm.val),_xlpm.val*$H27,""))</f>
        <v/>
      </c>
      <c r="O27" s="6" t="str">
        <f>_xlfn.LET(
_xlpm.rowNo, MATCH($C27&amp;"|"&amp;
($F27+O$4),Raw_Fund!$A:$A,0),
_xlpm.colNo,
MATCH(O$3,Raw_Fund!$E$1:$AZ$1,0),
_xlpm.val,
INDEX(Raw_Fund!$E:$AZ,_xlpm.rowNo,_xlpm.colNo),
IF(ISNUMBER(_xlpm.val),_xlpm.val*$H27,""))</f>
        <v/>
      </c>
      <c r="P27" s="6" t="str">
        <f>_xlfn.LET(
_xlpm.rowNo, MATCH($C27&amp;"|"&amp;
($F27+P$4),Raw_Fund!$A:$A,0),
_xlpm.colNo,
MATCH(P$3,Raw_Fund!$E$1:$AZ$1,0),
_xlpm.val,
INDEX(Raw_Fund!$E:$AZ,_xlpm.rowNo,_xlpm.colNo),
IF(ISNUMBER(_xlpm.val),_xlpm.val*$H27,""))</f>
        <v/>
      </c>
      <c r="Q27" s="6" t="str">
        <f>_xlfn.LET(
_xlpm.rowNo, MATCH($C27&amp;"|"&amp;
($F27+Q$4),Raw_Fund!$A:$A,0),
_xlpm.colNo,
MATCH(Q$3,Raw_Fund!$E$1:$AZ$1,0),
_xlpm.val,
INDEX(Raw_Fund!$E:$AZ,_xlpm.rowNo,_xlpm.colNo),
IF(ISNUMBER(_xlpm.val),_xlpm.val*$H27,""))</f>
        <v/>
      </c>
      <c r="R27" s="6" t="str">
        <f>_xlfn.LET(
_xlpm.rowNo, MATCH($C27&amp;"|"&amp;
($F27+R$4),Raw_Fund!$A:$A,0),
_xlpm.colNo,
MATCH(R$3,Raw_Fund!$E$1:$AZ$1,0),
_xlpm.val,
INDEX(Raw_Fund!$E:$AZ,_xlpm.rowNo,_xlpm.colNo),
IF(ISNUMBER(_xlpm.val),_xlpm.val*$H27,""))</f>
        <v/>
      </c>
      <c r="S27" s="6" t="str">
        <f>_xlfn.LET(
_xlpm.rowNo, MATCH($C27&amp;"|"&amp;
($F27+S$4),Raw_Fund!$A:$A,0),
_xlpm.colNo,
MATCH(S$3,Raw_Fund!$E$1:$AZ$1,0),
_xlpm.val,
INDEX(Raw_Fund!$E:$AZ,_xlpm.rowNo,_xlpm.colNo),
IF(ISNUMBER(_xlpm.val),_xlpm.val*$H27,""))</f>
        <v/>
      </c>
      <c r="T27" s="6" t="str">
        <f>_xlfn.LET(
_xlpm.rowNo, MATCH($C27&amp;"|"&amp;
($F27+T$4),Raw_Fund!$A:$A,0),
_xlpm.colNo,
MATCH(T$3,Raw_Fund!$E$1:$AZ$1,0),
_xlpm.val,
INDEX(Raw_Fund!$E:$AZ,_xlpm.rowNo,_xlpm.colNo),
IF(ISNUMBER(_xlpm.val),_xlpm.val*$H27,""))</f>
        <v/>
      </c>
      <c r="U27" s="6" t="str">
        <f>_xlfn.LET(
_xlpm.rowNo, MATCH($C27&amp;"|"&amp;
($F27+U$4),Raw_Fund!$A:$A,0),
_xlpm.colNo,
MATCH(U$3,Raw_Fund!$E$1:$AZ$1,0),
_xlpm.val,
INDEX(Raw_Fund!$E:$AZ,_xlpm.rowNo,_xlpm.colNo),
IF(ISNUMBER(_xlpm.val),_xlpm.val*$H27,""))</f>
        <v/>
      </c>
      <c r="V27" s="6" t="str">
        <f>_xlfn.LET(
_xlpm.rowNo, MATCH($C27&amp;"|"&amp;
($F27+V$4),Raw_Fund!$A:$A,0),
_xlpm.colNo,
MATCH(V$3,Raw_Fund!$E$1:$AZ$1,0),
_xlpm.val,
INDEX(Raw_Fund!$E:$AZ,_xlpm.rowNo,_xlpm.colNo),
IF(ISNUMBER(_xlpm.val),_xlpm.val*$H27,""))</f>
        <v/>
      </c>
      <c r="W27" s="6" t="str">
        <f>_xlfn.LET(
_xlpm.rowNo, MATCH($C27&amp;"|"&amp;
($F27+W$4),Raw_Fund!$A:$A,0),
_xlpm.colNo,
MATCH(W$3,Raw_Fund!$E$1:$AZ$1,0),
_xlpm.val,
INDEX(Raw_Fund!$E:$AZ,_xlpm.rowNo,_xlpm.colNo),
IF(ISNUMBER(_xlpm.val),_xlpm.val*$H27,""))</f>
        <v/>
      </c>
      <c r="X27" s="6" t="str">
        <f>_xlfn.LET(
_xlpm.rowNo, MATCH($C27&amp;"|"&amp;
($F27+X$4),Raw_Fund!$A:$A,0),
_xlpm.colNo,
MATCH(X$3,Raw_Fund!$E$1:$AZ$1,0),
_xlpm.val,
INDEX(Raw_Fund!$E:$AZ,_xlpm.rowNo,_xlpm.colNo),
IF(ISNUMBER(_xlpm.val),_xlpm.val*$H27,""))</f>
        <v/>
      </c>
      <c r="Y27" s="6" t="str">
        <f>_xlfn.LET(
_xlpm.rowNo, MATCH($C27&amp;"|"&amp;
($F27+Y$4),Raw_Fund!$A:$A,0),
_xlpm.colNo,
MATCH(Y$3,Raw_Fund!$E$1:$AZ$1,0),
_xlpm.val,
INDEX(Raw_Fund!$E:$AZ,_xlpm.rowNo,_xlpm.colNo),
IF(ISNUMBER(_xlpm.val),_xlpm.val*$H27,""))</f>
        <v/>
      </c>
      <c r="Z27" s="6" t="str">
        <f>IF($E27&lt;&gt;"Include","",_xlfn.XLOOKUP($C27,Raw_Mkt!$A:$A,Raw_Mkt!$B:$B))</f>
        <v/>
      </c>
    </row>
    <row r="28" spans="1:26" x14ac:dyDescent="0.4">
      <c r="A28" t="str">
        <f>IF(Universe!A28&lt;&gt;"",Universe!A28,"")</f>
        <v>BAG</v>
      </c>
      <c r="B28" t="str">
        <f>IF(Universe!B28&lt;&gt;"",Universe!B28,"")</f>
        <v>A.G. Barr</v>
      </c>
      <c r="C28" t="str">
        <f>IF(Universe!C28&lt;&gt;"",Universe!C28,"")</f>
        <v>GB00B6XZKY75</v>
      </c>
      <c r="D28" t="str">
        <f>IF(Universe!D28&lt;&gt;"",Universe!D28,"")</f>
        <v>Consumer Staples</v>
      </c>
      <c r="E28" t="str">
        <f>Universe!G28</f>
        <v>Include</v>
      </c>
      <c r="F28" t="str">
        <f>IF($E28&lt;&gt;"Include","",_xlfn.LET(_xlpm.latest,_xlfn.MAXIFS(Raw_Fund!$C:$C,Raw_Fund!$B:$B,Data!$C28),IF(_xlpm.latest=0,"",_xlpm.latest)))</f>
        <v/>
      </c>
      <c r="G28" t="str">
        <f>IF($F28="","",INDEX(Raw_Fund!$E:$AZ,MATCH($C28&amp;"|"&amp;$F28,Raw_Fund!$A:$A,0),MATCH(G$3,Raw_Fund!$E$1:$AZ$1,0)))</f>
        <v/>
      </c>
      <c r="H28" t="str">
        <f t="shared" si="0"/>
        <v/>
      </c>
      <c r="I28" s="6" t="str">
        <f>_xlfn.LET(
_xlpm.rowNo, MATCH($C28&amp;"|"&amp;
($F28+I$4),Raw_Fund!$A:$A,0),
_xlpm.colNo,
MATCH(I$3,Raw_Fund!$E$1:$AZ$1,0),
_xlpm.val,
INDEX(Raw_Fund!$E:$AZ,_xlpm.rowNo,_xlpm.colNo),
IF(ISNUMBER(_xlpm.val),_xlpm.val*$H28,""))</f>
        <v/>
      </c>
      <c r="J28" s="6" t="str">
        <f>_xlfn.LET(
_xlpm.rowNo, MATCH($C28&amp;"|"&amp;
($F28+J$4),Raw_Fund!$A:$A,0),
_xlpm.colNo,
MATCH(J$3,Raw_Fund!$E$1:$AZ$1,0),
_xlpm.val,
INDEX(Raw_Fund!$E:$AZ,_xlpm.rowNo,_xlpm.colNo),
IF(ISNUMBER(_xlpm.val),_xlpm.val*$H28,""))</f>
        <v/>
      </c>
      <c r="K28" s="6" t="str">
        <f>_xlfn.LET(
_xlpm.rowNo, MATCH($C28&amp;"|"&amp;
($F28+K$4),Raw_Fund!$A:$A,0),
_xlpm.colNo,
MATCH(K$3,Raw_Fund!$E$1:$AZ$1,0),
_xlpm.val,
INDEX(Raw_Fund!$E:$AZ,_xlpm.rowNo,_xlpm.colNo),
IF(ISNUMBER(_xlpm.val),_xlpm.val*$H28,""))</f>
        <v/>
      </c>
      <c r="L28" s="6" t="str">
        <f>_xlfn.LET(
_xlpm.rowNo, MATCH($C28&amp;"|"&amp;
($F28+L$4),Raw_Fund!$A:$A,0),
_xlpm.colNo,
MATCH(L$3,Raw_Fund!$E$1:$AZ$1,0),
_xlpm.val,
INDEX(Raw_Fund!$E:$AZ,_xlpm.rowNo,_xlpm.colNo),
IF(ISNUMBER(_xlpm.val),_xlpm.val*$H28,""))</f>
        <v/>
      </c>
      <c r="M28" s="6" t="str">
        <f>_xlfn.LET(
_xlpm.rowNo, MATCH($C28&amp;"|"&amp;
($F28+M$4),Raw_Fund!$A:$A,0),
_xlpm.colNo,
MATCH(M$3,Raw_Fund!$E$1:$AZ$1,0),
_xlpm.val,
INDEX(Raw_Fund!$E:$AZ,_xlpm.rowNo,_xlpm.colNo),
IF(ISNUMBER(_xlpm.val),_xlpm.val*$H28,""))</f>
        <v/>
      </c>
      <c r="N28" s="6" t="str">
        <f>_xlfn.LET(
_xlpm.rowNo, MATCH($C28&amp;"|"&amp;
($F28+N$4),Raw_Fund!$A:$A,0),
_xlpm.colNo,
MATCH(N$3,Raw_Fund!$E$1:$AZ$1,0),
_xlpm.val,
INDEX(Raw_Fund!$E:$AZ,_xlpm.rowNo,_xlpm.colNo),
IF(ISNUMBER(_xlpm.val),_xlpm.val*$H28,""))</f>
        <v/>
      </c>
      <c r="O28" s="6" t="str">
        <f>_xlfn.LET(
_xlpm.rowNo, MATCH($C28&amp;"|"&amp;
($F28+O$4),Raw_Fund!$A:$A,0),
_xlpm.colNo,
MATCH(O$3,Raw_Fund!$E$1:$AZ$1,0),
_xlpm.val,
INDEX(Raw_Fund!$E:$AZ,_xlpm.rowNo,_xlpm.colNo),
IF(ISNUMBER(_xlpm.val),_xlpm.val*$H28,""))</f>
        <v/>
      </c>
      <c r="P28" s="6" t="str">
        <f>_xlfn.LET(
_xlpm.rowNo, MATCH($C28&amp;"|"&amp;
($F28+P$4),Raw_Fund!$A:$A,0),
_xlpm.colNo,
MATCH(P$3,Raw_Fund!$E$1:$AZ$1,0),
_xlpm.val,
INDEX(Raw_Fund!$E:$AZ,_xlpm.rowNo,_xlpm.colNo),
IF(ISNUMBER(_xlpm.val),_xlpm.val*$H28,""))</f>
        <v/>
      </c>
      <c r="Q28" s="6" t="str">
        <f>_xlfn.LET(
_xlpm.rowNo, MATCH($C28&amp;"|"&amp;
($F28+Q$4),Raw_Fund!$A:$A,0),
_xlpm.colNo,
MATCH(Q$3,Raw_Fund!$E$1:$AZ$1,0),
_xlpm.val,
INDEX(Raw_Fund!$E:$AZ,_xlpm.rowNo,_xlpm.colNo),
IF(ISNUMBER(_xlpm.val),_xlpm.val*$H28,""))</f>
        <v/>
      </c>
      <c r="R28" s="6" t="str">
        <f>_xlfn.LET(
_xlpm.rowNo, MATCH($C28&amp;"|"&amp;
($F28+R$4),Raw_Fund!$A:$A,0),
_xlpm.colNo,
MATCH(R$3,Raw_Fund!$E$1:$AZ$1,0),
_xlpm.val,
INDEX(Raw_Fund!$E:$AZ,_xlpm.rowNo,_xlpm.colNo),
IF(ISNUMBER(_xlpm.val),_xlpm.val*$H28,""))</f>
        <v/>
      </c>
      <c r="S28" s="6" t="str">
        <f>_xlfn.LET(
_xlpm.rowNo, MATCH($C28&amp;"|"&amp;
($F28+S$4),Raw_Fund!$A:$A,0),
_xlpm.colNo,
MATCH(S$3,Raw_Fund!$E$1:$AZ$1,0),
_xlpm.val,
INDEX(Raw_Fund!$E:$AZ,_xlpm.rowNo,_xlpm.colNo),
IF(ISNUMBER(_xlpm.val),_xlpm.val*$H28,""))</f>
        <v/>
      </c>
      <c r="T28" s="6" t="str">
        <f>_xlfn.LET(
_xlpm.rowNo, MATCH($C28&amp;"|"&amp;
($F28+T$4),Raw_Fund!$A:$A,0),
_xlpm.colNo,
MATCH(T$3,Raw_Fund!$E$1:$AZ$1,0),
_xlpm.val,
INDEX(Raw_Fund!$E:$AZ,_xlpm.rowNo,_xlpm.colNo),
IF(ISNUMBER(_xlpm.val),_xlpm.val*$H28,""))</f>
        <v/>
      </c>
      <c r="U28" s="6" t="str">
        <f>_xlfn.LET(
_xlpm.rowNo, MATCH($C28&amp;"|"&amp;
($F28+U$4),Raw_Fund!$A:$A,0),
_xlpm.colNo,
MATCH(U$3,Raw_Fund!$E$1:$AZ$1,0),
_xlpm.val,
INDEX(Raw_Fund!$E:$AZ,_xlpm.rowNo,_xlpm.colNo),
IF(ISNUMBER(_xlpm.val),_xlpm.val*$H28,""))</f>
        <v/>
      </c>
      <c r="V28" s="6" t="str">
        <f>_xlfn.LET(
_xlpm.rowNo, MATCH($C28&amp;"|"&amp;
($F28+V$4),Raw_Fund!$A:$A,0),
_xlpm.colNo,
MATCH(V$3,Raw_Fund!$E$1:$AZ$1,0),
_xlpm.val,
INDEX(Raw_Fund!$E:$AZ,_xlpm.rowNo,_xlpm.colNo),
IF(ISNUMBER(_xlpm.val),_xlpm.val*$H28,""))</f>
        <v/>
      </c>
      <c r="W28" s="6" t="str">
        <f>_xlfn.LET(
_xlpm.rowNo, MATCH($C28&amp;"|"&amp;
($F28+W$4),Raw_Fund!$A:$A,0),
_xlpm.colNo,
MATCH(W$3,Raw_Fund!$E$1:$AZ$1,0),
_xlpm.val,
INDEX(Raw_Fund!$E:$AZ,_xlpm.rowNo,_xlpm.colNo),
IF(ISNUMBER(_xlpm.val),_xlpm.val*$H28,""))</f>
        <v/>
      </c>
      <c r="X28" s="6" t="str">
        <f>_xlfn.LET(
_xlpm.rowNo, MATCH($C28&amp;"|"&amp;
($F28+X$4),Raw_Fund!$A:$A,0),
_xlpm.colNo,
MATCH(X$3,Raw_Fund!$E$1:$AZ$1,0),
_xlpm.val,
INDEX(Raw_Fund!$E:$AZ,_xlpm.rowNo,_xlpm.colNo),
IF(ISNUMBER(_xlpm.val),_xlpm.val*$H28,""))</f>
        <v/>
      </c>
      <c r="Y28" s="6" t="str">
        <f>_xlfn.LET(
_xlpm.rowNo, MATCH($C28&amp;"|"&amp;
($F28+Y$4),Raw_Fund!$A:$A,0),
_xlpm.colNo,
MATCH(Y$3,Raw_Fund!$E$1:$AZ$1,0),
_xlpm.val,
INDEX(Raw_Fund!$E:$AZ,_xlpm.rowNo,_xlpm.colNo),
IF(ISNUMBER(_xlpm.val),_xlpm.val*$H28,""))</f>
        <v/>
      </c>
      <c r="Z28" s="6" t="e">
        <f>IF($E28&lt;&gt;"Include","",_xlfn.XLOOKUP($C28,Raw_Mkt!$A:$A,Raw_Mkt!$B:$B))</f>
        <v>#N/A</v>
      </c>
    </row>
    <row r="29" spans="1:26" x14ac:dyDescent="0.4">
      <c r="A29" t="str">
        <f>IF(Universe!A29&lt;&gt;"",Universe!A29,"")</f>
        <v>AJB</v>
      </c>
      <c r="B29" t="str">
        <f>IF(Universe!B29&lt;&gt;"",Universe!B29,"")</f>
        <v>AJ Bell</v>
      </c>
      <c r="C29" t="str">
        <f>IF(Universe!C29&lt;&gt;"",Universe!C29,"")</f>
        <v>GB00BFZNLB60</v>
      </c>
      <c r="D29" t="str">
        <f>IF(Universe!D29&lt;&gt;"",Universe!D29,"")</f>
        <v>Financials</v>
      </c>
      <c r="E29" t="str">
        <f>Universe!G29</f>
        <v>Exclude</v>
      </c>
      <c r="F29" t="str">
        <f>IF($E29&lt;&gt;"Include","",_xlfn.LET(_xlpm.latest,_xlfn.MAXIFS(Raw_Fund!$C:$C,Raw_Fund!$B:$B,Data!$C29),IF(_xlpm.latest=0,"",_xlpm.latest)))</f>
        <v/>
      </c>
      <c r="G29" t="str">
        <f>IF($F29="","",INDEX(Raw_Fund!$E:$AZ,MATCH($C29&amp;"|"&amp;$F29,Raw_Fund!$A:$A,0),MATCH(G$3,Raw_Fund!$E$1:$AZ$1,0)))</f>
        <v/>
      </c>
      <c r="H29" t="str">
        <f t="shared" si="0"/>
        <v/>
      </c>
      <c r="I29" s="6" t="str">
        <f>_xlfn.LET(
_xlpm.rowNo, MATCH($C29&amp;"|"&amp;
($F29+I$4),Raw_Fund!$A:$A,0),
_xlpm.colNo,
MATCH(I$3,Raw_Fund!$E$1:$AZ$1,0),
_xlpm.val,
INDEX(Raw_Fund!$E:$AZ,_xlpm.rowNo,_xlpm.colNo),
IF(ISNUMBER(_xlpm.val),_xlpm.val*$H29,""))</f>
        <v/>
      </c>
      <c r="J29" s="6" t="str">
        <f>_xlfn.LET(
_xlpm.rowNo, MATCH($C29&amp;"|"&amp;
($F29+J$4),Raw_Fund!$A:$A,0),
_xlpm.colNo,
MATCH(J$3,Raw_Fund!$E$1:$AZ$1,0),
_xlpm.val,
INDEX(Raw_Fund!$E:$AZ,_xlpm.rowNo,_xlpm.colNo),
IF(ISNUMBER(_xlpm.val),_xlpm.val*$H29,""))</f>
        <v/>
      </c>
      <c r="K29" s="6" t="str">
        <f>_xlfn.LET(
_xlpm.rowNo, MATCH($C29&amp;"|"&amp;
($F29+K$4),Raw_Fund!$A:$A,0),
_xlpm.colNo,
MATCH(K$3,Raw_Fund!$E$1:$AZ$1,0),
_xlpm.val,
INDEX(Raw_Fund!$E:$AZ,_xlpm.rowNo,_xlpm.colNo),
IF(ISNUMBER(_xlpm.val),_xlpm.val*$H29,""))</f>
        <v/>
      </c>
      <c r="L29" s="6" t="str">
        <f>_xlfn.LET(
_xlpm.rowNo, MATCH($C29&amp;"|"&amp;
($F29+L$4),Raw_Fund!$A:$A,0),
_xlpm.colNo,
MATCH(L$3,Raw_Fund!$E$1:$AZ$1,0),
_xlpm.val,
INDEX(Raw_Fund!$E:$AZ,_xlpm.rowNo,_xlpm.colNo),
IF(ISNUMBER(_xlpm.val),_xlpm.val*$H29,""))</f>
        <v/>
      </c>
      <c r="M29" s="6" t="str">
        <f>_xlfn.LET(
_xlpm.rowNo, MATCH($C29&amp;"|"&amp;
($F29+M$4),Raw_Fund!$A:$A,0),
_xlpm.colNo,
MATCH(M$3,Raw_Fund!$E$1:$AZ$1,0),
_xlpm.val,
INDEX(Raw_Fund!$E:$AZ,_xlpm.rowNo,_xlpm.colNo),
IF(ISNUMBER(_xlpm.val),_xlpm.val*$H29,""))</f>
        <v/>
      </c>
      <c r="N29" s="6" t="str">
        <f>_xlfn.LET(
_xlpm.rowNo, MATCH($C29&amp;"|"&amp;
($F29+N$4),Raw_Fund!$A:$A,0),
_xlpm.colNo,
MATCH(N$3,Raw_Fund!$E$1:$AZ$1,0),
_xlpm.val,
INDEX(Raw_Fund!$E:$AZ,_xlpm.rowNo,_xlpm.colNo),
IF(ISNUMBER(_xlpm.val),_xlpm.val*$H29,""))</f>
        <v/>
      </c>
      <c r="O29" s="6" t="str">
        <f>_xlfn.LET(
_xlpm.rowNo, MATCH($C29&amp;"|"&amp;
($F29+O$4),Raw_Fund!$A:$A,0),
_xlpm.colNo,
MATCH(O$3,Raw_Fund!$E$1:$AZ$1,0),
_xlpm.val,
INDEX(Raw_Fund!$E:$AZ,_xlpm.rowNo,_xlpm.colNo),
IF(ISNUMBER(_xlpm.val),_xlpm.val*$H29,""))</f>
        <v/>
      </c>
      <c r="P29" s="6" t="str">
        <f>_xlfn.LET(
_xlpm.rowNo, MATCH($C29&amp;"|"&amp;
($F29+P$4),Raw_Fund!$A:$A,0),
_xlpm.colNo,
MATCH(P$3,Raw_Fund!$E$1:$AZ$1,0),
_xlpm.val,
INDEX(Raw_Fund!$E:$AZ,_xlpm.rowNo,_xlpm.colNo),
IF(ISNUMBER(_xlpm.val),_xlpm.val*$H29,""))</f>
        <v/>
      </c>
      <c r="Q29" s="6" t="str">
        <f>_xlfn.LET(
_xlpm.rowNo, MATCH($C29&amp;"|"&amp;
($F29+Q$4),Raw_Fund!$A:$A,0),
_xlpm.colNo,
MATCH(Q$3,Raw_Fund!$E$1:$AZ$1,0),
_xlpm.val,
INDEX(Raw_Fund!$E:$AZ,_xlpm.rowNo,_xlpm.colNo),
IF(ISNUMBER(_xlpm.val),_xlpm.val*$H29,""))</f>
        <v/>
      </c>
      <c r="R29" s="6" t="str">
        <f>_xlfn.LET(
_xlpm.rowNo, MATCH($C29&amp;"|"&amp;
($F29+R$4),Raw_Fund!$A:$A,0),
_xlpm.colNo,
MATCH(R$3,Raw_Fund!$E$1:$AZ$1,0),
_xlpm.val,
INDEX(Raw_Fund!$E:$AZ,_xlpm.rowNo,_xlpm.colNo),
IF(ISNUMBER(_xlpm.val),_xlpm.val*$H29,""))</f>
        <v/>
      </c>
      <c r="S29" s="6" t="str">
        <f>_xlfn.LET(
_xlpm.rowNo, MATCH($C29&amp;"|"&amp;
($F29+S$4),Raw_Fund!$A:$A,0),
_xlpm.colNo,
MATCH(S$3,Raw_Fund!$E$1:$AZ$1,0),
_xlpm.val,
INDEX(Raw_Fund!$E:$AZ,_xlpm.rowNo,_xlpm.colNo),
IF(ISNUMBER(_xlpm.val),_xlpm.val*$H29,""))</f>
        <v/>
      </c>
      <c r="T29" s="6" t="str">
        <f>_xlfn.LET(
_xlpm.rowNo, MATCH($C29&amp;"|"&amp;
($F29+T$4),Raw_Fund!$A:$A,0),
_xlpm.colNo,
MATCH(T$3,Raw_Fund!$E$1:$AZ$1,0),
_xlpm.val,
INDEX(Raw_Fund!$E:$AZ,_xlpm.rowNo,_xlpm.colNo),
IF(ISNUMBER(_xlpm.val),_xlpm.val*$H29,""))</f>
        <v/>
      </c>
      <c r="U29" s="6" t="str">
        <f>_xlfn.LET(
_xlpm.rowNo, MATCH($C29&amp;"|"&amp;
($F29+U$4),Raw_Fund!$A:$A,0),
_xlpm.colNo,
MATCH(U$3,Raw_Fund!$E$1:$AZ$1,0),
_xlpm.val,
INDEX(Raw_Fund!$E:$AZ,_xlpm.rowNo,_xlpm.colNo),
IF(ISNUMBER(_xlpm.val),_xlpm.val*$H29,""))</f>
        <v/>
      </c>
      <c r="V29" s="6" t="str">
        <f>_xlfn.LET(
_xlpm.rowNo, MATCH($C29&amp;"|"&amp;
($F29+V$4),Raw_Fund!$A:$A,0),
_xlpm.colNo,
MATCH(V$3,Raw_Fund!$E$1:$AZ$1,0),
_xlpm.val,
INDEX(Raw_Fund!$E:$AZ,_xlpm.rowNo,_xlpm.colNo),
IF(ISNUMBER(_xlpm.val),_xlpm.val*$H29,""))</f>
        <v/>
      </c>
      <c r="W29" s="6" t="str">
        <f>_xlfn.LET(
_xlpm.rowNo, MATCH($C29&amp;"|"&amp;
($F29+W$4),Raw_Fund!$A:$A,0),
_xlpm.colNo,
MATCH(W$3,Raw_Fund!$E$1:$AZ$1,0),
_xlpm.val,
INDEX(Raw_Fund!$E:$AZ,_xlpm.rowNo,_xlpm.colNo),
IF(ISNUMBER(_xlpm.val),_xlpm.val*$H29,""))</f>
        <v/>
      </c>
      <c r="X29" s="6" t="str">
        <f>_xlfn.LET(
_xlpm.rowNo, MATCH($C29&amp;"|"&amp;
($F29+X$4),Raw_Fund!$A:$A,0),
_xlpm.colNo,
MATCH(X$3,Raw_Fund!$E$1:$AZ$1,0),
_xlpm.val,
INDEX(Raw_Fund!$E:$AZ,_xlpm.rowNo,_xlpm.colNo),
IF(ISNUMBER(_xlpm.val),_xlpm.val*$H29,""))</f>
        <v/>
      </c>
      <c r="Y29" s="6" t="str">
        <f>_xlfn.LET(
_xlpm.rowNo, MATCH($C29&amp;"|"&amp;
($F29+Y$4),Raw_Fund!$A:$A,0),
_xlpm.colNo,
MATCH(Y$3,Raw_Fund!$E$1:$AZ$1,0),
_xlpm.val,
INDEX(Raw_Fund!$E:$AZ,_xlpm.rowNo,_xlpm.colNo),
IF(ISNUMBER(_xlpm.val),_xlpm.val*$H29,""))</f>
        <v/>
      </c>
      <c r="Z29" s="6" t="str">
        <f>IF($E29&lt;&gt;"Include","",_xlfn.XLOOKUP($C29,Raw_Mkt!$A:$A,Raw_Mkt!$B:$B))</f>
        <v/>
      </c>
    </row>
    <row r="30" spans="1:26" x14ac:dyDescent="0.4">
      <c r="A30" t="str">
        <f>IF(Universe!A30&lt;&gt;"",Universe!A30,"")</f>
        <v>BWY</v>
      </c>
      <c r="B30" t="str">
        <f>IF(Universe!B30&lt;&gt;"",Universe!B30,"")</f>
        <v>Bellway</v>
      </c>
      <c r="C30" t="str">
        <f>IF(Universe!C30&lt;&gt;"",Universe!C30,"")</f>
        <v>GB0000904986</v>
      </c>
      <c r="D30" t="str">
        <f>IF(Universe!D30&lt;&gt;"",Universe!D30,"")</f>
        <v>Consumer Discretionary</v>
      </c>
      <c r="E30" t="str">
        <f>Universe!G30</f>
        <v>Include</v>
      </c>
      <c r="F30" t="str">
        <f>IF($E30&lt;&gt;"Include","",_xlfn.LET(_xlpm.latest,_xlfn.MAXIFS(Raw_Fund!$C:$C,Raw_Fund!$B:$B,Data!$C30),IF(_xlpm.latest=0,"",_xlpm.latest)))</f>
        <v/>
      </c>
      <c r="G30" t="str">
        <f>IF($F30="","",INDEX(Raw_Fund!$E:$AZ,MATCH($C30&amp;"|"&amp;$F30,Raw_Fund!$A:$A,0),MATCH(G$3,Raw_Fund!$E$1:$AZ$1,0)))</f>
        <v/>
      </c>
      <c r="H30" t="str">
        <f t="shared" si="0"/>
        <v/>
      </c>
      <c r="I30" s="6" t="str">
        <f>_xlfn.LET(
_xlpm.rowNo, MATCH($C30&amp;"|"&amp;
($F30+I$4),Raw_Fund!$A:$A,0),
_xlpm.colNo,
MATCH(I$3,Raw_Fund!$E$1:$AZ$1,0),
_xlpm.val,
INDEX(Raw_Fund!$E:$AZ,_xlpm.rowNo,_xlpm.colNo),
IF(ISNUMBER(_xlpm.val),_xlpm.val*$H30,""))</f>
        <v/>
      </c>
      <c r="J30" s="6" t="str">
        <f>_xlfn.LET(
_xlpm.rowNo, MATCH($C30&amp;"|"&amp;
($F30+J$4),Raw_Fund!$A:$A,0),
_xlpm.colNo,
MATCH(J$3,Raw_Fund!$E$1:$AZ$1,0),
_xlpm.val,
INDEX(Raw_Fund!$E:$AZ,_xlpm.rowNo,_xlpm.colNo),
IF(ISNUMBER(_xlpm.val),_xlpm.val*$H30,""))</f>
        <v/>
      </c>
      <c r="K30" s="6" t="str">
        <f>_xlfn.LET(
_xlpm.rowNo, MATCH($C30&amp;"|"&amp;
($F30+K$4),Raw_Fund!$A:$A,0),
_xlpm.colNo,
MATCH(K$3,Raw_Fund!$E$1:$AZ$1,0),
_xlpm.val,
INDEX(Raw_Fund!$E:$AZ,_xlpm.rowNo,_xlpm.colNo),
IF(ISNUMBER(_xlpm.val),_xlpm.val*$H30,""))</f>
        <v/>
      </c>
      <c r="L30" s="6" t="str">
        <f>_xlfn.LET(
_xlpm.rowNo, MATCH($C30&amp;"|"&amp;
($F30+L$4),Raw_Fund!$A:$A,0),
_xlpm.colNo,
MATCH(L$3,Raw_Fund!$E$1:$AZ$1,0),
_xlpm.val,
INDEX(Raw_Fund!$E:$AZ,_xlpm.rowNo,_xlpm.colNo),
IF(ISNUMBER(_xlpm.val),_xlpm.val*$H30,""))</f>
        <v/>
      </c>
      <c r="M30" s="6" t="str">
        <f>_xlfn.LET(
_xlpm.rowNo, MATCH($C30&amp;"|"&amp;
($F30+M$4),Raw_Fund!$A:$A,0),
_xlpm.colNo,
MATCH(M$3,Raw_Fund!$E$1:$AZ$1,0),
_xlpm.val,
INDEX(Raw_Fund!$E:$AZ,_xlpm.rowNo,_xlpm.colNo),
IF(ISNUMBER(_xlpm.val),_xlpm.val*$H30,""))</f>
        <v/>
      </c>
      <c r="N30" s="6" t="str">
        <f>_xlfn.LET(
_xlpm.rowNo, MATCH($C30&amp;"|"&amp;
($F30+N$4),Raw_Fund!$A:$A,0),
_xlpm.colNo,
MATCH(N$3,Raw_Fund!$E$1:$AZ$1,0),
_xlpm.val,
INDEX(Raw_Fund!$E:$AZ,_xlpm.rowNo,_xlpm.colNo),
IF(ISNUMBER(_xlpm.val),_xlpm.val*$H30,""))</f>
        <v/>
      </c>
      <c r="O30" s="6" t="str">
        <f>_xlfn.LET(
_xlpm.rowNo, MATCH($C30&amp;"|"&amp;
($F30+O$4),Raw_Fund!$A:$A,0),
_xlpm.colNo,
MATCH(O$3,Raw_Fund!$E$1:$AZ$1,0),
_xlpm.val,
INDEX(Raw_Fund!$E:$AZ,_xlpm.rowNo,_xlpm.colNo),
IF(ISNUMBER(_xlpm.val),_xlpm.val*$H30,""))</f>
        <v/>
      </c>
      <c r="P30" s="6" t="str">
        <f>_xlfn.LET(
_xlpm.rowNo, MATCH($C30&amp;"|"&amp;
($F30+P$4),Raw_Fund!$A:$A,0),
_xlpm.colNo,
MATCH(P$3,Raw_Fund!$E$1:$AZ$1,0),
_xlpm.val,
INDEX(Raw_Fund!$E:$AZ,_xlpm.rowNo,_xlpm.colNo),
IF(ISNUMBER(_xlpm.val),_xlpm.val*$H30,""))</f>
        <v/>
      </c>
      <c r="Q30" s="6" t="str">
        <f>_xlfn.LET(
_xlpm.rowNo, MATCH($C30&amp;"|"&amp;
($F30+Q$4),Raw_Fund!$A:$A,0),
_xlpm.colNo,
MATCH(Q$3,Raw_Fund!$E$1:$AZ$1,0),
_xlpm.val,
INDEX(Raw_Fund!$E:$AZ,_xlpm.rowNo,_xlpm.colNo),
IF(ISNUMBER(_xlpm.val),_xlpm.val*$H30,""))</f>
        <v/>
      </c>
      <c r="R30" s="6" t="str">
        <f>_xlfn.LET(
_xlpm.rowNo, MATCH($C30&amp;"|"&amp;
($F30+R$4),Raw_Fund!$A:$A,0),
_xlpm.colNo,
MATCH(R$3,Raw_Fund!$E$1:$AZ$1,0),
_xlpm.val,
INDEX(Raw_Fund!$E:$AZ,_xlpm.rowNo,_xlpm.colNo),
IF(ISNUMBER(_xlpm.val),_xlpm.val*$H30,""))</f>
        <v/>
      </c>
      <c r="S30" s="6" t="str">
        <f>_xlfn.LET(
_xlpm.rowNo, MATCH($C30&amp;"|"&amp;
($F30+S$4),Raw_Fund!$A:$A,0),
_xlpm.colNo,
MATCH(S$3,Raw_Fund!$E$1:$AZ$1,0),
_xlpm.val,
INDEX(Raw_Fund!$E:$AZ,_xlpm.rowNo,_xlpm.colNo),
IF(ISNUMBER(_xlpm.val),_xlpm.val*$H30,""))</f>
        <v/>
      </c>
      <c r="T30" s="6" t="str">
        <f>_xlfn.LET(
_xlpm.rowNo, MATCH($C30&amp;"|"&amp;
($F30+T$4),Raw_Fund!$A:$A,0),
_xlpm.colNo,
MATCH(T$3,Raw_Fund!$E$1:$AZ$1,0),
_xlpm.val,
INDEX(Raw_Fund!$E:$AZ,_xlpm.rowNo,_xlpm.colNo),
IF(ISNUMBER(_xlpm.val),_xlpm.val*$H30,""))</f>
        <v/>
      </c>
      <c r="U30" s="6" t="str">
        <f>_xlfn.LET(
_xlpm.rowNo, MATCH($C30&amp;"|"&amp;
($F30+U$4),Raw_Fund!$A:$A,0),
_xlpm.colNo,
MATCH(U$3,Raw_Fund!$E$1:$AZ$1,0),
_xlpm.val,
INDEX(Raw_Fund!$E:$AZ,_xlpm.rowNo,_xlpm.colNo),
IF(ISNUMBER(_xlpm.val),_xlpm.val*$H30,""))</f>
        <v/>
      </c>
      <c r="V30" s="6" t="str">
        <f>_xlfn.LET(
_xlpm.rowNo, MATCH($C30&amp;"|"&amp;
($F30+V$4),Raw_Fund!$A:$A,0),
_xlpm.colNo,
MATCH(V$3,Raw_Fund!$E$1:$AZ$1,0),
_xlpm.val,
INDEX(Raw_Fund!$E:$AZ,_xlpm.rowNo,_xlpm.colNo),
IF(ISNUMBER(_xlpm.val),_xlpm.val*$H30,""))</f>
        <v/>
      </c>
      <c r="W30" s="6" t="str">
        <f>_xlfn.LET(
_xlpm.rowNo, MATCH($C30&amp;"|"&amp;
($F30+W$4),Raw_Fund!$A:$A,0),
_xlpm.colNo,
MATCH(W$3,Raw_Fund!$E$1:$AZ$1,0),
_xlpm.val,
INDEX(Raw_Fund!$E:$AZ,_xlpm.rowNo,_xlpm.colNo),
IF(ISNUMBER(_xlpm.val),_xlpm.val*$H30,""))</f>
        <v/>
      </c>
      <c r="X30" s="6" t="str">
        <f>_xlfn.LET(
_xlpm.rowNo, MATCH($C30&amp;"|"&amp;
($F30+X$4),Raw_Fund!$A:$A,0),
_xlpm.colNo,
MATCH(X$3,Raw_Fund!$E$1:$AZ$1,0),
_xlpm.val,
INDEX(Raw_Fund!$E:$AZ,_xlpm.rowNo,_xlpm.colNo),
IF(ISNUMBER(_xlpm.val),_xlpm.val*$H30,""))</f>
        <v/>
      </c>
      <c r="Y30" s="6" t="str">
        <f>_xlfn.LET(
_xlpm.rowNo, MATCH($C30&amp;"|"&amp;
($F30+Y$4),Raw_Fund!$A:$A,0),
_xlpm.colNo,
MATCH(Y$3,Raw_Fund!$E$1:$AZ$1,0),
_xlpm.val,
INDEX(Raw_Fund!$E:$AZ,_xlpm.rowNo,_xlpm.colNo),
IF(ISNUMBER(_xlpm.val),_xlpm.val*$H30,""))</f>
        <v/>
      </c>
      <c r="Z30" s="6" t="e">
        <f>IF($E30&lt;&gt;"Include","",_xlfn.XLOOKUP($C30,Raw_Mkt!$A:$A,Raw_Mkt!$B:$B))</f>
        <v>#N/A</v>
      </c>
    </row>
    <row r="31" spans="1:26" x14ac:dyDescent="0.4">
      <c r="A31" t="str">
        <f>IF(Universe!A31&lt;&gt;"",Universe!A31,"")</f>
        <v>BKG</v>
      </c>
      <c r="B31" t="str">
        <f>IF(Universe!B31&lt;&gt;"",Universe!B31,"")</f>
        <v>Berkeley Group Holdings</v>
      </c>
      <c r="C31" t="str">
        <f>IF(Universe!C31&lt;&gt;"",Universe!C31,"")</f>
        <v>GB00BP0RGD03</v>
      </c>
      <c r="D31" t="str">
        <f>IF(Universe!D31&lt;&gt;"",Universe!D31,"")</f>
        <v>Consumer Discretionary</v>
      </c>
      <c r="E31" t="str">
        <f>Universe!G31</f>
        <v>Include</v>
      </c>
      <c r="F31" t="str">
        <f>IF($E31&lt;&gt;"Include","",_xlfn.LET(_xlpm.latest,_xlfn.MAXIFS(Raw_Fund!$C:$C,Raw_Fund!$B:$B,Data!$C31),IF(_xlpm.latest=0,"",_xlpm.latest)))</f>
        <v/>
      </c>
      <c r="G31" t="str">
        <f>IF($F31="","",INDEX(Raw_Fund!$E:$AZ,MATCH($C31&amp;"|"&amp;$F31,Raw_Fund!$A:$A,0),MATCH(G$3,Raw_Fund!$E$1:$AZ$1,0)))</f>
        <v/>
      </c>
      <c r="H31" t="str">
        <f t="shared" si="0"/>
        <v/>
      </c>
      <c r="I31" s="6" t="str">
        <f>_xlfn.LET(
_xlpm.rowNo, MATCH($C31&amp;"|"&amp;
($F31+I$4),Raw_Fund!$A:$A,0),
_xlpm.colNo,
MATCH(I$3,Raw_Fund!$E$1:$AZ$1,0),
_xlpm.val,
INDEX(Raw_Fund!$E:$AZ,_xlpm.rowNo,_xlpm.colNo),
IF(ISNUMBER(_xlpm.val),_xlpm.val*$H31,""))</f>
        <v/>
      </c>
      <c r="J31" s="6" t="str">
        <f>_xlfn.LET(
_xlpm.rowNo, MATCH($C31&amp;"|"&amp;
($F31+J$4),Raw_Fund!$A:$A,0),
_xlpm.colNo,
MATCH(J$3,Raw_Fund!$E$1:$AZ$1,0),
_xlpm.val,
INDEX(Raw_Fund!$E:$AZ,_xlpm.rowNo,_xlpm.colNo),
IF(ISNUMBER(_xlpm.val),_xlpm.val*$H31,""))</f>
        <v/>
      </c>
      <c r="K31" s="6" t="str">
        <f>_xlfn.LET(
_xlpm.rowNo, MATCH($C31&amp;"|"&amp;
($F31+K$4),Raw_Fund!$A:$A,0),
_xlpm.colNo,
MATCH(K$3,Raw_Fund!$E$1:$AZ$1,0),
_xlpm.val,
INDEX(Raw_Fund!$E:$AZ,_xlpm.rowNo,_xlpm.colNo),
IF(ISNUMBER(_xlpm.val),_xlpm.val*$H31,""))</f>
        <v/>
      </c>
      <c r="L31" s="6" t="str">
        <f>_xlfn.LET(
_xlpm.rowNo, MATCH($C31&amp;"|"&amp;
($F31+L$4),Raw_Fund!$A:$A,0),
_xlpm.colNo,
MATCH(L$3,Raw_Fund!$E$1:$AZ$1,0),
_xlpm.val,
INDEX(Raw_Fund!$E:$AZ,_xlpm.rowNo,_xlpm.colNo),
IF(ISNUMBER(_xlpm.val),_xlpm.val*$H31,""))</f>
        <v/>
      </c>
      <c r="M31" s="6" t="str">
        <f>_xlfn.LET(
_xlpm.rowNo, MATCH($C31&amp;"|"&amp;
($F31+M$4),Raw_Fund!$A:$A,0),
_xlpm.colNo,
MATCH(M$3,Raw_Fund!$E$1:$AZ$1,0),
_xlpm.val,
INDEX(Raw_Fund!$E:$AZ,_xlpm.rowNo,_xlpm.colNo),
IF(ISNUMBER(_xlpm.val),_xlpm.val*$H31,""))</f>
        <v/>
      </c>
      <c r="N31" s="6" t="str">
        <f>_xlfn.LET(
_xlpm.rowNo, MATCH($C31&amp;"|"&amp;
($F31+N$4),Raw_Fund!$A:$A,0),
_xlpm.colNo,
MATCH(N$3,Raw_Fund!$E$1:$AZ$1,0),
_xlpm.val,
INDEX(Raw_Fund!$E:$AZ,_xlpm.rowNo,_xlpm.colNo),
IF(ISNUMBER(_xlpm.val),_xlpm.val*$H31,""))</f>
        <v/>
      </c>
      <c r="O31" s="6" t="str">
        <f>_xlfn.LET(
_xlpm.rowNo, MATCH($C31&amp;"|"&amp;
($F31+O$4),Raw_Fund!$A:$A,0),
_xlpm.colNo,
MATCH(O$3,Raw_Fund!$E$1:$AZ$1,0),
_xlpm.val,
INDEX(Raw_Fund!$E:$AZ,_xlpm.rowNo,_xlpm.colNo),
IF(ISNUMBER(_xlpm.val),_xlpm.val*$H31,""))</f>
        <v/>
      </c>
      <c r="P31" s="6" t="str">
        <f>_xlfn.LET(
_xlpm.rowNo, MATCH($C31&amp;"|"&amp;
($F31+P$4),Raw_Fund!$A:$A,0),
_xlpm.colNo,
MATCH(P$3,Raw_Fund!$E$1:$AZ$1,0),
_xlpm.val,
INDEX(Raw_Fund!$E:$AZ,_xlpm.rowNo,_xlpm.colNo),
IF(ISNUMBER(_xlpm.val),_xlpm.val*$H31,""))</f>
        <v/>
      </c>
      <c r="Q31" s="6" t="str">
        <f>_xlfn.LET(
_xlpm.rowNo, MATCH($C31&amp;"|"&amp;
($F31+Q$4),Raw_Fund!$A:$A,0),
_xlpm.colNo,
MATCH(Q$3,Raw_Fund!$E$1:$AZ$1,0),
_xlpm.val,
INDEX(Raw_Fund!$E:$AZ,_xlpm.rowNo,_xlpm.colNo),
IF(ISNUMBER(_xlpm.val),_xlpm.val*$H31,""))</f>
        <v/>
      </c>
      <c r="R31" s="6" t="str">
        <f>_xlfn.LET(
_xlpm.rowNo, MATCH($C31&amp;"|"&amp;
($F31+R$4),Raw_Fund!$A:$A,0),
_xlpm.colNo,
MATCH(R$3,Raw_Fund!$E$1:$AZ$1,0),
_xlpm.val,
INDEX(Raw_Fund!$E:$AZ,_xlpm.rowNo,_xlpm.colNo),
IF(ISNUMBER(_xlpm.val),_xlpm.val*$H31,""))</f>
        <v/>
      </c>
      <c r="S31" s="6" t="str">
        <f>_xlfn.LET(
_xlpm.rowNo, MATCH($C31&amp;"|"&amp;
($F31+S$4),Raw_Fund!$A:$A,0),
_xlpm.colNo,
MATCH(S$3,Raw_Fund!$E$1:$AZ$1,0),
_xlpm.val,
INDEX(Raw_Fund!$E:$AZ,_xlpm.rowNo,_xlpm.colNo),
IF(ISNUMBER(_xlpm.val),_xlpm.val*$H31,""))</f>
        <v/>
      </c>
      <c r="T31" s="6" t="str">
        <f>_xlfn.LET(
_xlpm.rowNo, MATCH($C31&amp;"|"&amp;
($F31+T$4),Raw_Fund!$A:$A,0),
_xlpm.colNo,
MATCH(T$3,Raw_Fund!$E$1:$AZ$1,0),
_xlpm.val,
INDEX(Raw_Fund!$E:$AZ,_xlpm.rowNo,_xlpm.colNo),
IF(ISNUMBER(_xlpm.val),_xlpm.val*$H31,""))</f>
        <v/>
      </c>
      <c r="U31" s="6" t="str">
        <f>_xlfn.LET(
_xlpm.rowNo, MATCH($C31&amp;"|"&amp;
($F31+U$4),Raw_Fund!$A:$A,0),
_xlpm.colNo,
MATCH(U$3,Raw_Fund!$E$1:$AZ$1,0),
_xlpm.val,
INDEX(Raw_Fund!$E:$AZ,_xlpm.rowNo,_xlpm.colNo),
IF(ISNUMBER(_xlpm.val),_xlpm.val*$H31,""))</f>
        <v/>
      </c>
      <c r="V31" s="6" t="str">
        <f>_xlfn.LET(
_xlpm.rowNo, MATCH($C31&amp;"|"&amp;
($F31+V$4),Raw_Fund!$A:$A,0),
_xlpm.colNo,
MATCH(V$3,Raw_Fund!$E$1:$AZ$1,0),
_xlpm.val,
INDEX(Raw_Fund!$E:$AZ,_xlpm.rowNo,_xlpm.colNo),
IF(ISNUMBER(_xlpm.val),_xlpm.val*$H31,""))</f>
        <v/>
      </c>
      <c r="W31" s="6" t="str">
        <f>_xlfn.LET(
_xlpm.rowNo, MATCH($C31&amp;"|"&amp;
($F31+W$4),Raw_Fund!$A:$A,0),
_xlpm.colNo,
MATCH(W$3,Raw_Fund!$E$1:$AZ$1,0),
_xlpm.val,
INDEX(Raw_Fund!$E:$AZ,_xlpm.rowNo,_xlpm.colNo),
IF(ISNUMBER(_xlpm.val),_xlpm.val*$H31,""))</f>
        <v/>
      </c>
      <c r="X31" s="6" t="str">
        <f>_xlfn.LET(
_xlpm.rowNo, MATCH($C31&amp;"|"&amp;
($F31+X$4),Raw_Fund!$A:$A,0),
_xlpm.colNo,
MATCH(X$3,Raw_Fund!$E$1:$AZ$1,0),
_xlpm.val,
INDEX(Raw_Fund!$E:$AZ,_xlpm.rowNo,_xlpm.colNo),
IF(ISNUMBER(_xlpm.val),_xlpm.val*$H31,""))</f>
        <v/>
      </c>
      <c r="Y31" s="6" t="str">
        <f>_xlfn.LET(
_xlpm.rowNo, MATCH($C31&amp;"|"&amp;
($F31+Y$4),Raw_Fund!$A:$A,0),
_xlpm.colNo,
MATCH(Y$3,Raw_Fund!$E$1:$AZ$1,0),
_xlpm.val,
INDEX(Raw_Fund!$E:$AZ,_xlpm.rowNo,_xlpm.colNo),
IF(ISNUMBER(_xlpm.val),_xlpm.val*$H31,""))</f>
        <v/>
      </c>
      <c r="Z31" s="6" t="e">
        <f>IF($E31&lt;&gt;"Include","",_xlfn.XLOOKUP($C31,Raw_Mkt!$A:$A,Raw_Mkt!$B:$B))</f>
        <v>#N/A</v>
      </c>
    </row>
    <row r="32" spans="1:26" x14ac:dyDescent="0.4">
      <c r="A32" t="str">
        <f>IF(Universe!A32&lt;&gt;"",Universe!A32,"")</f>
        <v>BHMG</v>
      </c>
      <c r="B32" t="str">
        <f>IF(Universe!B32&lt;&gt;"",Universe!B32,"")</f>
        <v>BH Macro</v>
      </c>
      <c r="C32" t="str">
        <f>IF(Universe!C32&lt;&gt;"",Universe!C32,"")</f>
        <v>GG00BQBFY362</v>
      </c>
      <c r="D32" t="str">
        <f>IF(Universe!D32&lt;&gt;"",Universe!D32,"")</f>
        <v>Financials</v>
      </c>
      <c r="E32" t="str">
        <f>Universe!G32</f>
        <v>Exclude</v>
      </c>
      <c r="F32" t="str">
        <f>IF($E32&lt;&gt;"Include","",_xlfn.LET(_xlpm.latest,_xlfn.MAXIFS(Raw_Fund!$C:$C,Raw_Fund!$B:$B,Data!$C32),IF(_xlpm.latest=0,"",_xlpm.latest)))</f>
        <v/>
      </c>
      <c r="G32" t="str">
        <f>IF($F32="","",INDEX(Raw_Fund!$E:$AZ,MATCH($C32&amp;"|"&amp;$F32,Raw_Fund!$A:$A,0),MATCH(G$3,Raw_Fund!$E$1:$AZ$1,0)))</f>
        <v/>
      </c>
      <c r="H32" t="str">
        <f t="shared" si="0"/>
        <v/>
      </c>
      <c r="I32" s="6" t="str">
        <f>_xlfn.LET(
_xlpm.rowNo, MATCH($C32&amp;"|"&amp;
($F32+I$4),Raw_Fund!$A:$A,0),
_xlpm.colNo,
MATCH(I$3,Raw_Fund!$E$1:$AZ$1,0),
_xlpm.val,
INDEX(Raw_Fund!$E:$AZ,_xlpm.rowNo,_xlpm.colNo),
IF(ISNUMBER(_xlpm.val),_xlpm.val*$H32,""))</f>
        <v/>
      </c>
      <c r="J32" s="6" t="str">
        <f>_xlfn.LET(
_xlpm.rowNo, MATCH($C32&amp;"|"&amp;
($F32+J$4),Raw_Fund!$A:$A,0),
_xlpm.colNo,
MATCH(J$3,Raw_Fund!$E$1:$AZ$1,0),
_xlpm.val,
INDEX(Raw_Fund!$E:$AZ,_xlpm.rowNo,_xlpm.colNo),
IF(ISNUMBER(_xlpm.val),_xlpm.val*$H32,""))</f>
        <v/>
      </c>
      <c r="K32" s="6" t="str">
        <f>_xlfn.LET(
_xlpm.rowNo, MATCH($C32&amp;"|"&amp;
($F32+K$4),Raw_Fund!$A:$A,0),
_xlpm.colNo,
MATCH(K$3,Raw_Fund!$E$1:$AZ$1,0),
_xlpm.val,
INDEX(Raw_Fund!$E:$AZ,_xlpm.rowNo,_xlpm.colNo),
IF(ISNUMBER(_xlpm.val),_xlpm.val*$H32,""))</f>
        <v/>
      </c>
      <c r="L32" s="6" t="str">
        <f>_xlfn.LET(
_xlpm.rowNo, MATCH($C32&amp;"|"&amp;
($F32+L$4),Raw_Fund!$A:$A,0),
_xlpm.colNo,
MATCH(L$3,Raw_Fund!$E$1:$AZ$1,0),
_xlpm.val,
INDEX(Raw_Fund!$E:$AZ,_xlpm.rowNo,_xlpm.colNo),
IF(ISNUMBER(_xlpm.val),_xlpm.val*$H32,""))</f>
        <v/>
      </c>
      <c r="M32" s="6" t="str">
        <f>_xlfn.LET(
_xlpm.rowNo, MATCH($C32&amp;"|"&amp;
($F32+M$4),Raw_Fund!$A:$A,0),
_xlpm.colNo,
MATCH(M$3,Raw_Fund!$E$1:$AZ$1,0),
_xlpm.val,
INDEX(Raw_Fund!$E:$AZ,_xlpm.rowNo,_xlpm.colNo),
IF(ISNUMBER(_xlpm.val),_xlpm.val*$H32,""))</f>
        <v/>
      </c>
      <c r="N32" s="6" t="str">
        <f>_xlfn.LET(
_xlpm.rowNo, MATCH($C32&amp;"|"&amp;
($F32+N$4),Raw_Fund!$A:$A,0),
_xlpm.colNo,
MATCH(N$3,Raw_Fund!$E$1:$AZ$1,0),
_xlpm.val,
INDEX(Raw_Fund!$E:$AZ,_xlpm.rowNo,_xlpm.colNo),
IF(ISNUMBER(_xlpm.val),_xlpm.val*$H32,""))</f>
        <v/>
      </c>
      <c r="O32" s="6" t="str">
        <f>_xlfn.LET(
_xlpm.rowNo, MATCH($C32&amp;"|"&amp;
($F32+O$4),Raw_Fund!$A:$A,0),
_xlpm.colNo,
MATCH(O$3,Raw_Fund!$E$1:$AZ$1,0),
_xlpm.val,
INDEX(Raw_Fund!$E:$AZ,_xlpm.rowNo,_xlpm.colNo),
IF(ISNUMBER(_xlpm.val),_xlpm.val*$H32,""))</f>
        <v/>
      </c>
      <c r="P32" s="6" t="str">
        <f>_xlfn.LET(
_xlpm.rowNo, MATCH($C32&amp;"|"&amp;
($F32+P$4),Raw_Fund!$A:$A,0),
_xlpm.colNo,
MATCH(P$3,Raw_Fund!$E$1:$AZ$1,0),
_xlpm.val,
INDEX(Raw_Fund!$E:$AZ,_xlpm.rowNo,_xlpm.colNo),
IF(ISNUMBER(_xlpm.val),_xlpm.val*$H32,""))</f>
        <v/>
      </c>
      <c r="Q32" s="6" t="str">
        <f>_xlfn.LET(
_xlpm.rowNo, MATCH($C32&amp;"|"&amp;
($F32+Q$4),Raw_Fund!$A:$A,0),
_xlpm.colNo,
MATCH(Q$3,Raw_Fund!$E$1:$AZ$1,0),
_xlpm.val,
INDEX(Raw_Fund!$E:$AZ,_xlpm.rowNo,_xlpm.colNo),
IF(ISNUMBER(_xlpm.val),_xlpm.val*$H32,""))</f>
        <v/>
      </c>
      <c r="R32" s="6" t="str">
        <f>_xlfn.LET(
_xlpm.rowNo, MATCH($C32&amp;"|"&amp;
($F32+R$4),Raw_Fund!$A:$A,0),
_xlpm.colNo,
MATCH(R$3,Raw_Fund!$E$1:$AZ$1,0),
_xlpm.val,
INDEX(Raw_Fund!$E:$AZ,_xlpm.rowNo,_xlpm.colNo),
IF(ISNUMBER(_xlpm.val),_xlpm.val*$H32,""))</f>
        <v/>
      </c>
      <c r="S32" s="6" t="str">
        <f>_xlfn.LET(
_xlpm.rowNo, MATCH($C32&amp;"|"&amp;
($F32+S$4),Raw_Fund!$A:$A,0),
_xlpm.colNo,
MATCH(S$3,Raw_Fund!$E$1:$AZ$1,0),
_xlpm.val,
INDEX(Raw_Fund!$E:$AZ,_xlpm.rowNo,_xlpm.colNo),
IF(ISNUMBER(_xlpm.val),_xlpm.val*$H32,""))</f>
        <v/>
      </c>
      <c r="T32" s="6" t="str">
        <f>_xlfn.LET(
_xlpm.rowNo, MATCH($C32&amp;"|"&amp;
($F32+T$4),Raw_Fund!$A:$A,0),
_xlpm.colNo,
MATCH(T$3,Raw_Fund!$E$1:$AZ$1,0),
_xlpm.val,
INDEX(Raw_Fund!$E:$AZ,_xlpm.rowNo,_xlpm.colNo),
IF(ISNUMBER(_xlpm.val),_xlpm.val*$H32,""))</f>
        <v/>
      </c>
      <c r="U32" s="6" t="str">
        <f>_xlfn.LET(
_xlpm.rowNo, MATCH($C32&amp;"|"&amp;
($F32+U$4),Raw_Fund!$A:$A,0),
_xlpm.colNo,
MATCH(U$3,Raw_Fund!$E$1:$AZ$1,0),
_xlpm.val,
INDEX(Raw_Fund!$E:$AZ,_xlpm.rowNo,_xlpm.colNo),
IF(ISNUMBER(_xlpm.val),_xlpm.val*$H32,""))</f>
        <v/>
      </c>
      <c r="V32" s="6" t="str">
        <f>_xlfn.LET(
_xlpm.rowNo, MATCH($C32&amp;"|"&amp;
($F32+V$4),Raw_Fund!$A:$A,0),
_xlpm.colNo,
MATCH(V$3,Raw_Fund!$E$1:$AZ$1,0),
_xlpm.val,
INDEX(Raw_Fund!$E:$AZ,_xlpm.rowNo,_xlpm.colNo),
IF(ISNUMBER(_xlpm.val),_xlpm.val*$H32,""))</f>
        <v/>
      </c>
      <c r="W32" s="6" t="str">
        <f>_xlfn.LET(
_xlpm.rowNo, MATCH($C32&amp;"|"&amp;
($F32+W$4),Raw_Fund!$A:$A,0),
_xlpm.colNo,
MATCH(W$3,Raw_Fund!$E$1:$AZ$1,0),
_xlpm.val,
INDEX(Raw_Fund!$E:$AZ,_xlpm.rowNo,_xlpm.colNo),
IF(ISNUMBER(_xlpm.val),_xlpm.val*$H32,""))</f>
        <v/>
      </c>
      <c r="X32" s="6" t="str">
        <f>_xlfn.LET(
_xlpm.rowNo, MATCH($C32&amp;"|"&amp;
($F32+X$4),Raw_Fund!$A:$A,0),
_xlpm.colNo,
MATCH(X$3,Raw_Fund!$E$1:$AZ$1,0),
_xlpm.val,
INDEX(Raw_Fund!$E:$AZ,_xlpm.rowNo,_xlpm.colNo),
IF(ISNUMBER(_xlpm.val),_xlpm.val*$H32,""))</f>
        <v/>
      </c>
      <c r="Y32" s="6" t="str">
        <f>_xlfn.LET(
_xlpm.rowNo, MATCH($C32&amp;"|"&amp;
($F32+Y$4),Raw_Fund!$A:$A,0),
_xlpm.colNo,
MATCH(Y$3,Raw_Fund!$E$1:$AZ$1,0),
_xlpm.val,
INDEX(Raw_Fund!$E:$AZ,_xlpm.rowNo,_xlpm.colNo),
IF(ISNUMBER(_xlpm.val),_xlpm.val*$H32,""))</f>
        <v/>
      </c>
      <c r="Z32" s="6" t="str">
        <f>IF($E32&lt;&gt;"Include","",_xlfn.XLOOKUP($C32,Raw_Mkt!$A:$A,Raw_Mkt!$B:$B))</f>
        <v/>
      </c>
    </row>
    <row r="33" spans="1:26" x14ac:dyDescent="0.4">
      <c r="A33" t="str">
        <f>IF(Universe!A33&lt;&gt;"",Universe!A33,"")</f>
        <v>BYG</v>
      </c>
      <c r="B33" t="str">
        <f>IF(Universe!B33&lt;&gt;"",Universe!B33,"")</f>
        <v>Big Yellow Group</v>
      </c>
      <c r="C33" t="str">
        <f>IF(Universe!C33&lt;&gt;"",Universe!C33,"")</f>
        <v>GB0002869419</v>
      </c>
      <c r="D33" t="str">
        <f>IF(Universe!D33&lt;&gt;"",Universe!D33,"")</f>
        <v>Real Estate</v>
      </c>
      <c r="E33" t="str">
        <f>Universe!G33</f>
        <v>Exclude</v>
      </c>
      <c r="F33" t="str">
        <f>IF($E33&lt;&gt;"Include","",_xlfn.LET(_xlpm.latest,_xlfn.MAXIFS(Raw_Fund!$C:$C,Raw_Fund!$B:$B,Data!$C33),IF(_xlpm.latest=0,"",_xlpm.latest)))</f>
        <v/>
      </c>
      <c r="G33" t="str">
        <f>IF($F33="","",INDEX(Raw_Fund!$E:$AZ,MATCH($C33&amp;"|"&amp;$F33,Raw_Fund!$A:$A,0),MATCH(G$3,Raw_Fund!$E$1:$AZ$1,0)))</f>
        <v/>
      </c>
      <c r="H33" t="str">
        <f t="shared" si="0"/>
        <v/>
      </c>
      <c r="I33" s="6" t="str">
        <f>_xlfn.LET(
_xlpm.rowNo, MATCH($C33&amp;"|"&amp;
($F33+I$4),Raw_Fund!$A:$A,0),
_xlpm.colNo,
MATCH(I$3,Raw_Fund!$E$1:$AZ$1,0),
_xlpm.val,
INDEX(Raw_Fund!$E:$AZ,_xlpm.rowNo,_xlpm.colNo),
IF(ISNUMBER(_xlpm.val),_xlpm.val*$H33,""))</f>
        <v/>
      </c>
      <c r="J33" s="6" t="str">
        <f>_xlfn.LET(
_xlpm.rowNo, MATCH($C33&amp;"|"&amp;
($F33+J$4),Raw_Fund!$A:$A,0),
_xlpm.colNo,
MATCH(J$3,Raw_Fund!$E$1:$AZ$1,0),
_xlpm.val,
INDEX(Raw_Fund!$E:$AZ,_xlpm.rowNo,_xlpm.colNo),
IF(ISNUMBER(_xlpm.val),_xlpm.val*$H33,""))</f>
        <v/>
      </c>
      <c r="K33" s="6" t="str">
        <f>_xlfn.LET(
_xlpm.rowNo, MATCH($C33&amp;"|"&amp;
($F33+K$4),Raw_Fund!$A:$A,0),
_xlpm.colNo,
MATCH(K$3,Raw_Fund!$E$1:$AZ$1,0),
_xlpm.val,
INDEX(Raw_Fund!$E:$AZ,_xlpm.rowNo,_xlpm.colNo),
IF(ISNUMBER(_xlpm.val),_xlpm.val*$H33,""))</f>
        <v/>
      </c>
      <c r="L33" s="6" t="str">
        <f>_xlfn.LET(
_xlpm.rowNo, MATCH($C33&amp;"|"&amp;
($F33+L$4),Raw_Fund!$A:$A,0),
_xlpm.colNo,
MATCH(L$3,Raw_Fund!$E$1:$AZ$1,0),
_xlpm.val,
INDEX(Raw_Fund!$E:$AZ,_xlpm.rowNo,_xlpm.colNo),
IF(ISNUMBER(_xlpm.val),_xlpm.val*$H33,""))</f>
        <v/>
      </c>
      <c r="M33" s="6" t="str">
        <f>_xlfn.LET(
_xlpm.rowNo, MATCH($C33&amp;"|"&amp;
($F33+M$4),Raw_Fund!$A:$A,0),
_xlpm.colNo,
MATCH(M$3,Raw_Fund!$E$1:$AZ$1,0),
_xlpm.val,
INDEX(Raw_Fund!$E:$AZ,_xlpm.rowNo,_xlpm.colNo),
IF(ISNUMBER(_xlpm.val),_xlpm.val*$H33,""))</f>
        <v/>
      </c>
      <c r="N33" s="6" t="str">
        <f>_xlfn.LET(
_xlpm.rowNo, MATCH($C33&amp;"|"&amp;
($F33+N$4),Raw_Fund!$A:$A,0),
_xlpm.colNo,
MATCH(N$3,Raw_Fund!$E$1:$AZ$1,0),
_xlpm.val,
INDEX(Raw_Fund!$E:$AZ,_xlpm.rowNo,_xlpm.colNo),
IF(ISNUMBER(_xlpm.val),_xlpm.val*$H33,""))</f>
        <v/>
      </c>
      <c r="O33" s="6" t="str">
        <f>_xlfn.LET(
_xlpm.rowNo, MATCH($C33&amp;"|"&amp;
($F33+O$4),Raw_Fund!$A:$A,0),
_xlpm.colNo,
MATCH(O$3,Raw_Fund!$E$1:$AZ$1,0),
_xlpm.val,
INDEX(Raw_Fund!$E:$AZ,_xlpm.rowNo,_xlpm.colNo),
IF(ISNUMBER(_xlpm.val),_xlpm.val*$H33,""))</f>
        <v/>
      </c>
      <c r="P33" s="6" t="str">
        <f>_xlfn.LET(
_xlpm.rowNo, MATCH($C33&amp;"|"&amp;
($F33+P$4),Raw_Fund!$A:$A,0),
_xlpm.colNo,
MATCH(P$3,Raw_Fund!$E$1:$AZ$1,0),
_xlpm.val,
INDEX(Raw_Fund!$E:$AZ,_xlpm.rowNo,_xlpm.colNo),
IF(ISNUMBER(_xlpm.val),_xlpm.val*$H33,""))</f>
        <v/>
      </c>
      <c r="Q33" s="6" t="str">
        <f>_xlfn.LET(
_xlpm.rowNo, MATCH($C33&amp;"|"&amp;
($F33+Q$4),Raw_Fund!$A:$A,0),
_xlpm.colNo,
MATCH(Q$3,Raw_Fund!$E$1:$AZ$1,0),
_xlpm.val,
INDEX(Raw_Fund!$E:$AZ,_xlpm.rowNo,_xlpm.colNo),
IF(ISNUMBER(_xlpm.val),_xlpm.val*$H33,""))</f>
        <v/>
      </c>
      <c r="R33" s="6" t="str">
        <f>_xlfn.LET(
_xlpm.rowNo, MATCH($C33&amp;"|"&amp;
($F33+R$4),Raw_Fund!$A:$A,0),
_xlpm.colNo,
MATCH(R$3,Raw_Fund!$E$1:$AZ$1,0),
_xlpm.val,
INDEX(Raw_Fund!$E:$AZ,_xlpm.rowNo,_xlpm.colNo),
IF(ISNUMBER(_xlpm.val),_xlpm.val*$H33,""))</f>
        <v/>
      </c>
      <c r="S33" s="6" t="str">
        <f>_xlfn.LET(
_xlpm.rowNo, MATCH($C33&amp;"|"&amp;
($F33+S$4),Raw_Fund!$A:$A,0),
_xlpm.colNo,
MATCH(S$3,Raw_Fund!$E$1:$AZ$1,0),
_xlpm.val,
INDEX(Raw_Fund!$E:$AZ,_xlpm.rowNo,_xlpm.colNo),
IF(ISNUMBER(_xlpm.val),_xlpm.val*$H33,""))</f>
        <v/>
      </c>
      <c r="T33" s="6" t="str">
        <f>_xlfn.LET(
_xlpm.rowNo, MATCH($C33&amp;"|"&amp;
($F33+T$4),Raw_Fund!$A:$A,0),
_xlpm.colNo,
MATCH(T$3,Raw_Fund!$E$1:$AZ$1,0),
_xlpm.val,
INDEX(Raw_Fund!$E:$AZ,_xlpm.rowNo,_xlpm.colNo),
IF(ISNUMBER(_xlpm.val),_xlpm.val*$H33,""))</f>
        <v/>
      </c>
      <c r="U33" s="6" t="str">
        <f>_xlfn.LET(
_xlpm.rowNo, MATCH($C33&amp;"|"&amp;
($F33+U$4),Raw_Fund!$A:$A,0),
_xlpm.colNo,
MATCH(U$3,Raw_Fund!$E$1:$AZ$1,0),
_xlpm.val,
INDEX(Raw_Fund!$E:$AZ,_xlpm.rowNo,_xlpm.colNo),
IF(ISNUMBER(_xlpm.val),_xlpm.val*$H33,""))</f>
        <v/>
      </c>
      <c r="V33" s="6" t="str">
        <f>_xlfn.LET(
_xlpm.rowNo, MATCH($C33&amp;"|"&amp;
($F33+V$4),Raw_Fund!$A:$A,0),
_xlpm.colNo,
MATCH(V$3,Raw_Fund!$E$1:$AZ$1,0),
_xlpm.val,
INDEX(Raw_Fund!$E:$AZ,_xlpm.rowNo,_xlpm.colNo),
IF(ISNUMBER(_xlpm.val),_xlpm.val*$H33,""))</f>
        <v/>
      </c>
      <c r="W33" s="6" t="str">
        <f>_xlfn.LET(
_xlpm.rowNo, MATCH($C33&amp;"|"&amp;
($F33+W$4),Raw_Fund!$A:$A,0),
_xlpm.colNo,
MATCH(W$3,Raw_Fund!$E$1:$AZ$1,0),
_xlpm.val,
INDEX(Raw_Fund!$E:$AZ,_xlpm.rowNo,_xlpm.colNo),
IF(ISNUMBER(_xlpm.val),_xlpm.val*$H33,""))</f>
        <v/>
      </c>
      <c r="X33" s="6" t="str">
        <f>_xlfn.LET(
_xlpm.rowNo, MATCH($C33&amp;"|"&amp;
($F33+X$4),Raw_Fund!$A:$A,0),
_xlpm.colNo,
MATCH(X$3,Raw_Fund!$E$1:$AZ$1,0),
_xlpm.val,
INDEX(Raw_Fund!$E:$AZ,_xlpm.rowNo,_xlpm.colNo),
IF(ISNUMBER(_xlpm.val),_xlpm.val*$H33,""))</f>
        <v/>
      </c>
      <c r="Y33" s="6" t="str">
        <f>_xlfn.LET(
_xlpm.rowNo, MATCH($C33&amp;"|"&amp;
($F33+Y$4),Raw_Fund!$A:$A,0),
_xlpm.colNo,
MATCH(Y$3,Raw_Fund!$E$1:$AZ$1,0),
_xlpm.val,
INDEX(Raw_Fund!$E:$AZ,_xlpm.rowNo,_xlpm.colNo),
IF(ISNUMBER(_xlpm.val),_xlpm.val*$H33,""))</f>
        <v/>
      </c>
      <c r="Z33" s="6" t="str">
        <f>IF($E33&lt;&gt;"Include","",_xlfn.XLOOKUP($C33,Raw_Mkt!$A:$A,Raw_Mkt!$B:$B))</f>
        <v/>
      </c>
    </row>
    <row r="34" spans="1:26" x14ac:dyDescent="0.4">
      <c r="A34" t="str">
        <f>IF(Universe!A34&lt;&gt;"",Universe!A34,"")</f>
        <v>BPCR</v>
      </c>
      <c r="B34" t="str">
        <f>IF(Universe!B34&lt;&gt;"",Universe!B34,"")</f>
        <v>Biopharma Credit</v>
      </c>
      <c r="C34" t="str">
        <f>IF(Universe!C34&lt;&gt;"",Universe!C34,"")</f>
        <v>GB00BDGKMY29</v>
      </c>
      <c r="D34" t="str">
        <f>IF(Universe!D34&lt;&gt;"",Universe!D34,"")</f>
        <v>Financials</v>
      </c>
      <c r="E34" t="str">
        <f>Universe!G34</f>
        <v>Exclude</v>
      </c>
      <c r="F34" t="str">
        <f>IF($E34&lt;&gt;"Include","",_xlfn.LET(_xlpm.latest,_xlfn.MAXIFS(Raw_Fund!$C:$C,Raw_Fund!$B:$B,Data!$C34),IF(_xlpm.latest=0,"",_xlpm.latest)))</f>
        <v/>
      </c>
      <c r="G34" t="str">
        <f>IF($F34="","",INDEX(Raw_Fund!$E:$AZ,MATCH($C34&amp;"|"&amp;$F34,Raw_Fund!$A:$A,0),MATCH(G$3,Raw_Fund!$E$1:$AZ$1,0)))</f>
        <v/>
      </c>
      <c r="H34" t="str">
        <f t="shared" si="0"/>
        <v/>
      </c>
      <c r="I34" s="6" t="str">
        <f>_xlfn.LET(
_xlpm.rowNo, MATCH($C34&amp;"|"&amp;
($F34+I$4),Raw_Fund!$A:$A,0),
_xlpm.colNo,
MATCH(I$3,Raw_Fund!$E$1:$AZ$1,0),
_xlpm.val,
INDEX(Raw_Fund!$E:$AZ,_xlpm.rowNo,_xlpm.colNo),
IF(ISNUMBER(_xlpm.val),_xlpm.val*$H34,""))</f>
        <v/>
      </c>
      <c r="J34" s="6" t="str">
        <f>_xlfn.LET(
_xlpm.rowNo, MATCH($C34&amp;"|"&amp;
($F34+J$4),Raw_Fund!$A:$A,0),
_xlpm.colNo,
MATCH(J$3,Raw_Fund!$E$1:$AZ$1,0),
_xlpm.val,
INDEX(Raw_Fund!$E:$AZ,_xlpm.rowNo,_xlpm.colNo),
IF(ISNUMBER(_xlpm.val),_xlpm.val*$H34,""))</f>
        <v/>
      </c>
      <c r="K34" s="6" t="str">
        <f>_xlfn.LET(
_xlpm.rowNo, MATCH($C34&amp;"|"&amp;
($F34+K$4),Raw_Fund!$A:$A,0),
_xlpm.colNo,
MATCH(K$3,Raw_Fund!$E$1:$AZ$1,0),
_xlpm.val,
INDEX(Raw_Fund!$E:$AZ,_xlpm.rowNo,_xlpm.colNo),
IF(ISNUMBER(_xlpm.val),_xlpm.val*$H34,""))</f>
        <v/>
      </c>
      <c r="L34" s="6" t="str">
        <f>_xlfn.LET(
_xlpm.rowNo, MATCH($C34&amp;"|"&amp;
($F34+L$4),Raw_Fund!$A:$A,0),
_xlpm.colNo,
MATCH(L$3,Raw_Fund!$E$1:$AZ$1,0),
_xlpm.val,
INDEX(Raw_Fund!$E:$AZ,_xlpm.rowNo,_xlpm.colNo),
IF(ISNUMBER(_xlpm.val),_xlpm.val*$H34,""))</f>
        <v/>
      </c>
      <c r="M34" s="6" t="str">
        <f>_xlfn.LET(
_xlpm.rowNo, MATCH($C34&amp;"|"&amp;
($F34+M$4),Raw_Fund!$A:$A,0),
_xlpm.colNo,
MATCH(M$3,Raw_Fund!$E$1:$AZ$1,0),
_xlpm.val,
INDEX(Raw_Fund!$E:$AZ,_xlpm.rowNo,_xlpm.colNo),
IF(ISNUMBER(_xlpm.val),_xlpm.val*$H34,""))</f>
        <v/>
      </c>
      <c r="N34" s="6" t="str">
        <f>_xlfn.LET(
_xlpm.rowNo, MATCH($C34&amp;"|"&amp;
($F34+N$4),Raw_Fund!$A:$A,0),
_xlpm.colNo,
MATCH(N$3,Raw_Fund!$E$1:$AZ$1,0),
_xlpm.val,
INDEX(Raw_Fund!$E:$AZ,_xlpm.rowNo,_xlpm.colNo),
IF(ISNUMBER(_xlpm.val),_xlpm.val*$H34,""))</f>
        <v/>
      </c>
      <c r="O34" s="6" t="str">
        <f>_xlfn.LET(
_xlpm.rowNo, MATCH($C34&amp;"|"&amp;
($F34+O$4),Raw_Fund!$A:$A,0),
_xlpm.colNo,
MATCH(O$3,Raw_Fund!$E$1:$AZ$1,0),
_xlpm.val,
INDEX(Raw_Fund!$E:$AZ,_xlpm.rowNo,_xlpm.colNo),
IF(ISNUMBER(_xlpm.val),_xlpm.val*$H34,""))</f>
        <v/>
      </c>
      <c r="P34" s="6" t="str">
        <f>_xlfn.LET(
_xlpm.rowNo, MATCH($C34&amp;"|"&amp;
($F34+P$4),Raw_Fund!$A:$A,0),
_xlpm.colNo,
MATCH(P$3,Raw_Fund!$E$1:$AZ$1,0),
_xlpm.val,
INDEX(Raw_Fund!$E:$AZ,_xlpm.rowNo,_xlpm.colNo),
IF(ISNUMBER(_xlpm.val),_xlpm.val*$H34,""))</f>
        <v/>
      </c>
      <c r="Q34" s="6" t="str">
        <f>_xlfn.LET(
_xlpm.rowNo, MATCH($C34&amp;"|"&amp;
($F34+Q$4),Raw_Fund!$A:$A,0),
_xlpm.colNo,
MATCH(Q$3,Raw_Fund!$E$1:$AZ$1,0),
_xlpm.val,
INDEX(Raw_Fund!$E:$AZ,_xlpm.rowNo,_xlpm.colNo),
IF(ISNUMBER(_xlpm.val),_xlpm.val*$H34,""))</f>
        <v/>
      </c>
      <c r="R34" s="6" t="str">
        <f>_xlfn.LET(
_xlpm.rowNo, MATCH($C34&amp;"|"&amp;
($F34+R$4),Raw_Fund!$A:$A,0),
_xlpm.colNo,
MATCH(R$3,Raw_Fund!$E$1:$AZ$1,0),
_xlpm.val,
INDEX(Raw_Fund!$E:$AZ,_xlpm.rowNo,_xlpm.colNo),
IF(ISNUMBER(_xlpm.val),_xlpm.val*$H34,""))</f>
        <v/>
      </c>
      <c r="S34" s="6" t="str">
        <f>_xlfn.LET(
_xlpm.rowNo, MATCH($C34&amp;"|"&amp;
($F34+S$4),Raw_Fund!$A:$A,0),
_xlpm.colNo,
MATCH(S$3,Raw_Fund!$E$1:$AZ$1,0),
_xlpm.val,
INDEX(Raw_Fund!$E:$AZ,_xlpm.rowNo,_xlpm.colNo),
IF(ISNUMBER(_xlpm.val),_xlpm.val*$H34,""))</f>
        <v/>
      </c>
      <c r="T34" s="6" t="str">
        <f>_xlfn.LET(
_xlpm.rowNo, MATCH($C34&amp;"|"&amp;
($F34+T$4),Raw_Fund!$A:$A,0),
_xlpm.colNo,
MATCH(T$3,Raw_Fund!$E$1:$AZ$1,0),
_xlpm.val,
INDEX(Raw_Fund!$E:$AZ,_xlpm.rowNo,_xlpm.colNo),
IF(ISNUMBER(_xlpm.val),_xlpm.val*$H34,""))</f>
        <v/>
      </c>
      <c r="U34" s="6" t="str">
        <f>_xlfn.LET(
_xlpm.rowNo, MATCH($C34&amp;"|"&amp;
($F34+U$4),Raw_Fund!$A:$A,0),
_xlpm.colNo,
MATCH(U$3,Raw_Fund!$E$1:$AZ$1,0),
_xlpm.val,
INDEX(Raw_Fund!$E:$AZ,_xlpm.rowNo,_xlpm.colNo),
IF(ISNUMBER(_xlpm.val),_xlpm.val*$H34,""))</f>
        <v/>
      </c>
      <c r="V34" s="6" t="str">
        <f>_xlfn.LET(
_xlpm.rowNo, MATCH($C34&amp;"|"&amp;
($F34+V$4),Raw_Fund!$A:$A,0),
_xlpm.colNo,
MATCH(V$3,Raw_Fund!$E$1:$AZ$1,0),
_xlpm.val,
INDEX(Raw_Fund!$E:$AZ,_xlpm.rowNo,_xlpm.colNo),
IF(ISNUMBER(_xlpm.val),_xlpm.val*$H34,""))</f>
        <v/>
      </c>
      <c r="W34" s="6" t="str">
        <f>_xlfn.LET(
_xlpm.rowNo, MATCH($C34&amp;"|"&amp;
($F34+W$4),Raw_Fund!$A:$A,0),
_xlpm.colNo,
MATCH(W$3,Raw_Fund!$E$1:$AZ$1,0),
_xlpm.val,
INDEX(Raw_Fund!$E:$AZ,_xlpm.rowNo,_xlpm.colNo),
IF(ISNUMBER(_xlpm.val),_xlpm.val*$H34,""))</f>
        <v/>
      </c>
      <c r="X34" s="6" t="str">
        <f>_xlfn.LET(
_xlpm.rowNo, MATCH($C34&amp;"|"&amp;
($F34+X$4),Raw_Fund!$A:$A,0),
_xlpm.colNo,
MATCH(X$3,Raw_Fund!$E$1:$AZ$1,0),
_xlpm.val,
INDEX(Raw_Fund!$E:$AZ,_xlpm.rowNo,_xlpm.colNo),
IF(ISNUMBER(_xlpm.val),_xlpm.val*$H34,""))</f>
        <v/>
      </c>
      <c r="Y34" s="6" t="str">
        <f>_xlfn.LET(
_xlpm.rowNo, MATCH($C34&amp;"|"&amp;
($F34+Y$4),Raw_Fund!$A:$A,0),
_xlpm.colNo,
MATCH(Y$3,Raw_Fund!$E$1:$AZ$1,0),
_xlpm.val,
INDEX(Raw_Fund!$E:$AZ,_xlpm.rowNo,_xlpm.colNo),
IF(ISNUMBER(_xlpm.val),_xlpm.val*$H34,""))</f>
        <v/>
      </c>
      <c r="Z34" s="6" t="str">
        <f>IF($E34&lt;&gt;"Include","",_xlfn.XLOOKUP($C34,Raw_Mkt!$A:$A,Raw_Mkt!$B:$B))</f>
        <v/>
      </c>
    </row>
    <row r="35" spans="1:26" x14ac:dyDescent="0.4">
      <c r="A35" t="str">
        <f>IF(Universe!A35&lt;&gt;"",Universe!A35,"")</f>
        <v>BRGE</v>
      </c>
      <c r="B35" t="str">
        <f>IF(Universe!B35&lt;&gt;"",Universe!B35,"")</f>
        <v>BlackRock Greater Europe Investment Trust</v>
      </c>
      <c r="C35" t="str">
        <f>IF(Universe!C35&lt;&gt;"",Universe!C35,"")</f>
        <v>GB00B01RDH75</v>
      </c>
      <c r="D35" t="str">
        <f>IF(Universe!D35&lt;&gt;"",Universe!D35,"")</f>
        <v>Financials</v>
      </c>
      <c r="E35" t="str">
        <f>Universe!G35</f>
        <v>Exclude</v>
      </c>
      <c r="F35" t="str">
        <f>IF($E35&lt;&gt;"Include","",_xlfn.LET(_xlpm.latest,_xlfn.MAXIFS(Raw_Fund!$C:$C,Raw_Fund!$B:$B,Data!$C35),IF(_xlpm.latest=0,"",_xlpm.latest)))</f>
        <v/>
      </c>
      <c r="G35" t="str">
        <f>IF($F35="","",INDEX(Raw_Fund!$E:$AZ,MATCH($C35&amp;"|"&amp;$F35,Raw_Fund!$A:$A,0),MATCH(G$3,Raw_Fund!$E$1:$AZ$1,0)))</f>
        <v/>
      </c>
      <c r="H35" t="str">
        <f t="shared" si="0"/>
        <v/>
      </c>
      <c r="I35" s="6" t="str">
        <f>_xlfn.LET(
_xlpm.rowNo, MATCH($C35&amp;"|"&amp;
($F35+I$4),Raw_Fund!$A:$A,0),
_xlpm.colNo,
MATCH(I$3,Raw_Fund!$E$1:$AZ$1,0),
_xlpm.val,
INDEX(Raw_Fund!$E:$AZ,_xlpm.rowNo,_xlpm.colNo),
IF(ISNUMBER(_xlpm.val),_xlpm.val*$H35,""))</f>
        <v/>
      </c>
      <c r="J35" s="6" t="str">
        <f>_xlfn.LET(
_xlpm.rowNo, MATCH($C35&amp;"|"&amp;
($F35+J$4),Raw_Fund!$A:$A,0),
_xlpm.colNo,
MATCH(J$3,Raw_Fund!$E$1:$AZ$1,0),
_xlpm.val,
INDEX(Raw_Fund!$E:$AZ,_xlpm.rowNo,_xlpm.colNo),
IF(ISNUMBER(_xlpm.val),_xlpm.val*$H35,""))</f>
        <v/>
      </c>
      <c r="K35" s="6" t="str">
        <f>_xlfn.LET(
_xlpm.rowNo, MATCH($C35&amp;"|"&amp;
($F35+K$4),Raw_Fund!$A:$A,0),
_xlpm.colNo,
MATCH(K$3,Raw_Fund!$E$1:$AZ$1,0),
_xlpm.val,
INDEX(Raw_Fund!$E:$AZ,_xlpm.rowNo,_xlpm.colNo),
IF(ISNUMBER(_xlpm.val),_xlpm.val*$H35,""))</f>
        <v/>
      </c>
      <c r="L35" s="6" t="str">
        <f>_xlfn.LET(
_xlpm.rowNo, MATCH($C35&amp;"|"&amp;
($F35+L$4),Raw_Fund!$A:$A,0),
_xlpm.colNo,
MATCH(L$3,Raw_Fund!$E$1:$AZ$1,0),
_xlpm.val,
INDEX(Raw_Fund!$E:$AZ,_xlpm.rowNo,_xlpm.colNo),
IF(ISNUMBER(_xlpm.val),_xlpm.val*$H35,""))</f>
        <v/>
      </c>
      <c r="M35" s="6" t="str">
        <f>_xlfn.LET(
_xlpm.rowNo, MATCH($C35&amp;"|"&amp;
($F35+M$4),Raw_Fund!$A:$A,0),
_xlpm.colNo,
MATCH(M$3,Raw_Fund!$E$1:$AZ$1,0),
_xlpm.val,
INDEX(Raw_Fund!$E:$AZ,_xlpm.rowNo,_xlpm.colNo),
IF(ISNUMBER(_xlpm.val),_xlpm.val*$H35,""))</f>
        <v/>
      </c>
      <c r="N35" s="6" t="str">
        <f>_xlfn.LET(
_xlpm.rowNo, MATCH($C35&amp;"|"&amp;
($F35+N$4),Raw_Fund!$A:$A,0),
_xlpm.colNo,
MATCH(N$3,Raw_Fund!$E$1:$AZ$1,0),
_xlpm.val,
INDEX(Raw_Fund!$E:$AZ,_xlpm.rowNo,_xlpm.colNo),
IF(ISNUMBER(_xlpm.val),_xlpm.val*$H35,""))</f>
        <v/>
      </c>
      <c r="O35" s="6" t="str">
        <f>_xlfn.LET(
_xlpm.rowNo, MATCH($C35&amp;"|"&amp;
($F35+O$4),Raw_Fund!$A:$A,0),
_xlpm.colNo,
MATCH(O$3,Raw_Fund!$E$1:$AZ$1,0),
_xlpm.val,
INDEX(Raw_Fund!$E:$AZ,_xlpm.rowNo,_xlpm.colNo),
IF(ISNUMBER(_xlpm.val),_xlpm.val*$H35,""))</f>
        <v/>
      </c>
      <c r="P35" s="6" t="str">
        <f>_xlfn.LET(
_xlpm.rowNo, MATCH($C35&amp;"|"&amp;
($F35+P$4),Raw_Fund!$A:$A,0),
_xlpm.colNo,
MATCH(P$3,Raw_Fund!$E$1:$AZ$1,0),
_xlpm.val,
INDEX(Raw_Fund!$E:$AZ,_xlpm.rowNo,_xlpm.colNo),
IF(ISNUMBER(_xlpm.val),_xlpm.val*$H35,""))</f>
        <v/>
      </c>
      <c r="Q35" s="6" t="str">
        <f>_xlfn.LET(
_xlpm.rowNo, MATCH($C35&amp;"|"&amp;
($F35+Q$4),Raw_Fund!$A:$A,0),
_xlpm.colNo,
MATCH(Q$3,Raw_Fund!$E$1:$AZ$1,0),
_xlpm.val,
INDEX(Raw_Fund!$E:$AZ,_xlpm.rowNo,_xlpm.colNo),
IF(ISNUMBER(_xlpm.val),_xlpm.val*$H35,""))</f>
        <v/>
      </c>
      <c r="R35" s="6" t="str">
        <f>_xlfn.LET(
_xlpm.rowNo, MATCH($C35&amp;"|"&amp;
($F35+R$4),Raw_Fund!$A:$A,0),
_xlpm.colNo,
MATCH(R$3,Raw_Fund!$E$1:$AZ$1,0),
_xlpm.val,
INDEX(Raw_Fund!$E:$AZ,_xlpm.rowNo,_xlpm.colNo),
IF(ISNUMBER(_xlpm.val),_xlpm.val*$H35,""))</f>
        <v/>
      </c>
      <c r="S35" s="6" t="str">
        <f>_xlfn.LET(
_xlpm.rowNo, MATCH($C35&amp;"|"&amp;
($F35+S$4),Raw_Fund!$A:$A,0),
_xlpm.colNo,
MATCH(S$3,Raw_Fund!$E$1:$AZ$1,0),
_xlpm.val,
INDEX(Raw_Fund!$E:$AZ,_xlpm.rowNo,_xlpm.colNo),
IF(ISNUMBER(_xlpm.val),_xlpm.val*$H35,""))</f>
        <v/>
      </c>
      <c r="T35" s="6" t="str">
        <f>_xlfn.LET(
_xlpm.rowNo, MATCH($C35&amp;"|"&amp;
($F35+T$4),Raw_Fund!$A:$A,0),
_xlpm.colNo,
MATCH(T$3,Raw_Fund!$E$1:$AZ$1,0),
_xlpm.val,
INDEX(Raw_Fund!$E:$AZ,_xlpm.rowNo,_xlpm.colNo),
IF(ISNUMBER(_xlpm.val),_xlpm.val*$H35,""))</f>
        <v/>
      </c>
      <c r="U35" s="6" t="str">
        <f>_xlfn.LET(
_xlpm.rowNo, MATCH($C35&amp;"|"&amp;
($F35+U$4),Raw_Fund!$A:$A,0),
_xlpm.colNo,
MATCH(U$3,Raw_Fund!$E$1:$AZ$1,0),
_xlpm.val,
INDEX(Raw_Fund!$E:$AZ,_xlpm.rowNo,_xlpm.colNo),
IF(ISNUMBER(_xlpm.val),_xlpm.val*$H35,""))</f>
        <v/>
      </c>
      <c r="V35" s="6" t="str">
        <f>_xlfn.LET(
_xlpm.rowNo, MATCH($C35&amp;"|"&amp;
($F35+V$4),Raw_Fund!$A:$A,0),
_xlpm.colNo,
MATCH(V$3,Raw_Fund!$E$1:$AZ$1,0),
_xlpm.val,
INDEX(Raw_Fund!$E:$AZ,_xlpm.rowNo,_xlpm.colNo),
IF(ISNUMBER(_xlpm.val),_xlpm.val*$H35,""))</f>
        <v/>
      </c>
      <c r="W35" s="6" t="str">
        <f>_xlfn.LET(
_xlpm.rowNo, MATCH($C35&amp;"|"&amp;
($F35+W$4),Raw_Fund!$A:$A,0),
_xlpm.colNo,
MATCH(W$3,Raw_Fund!$E$1:$AZ$1,0),
_xlpm.val,
INDEX(Raw_Fund!$E:$AZ,_xlpm.rowNo,_xlpm.colNo),
IF(ISNUMBER(_xlpm.val),_xlpm.val*$H35,""))</f>
        <v/>
      </c>
      <c r="X35" s="6" t="str">
        <f>_xlfn.LET(
_xlpm.rowNo, MATCH($C35&amp;"|"&amp;
($F35+X$4),Raw_Fund!$A:$A,0),
_xlpm.colNo,
MATCH(X$3,Raw_Fund!$E$1:$AZ$1,0),
_xlpm.val,
INDEX(Raw_Fund!$E:$AZ,_xlpm.rowNo,_xlpm.colNo),
IF(ISNUMBER(_xlpm.val),_xlpm.val*$H35,""))</f>
        <v/>
      </c>
      <c r="Y35" s="6" t="str">
        <f>_xlfn.LET(
_xlpm.rowNo, MATCH($C35&amp;"|"&amp;
($F35+Y$4),Raw_Fund!$A:$A,0),
_xlpm.colNo,
MATCH(Y$3,Raw_Fund!$E$1:$AZ$1,0),
_xlpm.val,
INDEX(Raw_Fund!$E:$AZ,_xlpm.rowNo,_xlpm.colNo),
IF(ISNUMBER(_xlpm.val),_xlpm.val*$H35,""))</f>
        <v/>
      </c>
      <c r="Z35" s="6" t="str">
        <f>IF($E35&lt;&gt;"Include","",_xlfn.XLOOKUP($C35,Raw_Mkt!$A:$A,Raw_Mkt!$B:$B))</f>
        <v/>
      </c>
    </row>
    <row r="36" spans="1:26" x14ac:dyDescent="0.4">
      <c r="A36" t="str">
        <f>IF(Universe!A36&lt;&gt;"",Universe!A36,"")</f>
        <v>BRSC</v>
      </c>
      <c r="B36" t="str">
        <f>IF(Universe!B36&lt;&gt;"",Universe!B36,"")</f>
        <v>BlackRock Smaller Companies Trust</v>
      </c>
      <c r="C36" t="str">
        <f>IF(Universe!C36&lt;&gt;"",Universe!C36,"")</f>
        <v>GB00BWQGKH23</v>
      </c>
      <c r="D36" t="str">
        <f>IF(Universe!D36&lt;&gt;"",Universe!D36,"")</f>
        <v>Financials</v>
      </c>
      <c r="E36" t="str">
        <f>Universe!G36</f>
        <v>Exclude</v>
      </c>
      <c r="F36" t="str">
        <f>IF($E36&lt;&gt;"Include","",_xlfn.LET(_xlpm.latest,_xlfn.MAXIFS(Raw_Fund!$C:$C,Raw_Fund!$B:$B,Data!$C36),IF(_xlpm.latest=0,"",_xlpm.latest)))</f>
        <v/>
      </c>
      <c r="G36" t="str">
        <f>IF($F36="","",INDEX(Raw_Fund!$E:$AZ,MATCH($C36&amp;"|"&amp;$F36,Raw_Fund!$A:$A,0),MATCH(G$3,Raw_Fund!$E$1:$AZ$1,0)))</f>
        <v/>
      </c>
      <c r="H36" t="str">
        <f t="shared" si="0"/>
        <v/>
      </c>
      <c r="I36" s="6" t="str">
        <f>_xlfn.LET(
_xlpm.rowNo, MATCH($C36&amp;"|"&amp;
($F36+I$4),Raw_Fund!$A:$A,0),
_xlpm.colNo,
MATCH(I$3,Raw_Fund!$E$1:$AZ$1,0),
_xlpm.val,
INDEX(Raw_Fund!$E:$AZ,_xlpm.rowNo,_xlpm.colNo),
IF(ISNUMBER(_xlpm.val),_xlpm.val*$H36,""))</f>
        <v/>
      </c>
      <c r="J36" s="6" t="str">
        <f>_xlfn.LET(
_xlpm.rowNo, MATCH($C36&amp;"|"&amp;
($F36+J$4),Raw_Fund!$A:$A,0),
_xlpm.colNo,
MATCH(J$3,Raw_Fund!$E$1:$AZ$1,0),
_xlpm.val,
INDEX(Raw_Fund!$E:$AZ,_xlpm.rowNo,_xlpm.colNo),
IF(ISNUMBER(_xlpm.val),_xlpm.val*$H36,""))</f>
        <v/>
      </c>
      <c r="K36" s="6" t="str">
        <f>_xlfn.LET(
_xlpm.rowNo, MATCH($C36&amp;"|"&amp;
($F36+K$4),Raw_Fund!$A:$A,0),
_xlpm.colNo,
MATCH(K$3,Raw_Fund!$E$1:$AZ$1,0),
_xlpm.val,
INDEX(Raw_Fund!$E:$AZ,_xlpm.rowNo,_xlpm.colNo),
IF(ISNUMBER(_xlpm.val),_xlpm.val*$H36,""))</f>
        <v/>
      </c>
      <c r="L36" s="6" t="str">
        <f>_xlfn.LET(
_xlpm.rowNo, MATCH($C36&amp;"|"&amp;
($F36+L$4),Raw_Fund!$A:$A,0),
_xlpm.colNo,
MATCH(L$3,Raw_Fund!$E$1:$AZ$1,0),
_xlpm.val,
INDEX(Raw_Fund!$E:$AZ,_xlpm.rowNo,_xlpm.colNo),
IF(ISNUMBER(_xlpm.val),_xlpm.val*$H36,""))</f>
        <v/>
      </c>
      <c r="M36" s="6" t="str">
        <f>_xlfn.LET(
_xlpm.rowNo, MATCH($C36&amp;"|"&amp;
($F36+M$4),Raw_Fund!$A:$A,0),
_xlpm.colNo,
MATCH(M$3,Raw_Fund!$E$1:$AZ$1,0),
_xlpm.val,
INDEX(Raw_Fund!$E:$AZ,_xlpm.rowNo,_xlpm.colNo),
IF(ISNUMBER(_xlpm.val),_xlpm.val*$H36,""))</f>
        <v/>
      </c>
      <c r="N36" s="6" t="str">
        <f>_xlfn.LET(
_xlpm.rowNo, MATCH($C36&amp;"|"&amp;
($F36+N$4),Raw_Fund!$A:$A,0),
_xlpm.colNo,
MATCH(N$3,Raw_Fund!$E$1:$AZ$1,0),
_xlpm.val,
INDEX(Raw_Fund!$E:$AZ,_xlpm.rowNo,_xlpm.colNo),
IF(ISNUMBER(_xlpm.val),_xlpm.val*$H36,""))</f>
        <v/>
      </c>
      <c r="O36" s="6" t="str">
        <f>_xlfn.LET(
_xlpm.rowNo, MATCH($C36&amp;"|"&amp;
($F36+O$4),Raw_Fund!$A:$A,0),
_xlpm.colNo,
MATCH(O$3,Raw_Fund!$E$1:$AZ$1,0),
_xlpm.val,
INDEX(Raw_Fund!$E:$AZ,_xlpm.rowNo,_xlpm.colNo),
IF(ISNUMBER(_xlpm.val),_xlpm.val*$H36,""))</f>
        <v/>
      </c>
      <c r="P36" s="6" t="str">
        <f>_xlfn.LET(
_xlpm.rowNo, MATCH($C36&amp;"|"&amp;
($F36+P$4),Raw_Fund!$A:$A,0),
_xlpm.colNo,
MATCH(P$3,Raw_Fund!$E$1:$AZ$1,0),
_xlpm.val,
INDEX(Raw_Fund!$E:$AZ,_xlpm.rowNo,_xlpm.colNo),
IF(ISNUMBER(_xlpm.val),_xlpm.val*$H36,""))</f>
        <v/>
      </c>
      <c r="Q36" s="6" t="str">
        <f>_xlfn.LET(
_xlpm.rowNo, MATCH($C36&amp;"|"&amp;
($F36+Q$4),Raw_Fund!$A:$A,0),
_xlpm.colNo,
MATCH(Q$3,Raw_Fund!$E$1:$AZ$1,0),
_xlpm.val,
INDEX(Raw_Fund!$E:$AZ,_xlpm.rowNo,_xlpm.colNo),
IF(ISNUMBER(_xlpm.val),_xlpm.val*$H36,""))</f>
        <v/>
      </c>
      <c r="R36" s="6" t="str">
        <f>_xlfn.LET(
_xlpm.rowNo, MATCH($C36&amp;"|"&amp;
($F36+R$4),Raw_Fund!$A:$A,0),
_xlpm.colNo,
MATCH(R$3,Raw_Fund!$E$1:$AZ$1,0),
_xlpm.val,
INDEX(Raw_Fund!$E:$AZ,_xlpm.rowNo,_xlpm.colNo),
IF(ISNUMBER(_xlpm.val),_xlpm.val*$H36,""))</f>
        <v/>
      </c>
      <c r="S36" s="6" t="str">
        <f>_xlfn.LET(
_xlpm.rowNo, MATCH($C36&amp;"|"&amp;
($F36+S$4),Raw_Fund!$A:$A,0),
_xlpm.colNo,
MATCH(S$3,Raw_Fund!$E$1:$AZ$1,0),
_xlpm.val,
INDEX(Raw_Fund!$E:$AZ,_xlpm.rowNo,_xlpm.colNo),
IF(ISNUMBER(_xlpm.val),_xlpm.val*$H36,""))</f>
        <v/>
      </c>
      <c r="T36" s="6" t="str">
        <f>_xlfn.LET(
_xlpm.rowNo, MATCH($C36&amp;"|"&amp;
($F36+T$4),Raw_Fund!$A:$A,0),
_xlpm.colNo,
MATCH(T$3,Raw_Fund!$E$1:$AZ$1,0),
_xlpm.val,
INDEX(Raw_Fund!$E:$AZ,_xlpm.rowNo,_xlpm.colNo),
IF(ISNUMBER(_xlpm.val),_xlpm.val*$H36,""))</f>
        <v/>
      </c>
      <c r="U36" s="6" t="str">
        <f>_xlfn.LET(
_xlpm.rowNo, MATCH($C36&amp;"|"&amp;
($F36+U$4),Raw_Fund!$A:$A,0),
_xlpm.colNo,
MATCH(U$3,Raw_Fund!$E$1:$AZ$1,0),
_xlpm.val,
INDEX(Raw_Fund!$E:$AZ,_xlpm.rowNo,_xlpm.colNo),
IF(ISNUMBER(_xlpm.val),_xlpm.val*$H36,""))</f>
        <v/>
      </c>
      <c r="V36" s="6" t="str">
        <f>_xlfn.LET(
_xlpm.rowNo, MATCH($C36&amp;"|"&amp;
($F36+V$4),Raw_Fund!$A:$A,0),
_xlpm.colNo,
MATCH(V$3,Raw_Fund!$E$1:$AZ$1,0),
_xlpm.val,
INDEX(Raw_Fund!$E:$AZ,_xlpm.rowNo,_xlpm.colNo),
IF(ISNUMBER(_xlpm.val),_xlpm.val*$H36,""))</f>
        <v/>
      </c>
      <c r="W36" s="6" t="str">
        <f>_xlfn.LET(
_xlpm.rowNo, MATCH($C36&amp;"|"&amp;
($F36+W$4),Raw_Fund!$A:$A,0),
_xlpm.colNo,
MATCH(W$3,Raw_Fund!$E$1:$AZ$1,0),
_xlpm.val,
INDEX(Raw_Fund!$E:$AZ,_xlpm.rowNo,_xlpm.colNo),
IF(ISNUMBER(_xlpm.val),_xlpm.val*$H36,""))</f>
        <v/>
      </c>
      <c r="X36" s="6" t="str">
        <f>_xlfn.LET(
_xlpm.rowNo, MATCH($C36&amp;"|"&amp;
($F36+X$4),Raw_Fund!$A:$A,0),
_xlpm.colNo,
MATCH(X$3,Raw_Fund!$E$1:$AZ$1,0),
_xlpm.val,
INDEX(Raw_Fund!$E:$AZ,_xlpm.rowNo,_xlpm.colNo),
IF(ISNUMBER(_xlpm.val),_xlpm.val*$H36,""))</f>
        <v/>
      </c>
      <c r="Y36" s="6" t="str">
        <f>_xlfn.LET(
_xlpm.rowNo, MATCH($C36&amp;"|"&amp;
($F36+Y$4),Raw_Fund!$A:$A,0),
_xlpm.colNo,
MATCH(Y$3,Raw_Fund!$E$1:$AZ$1,0),
_xlpm.val,
INDEX(Raw_Fund!$E:$AZ,_xlpm.rowNo,_xlpm.colNo),
IF(ISNUMBER(_xlpm.val),_xlpm.val*$H36,""))</f>
        <v/>
      </c>
      <c r="Z36" s="6" t="str">
        <f>IF($E36&lt;&gt;"Include","",_xlfn.XLOOKUP($C36,Raw_Mkt!$A:$A,Raw_Mkt!$B:$B))</f>
        <v/>
      </c>
    </row>
    <row r="37" spans="1:26" x14ac:dyDescent="0.4">
      <c r="A37" t="str">
        <f>IF(Universe!A37&lt;&gt;"",Universe!A37,"")</f>
        <v>BRWM</v>
      </c>
      <c r="B37" t="str">
        <f>IF(Universe!B37&lt;&gt;"",Universe!B37,"")</f>
        <v>BlackRock World Mining Trust</v>
      </c>
      <c r="C37" t="str">
        <f>IF(Universe!C37&lt;&gt;"",Universe!C37,"")</f>
        <v>GB0005774855</v>
      </c>
      <c r="D37" t="str">
        <f>IF(Universe!D37&lt;&gt;"",Universe!D37,"")</f>
        <v>Financials</v>
      </c>
      <c r="E37" t="str">
        <f>Universe!G37</f>
        <v>Exclude</v>
      </c>
      <c r="F37" t="str">
        <f>IF($E37&lt;&gt;"Include","",_xlfn.LET(_xlpm.latest,_xlfn.MAXIFS(Raw_Fund!$C:$C,Raw_Fund!$B:$B,Data!$C37),IF(_xlpm.latest=0,"",_xlpm.latest)))</f>
        <v/>
      </c>
      <c r="G37" t="str">
        <f>IF($F37="","",INDEX(Raw_Fund!$E:$AZ,MATCH($C37&amp;"|"&amp;$F37,Raw_Fund!$A:$A,0),MATCH(G$3,Raw_Fund!$E$1:$AZ$1,0)))</f>
        <v/>
      </c>
      <c r="H37" t="str">
        <f t="shared" si="0"/>
        <v/>
      </c>
      <c r="I37" s="6" t="str">
        <f>_xlfn.LET(
_xlpm.rowNo, MATCH($C37&amp;"|"&amp;
($F37+I$4),Raw_Fund!$A:$A,0),
_xlpm.colNo,
MATCH(I$3,Raw_Fund!$E$1:$AZ$1,0),
_xlpm.val,
INDEX(Raw_Fund!$E:$AZ,_xlpm.rowNo,_xlpm.colNo),
IF(ISNUMBER(_xlpm.val),_xlpm.val*$H37,""))</f>
        <v/>
      </c>
      <c r="J37" s="6" t="str">
        <f>_xlfn.LET(
_xlpm.rowNo, MATCH($C37&amp;"|"&amp;
($F37+J$4),Raw_Fund!$A:$A,0),
_xlpm.colNo,
MATCH(J$3,Raw_Fund!$E$1:$AZ$1,0),
_xlpm.val,
INDEX(Raw_Fund!$E:$AZ,_xlpm.rowNo,_xlpm.colNo),
IF(ISNUMBER(_xlpm.val),_xlpm.val*$H37,""))</f>
        <v/>
      </c>
      <c r="K37" s="6" t="str">
        <f>_xlfn.LET(
_xlpm.rowNo, MATCH($C37&amp;"|"&amp;
($F37+K$4),Raw_Fund!$A:$A,0),
_xlpm.colNo,
MATCH(K$3,Raw_Fund!$E$1:$AZ$1,0),
_xlpm.val,
INDEX(Raw_Fund!$E:$AZ,_xlpm.rowNo,_xlpm.colNo),
IF(ISNUMBER(_xlpm.val),_xlpm.val*$H37,""))</f>
        <v/>
      </c>
      <c r="L37" s="6" t="str">
        <f>_xlfn.LET(
_xlpm.rowNo, MATCH($C37&amp;"|"&amp;
($F37+L$4),Raw_Fund!$A:$A,0),
_xlpm.colNo,
MATCH(L$3,Raw_Fund!$E$1:$AZ$1,0),
_xlpm.val,
INDEX(Raw_Fund!$E:$AZ,_xlpm.rowNo,_xlpm.colNo),
IF(ISNUMBER(_xlpm.val),_xlpm.val*$H37,""))</f>
        <v/>
      </c>
      <c r="M37" s="6" t="str">
        <f>_xlfn.LET(
_xlpm.rowNo, MATCH($C37&amp;"|"&amp;
($F37+M$4),Raw_Fund!$A:$A,0),
_xlpm.colNo,
MATCH(M$3,Raw_Fund!$E$1:$AZ$1,0),
_xlpm.val,
INDEX(Raw_Fund!$E:$AZ,_xlpm.rowNo,_xlpm.colNo),
IF(ISNUMBER(_xlpm.val),_xlpm.val*$H37,""))</f>
        <v/>
      </c>
      <c r="N37" s="6" t="str">
        <f>_xlfn.LET(
_xlpm.rowNo, MATCH($C37&amp;"|"&amp;
($F37+N$4),Raw_Fund!$A:$A,0),
_xlpm.colNo,
MATCH(N$3,Raw_Fund!$E$1:$AZ$1,0),
_xlpm.val,
INDEX(Raw_Fund!$E:$AZ,_xlpm.rowNo,_xlpm.colNo),
IF(ISNUMBER(_xlpm.val),_xlpm.val*$H37,""))</f>
        <v/>
      </c>
      <c r="O37" s="6" t="str">
        <f>_xlfn.LET(
_xlpm.rowNo, MATCH($C37&amp;"|"&amp;
($F37+O$4),Raw_Fund!$A:$A,0),
_xlpm.colNo,
MATCH(O$3,Raw_Fund!$E$1:$AZ$1,0),
_xlpm.val,
INDEX(Raw_Fund!$E:$AZ,_xlpm.rowNo,_xlpm.colNo),
IF(ISNUMBER(_xlpm.val),_xlpm.val*$H37,""))</f>
        <v/>
      </c>
      <c r="P37" s="6" t="str">
        <f>_xlfn.LET(
_xlpm.rowNo, MATCH($C37&amp;"|"&amp;
($F37+P$4),Raw_Fund!$A:$A,0),
_xlpm.colNo,
MATCH(P$3,Raw_Fund!$E$1:$AZ$1,0),
_xlpm.val,
INDEX(Raw_Fund!$E:$AZ,_xlpm.rowNo,_xlpm.colNo),
IF(ISNUMBER(_xlpm.val),_xlpm.val*$H37,""))</f>
        <v/>
      </c>
      <c r="Q37" s="6" t="str">
        <f>_xlfn.LET(
_xlpm.rowNo, MATCH($C37&amp;"|"&amp;
($F37+Q$4),Raw_Fund!$A:$A,0),
_xlpm.colNo,
MATCH(Q$3,Raw_Fund!$E$1:$AZ$1,0),
_xlpm.val,
INDEX(Raw_Fund!$E:$AZ,_xlpm.rowNo,_xlpm.colNo),
IF(ISNUMBER(_xlpm.val),_xlpm.val*$H37,""))</f>
        <v/>
      </c>
      <c r="R37" s="6" t="str">
        <f>_xlfn.LET(
_xlpm.rowNo, MATCH($C37&amp;"|"&amp;
($F37+R$4),Raw_Fund!$A:$A,0),
_xlpm.colNo,
MATCH(R$3,Raw_Fund!$E$1:$AZ$1,0),
_xlpm.val,
INDEX(Raw_Fund!$E:$AZ,_xlpm.rowNo,_xlpm.colNo),
IF(ISNUMBER(_xlpm.val),_xlpm.val*$H37,""))</f>
        <v/>
      </c>
      <c r="S37" s="6" t="str">
        <f>_xlfn.LET(
_xlpm.rowNo, MATCH($C37&amp;"|"&amp;
($F37+S$4),Raw_Fund!$A:$A,0),
_xlpm.colNo,
MATCH(S$3,Raw_Fund!$E$1:$AZ$1,0),
_xlpm.val,
INDEX(Raw_Fund!$E:$AZ,_xlpm.rowNo,_xlpm.colNo),
IF(ISNUMBER(_xlpm.val),_xlpm.val*$H37,""))</f>
        <v/>
      </c>
      <c r="T37" s="6" t="str">
        <f>_xlfn.LET(
_xlpm.rowNo, MATCH($C37&amp;"|"&amp;
($F37+T$4),Raw_Fund!$A:$A,0),
_xlpm.colNo,
MATCH(T$3,Raw_Fund!$E$1:$AZ$1,0),
_xlpm.val,
INDEX(Raw_Fund!$E:$AZ,_xlpm.rowNo,_xlpm.colNo),
IF(ISNUMBER(_xlpm.val),_xlpm.val*$H37,""))</f>
        <v/>
      </c>
      <c r="U37" s="6" t="str">
        <f>_xlfn.LET(
_xlpm.rowNo, MATCH($C37&amp;"|"&amp;
($F37+U$4),Raw_Fund!$A:$A,0),
_xlpm.colNo,
MATCH(U$3,Raw_Fund!$E$1:$AZ$1,0),
_xlpm.val,
INDEX(Raw_Fund!$E:$AZ,_xlpm.rowNo,_xlpm.colNo),
IF(ISNUMBER(_xlpm.val),_xlpm.val*$H37,""))</f>
        <v/>
      </c>
      <c r="V37" s="6" t="str">
        <f>_xlfn.LET(
_xlpm.rowNo, MATCH($C37&amp;"|"&amp;
($F37+V$4),Raw_Fund!$A:$A,0),
_xlpm.colNo,
MATCH(V$3,Raw_Fund!$E$1:$AZ$1,0),
_xlpm.val,
INDEX(Raw_Fund!$E:$AZ,_xlpm.rowNo,_xlpm.colNo),
IF(ISNUMBER(_xlpm.val),_xlpm.val*$H37,""))</f>
        <v/>
      </c>
      <c r="W37" s="6" t="str">
        <f>_xlfn.LET(
_xlpm.rowNo, MATCH($C37&amp;"|"&amp;
($F37+W$4),Raw_Fund!$A:$A,0),
_xlpm.colNo,
MATCH(W$3,Raw_Fund!$E$1:$AZ$1,0),
_xlpm.val,
INDEX(Raw_Fund!$E:$AZ,_xlpm.rowNo,_xlpm.colNo),
IF(ISNUMBER(_xlpm.val),_xlpm.val*$H37,""))</f>
        <v/>
      </c>
      <c r="X37" s="6" t="str">
        <f>_xlfn.LET(
_xlpm.rowNo, MATCH($C37&amp;"|"&amp;
($F37+X$4),Raw_Fund!$A:$A,0),
_xlpm.colNo,
MATCH(X$3,Raw_Fund!$E$1:$AZ$1,0),
_xlpm.val,
INDEX(Raw_Fund!$E:$AZ,_xlpm.rowNo,_xlpm.colNo),
IF(ISNUMBER(_xlpm.val),_xlpm.val*$H37,""))</f>
        <v/>
      </c>
      <c r="Y37" s="6" t="str">
        <f>_xlfn.LET(
_xlpm.rowNo, MATCH($C37&amp;"|"&amp;
($F37+Y$4),Raw_Fund!$A:$A,0),
_xlpm.colNo,
MATCH(Y$3,Raw_Fund!$E$1:$AZ$1,0),
_xlpm.val,
INDEX(Raw_Fund!$E:$AZ,_xlpm.rowNo,_xlpm.colNo),
IF(ISNUMBER(_xlpm.val),_xlpm.val*$H37,""))</f>
        <v/>
      </c>
      <c r="Z37" s="6" t="str">
        <f>IF($E37&lt;&gt;"Include","",_xlfn.XLOOKUP($C37,Raw_Mkt!$A:$A,Raw_Mkt!$B:$B))</f>
        <v/>
      </c>
    </row>
    <row r="38" spans="1:26" x14ac:dyDescent="0.4">
      <c r="A38" t="str">
        <f>IF(Universe!A38&lt;&gt;"",Universe!A38,"")</f>
        <v>BMY</v>
      </c>
      <c r="B38" t="str">
        <f>IF(Universe!B38&lt;&gt;"",Universe!B38,"")</f>
        <v>Bloomsbury Publishing</v>
      </c>
      <c r="C38" t="str">
        <f>IF(Universe!C38&lt;&gt;"",Universe!C38,"")</f>
        <v>GB0033147751</v>
      </c>
      <c r="D38" t="str">
        <f>IF(Universe!D38&lt;&gt;"",Universe!D38,"")</f>
        <v>Consumer Discretionary</v>
      </c>
      <c r="E38" t="str">
        <f>Universe!G38</f>
        <v>Include</v>
      </c>
      <c r="F38" t="str">
        <f>IF($E38&lt;&gt;"Include","",_xlfn.LET(_xlpm.latest,_xlfn.MAXIFS(Raw_Fund!$C:$C,Raw_Fund!$B:$B,Data!$C38),IF(_xlpm.latest=0,"",_xlpm.latest)))</f>
        <v/>
      </c>
      <c r="G38" t="str">
        <f>IF($F38="","",INDEX(Raw_Fund!$E:$AZ,MATCH($C38&amp;"|"&amp;$F38,Raw_Fund!$A:$A,0),MATCH(G$3,Raw_Fund!$E$1:$AZ$1,0)))</f>
        <v/>
      </c>
      <c r="H38" t="str">
        <f t="shared" si="0"/>
        <v/>
      </c>
      <c r="I38" s="6" t="str">
        <f>_xlfn.LET(
_xlpm.rowNo, MATCH($C38&amp;"|"&amp;
($F38+I$4),Raw_Fund!$A:$A,0),
_xlpm.colNo,
MATCH(I$3,Raw_Fund!$E$1:$AZ$1,0),
_xlpm.val,
INDEX(Raw_Fund!$E:$AZ,_xlpm.rowNo,_xlpm.colNo),
IF(ISNUMBER(_xlpm.val),_xlpm.val*$H38,""))</f>
        <v/>
      </c>
      <c r="J38" s="6" t="str">
        <f>_xlfn.LET(
_xlpm.rowNo, MATCH($C38&amp;"|"&amp;
($F38+J$4),Raw_Fund!$A:$A,0),
_xlpm.colNo,
MATCH(J$3,Raw_Fund!$E$1:$AZ$1,0),
_xlpm.val,
INDEX(Raw_Fund!$E:$AZ,_xlpm.rowNo,_xlpm.colNo),
IF(ISNUMBER(_xlpm.val),_xlpm.val*$H38,""))</f>
        <v/>
      </c>
      <c r="K38" s="6" t="str">
        <f>_xlfn.LET(
_xlpm.rowNo, MATCH($C38&amp;"|"&amp;
($F38+K$4),Raw_Fund!$A:$A,0),
_xlpm.colNo,
MATCH(K$3,Raw_Fund!$E$1:$AZ$1,0),
_xlpm.val,
INDEX(Raw_Fund!$E:$AZ,_xlpm.rowNo,_xlpm.colNo),
IF(ISNUMBER(_xlpm.val),_xlpm.val*$H38,""))</f>
        <v/>
      </c>
      <c r="L38" s="6" t="str">
        <f>_xlfn.LET(
_xlpm.rowNo, MATCH($C38&amp;"|"&amp;
($F38+L$4),Raw_Fund!$A:$A,0),
_xlpm.colNo,
MATCH(L$3,Raw_Fund!$E$1:$AZ$1,0),
_xlpm.val,
INDEX(Raw_Fund!$E:$AZ,_xlpm.rowNo,_xlpm.colNo),
IF(ISNUMBER(_xlpm.val),_xlpm.val*$H38,""))</f>
        <v/>
      </c>
      <c r="M38" s="6" t="str">
        <f>_xlfn.LET(
_xlpm.rowNo, MATCH($C38&amp;"|"&amp;
($F38+M$4),Raw_Fund!$A:$A,0),
_xlpm.colNo,
MATCH(M$3,Raw_Fund!$E$1:$AZ$1,0),
_xlpm.val,
INDEX(Raw_Fund!$E:$AZ,_xlpm.rowNo,_xlpm.colNo),
IF(ISNUMBER(_xlpm.val),_xlpm.val*$H38,""))</f>
        <v/>
      </c>
      <c r="N38" s="6" t="str">
        <f>_xlfn.LET(
_xlpm.rowNo, MATCH($C38&amp;"|"&amp;
($F38+N$4),Raw_Fund!$A:$A,0),
_xlpm.colNo,
MATCH(N$3,Raw_Fund!$E$1:$AZ$1,0),
_xlpm.val,
INDEX(Raw_Fund!$E:$AZ,_xlpm.rowNo,_xlpm.colNo),
IF(ISNUMBER(_xlpm.val),_xlpm.val*$H38,""))</f>
        <v/>
      </c>
      <c r="O38" s="6" t="str">
        <f>_xlfn.LET(
_xlpm.rowNo, MATCH($C38&amp;"|"&amp;
($F38+O$4),Raw_Fund!$A:$A,0),
_xlpm.colNo,
MATCH(O$3,Raw_Fund!$E$1:$AZ$1,0),
_xlpm.val,
INDEX(Raw_Fund!$E:$AZ,_xlpm.rowNo,_xlpm.colNo),
IF(ISNUMBER(_xlpm.val),_xlpm.val*$H38,""))</f>
        <v/>
      </c>
      <c r="P38" s="6" t="str">
        <f>_xlfn.LET(
_xlpm.rowNo, MATCH($C38&amp;"|"&amp;
($F38+P$4),Raw_Fund!$A:$A,0),
_xlpm.colNo,
MATCH(P$3,Raw_Fund!$E$1:$AZ$1,0),
_xlpm.val,
INDEX(Raw_Fund!$E:$AZ,_xlpm.rowNo,_xlpm.colNo),
IF(ISNUMBER(_xlpm.val),_xlpm.val*$H38,""))</f>
        <v/>
      </c>
      <c r="Q38" s="6" t="str">
        <f>_xlfn.LET(
_xlpm.rowNo, MATCH($C38&amp;"|"&amp;
($F38+Q$4),Raw_Fund!$A:$A,0),
_xlpm.colNo,
MATCH(Q$3,Raw_Fund!$E$1:$AZ$1,0),
_xlpm.val,
INDEX(Raw_Fund!$E:$AZ,_xlpm.rowNo,_xlpm.colNo),
IF(ISNUMBER(_xlpm.val),_xlpm.val*$H38,""))</f>
        <v/>
      </c>
      <c r="R38" s="6" t="str">
        <f>_xlfn.LET(
_xlpm.rowNo, MATCH($C38&amp;"|"&amp;
($F38+R$4),Raw_Fund!$A:$A,0),
_xlpm.colNo,
MATCH(R$3,Raw_Fund!$E$1:$AZ$1,0),
_xlpm.val,
INDEX(Raw_Fund!$E:$AZ,_xlpm.rowNo,_xlpm.colNo),
IF(ISNUMBER(_xlpm.val),_xlpm.val*$H38,""))</f>
        <v/>
      </c>
      <c r="S38" s="6" t="str">
        <f>_xlfn.LET(
_xlpm.rowNo, MATCH($C38&amp;"|"&amp;
($F38+S$4),Raw_Fund!$A:$A,0),
_xlpm.colNo,
MATCH(S$3,Raw_Fund!$E$1:$AZ$1,0),
_xlpm.val,
INDEX(Raw_Fund!$E:$AZ,_xlpm.rowNo,_xlpm.colNo),
IF(ISNUMBER(_xlpm.val),_xlpm.val*$H38,""))</f>
        <v/>
      </c>
      <c r="T38" s="6" t="str">
        <f>_xlfn.LET(
_xlpm.rowNo, MATCH($C38&amp;"|"&amp;
($F38+T$4),Raw_Fund!$A:$A,0),
_xlpm.colNo,
MATCH(T$3,Raw_Fund!$E$1:$AZ$1,0),
_xlpm.val,
INDEX(Raw_Fund!$E:$AZ,_xlpm.rowNo,_xlpm.colNo),
IF(ISNUMBER(_xlpm.val),_xlpm.val*$H38,""))</f>
        <v/>
      </c>
      <c r="U38" s="6" t="str">
        <f>_xlfn.LET(
_xlpm.rowNo, MATCH($C38&amp;"|"&amp;
($F38+U$4),Raw_Fund!$A:$A,0),
_xlpm.colNo,
MATCH(U$3,Raw_Fund!$E$1:$AZ$1,0),
_xlpm.val,
INDEX(Raw_Fund!$E:$AZ,_xlpm.rowNo,_xlpm.colNo),
IF(ISNUMBER(_xlpm.val),_xlpm.val*$H38,""))</f>
        <v/>
      </c>
      <c r="V38" s="6" t="str">
        <f>_xlfn.LET(
_xlpm.rowNo, MATCH($C38&amp;"|"&amp;
($F38+V$4),Raw_Fund!$A:$A,0),
_xlpm.colNo,
MATCH(V$3,Raw_Fund!$E$1:$AZ$1,0),
_xlpm.val,
INDEX(Raw_Fund!$E:$AZ,_xlpm.rowNo,_xlpm.colNo),
IF(ISNUMBER(_xlpm.val),_xlpm.val*$H38,""))</f>
        <v/>
      </c>
      <c r="W38" s="6" t="str">
        <f>_xlfn.LET(
_xlpm.rowNo, MATCH($C38&amp;"|"&amp;
($F38+W$4),Raw_Fund!$A:$A,0),
_xlpm.colNo,
MATCH(W$3,Raw_Fund!$E$1:$AZ$1,0),
_xlpm.val,
INDEX(Raw_Fund!$E:$AZ,_xlpm.rowNo,_xlpm.colNo),
IF(ISNUMBER(_xlpm.val),_xlpm.val*$H38,""))</f>
        <v/>
      </c>
      <c r="X38" s="6" t="str">
        <f>_xlfn.LET(
_xlpm.rowNo, MATCH($C38&amp;"|"&amp;
($F38+X$4),Raw_Fund!$A:$A,0),
_xlpm.colNo,
MATCH(X$3,Raw_Fund!$E$1:$AZ$1,0),
_xlpm.val,
INDEX(Raw_Fund!$E:$AZ,_xlpm.rowNo,_xlpm.colNo),
IF(ISNUMBER(_xlpm.val),_xlpm.val*$H38,""))</f>
        <v/>
      </c>
      <c r="Y38" s="6" t="str">
        <f>_xlfn.LET(
_xlpm.rowNo, MATCH($C38&amp;"|"&amp;
($F38+Y$4),Raw_Fund!$A:$A,0),
_xlpm.colNo,
MATCH(Y$3,Raw_Fund!$E$1:$AZ$1,0),
_xlpm.val,
INDEX(Raw_Fund!$E:$AZ,_xlpm.rowNo,_xlpm.colNo),
IF(ISNUMBER(_xlpm.val),_xlpm.val*$H38,""))</f>
        <v/>
      </c>
      <c r="Z38" s="6" t="e">
        <f>IF($E38&lt;&gt;"Include","",_xlfn.XLOOKUP($C38,Raw_Mkt!$A:$A,Raw_Mkt!$B:$B))</f>
        <v>#N/A</v>
      </c>
    </row>
    <row r="39" spans="1:26" x14ac:dyDescent="0.4">
      <c r="A39" t="str">
        <f>IF(Universe!A39&lt;&gt;"",Universe!A39,"")</f>
        <v>BOY</v>
      </c>
      <c r="B39" t="str">
        <f>IF(Universe!B39&lt;&gt;"",Universe!B39,"")</f>
        <v>Bodycote</v>
      </c>
      <c r="C39" t="str">
        <f>IF(Universe!C39&lt;&gt;"",Universe!C39,"")</f>
        <v>GB00B3FLWH99</v>
      </c>
      <c r="D39" t="str">
        <f>IF(Universe!D39&lt;&gt;"",Universe!D39,"")</f>
        <v>Industrials</v>
      </c>
      <c r="E39" t="str">
        <f>Universe!G39</f>
        <v>Include</v>
      </c>
      <c r="F39" t="str">
        <f>IF($E39&lt;&gt;"Include","",_xlfn.LET(_xlpm.latest,_xlfn.MAXIFS(Raw_Fund!$C:$C,Raw_Fund!$B:$B,Data!$C39),IF(_xlpm.latest=0,"",_xlpm.latest)))</f>
        <v/>
      </c>
      <c r="G39" t="str">
        <f>IF($F39="","",INDEX(Raw_Fund!$E:$AZ,MATCH($C39&amp;"|"&amp;$F39,Raw_Fund!$A:$A,0),MATCH(G$3,Raw_Fund!$E$1:$AZ$1,0)))</f>
        <v/>
      </c>
      <c r="H39" t="str">
        <f t="shared" si="0"/>
        <v/>
      </c>
      <c r="I39" s="6" t="str">
        <f>_xlfn.LET(
_xlpm.rowNo, MATCH($C39&amp;"|"&amp;
($F39+I$4),Raw_Fund!$A:$A,0),
_xlpm.colNo,
MATCH(I$3,Raw_Fund!$E$1:$AZ$1,0),
_xlpm.val,
INDEX(Raw_Fund!$E:$AZ,_xlpm.rowNo,_xlpm.colNo),
IF(ISNUMBER(_xlpm.val),_xlpm.val*$H39,""))</f>
        <v/>
      </c>
      <c r="J39" s="6" t="str">
        <f>_xlfn.LET(
_xlpm.rowNo, MATCH($C39&amp;"|"&amp;
($F39+J$4),Raw_Fund!$A:$A,0),
_xlpm.colNo,
MATCH(J$3,Raw_Fund!$E$1:$AZ$1,0),
_xlpm.val,
INDEX(Raw_Fund!$E:$AZ,_xlpm.rowNo,_xlpm.colNo),
IF(ISNUMBER(_xlpm.val),_xlpm.val*$H39,""))</f>
        <v/>
      </c>
      <c r="K39" s="6" t="str">
        <f>_xlfn.LET(
_xlpm.rowNo, MATCH($C39&amp;"|"&amp;
($F39+K$4),Raw_Fund!$A:$A,0),
_xlpm.colNo,
MATCH(K$3,Raw_Fund!$E$1:$AZ$1,0),
_xlpm.val,
INDEX(Raw_Fund!$E:$AZ,_xlpm.rowNo,_xlpm.colNo),
IF(ISNUMBER(_xlpm.val),_xlpm.val*$H39,""))</f>
        <v/>
      </c>
      <c r="L39" s="6" t="str">
        <f>_xlfn.LET(
_xlpm.rowNo, MATCH($C39&amp;"|"&amp;
($F39+L$4),Raw_Fund!$A:$A,0),
_xlpm.colNo,
MATCH(L$3,Raw_Fund!$E$1:$AZ$1,0),
_xlpm.val,
INDEX(Raw_Fund!$E:$AZ,_xlpm.rowNo,_xlpm.colNo),
IF(ISNUMBER(_xlpm.val),_xlpm.val*$H39,""))</f>
        <v/>
      </c>
      <c r="M39" s="6" t="str">
        <f>_xlfn.LET(
_xlpm.rowNo, MATCH($C39&amp;"|"&amp;
($F39+M$4),Raw_Fund!$A:$A,0),
_xlpm.colNo,
MATCH(M$3,Raw_Fund!$E$1:$AZ$1,0),
_xlpm.val,
INDEX(Raw_Fund!$E:$AZ,_xlpm.rowNo,_xlpm.colNo),
IF(ISNUMBER(_xlpm.val),_xlpm.val*$H39,""))</f>
        <v/>
      </c>
      <c r="N39" s="6" t="str">
        <f>_xlfn.LET(
_xlpm.rowNo, MATCH($C39&amp;"|"&amp;
($F39+N$4),Raw_Fund!$A:$A,0),
_xlpm.colNo,
MATCH(N$3,Raw_Fund!$E$1:$AZ$1,0),
_xlpm.val,
INDEX(Raw_Fund!$E:$AZ,_xlpm.rowNo,_xlpm.colNo),
IF(ISNUMBER(_xlpm.val),_xlpm.val*$H39,""))</f>
        <v/>
      </c>
      <c r="O39" s="6" t="str">
        <f>_xlfn.LET(
_xlpm.rowNo, MATCH($C39&amp;"|"&amp;
($F39+O$4),Raw_Fund!$A:$A,0),
_xlpm.colNo,
MATCH(O$3,Raw_Fund!$E$1:$AZ$1,0),
_xlpm.val,
INDEX(Raw_Fund!$E:$AZ,_xlpm.rowNo,_xlpm.colNo),
IF(ISNUMBER(_xlpm.val),_xlpm.val*$H39,""))</f>
        <v/>
      </c>
      <c r="P39" s="6" t="str">
        <f>_xlfn.LET(
_xlpm.rowNo, MATCH($C39&amp;"|"&amp;
($F39+P$4),Raw_Fund!$A:$A,0),
_xlpm.colNo,
MATCH(P$3,Raw_Fund!$E$1:$AZ$1,0),
_xlpm.val,
INDEX(Raw_Fund!$E:$AZ,_xlpm.rowNo,_xlpm.colNo),
IF(ISNUMBER(_xlpm.val),_xlpm.val*$H39,""))</f>
        <v/>
      </c>
      <c r="Q39" s="6" t="str">
        <f>_xlfn.LET(
_xlpm.rowNo, MATCH($C39&amp;"|"&amp;
($F39+Q$4),Raw_Fund!$A:$A,0),
_xlpm.colNo,
MATCH(Q$3,Raw_Fund!$E$1:$AZ$1,0),
_xlpm.val,
INDEX(Raw_Fund!$E:$AZ,_xlpm.rowNo,_xlpm.colNo),
IF(ISNUMBER(_xlpm.val),_xlpm.val*$H39,""))</f>
        <v/>
      </c>
      <c r="R39" s="6" t="str">
        <f>_xlfn.LET(
_xlpm.rowNo, MATCH($C39&amp;"|"&amp;
($F39+R$4),Raw_Fund!$A:$A,0),
_xlpm.colNo,
MATCH(R$3,Raw_Fund!$E$1:$AZ$1,0),
_xlpm.val,
INDEX(Raw_Fund!$E:$AZ,_xlpm.rowNo,_xlpm.colNo),
IF(ISNUMBER(_xlpm.val),_xlpm.val*$H39,""))</f>
        <v/>
      </c>
      <c r="S39" s="6" t="str">
        <f>_xlfn.LET(
_xlpm.rowNo, MATCH($C39&amp;"|"&amp;
($F39+S$4),Raw_Fund!$A:$A,0),
_xlpm.colNo,
MATCH(S$3,Raw_Fund!$E$1:$AZ$1,0),
_xlpm.val,
INDEX(Raw_Fund!$E:$AZ,_xlpm.rowNo,_xlpm.colNo),
IF(ISNUMBER(_xlpm.val),_xlpm.val*$H39,""))</f>
        <v/>
      </c>
      <c r="T39" s="6" t="str">
        <f>_xlfn.LET(
_xlpm.rowNo, MATCH($C39&amp;"|"&amp;
($F39+T$4),Raw_Fund!$A:$A,0),
_xlpm.colNo,
MATCH(T$3,Raw_Fund!$E$1:$AZ$1,0),
_xlpm.val,
INDEX(Raw_Fund!$E:$AZ,_xlpm.rowNo,_xlpm.colNo),
IF(ISNUMBER(_xlpm.val),_xlpm.val*$H39,""))</f>
        <v/>
      </c>
      <c r="U39" s="6" t="str">
        <f>_xlfn.LET(
_xlpm.rowNo, MATCH($C39&amp;"|"&amp;
($F39+U$4),Raw_Fund!$A:$A,0),
_xlpm.colNo,
MATCH(U$3,Raw_Fund!$E$1:$AZ$1,0),
_xlpm.val,
INDEX(Raw_Fund!$E:$AZ,_xlpm.rowNo,_xlpm.colNo),
IF(ISNUMBER(_xlpm.val),_xlpm.val*$H39,""))</f>
        <v/>
      </c>
      <c r="V39" s="6" t="str">
        <f>_xlfn.LET(
_xlpm.rowNo, MATCH($C39&amp;"|"&amp;
($F39+V$4),Raw_Fund!$A:$A,0),
_xlpm.colNo,
MATCH(V$3,Raw_Fund!$E$1:$AZ$1,0),
_xlpm.val,
INDEX(Raw_Fund!$E:$AZ,_xlpm.rowNo,_xlpm.colNo),
IF(ISNUMBER(_xlpm.val),_xlpm.val*$H39,""))</f>
        <v/>
      </c>
      <c r="W39" s="6" t="str">
        <f>_xlfn.LET(
_xlpm.rowNo, MATCH($C39&amp;"|"&amp;
($F39+W$4),Raw_Fund!$A:$A,0),
_xlpm.colNo,
MATCH(W$3,Raw_Fund!$E$1:$AZ$1,0),
_xlpm.val,
INDEX(Raw_Fund!$E:$AZ,_xlpm.rowNo,_xlpm.colNo),
IF(ISNUMBER(_xlpm.val),_xlpm.val*$H39,""))</f>
        <v/>
      </c>
      <c r="X39" s="6" t="str">
        <f>_xlfn.LET(
_xlpm.rowNo, MATCH($C39&amp;"|"&amp;
($F39+X$4),Raw_Fund!$A:$A,0),
_xlpm.colNo,
MATCH(X$3,Raw_Fund!$E$1:$AZ$1,0),
_xlpm.val,
INDEX(Raw_Fund!$E:$AZ,_xlpm.rowNo,_xlpm.colNo),
IF(ISNUMBER(_xlpm.val),_xlpm.val*$H39,""))</f>
        <v/>
      </c>
      <c r="Y39" s="6" t="str">
        <f>_xlfn.LET(
_xlpm.rowNo, MATCH($C39&amp;"|"&amp;
($F39+Y$4),Raw_Fund!$A:$A,0),
_xlpm.colNo,
MATCH(Y$3,Raw_Fund!$E$1:$AZ$1,0),
_xlpm.val,
INDEX(Raw_Fund!$E:$AZ,_xlpm.rowNo,_xlpm.colNo),
IF(ISNUMBER(_xlpm.val),_xlpm.val*$H39,""))</f>
        <v/>
      </c>
      <c r="Z39" s="6" t="e">
        <f>IF($E39&lt;&gt;"Include","",_xlfn.XLOOKUP($C39,Raw_Mkt!$A:$A,Raw_Mkt!$B:$B))</f>
        <v>#N/A</v>
      </c>
    </row>
    <row r="40" spans="1:26" x14ac:dyDescent="0.4">
      <c r="A40" t="str">
        <f>IF(Universe!A40&lt;&gt;"",Universe!A40,"")</f>
        <v>BREE</v>
      </c>
      <c r="B40" t="str">
        <f>IF(Universe!B40&lt;&gt;"",Universe!B40,"")</f>
        <v>Breedon Group</v>
      </c>
      <c r="C40" t="str">
        <f>IF(Universe!C40&lt;&gt;"",Universe!C40,"")</f>
        <v>GB00BM8NFJ84</v>
      </c>
      <c r="D40" t="str">
        <f>IF(Universe!D40&lt;&gt;"",Universe!D40,"")</f>
        <v>Industrials</v>
      </c>
      <c r="E40" t="str">
        <f>Universe!G40</f>
        <v>Include</v>
      </c>
      <c r="F40" t="str">
        <f>IF($E40&lt;&gt;"Include","",_xlfn.LET(_xlpm.latest,_xlfn.MAXIFS(Raw_Fund!$C:$C,Raw_Fund!$B:$B,Data!$C40),IF(_xlpm.latest=0,"",_xlpm.latest)))</f>
        <v/>
      </c>
      <c r="G40" t="str">
        <f>IF($F40="","",INDEX(Raw_Fund!$E:$AZ,MATCH($C40&amp;"|"&amp;$F40,Raw_Fund!$A:$A,0),MATCH(G$3,Raw_Fund!$E$1:$AZ$1,0)))</f>
        <v/>
      </c>
      <c r="H40" t="str">
        <f t="shared" si="0"/>
        <v/>
      </c>
      <c r="I40" s="6" t="str">
        <f>_xlfn.LET(
_xlpm.rowNo, MATCH($C40&amp;"|"&amp;
($F40+I$4),Raw_Fund!$A:$A,0),
_xlpm.colNo,
MATCH(I$3,Raw_Fund!$E$1:$AZ$1,0),
_xlpm.val,
INDEX(Raw_Fund!$E:$AZ,_xlpm.rowNo,_xlpm.colNo),
IF(ISNUMBER(_xlpm.val),_xlpm.val*$H40,""))</f>
        <v/>
      </c>
      <c r="J40" s="6" t="str">
        <f>_xlfn.LET(
_xlpm.rowNo, MATCH($C40&amp;"|"&amp;
($F40+J$4),Raw_Fund!$A:$A,0),
_xlpm.colNo,
MATCH(J$3,Raw_Fund!$E$1:$AZ$1,0),
_xlpm.val,
INDEX(Raw_Fund!$E:$AZ,_xlpm.rowNo,_xlpm.colNo),
IF(ISNUMBER(_xlpm.val),_xlpm.val*$H40,""))</f>
        <v/>
      </c>
      <c r="K40" s="6" t="str">
        <f>_xlfn.LET(
_xlpm.rowNo, MATCH($C40&amp;"|"&amp;
($F40+K$4),Raw_Fund!$A:$A,0),
_xlpm.colNo,
MATCH(K$3,Raw_Fund!$E$1:$AZ$1,0),
_xlpm.val,
INDEX(Raw_Fund!$E:$AZ,_xlpm.rowNo,_xlpm.colNo),
IF(ISNUMBER(_xlpm.val),_xlpm.val*$H40,""))</f>
        <v/>
      </c>
      <c r="L40" s="6" t="str">
        <f>_xlfn.LET(
_xlpm.rowNo, MATCH($C40&amp;"|"&amp;
($F40+L$4),Raw_Fund!$A:$A,0),
_xlpm.colNo,
MATCH(L$3,Raw_Fund!$E$1:$AZ$1,0),
_xlpm.val,
INDEX(Raw_Fund!$E:$AZ,_xlpm.rowNo,_xlpm.colNo),
IF(ISNUMBER(_xlpm.val),_xlpm.val*$H40,""))</f>
        <v/>
      </c>
      <c r="M40" s="6" t="str">
        <f>_xlfn.LET(
_xlpm.rowNo, MATCH($C40&amp;"|"&amp;
($F40+M$4),Raw_Fund!$A:$A,0),
_xlpm.colNo,
MATCH(M$3,Raw_Fund!$E$1:$AZ$1,0),
_xlpm.val,
INDEX(Raw_Fund!$E:$AZ,_xlpm.rowNo,_xlpm.colNo),
IF(ISNUMBER(_xlpm.val),_xlpm.val*$H40,""))</f>
        <v/>
      </c>
      <c r="N40" s="6" t="str">
        <f>_xlfn.LET(
_xlpm.rowNo, MATCH($C40&amp;"|"&amp;
($F40+N$4),Raw_Fund!$A:$A,0),
_xlpm.colNo,
MATCH(N$3,Raw_Fund!$E$1:$AZ$1,0),
_xlpm.val,
INDEX(Raw_Fund!$E:$AZ,_xlpm.rowNo,_xlpm.colNo),
IF(ISNUMBER(_xlpm.val),_xlpm.val*$H40,""))</f>
        <v/>
      </c>
      <c r="O40" s="6" t="str">
        <f>_xlfn.LET(
_xlpm.rowNo, MATCH($C40&amp;"|"&amp;
($F40+O$4),Raw_Fund!$A:$A,0),
_xlpm.colNo,
MATCH(O$3,Raw_Fund!$E$1:$AZ$1,0),
_xlpm.val,
INDEX(Raw_Fund!$E:$AZ,_xlpm.rowNo,_xlpm.colNo),
IF(ISNUMBER(_xlpm.val),_xlpm.val*$H40,""))</f>
        <v/>
      </c>
      <c r="P40" s="6" t="str">
        <f>_xlfn.LET(
_xlpm.rowNo, MATCH($C40&amp;"|"&amp;
($F40+P$4),Raw_Fund!$A:$A,0),
_xlpm.colNo,
MATCH(P$3,Raw_Fund!$E$1:$AZ$1,0),
_xlpm.val,
INDEX(Raw_Fund!$E:$AZ,_xlpm.rowNo,_xlpm.colNo),
IF(ISNUMBER(_xlpm.val),_xlpm.val*$H40,""))</f>
        <v/>
      </c>
      <c r="Q40" s="6" t="str">
        <f>_xlfn.LET(
_xlpm.rowNo, MATCH($C40&amp;"|"&amp;
($F40+Q$4),Raw_Fund!$A:$A,0),
_xlpm.colNo,
MATCH(Q$3,Raw_Fund!$E$1:$AZ$1,0),
_xlpm.val,
INDEX(Raw_Fund!$E:$AZ,_xlpm.rowNo,_xlpm.colNo),
IF(ISNUMBER(_xlpm.val),_xlpm.val*$H40,""))</f>
        <v/>
      </c>
      <c r="R40" s="6" t="str">
        <f>_xlfn.LET(
_xlpm.rowNo, MATCH($C40&amp;"|"&amp;
($F40+R$4),Raw_Fund!$A:$A,0),
_xlpm.colNo,
MATCH(R$3,Raw_Fund!$E$1:$AZ$1,0),
_xlpm.val,
INDEX(Raw_Fund!$E:$AZ,_xlpm.rowNo,_xlpm.colNo),
IF(ISNUMBER(_xlpm.val),_xlpm.val*$H40,""))</f>
        <v/>
      </c>
      <c r="S40" s="6" t="str">
        <f>_xlfn.LET(
_xlpm.rowNo, MATCH($C40&amp;"|"&amp;
($F40+S$4),Raw_Fund!$A:$A,0),
_xlpm.colNo,
MATCH(S$3,Raw_Fund!$E$1:$AZ$1,0),
_xlpm.val,
INDEX(Raw_Fund!$E:$AZ,_xlpm.rowNo,_xlpm.colNo),
IF(ISNUMBER(_xlpm.val),_xlpm.val*$H40,""))</f>
        <v/>
      </c>
      <c r="T40" s="6" t="str">
        <f>_xlfn.LET(
_xlpm.rowNo, MATCH($C40&amp;"|"&amp;
($F40+T$4),Raw_Fund!$A:$A,0),
_xlpm.colNo,
MATCH(T$3,Raw_Fund!$E$1:$AZ$1,0),
_xlpm.val,
INDEX(Raw_Fund!$E:$AZ,_xlpm.rowNo,_xlpm.colNo),
IF(ISNUMBER(_xlpm.val),_xlpm.val*$H40,""))</f>
        <v/>
      </c>
      <c r="U40" s="6" t="str">
        <f>_xlfn.LET(
_xlpm.rowNo, MATCH($C40&amp;"|"&amp;
($F40+U$4),Raw_Fund!$A:$A,0),
_xlpm.colNo,
MATCH(U$3,Raw_Fund!$E$1:$AZ$1,0),
_xlpm.val,
INDEX(Raw_Fund!$E:$AZ,_xlpm.rowNo,_xlpm.colNo),
IF(ISNUMBER(_xlpm.val),_xlpm.val*$H40,""))</f>
        <v/>
      </c>
      <c r="V40" s="6" t="str">
        <f>_xlfn.LET(
_xlpm.rowNo, MATCH($C40&amp;"|"&amp;
($F40+V$4),Raw_Fund!$A:$A,0),
_xlpm.colNo,
MATCH(V$3,Raw_Fund!$E$1:$AZ$1,0),
_xlpm.val,
INDEX(Raw_Fund!$E:$AZ,_xlpm.rowNo,_xlpm.colNo),
IF(ISNUMBER(_xlpm.val),_xlpm.val*$H40,""))</f>
        <v/>
      </c>
      <c r="W40" s="6" t="str">
        <f>_xlfn.LET(
_xlpm.rowNo, MATCH($C40&amp;"|"&amp;
($F40+W$4),Raw_Fund!$A:$A,0),
_xlpm.colNo,
MATCH(W$3,Raw_Fund!$E$1:$AZ$1,0),
_xlpm.val,
INDEX(Raw_Fund!$E:$AZ,_xlpm.rowNo,_xlpm.colNo),
IF(ISNUMBER(_xlpm.val),_xlpm.val*$H40,""))</f>
        <v/>
      </c>
      <c r="X40" s="6" t="str">
        <f>_xlfn.LET(
_xlpm.rowNo, MATCH($C40&amp;"|"&amp;
($F40+X$4),Raw_Fund!$A:$A,0),
_xlpm.colNo,
MATCH(X$3,Raw_Fund!$E$1:$AZ$1,0),
_xlpm.val,
INDEX(Raw_Fund!$E:$AZ,_xlpm.rowNo,_xlpm.colNo),
IF(ISNUMBER(_xlpm.val),_xlpm.val*$H40,""))</f>
        <v/>
      </c>
      <c r="Y40" s="6" t="str">
        <f>_xlfn.LET(
_xlpm.rowNo, MATCH($C40&amp;"|"&amp;
($F40+Y$4),Raw_Fund!$A:$A,0),
_xlpm.colNo,
MATCH(Y$3,Raw_Fund!$E$1:$AZ$1,0),
_xlpm.val,
INDEX(Raw_Fund!$E:$AZ,_xlpm.rowNo,_xlpm.colNo),
IF(ISNUMBER(_xlpm.val),_xlpm.val*$H40,""))</f>
        <v/>
      </c>
      <c r="Z40" s="6" t="e">
        <f>IF($E40&lt;&gt;"Include","",_xlfn.XLOOKUP($C40,Raw_Mkt!$A:$A,Raw_Mkt!$B:$B))</f>
        <v>#N/A</v>
      </c>
    </row>
    <row r="41" spans="1:26" x14ac:dyDescent="0.4">
      <c r="A41" t="str">
        <f>IF(Universe!A41&lt;&gt;"",Universe!A41,"")</f>
        <v>BPT</v>
      </c>
      <c r="B41" t="str">
        <f>IF(Universe!B41&lt;&gt;"",Universe!B41,"")</f>
        <v>Bridgepoint Group</v>
      </c>
      <c r="C41" t="str">
        <f>IF(Universe!C41&lt;&gt;"",Universe!C41,"")</f>
        <v>GB00BND88V85</v>
      </c>
      <c r="D41" t="str">
        <f>IF(Universe!D41&lt;&gt;"",Universe!D41,"")</f>
        <v>Financials</v>
      </c>
      <c r="E41" t="str">
        <f>Universe!G41</f>
        <v>Exclude</v>
      </c>
      <c r="F41" t="str">
        <f>IF($E41&lt;&gt;"Include","",_xlfn.LET(_xlpm.latest,_xlfn.MAXIFS(Raw_Fund!$C:$C,Raw_Fund!$B:$B,Data!$C41),IF(_xlpm.latest=0,"",_xlpm.latest)))</f>
        <v/>
      </c>
      <c r="G41" t="str">
        <f>IF($F41="","",INDEX(Raw_Fund!$E:$AZ,MATCH($C41&amp;"|"&amp;$F41,Raw_Fund!$A:$A,0),MATCH(G$3,Raw_Fund!$E$1:$AZ$1,0)))</f>
        <v/>
      </c>
      <c r="H41" t="str">
        <f t="shared" si="0"/>
        <v/>
      </c>
      <c r="I41" s="6" t="str">
        <f>_xlfn.LET(
_xlpm.rowNo, MATCH($C41&amp;"|"&amp;
($F41+I$4),Raw_Fund!$A:$A,0),
_xlpm.colNo,
MATCH(I$3,Raw_Fund!$E$1:$AZ$1,0),
_xlpm.val,
INDEX(Raw_Fund!$E:$AZ,_xlpm.rowNo,_xlpm.colNo),
IF(ISNUMBER(_xlpm.val),_xlpm.val*$H41,""))</f>
        <v/>
      </c>
      <c r="J41" s="6" t="str">
        <f>_xlfn.LET(
_xlpm.rowNo, MATCH($C41&amp;"|"&amp;
($F41+J$4),Raw_Fund!$A:$A,0),
_xlpm.colNo,
MATCH(J$3,Raw_Fund!$E$1:$AZ$1,0),
_xlpm.val,
INDEX(Raw_Fund!$E:$AZ,_xlpm.rowNo,_xlpm.colNo),
IF(ISNUMBER(_xlpm.val),_xlpm.val*$H41,""))</f>
        <v/>
      </c>
      <c r="K41" s="6" t="str">
        <f>_xlfn.LET(
_xlpm.rowNo, MATCH($C41&amp;"|"&amp;
($F41+K$4),Raw_Fund!$A:$A,0),
_xlpm.colNo,
MATCH(K$3,Raw_Fund!$E$1:$AZ$1,0),
_xlpm.val,
INDEX(Raw_Fund!$E:$AZ,_xlpm.rowNo,_xlpm.colNo),
IF(ISNUMBER(_xlpm.val),_xlpm.val*$H41,""))</f>
        <v/>
      </c>
      <c r="L41" s="6" t="str">
        <f>_xlfn.LET(
_xlpm.rowNo, MATCH($C41&amp;"|"&amp;
($F41+L$4),Raw_Fund!$A:$A,0),
_xlpm.colNo,
MATCH(L$3,Raw_Fund!$E$1:$AZ$1,0),
_xlpm.val,
INDEX(Raw_Fund!$E:$AZ,_xlpm.rowNo,_xlpm.colNo),
IF(ISNUMBER(_xlpm.val),_xlpm.val*$H41,""))</f>
        <v/>
      </c>
      <c r="M41" s="6" t="str">
        <f>_xlfn.LET(
_xlpm.rowNo, MATCH($C41&amp;"|"&amp;
($F41+M$4),Raw_Fund!$A:$A,0),
_xlpm.colNo,
MATCH(M$3,Raw_Fund!$E$1:$AZ$1,0),
_xlpm.val,
INDEX(Raw_Fund!$E:$AZ,_xlpm.rowNo,_xlpm.colNo),
IF(ISNUMBER(_xlpm.val),_xlpm.val*$H41,""))</f>
        <v/>
      </c>
      <c r="N41" s="6" t="str">
        <f>_xlfn.LET(
_xlpm.rowNo, MATCH($C41&amp;"|"&amp;
($F41+N$4),Raw_Fund!$A:$A,0),
_xlpm.colNo,
MATCH(N$3,Raw_Fund!$E$1:$AZ$1,0),
_xlpm.val,
INDEX(Raw_Fund!$E:$AZ,_xlpm.rowNo,_xlpm.colNo),
IF(ISNUMBER(_xlpm.val),_xlpm.val*$H41,""))</f>
        <v/>
      </c>
      <c r="O41" s="6" t="str">
        <f>_xlfn.LET(
_xlpm.rowNo, MATCH($C41&amp;"|"&amp;
($F41+O$4),Raw_Fund!$A:$A,0),
_xlpm.colNo,
MATCH(O$3,Raw_Fund!$E$1:$AZ$1,0),
_xlpm.val,
INDEX(Raw_Fund!$E:$AZ,_xlpm.rowNo,_xlpm.colNo),
IF(ISNUMBER(_xlpm.val),_xlpm.val*$H41,""))</f>
        <v/>
      </c>
      <c r="P41" s="6" t="str">
        <f>_xlfn.LET(
_xlpm.rowNo, MATCH($C41&amp;"|"&amp;
($F41+P$4),Raw_Fund!$A:$A,0),
_xlpm.colNo,
MATCH(P$3,Raw_Fund!$E$1:$AZ$1,0),
_xlpm.val,
INDEX(Raw_Fund!$E:$AZ,_xlpm.rowNo,_xlpm.colNo),
IF(ISNUMBER(_xlpm.val),_xlpm.val*$H41,""))</f>
        <v/>
      </c>
      <c r="Q41" s="6" t="str">
        <f>_xlfn.LET(
_xlpm.rowNo, MATCH($C41&amp;"|"&amp;
($F41+Q$4),Raw_Fund!$A:$A,0),
_xlpm.colNo,
MATCH(Q$3,Raw_Fund!$E$1:$AZ$1,0),
_xlpm.val,
INDEX(Raw_Fund!$E:$AZ,_xlpm.rowNo,_xlpm.colNo),
IF(ISNUMBER(_xlpm.val),_xlpm.val*$H41,""))</f>
        <v/>
      </c>
      <c r="R41" s="6" t="str">
        <f>_xlfn.LET(
_xlpm.rowNo, MATCH($C41&amp;"|"&amp;
($F41+R$4),Raw_Fund!$A:$A,0),
_xlpm.colNo,
MATCH(R$3,Raw_Fund!$E$1:$AZ$1,0),
_xlpm.val,
INDEX(Raw_Fund!$E:$AZ,_xlpm.rowNo,_xlpm.colNo),
IF(ISNUMBER(_xlpm.val),_xlpm.val*$H41,""))</f>
        <v/>
      </c>
      <c r="S41" s="6" t="str">
        <f>_xlfn.LET(
_xlpm.rowNo, MATCH($C41&amp;"|"&amp;
($F41+S$4),Raw_Fund!$A:$A,0),
_xlpm.colNo,
MATCH(S$3,Raw_Fund!$E$1:$AZ$1,0),
_xlpm.val,
INDEX(Raw_Fund!$E:$AZ,_xlpm.rowNo,_xlpm.colNo),
IF(ISNUMBER(_xlpm.val),_xlpm.val*$H41,""))</f>
        <v/>
      </c>
      <c r="T41" s="6" t="str">
        <f>_xlfn.LET(
_xlpm.rowNo, MATCH($C41&amp;"|"&amp;
($F41+T$4),Raw_Fund!$A:$A,0),
_xlpm.colNo,
MATCH(T$3,Raw_Fund!$E$1:$AZ$1,0),
_xlpm.val,
INDEX(Raw_Fund!$E:$AZ,_xlpm.rowNo,_xlpm.colNo),
IF(ISNUMBER(_xlpm.val),_xlpm.val*$H41,""))</f>
        <v/>
      </c>
      <c r="U41" s="6" t="str">
        <f>_xlfn.LET(
_xlpm.rowNo, MATCH($C41&amp;"|"&amp;
($F41+U$4),Raw_Fund!$A:$A,0),
_xlpm.colNo,
MATCH(U$3,Raw_Fund!$E$1:$AZ$1,0),
_xlpm.val,
INDEX(Raw_Fund!$E:$AZ,_xlpm.rowNo,_xlpm.colNo),
IF(ISNUMBER(_xlpm.val),_xlpm.val*$H41,""))</f>
        <v/>
      </c>
      <c r="V41" s="6" t="str">
        <f>_xlfn.LET(
_xlpm.rowNo, MATCH($C41&amp;"|"&amp;
($F41+V$4),Raw_Fund!$A:$A,0),
_xlpm.colNo,
MATCH(V$3,Raw_Fund!$E$1:$AZ$1,0),
_xlpm.val,
INDEX(Raw_Fund!$E:$AZ,_xlpm.rowNo,_xlpm.colNo),
IF(ISNUMBER(_xlpm.val),_xlpm.val*$H41,""))</f>
        <v/>
      </c>
      <c r="W41" s="6" t="str">
        <f>_xlfn.LET(
_xlpm.rowNo, MATCH($C41&amp;"|"&amp;
($F41+W$4),Raw_Fund!$A:$A,0),
_xlpm.colNo,
MATCH(W$3,Raw_Fund!$E$1:$AZ$1,0),
_xlpm.val,
INDEX(Raw_Fund!$E:$AZ,_xlpm.rowNo,_xlpm.colNo),
IF(ISNUMBER(_xlpm.val),_xlpm.val*$H41,""))</f>
        <v/>
      </c>
      <c r="X41" s="6" t="str">
        <f>_xlfn.LET(
_xlpm.rowNo, MATCH($C41&amp;"|"&amp;
($F41+X$4),Raw_Fund!$A:$A,0),
_xlpm.colNo,
MATCH(X$3,Raw_Fund!$E$1:$AZ$1,0),
_xlpm.val,
INDEX(Raw_Fund!$E:$AZ,_xlpm.rowNo,_xlpm.colNo),
IF(ISNUMBER(_xlpm.val),_xlpm.val*$H41,""))</f>
        <v/>
      </c>
      <c r="Y41" s="6" t="str">
        <f>_xlfn.LET(
_xlpm.rowNo, MATCH($C41&amp;"|"&amp;
($F41+Y$4),Raw_Fund!$A:$A,0),
_xlpm.colNo,
MATCH(Y$3,Raw_Fund!$E$1:$AZ$1,0),
_xlpm.val,
INDEX(Raw_Fund!$E:$AZ,_xlpm.rowNo,_xlpm.colNo),
IF(ISNUMBER(_xlpm.val),_xlpm.val*$H41,""))</f>
        <v/>
      </c>
      <c r="Z41" s="6" t="str">
        <f>IF($E41&lt;&gt;"Include","",_xlfn.XLOOKUP($C41,Raw_Mkt!$A:$A,Raw_Mkt!$B:$B))</f>
        <v/>
      </c>
    </row>
    <row r="42" spans="1:26" x14ac:dyDescent="0.4">
      <c r="A42" t="str">
        <f>IF(Universe!A42&lt;&gt;"",Universe!A42,"")</f>
        <v>BUT</v>
      </c>
      <c r="B42" t="str">
        <f>IF(Universe!B42&lt;&gt;"",Universe!B42,"")</f>
        <v>Brunner Investment Trust</v>
      </c>
      <c r="C42" t="str">
        <f>IF(Universe!C42&lt;&gt;"",Universe!C42,"")</f>
        <v>GB0001490449</v>
      </c>
      <c r="D42" t="str">
        <f>IF(Universe!D42&lt;&gt;"",Universe!D42,"")</f>
        <v>Financials</v>
      </c>
      <c r="E42" t="str">
        <f>Universe!G42</f>
        <v>Exclude</v>
      </c>
      <c r="F42" t="str">
        <f>IF($E42&lt;&gt;"Include","",_xlfn.LET(_xlpm.latest,_xlfn.MAXIFS(Raw_Fund!$C:$C,Raw_Fund!$B:$B,Data!$C42),IF(_xlpm.latest=0,"",_xlpm.latest)))</f>
        <v/>
      </c>
      <c r="G42" t="str">
        <f>IF($F42="","",INDEX(Raw_Fund!$E:$AZ,MATCH($C42&amp;"|"&amp;$F42,Raw_Fund!$A:$A,0),MATCH(G$3,Raw_Fund!$E$1:$AZ$1,0)))</f>
        <v/>
      </c>
      <c r="H42" t="str">
        <f t="shared" si="0"/>
        <v/>
      </c>
      <c r="I42" s="6" t="str">
        <f>_xlfn.LET(
_xlpm.rowNo, MATCH($C42&amp;"|"&amp;
($F42+I$4),Raw_Fund!$A:$A,0),
_xlpm.colNo,
MATCH(I$3,Raw_Fund!$E$1:$AZ$1,0),
_xlpm.val,
INDEX(Raw_Fund!$E:$AZ,_xlpm.rowNo,_xlpm.colNo),
IF(ISNUMBER(_xlpm.val),_xlpm.val*$H42,""))</f>
        <v/>
      </c>
      <c r="J42" s="6" t="str">
        <f>_xlfn.LET(
_xlpm.rowNo, MATCH($C42&amp;"|"&amp;
($F42+J$4),Raw_Fund!$A:$A,0),
_xlpm.colNo,
MATCH(J$3,Raw_Fund!$E$1:$AZ$1,0),
_xlpm.val,
INDEX(Raw_Fund!$E:$AZ,_xlpm.rowNo,_xlpm.colNo),
IF(ISNUMBER(_xlpm.val),_xlpm.val*$H42,""))</f>
        <v/>
      </c>
      <c r="K42" s="6" t="str">
        <f>_xlfn.LET(
_xlpm.rowNo, MATCH($C42&amp;"|"&amp;
($F42+K$4),Raw_Fund!$A:$A,0),
_xlpm.colNo,
MATCH(K$3,Raw_Fund!$E$1:$AZ$1,0),
_xlpm.val,
INDEX(Raw_Fund!$E:$AZ,_xlpm.rowNo,_xlpm.colNo),
IF(ISNUMBER(_xlpm.val),_xlpm.val*$H42,""))</f>
        <v/>
      </c>
      <c r="L42" s="6" t="str">
        <f>_xlfn.LET(
_xlpm.rowNo, MATCH($C42&amp;"|"&amp;
($F42+L$4),Raw_Fund!$A:$A,0),
_xlpm.colNo,
MATCH(L$3,Raw_Fund!$E$1:$AZ$1,0),
_xlpm.val,
INDEX(Raw_Fund!$E:$AZ,_xlpm.rowNo,_xlpm.colNo),
IF(ISNUMBER(_xlpm.val),_xlpm.val*$H42,""))</f>
        <v/>
      </c>
      <c r="M42" s="6" t="str">
        <f>_xlfn.LET(
_xlpm.rowNo, MATCH($C42&amp;"|"&amp;
($F42+M$4),Raw_Fund!$A:$A,0),
_xlpm.colNo,
MATCH(M$3,Raw_Fund!$E$1:$AZ$1,0),
_xlpm.val,
INDEX(Raw_Fund!$E:$AZ,_xlpm.rowNo,_xlpm.colNo),
IF(ISNUMBER(_xlpm.val),_xlpm.val*$H42,""))</f>
        <v/>
      </c>
      <c r="N42" s="6" t="str">
        <f>_xlfn.LET(
_xlpm.rowNo, MATCH($C42&amp;"|"&amp;
($F42+N$4),Raw_Fund!$A:$A,0),
_xlpm.colNo,
MATCH(N$3,Raw_Fund!$E$1:$AZ$1,0),
_xlpm.val,
INDEX(Raw_Fund!$E:$AZ,_xlpm.rowNo,_xlpm.colNo),
IF(ISNUMBER(_xlpm.val),_xlpm.val*$H42,""))</f>
        <v/>
      </c>
      <c r="O42" s="6" t="str">
        <f>_xlfn.LET(
_xlpm.rowNo, MATCH($C42&amp;"|"&amp;
($F42+O$4),Raw_Fund!$A:$A,0),
_xlpm.colNo,
MATCH(O$3,Raw_Fund!$E$1:$AZ$1,0),
_xlpm.val,
INDEX(Raw_Fund!$E:$AZ,_xlpm.rowNo,_xlpm.colNo),
IF(ISNUMBER(_xlpm.val),_xlpm.val*$H42,""))</f>
        <v/>
      </c>
      <c r="P42" s="6" t="str">
        <f>_xlfn.LET(
_xlpm.rowNo, MATCH($C42&amp;"|"&amp;
($F42+P$4),Raw_Fund!$A:$A,0),
_xlpm.colNo,
MATCH(P$3,Raw_Fund!$E$1:$AZ$1,0),
_xlpm.val,
INDEX(Raw_Fund!$E:$AZ,_xlpm.rowNo,_xlpm.colNo),
IF(ISNUMBER(_xlpm.val),_xlpm.val*$H42,""))</f>
        <v/>
      </c>
      <c r="Q42" s="6" t="str">
        <f>_xlfn.LET(
_xlpm.rowNo, MATCH($C42&amp;"|"&amp;
($F42+Q$4),Raw_Fund!$A:$A,0),
_xlpm.colNo,
MATCH(Q$3,Raw_Fund!$E$1:$AZ$1,0),
_xlpm.val,
INDEX(Raw_Fund!$E:$AZ,_xlpm.rowNo,_xlpm.colNo),
IF(ISNUMBER(_xlpm.val),_xlpm.val*$H42,""))</f>
        <v/>
      </c>
      <c r="R42" s="6" t="str">
        <f>_xlfn.LET(
_xlpm.rowNo, MATCH($C42&amp;"|"&amp;
($F42+R$4),Raw_Fund!$A:$A,0),
_xlpm.colNo,
MATCH(R$3,Raw_Fund!$E$1:$AZ$1,0),
_xlpm.val,
INDEX(Raw_Fund!$E:$AZ,_xlpm.rowNo,_xlpm.colNo),
IF(ISNUMBER(_xlpm.val),_xlpm.val*$H42,""))</f>
        <v/>
      </c>
      <c r="S42" s="6" t="str">
        <f>_xlfn.LET(
_xlpm.rowNo, MATCH($C42&amp;"|"&amp;
($F42+S$4),Raw_Fund!$A:$A,0),
_xlpm.colNo,
MATCH(S$3,Raw_Fund!$E$1:$AZ$1,0),
_xlpm.val,
INDEX(Raw_Fund!$E:$AZ,_xlpm.rowNo,_xlpm.colNo),
IF(ISNUMBER(_xlpm.val),_xlpm.val*$H42,""))</f>
        <v/>
      </c>
      <c r="T42" s="6" t="str">
        <f>_xlfn.LET(
_xlpm.rowNo, MATCH($C42&amp;"|"&amp;
($F42+T$4),Raw_Fund!$A:$A,0),
_xlpm.colNo,
MATCH(T$3,Raw_Fund!$E$1:$AZ$1,0),
_xlpm.val,
INDEX(Raw_Fund!$E:$AZ,_xlpm.rowNo,_xlpm.colNo),
IF(ISNUMBER(_xlpm.val),_xlpm.val*$H42,""))</f>
        <v/>
      </c>
      <c r="U42" s="6" t="str">
        <f>_xlfn.LET(
_xlpm.rowNo, MATCH($C42&amp;"|"&amp;
($F42+U$4),Raw_Fund!$A:$A,0),
_xlpm.colNo,
MATCH(U$3,Raw_Fund!$E$1:$AZ$1,0),
_xlpm.val,
INDEX(Raw_Fund!$E:$AZ,_xlpm.rowNo,_xlpm.colNo),
IF(ISNUMBER(_xlpm.val),_xlpm.val*$H42,""))</f>
        <v/>
      </c>
      <c r="V42" s="6" t="str">
        <f>_xlfn.LET(
_xlpm.rowNo, MATCH($C42&amp;"|"&amp;
($F42+V$4),Raw_Fund!$A:$A,0),
_xlpm.colNo,
MATCH(V$3,Raw_Fund!$E$1:$AZ$1,0),
_xlpm.val,
INDEX(Raw_Fund!$E:$AZ,_xlpm.rowNo,_xlpm.colNo),
IF(ISNUMBER(_xlpm.val),_xlpm.val*$H42,""))</f>
        <v/>
      </c>
      <c r="W42" s="6" t="str">
        <f>_xlfn.LET(
_xlpm.rowNo, MATCH($C42&amp;"|"&amp;
($F42+W$4),Raw_Fund!$A:$A,0),
_xlpm.colNo,
MATCH(W$3,Raw_Fund!$E$1:$AZ$1,0),
_xlpm.val,
INDEX(Raw_Fund!$E:$AZ,_xlpm.rowNo,_xlpm.colNo),
IF(ISNUMBER(_xlpm.val),_xlpm.val*$H42,""))</f>
        <v/>
      </c>
      <c r="X42" s="6" t="str">
        <f>_xlfn.LET(
_xlpm.rowNo, MATCH($C42&amp;"|"&amp;
($F42+X$4),Raw_Fund!$A:$A,0),
_xlpm.colNo,
MATCH(X$3,Raw_Fund!$E$1:$AZ$1,0),
_xlpm.val,
INDEX(Raw_Fund!$E:$AZ,_xlpm.rowNo,_xlpm.colNo),
IF(ISNUMBER(_xlpm.val),_xlpm.val*$H42,""))</f>
        <v/>
      </c>
      <c r="Y42" s="6" t="str">
        <f>_xlfn.LET(
_xlpm.rowNo, MATCH($C42&amp;"|"&amp;
($F42+Y$4),Raw_Fund!$A:$A,0),
_xlpm.colNo,
MATCH(Y$3,Raw_Fund!$E$1:$AZ$1,0),
_xlpm.val,
INDEX(Raw_Fund!$E:$AZ,_xlpm.rowNo,_xlpm.colNo),
IF(ISNUMBER(_xlpm.val),_xlpm.val*$H42,""))</f>
        <v/>
      </c>
      <c r="Z42" s="6" t="str">
        <f>IF($E42&lt;&gt;"Include","",_xlfn.XLOOKUP($C42,Raw_Mkt!$A:$A,Raw_Mkt!$B:$B))</f>
        <v/>
      </c>
    </row>
    <row r="43" spans="1:26" x14ac:dyDescent="0.4">
      <c r="A43" t="str">
        <f>IF(Universe!A43&lt;&gt;"",Universe!A43,"")</f>
        <v>BYIT</v>
      </c>
      <c r="B43" t="str">
        <f>IF(Universe!B43&lt;&gt;"",Universe!B43,"")</f>
        <v>Bytes Technology Group</v>
      </c>
      <c r="C43" t="str">
        <f>IF(Universe!C43&lt;&gt;"",Universe!C43,"")</f>
        <v>GB00BMH18Q19</v>
      </c>
      <c r="D43" t="str">
        <f>IF(Universe!D43&lt;&gt;"",Universe!D43,"")</f>
        <v>Technology</v>
      </c>
      <c r="E43" t="str">
        <f>Universe!G43</f>
        <v>Include</v>
      </c>
      <c r="F43" t="str">
        <f>IF($E43&lt;&gt;"Include","",_xlfn.LET(_xlpm.latest,_xlfn.MAXIFS(Raw_Fund!$C:$C,Raw_Fund!$B:$B,Data!$C43),IF(_xlpm.latest=0,"",_xlpm.latest)))</f>
        <v/>
      </c>
      <c r="G43" t="str">
        <f>IF($F43="","",INDEX(Raw_Fund!$E:$AZ,MATCH($C43&amp;"|"&amp;$F43,Raw_Fund!$A:$A,0),MATCH(G$3,Raw_Fund!$E$1:$AZ$1,0)))</f>
        <v/>
      </c>
      <c r="H43" t="str">
        <f t="shared" si="0"/>
        <v/>
      </c>
      <c r="I43" s="6" t="str">
        <f>_xlfn.LET(
_xlpm.rowNo, MATCH($C43&amp;"|"&amp;
($F43+I$4),Raw_Fund!$A:$A,0),
_xlpm.colNo,
MATCH(I$3,Raw_Fund!$E$1:$AZ$1,0),
_xlpm.val,
INDEX(Raw_Fund!$E:$AZ,_xlpm.rowNo,_xlpm.colNo),
IF(ISNUMBER(_xlpm.val),_xlpm.val*$H43,""))</f>
        <v/>
      </c>
      <c r="J43" s="6" t="str">
        <f>_xlfn.LET(
_xlpm.rowNo, MATCH($C43&amp;"|"&amp;
($F43+J$4),Raw_Fund!$A:$A,0),
_xlpm.colNo,
MATCH(J$3,Raw_Fund!$E$1:$AZ$1,0),
_xlpm.val,
INDEX(Raw_Fund!$E:$AZ,_xlpm.rowNo,_xlpm.colNo),
IF(ISNUMBER(_xlpm.val),_xlpm.val*$H43,""))</f>
        <v/>
      </c>
      <c r="K43" s="6" t="str">
        <f>_xlfn.LET(
_xlpm.rowNo, MATCH($C43&amp;"|"&amp;
($F43+K$4),Raw_Fund!$A:$A,0),
_xlpm.colNo,
MATCH(K$3,Raw_Fund!$E$1:$AZ$1,0),
_xlpm.val,
INDEX(Raw_Fund!$E:$AZ,_xlpm.rowNo,_xlpm.colNo),
IF(ISNUMBER(_xlpm.val),_xlpm.val*$H43,""))</f>
        <v/>
      </c>
      <c r="L43" s="6" t="str">
        <f>_xlfn.LET(
_xlpm.rowNo, MATCH($C43&amp;"|"&amp;
($F43+L$4),Raw_Fund!$A:$A,0),
_xlpm.colNo,
MATCH(L$3,Raw_Fund!$E$1:$AZ$1,0),
_xlpm.val,
INDEX(Raw_Fund!$E:$AZ,_xlpm.rowNo,_xlpm.colNo),
IF(ISNUMBER(_xlpm.val),_xlpm.val*$H43,""))</f>
        <v/>
      </c>
      <c r="M43" s="6" t="str">
        <f>_xlfn.LET(
_xlpm.rowNo, MATCH($C43&amp;"|"&amp;
($F43+M$4),Raw_Fund!$A:$A,0),
_xlpm.colNo,
MATCH(M$3,Raw_Fund!$E$1:$AZ$1,0),
_xlpm.val,
INDEX(Raw_Fund!$E:$AZ,_xlpm.rowNo,_xlpm.colNo),
IF(ISNUMBER(_xlpm.val),_xlpm.val*$H43,""))</f>
        <v/>
      </c>
      <c r="N43" s="6" t="str">
        <f>_xlfn.LET(
_xlpm.rowNo, MATCH($C43&amp;"|"&amp;
($F43+N$4),Raw_Fund!$A:$A,0),
_xlpm.colNo,
MATCH(N$3,Raw_Fund!$E$1:$AZ$1,0),
_xlpm.val,
INDEX(Raw_Fund!$E:$AZ,_xlpm.rowNo,_xlpm.colNo),
IF(ISNUMBER(_xlpm.val),_xlpm.val*$H43,""))</f>
        <v/>
      </c>
      <c r="O43" s="6" t="str">
        <f>_xlfn.LET(
_xlpm.rowNo, MATCH($C43&amp;"|"&amp;
($F43+O$4),Raw_Fund!$A:$A,0),
_xlpm.colNo,
MATCH(O$3,Raw_Fund!$E$1:$AZ$1,0),
_xlpm.val,
INDEX(Raw_Fund!$E:$AZ,_xlpm.rowNo,_xlpm.colNo),
IF(ISNUMBER(_xlpm.val),_xlpm.val*$H43,""))</f>
        <v/>
      </c>
      <c r="P43" s="6" t="str">
        <f>_xlfn.LET(
_xlpm.rowNo, MATCH($C43&amp;"|"&amp;
($F43+P$4),Raw_Fund!$A:$A,0),
_xlpm.colNo,
MATCH(P$3,Raw_Fund!$E$1:$AZ$1,0),
_xlpm.val,
INDEX(Raw_Fund!$E:$AZ,_xlpm.rowNo,_xlpm.colNo),
IF(ISNUMBER(_xlpm.val),_xlpm.val*$H43,""))</f>
        <v/>
      </c>
      <c r="Q43" s="6" t="str">
        <f>_xlfn.LET(
_xlpm.rowNo, MATCH($C43&amp;"|"&amp;
($F43+Q$4),Raw_Fund!$A:$A,0),
_xlpm.colNo,
MATCH(Q$3,Raw_Fund!$E$1:$AZ$1,0),
_xlpm.val,
INDEX(Raw_Fund!$E:$AZ,_xlpm.rowNo,_xlpm.colNo),
IF(ISNUMBER(_xlpm.val),_xlpm.val*$H43,""))</f>
        <v/>
      </c>
      <c r="R43" s="6" t="str">
        <f>_xlfn.LET(
_xlpm.rowNo, MATCH($C43&amp;"|"&amp;
($F43+R$4),Raw_Fund!$A:$A,0),
_xlpm.colNo,
MATCH(R$3,Raw_Fund!$E$1:$AZ$1,0),
_xlpm.val,
INDEX(Raw_Fund!$E:$AZ,_xlpm.rowNo,_xlpm.colNo),
IF(ISNUMBER(_xlpm.val),_xlpm.val*$H43,""))</f>
        <v/>
      </c>
      <c r="S43" s="6" t="str">
        <f>_xlfn.LET(
_xlpm.rowNo, MATCH($C43&amp;"|"&amp;
($F43+S$4),Raw_Fund!$A:$A,0),
_xlpm.colNo,
MATCH(S$3,Raw_Fund!$E$1:$AZ$1,0),
_xlpm.val,
INDEX(Raw_Fund!$E:$AZ,_xlpm.rowNo,_xlpm.colNo),
IF(ISNUMBER(_xlpm.val),_xlpm.val*$H43,""))</f>
        <v/>
      </c>
      <c r="T43" s="6" t="str">
        <f>_xlfn.LET(
_xlpm.rowNo, MATCH($C43&amp;"|"&amp;
($F43+T$4),Raw_Fund!$A:$A,0),
_xlpm.colNo,
MATCH(T$3,Raw_Fund!$E$1:$AZ$1,0),
_xlpm.val,
INDEX(Raw_Fund!$E:$AZ,_xlpm.rowNo,_xlpm.colNo),
IF(ISNUMBER(_xlpm.val),_xlpm.val*$H43,""))</f>
        <v/>
      </c>
      <c r="U43" s="6" t="str">
        <f>_xlfn.LET(
_xlpm.rowNo, MATCH($C43&amp;"|"&amp;
($F43+U$4),Raw_Fund!$A:$A,0),
_xlpm.colNo,
MATCH(U$3,Raw_Fund!$E$1:$AZ$1,0),
_xlpm.val,
INDEX(Raw_Fund!$E:$AZ,_xlpm.rowNo,_xlpm.colNo),
IF(ISNUMBER(_xlpm.val),_xlpm.val*$H43,""))</f>
        <v/>
      </c>
      <c r="V43" s="6" t="str">
        <f>_xlfn.LET(
_xlpm.rowNo, MATCH($C43&amp;"|"&amp;
($F43+V$4),Raw_Fund!$A:$A,0),
_xlpm.colNo,
MATCH(V$3,Raw_Fund!$E$1:$AZ$1,0),
_xlpm.val,
INDEX(Raw_Fund!$E:$AZ,_xlpm.rowNo,_xlpm.colNo),
IF(ISNUMBER(_xlpm.val),_xlpm.val*$H43,""))</f>
        <v/>
      </c>
      <c r="W43" s="6" t="str">
        <f>_xlfn.LET(
_xlpm.rowNo, MATCH($C43&amp;"|"&amp;
($F43+W$4),Raw_Fund!$A:$A,0),
_xlpm.colNo,
MATCH(W$3,Raw_Fund!$E$1:$AZ$1,0),
_xlpm.val,
INDEX(Raw_Fund!$E:$AZ,_xlpm.rowNo,_xlpm.colNo),
IF(ISNUMBER(_xlpm.val),_xlpm.val*$H43,""))</f>
        <v/>
      </c>
      <c r="X43" s="6" t="str">
        <f>_xlfn.LET(
_xlpm.rowNo, MATCH($C43&amp;"|"&amp;
($F43+X$4),Raw_Fund!$A:$A,0),
_xlpm.colNo,
MATCH(X$3,Raw_Fund!$E$1:$AZ$1,0),
_xlpm.val,
INDEX(Raw_Fund!$E:$AZ,_xlpm.rowNo,_xlpm.colNo),
IF(ISNUMBER(_xlpm.val),_xlpm.val*$H43,""))</f>
        <v/>
      </c>
      <c r="Y43" s="6" t="str">
        <f>_xlfn.LET(
_xlpm.rowNo, MATCH($C43&amp;"|"&amp;
($F43+Y$4),Raw_Fund!$A:$A,0),
_xlpm.colNo,
MATCH(Y$3,Raw_Fund!$E$1:$AZ$1,0),
_xlpm.val,
INDEX(Raw_Fund!$E:$AZ,_xlpm.rowNo,_xlpm.colNo),
IF(ISNUMBER(_xlpm.val),_xlpm.val*$H43,""))</f>
        <v/>
      </c>
      <c r="Z43" s="6" t="e">
        <f>IF($E43&lt;&gt;"Include","",_xlfn.XLOOKUP($C43,Raw_Mkt!$A:$A,Raw_Mkt!$B:$B))</f>
        <v>#N/A</v>
      </c>
    </row>
    <row r="44" spans="1:26" x14ac:dyDescent="0.4">
      <c r="A44" t="str">
        <f>IF(Universe!A44&lt;&gt;"",Universe!A44,"")</f>
        <v>CLDN</v>
      </c>
      <c r="B44" t="str">
        <f>IF(Universe!B44&lt;&gt;"",Universe!B44,"")</f>
        <v>Caledonia Investments</v>
      </c>
      <c r="C44" t="str">
        <f>IF(Universe!C44&lt;&gt;"",Universe!C44,"")</f>
        <v>GB00BTNQ8K38</v>
      </c>
      <c r="D44" t="str">
        <f>IF(Universe!D44&lt;&gt;"",Universe!D44,"")</f>
        <v>Financials</v>
      </c>
      <c r="E44" t="str">
        <f>Universe!G44</f>
        <v>Exclude</v>
      </c>
      <c r="F44" t="str">
        <f>IF($E44&lt;&gt;"Include","",_xlfn.LET(_xlpm.latest,_xlfn.MAXIFS(Raw_Fund!$C:$C,Raw_Fund!$B:$B,Data!$C44),IF(_xlpm.latest=0,"",_xlpm.latest)))</f>
        <v/>
      </c>
      <c r="G44" t="str">
        <f>IF($F44="","",INDEX(Raw_Fund!$E:$AZ,MATCH($C44&amp;"|"&amp;$F44,Raw_Fund!$A:$A,0),MATCH(G$3,Raw_Fund!$E$1:$AZ$1,0)))</f>
        <v/>
      </c>
      <c r="H44" t="str">
        <f t="shared" si="0"/>
        <v/>
      </c>
      <c r="I44" s="6" t="str">
        <f>_xlfn.LET(
_xlpm.rowNo, MATCH($C44&amp;"|"&amp;
($F44+I$4),Raw_Fund!$A:$A,0),
_xlpm.colNo,
MATCH(I$3,Raw_Fund!$E$1:$AZ$1,0),
_xlpm.val,
INDEX(Raw_Fund!$E:$AZ,_xlpm.rowNo,_xlpm.colNo),
IF(ISNUMBER(_xlpm.val),_xlpm.val*$H44,""))</f>
        <v/>
      </c>
      <c r="J44" s="6" t="str">
        <f>_xlfn.LET(
_xlpm.rowNo, MATCH($C44&amp;"|"&amp;
($F44+J$4),Raw_Fund!$A:$A,0),
_xlpm.colNo,
MATCH(J$3,Raw_Fund!$E$1:$AZ$1,0),
_xlpm.val,
INDEX(Raw_Fund!$E:$AZ,_xlpm.rowNo,_xlpm.colNo),
IF(ISNUMBER(_xlpm.val),_xlpm.val*$H44,""))</f>
        <v/>
      </c>
      <c r="K44" s="6" t="str">
        <f>_xlfn.LET(
_xlpm.rowNo, MATCH($C44&amp;"|"&amp;
($F44+K$4),Raw_Fund!$A:$A,0),
_xlpm.colNo,
MATCH(K$3,Raw_Fund!$E$1:$AZ$1,0),
_xlpm.val,
INDEX(Raw_Fund!$E:$AZ,_xlpm.rowNo,_xlpm.colNo),
IF(ISNUMBER(_xlpm.val),_xlpm.val*$H44,""))</f>
        <v/>
      </c>
      <c r="L44" s="6" t="str">
        <f>_xlfn.LET(
_xlpm.rowNo, MATCH($C44&amp;"|"&amp;
($F44+L$4),Raw_Fund!$A:$A,0),
_xlpm.colNo,
MATCH(L$3,Raw_Fund!$E$1:$AZ$1,0),
_xlpm.val,
INDEX(Raw_Fund!$E:$AZ,_xlpm.rowNo,_xlpm.colNo),
IF(ISNUMBER(_xlpm.val),_xlpm.val*$H44,""))</f>
        <v/>
      </c>
      <c r="M44" s="6" t="str">
        <f>_xlfn.LET(
_xlpm.rowNo, MATCH($C44&amp;"|"&amp;
($F44+M$4),Raw_Fund!$A:$A,0),
_xlpm.colNo,
MATCH(M$3,Raw_Fund!$E$1:$AZ$1,0),
_xlpm.val,
INDEX(Raw_Fund!$E:$AZ,_xlpm.rowNo,_xlpm.colNo),
IF(ISNUMBER(_xlpm.val),_xlpm.val*$H44,""))</f>
        <v/>
      </c>
      <c r="N44" s="6" t="str">
        <f>_xlfn.LET(
_xlpm.rowNo, MATCH($C44&amp;"|"&amp;
($F44+N$4),Raw_Fund!$A:$A,0),
_xlpm.colNo,
MATCH(N$3,Raw_Fund!$E$1:$AZ$1,0),
_xlpm.val,
INDEX(Raw_Fund!$E:$AZ,_xlpm.rowNo,_xlpm.colNo),
IF(ISNUMBER(_xlpm.val),_xlpm.val*$H44,""))</f>
        <v/>
      </c>
      <c r="O44" s="6" t="str">
        <f>_xlfn.LET(
_xlpm.rowNo, MATCH($C44&amp;"|"&amp;
($F44+O$4),Raw_Fund!$A:$A,0),
_xlpm.colNo,
MATCH(O$3,Raw_Fund!$E$1:$AZ$1,0),
_xlpm.val,
INDEX(Raw_Fund!$E:$AZ,_xlpm.rowNo,_xlpm.colNo),
IF(ISNUMBER(_xlpm.val),_xlpm.val*$H44,""))</f>
        <v/>
      </c>
      <c r="P44" s="6" t="str">
        <f>_xlfn.LET(
_xlpm.rowNo, MATCH($C44&amp;"|"&amp;
($F44+P$4),Raw_Fund!$A:$A,0),
_xlpm.colNo,
MATCH(P$3,Raw_Fund!$E$1:$AZ$1,0),
_xlpm.val,
INDEX(Raw_Fund!$E:$AZ,_xlpm.rowNo,_xlpm.colNo),
IF(ISNUMBER(_xlpm.val),_xlpm.val*$H44,""))</f>
        <v/>
      </c>
      <c r="Q44" s="6" t="str">
        <f>_xlfn.LET(
_xlpm.rowNo, MATCH($C44&amp;"|"&amp;
($F44+Q$4),Raw_Fund!$A:$A,0),
_xlpm.colNo,
MATCH(Q$3,Raw_Fund!$E$1:$AZ$1,0),
_xlpm.val,
INDEX(Raw_Fund!$E:$AZ,_xlpm.rowNo,_xlpm.colNo),
IF(ISNUMBER(_xlpm.val),_xlpm.val*$H44,""))</f>
        <v/>
      </c>
      <c r="R44" s="6" t="str">
        <f>_xlfn.LET(
_xlpm.rowNo, MATCH($C44&amp;"|"&amp;
($F44+R$4),Raw_Fund!$A:$A,0),
_xlpm.colNo,
MATCH(R$3,Raw_Fund!$E$1:$AZ$1,0),
_xlpm.val,
INDEX(Raw_Fund!$E:$AZ,_xlpm.rowNo,_xlpm.colNo),
IF(ISNUMBER(_xlpm.val),_xlpm.val*$H44,""))</f>
        <v/>
      </c>
      <c r="S44" s="6" t="str">
        <f>_xlfn.LET(
_xlpm.rowNo, MATCH($C44&amp;"|"&amp;
($F44+S$4),Raw_Fund!$A:$A,0),
_xlpm.colNo,
MATCH(S$3,Raw_Fund!$E$1:$AZ$1,0),
_xlpm.val,
INDEX(Raw_Fund!$E:$AZ,_xlpm.rowNo,_xlpm.colNo),
IF(ISNUMBER(_xlpm.val),_xlpm.val*$H44,""))</f>
        <v/>
      </c>
      <c r="T44" s="6" t="str">
        <f>_xlfn.LET(
_xlpm.rowNo, MATCH($C44&amp;"|"&amp;
($F44+T$4),Raw_Fund!$A:$A,0),
_xlpm.colNo,
MATCH(T$3,Raw_Fund!$E$1:$AZ$1,0),
_xlpm.val,
INDEX(Raw_Fund!$E:$AZ,_xlpm.rowNo,_xlpm.colNo),
IF(ISNUMBER(_xlpm.val),_xlpm.val*$H44,""))</f>
        <v/>
      </c>
      <c r="U44" s="6" t="str">
        <f>_xlfn.LET(
_xlpm.rowNo, MATCH($C44&amp;"|"&amp;
($F44+U$4),Raw_Fund!$A:$A,0),
_xlpm.colNo,
MATCH(U$3,Raw_Fund!$E$1:$AZ$1,0),
_xlpm.val,
INDEX(Raw_Fund!$E:$AZ,_xlpm.rowNo,_xlpm.colNo),
IF(ISNUMBER(_xlpm.val),_xlpm.val*$H44,""))</f>
        <v/>
      </c>
      <c r="V44" s="6" t="str">
        <f>_xlfn.LET(
_xlpm.rowNo, MATCH($C44&amp;"|"&amp;
($F44+V$4),Raw_Fund!$A:$A,0),
_xlpm.colNo,
MATCH(V$3,Raw_Fund!$E$1:$AZ$1,0),
_xlpm.val,
INDEX(Raw_Fund!$E:$AZ,_xlpm.rowNo,_xlpm.colNo),
IF(ISNUMBER(_xlpm.val),_xlpm.val*$H44,""))</f>
        <v/>
      </c>
      <c r="W44" s="6" t="str">
        <f>_xlfn.LET(
_xlpm.rowNo, MATCH($C44&amp;"|"&amp;
($F44+W$4),Raw_Fund!$A:$A,0),
_xlpm.colNo,
MATCH(W$3,Raw_Fund!$E$1:$AZ$1,0),
_xlpm.val,
INDEX(Raw_Fund!$E:$AZ,_xlpm.rowNo,_xlpm.colNo),
IF(ISNUMBER(_xlpm.val),_xlpm.val*$H44,""))</f>
        <v/>
      </c>
      <c r="X44" s="6" t="str">
        <f>_xlfn.LET(
_xlpm.rowNo, MATCH($C44&amp;"|"&amp;
($F44+X$4),Raw_Fund!$A:$A,0),
_xlpm.colNo,
MATCH(X$3,Raw_Fund!$E$1:$AZ$1,0),
_xlpm.val,
INDEX(Raw_Fund!$E:$AZ,_xlpm.rowNo,_xlpm.colNo),
IF(ISNUMBER(_xlpm.val),_xlpm.val*$H44,""))</f>
        <v/>
      </c>
      <c r="Y44" s="6" t="str">
        <f>_xlfn.LET(
_xlpm.rowNo, MATCH($C44&amp;"|"&amp;
($F44+Y$4),Raw_Fund!$A:$A,0),
_xlpm.colNo,
MATCH(Y$3,Raw_Fund!$E$1:$AZ$1,0),
_xlpm.val,
INDEX(Raw_Fund!$E:$AZ,_xlpm.rowNo,_xlpm.colNo),
IF(ISNUMBER(_xlpm.val),_xlpm.val*$H44,""))</f>
        <v/>
      </c>
      <c r="Z44" s="6" t="str">
        <f>IF($E44&lt;&gt;"Include","",_xlfn.XLOOKUP($C44,Raw_Mkt!$A:$A,Raw_Mkt!$B:$B))</f>
        <v/>
      </c>
    </row>
    <row r="45" spans="1:26" x14ac:dyDescent="0.4">
      <c r="A45" t="str">
        <f>IF(Universe!A45&lt;&gt;"",Universe!A45,"")</f>
        <v>CGT</v>
      </c>
      <c r="B45" t="str">
        <f>IF(Universe!B45&lt;&gt;"",Universe!B45,"")</f>
        <v>Capital Gearing Trust</v>
      </c>
      <c r="C45" t="str">
        <f>IF(Universe!C45&lt;&gt;"",Universe!C45,"")</f>
        <v>GB00BT66KP92</v>
      </c>
      <c r="D45" t="str">
        <f>IF(Universe!D45&lt;&gt;"",Universe!D45,"")</f>
        <v>Financials</v>
      </c>
      <c r="E45" t="str">
        <f>Universe!G45</f>
        <v>Exclude</v>
      </c>
      <c r="F45" t="str">
        <f>IF($E45&lt;&gt;"Include","",_xlfn.LET(_xlpm.latest,_xlfn.MAXIFS(Raw_Fund!$C:$C,Raw_Fund!$B:$B,Data!$C45),IF(_xlpm.latest=0,"",_xlpm.latest)))</f>
        <v/>
      </c>
      <c r="G45" t="str">
        <f>IF($F45="","",INDEX(Raw_Fund!$E:$AZ,MATCH($C45&amp;"|"&amp;$F45,Raw_Fund!$A:$A,0),MATCH(G$3,Raw_Fund!$E$1:$AZ$1,0)))</f>
        <v/>
      </c>
      <c r="H45" t="str">
        <f t="shared" si="0"/>
        <v/>
      </c>
      <c r="I45" s="6" t="str">
        <f>_xlfn.LET(
_xlpm.rowNo, MATCH($C45&amp;"|"&amp;
($F45+I$4),Raw_Fund!$A:$A,0),
_xlpm.colNo,
MATCH(I$3,Raw_Fund!$E$1:$AZ$1,0),
_xlpm.val,
INDEX(Raw_Fund!$E:$AZ,_xlpm.rowNo,_xlpm.colNo),
IF(ISNUMBER(_xlpm.val),_xlpm.val*$H45,""))</f>
        <v/>
      </c>
      <c r="J45" s="6" t="str">
        <f>_xlfn.LET(
_xlpm.rowNo, MATCH($C45&amp;"|"&amp;
($F45+J$4),Raw_Fund!$A:$A,0),
_xlpm.colNo,
MATCH(J$3,Raw_Fund!$E$1:$AZ$1,0),
_xlpm.val,
INDEX(Raw_Fund!$E:$AZ,_xlpm.rowNo,_xlpm.colNo),
IF(ISNUMBER(_xlpm.val),_xlpm.val*$H45,""))</f>
        <v/>
      </c>
      <c r="K45" s="6" t="str">
        <f>_xlfn.LET(
_xlpm.rowNo, MATCH($C45&amp;"|"&amp;
($F45+K$4),Raw_Fund!$A:$A,0),
_xlpm.colNo,
MATCH(K$3,Raw_Fund!$E$1:$AZ$1,0),
_xlpm.val,
INDEX(Raw_Fund!$E:$AZ,_xlpm.rowNo,_xlpm.colNo),
IF(ISNUMBER(_xlpm.val),_xlpm.val*$H45,""))</f>
        <v/>
      </c>
      <c r="L45" s="6" t="str">
        <f>_xlfn.LET(
_xlpm.rowNo, MATCH($C45&amp;"|"&amp;
($F45+L$4),Raw_Fund!$A:$A,0),
_xlpm.colNo,
MATCH(L$3,Raw_Fund!$E$1:$AZ$1,0),
_xlpm.val,
INDEX(Raw_Fund!$E:$AZ,_xlpm.rowNo,_xlpm.colNo),
IF(ISNUMBER(_xlpm.val),_xlpm.val*$H45,""))</f>
        <v/>
      </c>
      <c r="M45" s="6" t="str">
        <f>_xlfn.LET(
_xlpm.rowNo, MATCH($C45&amp;"|"&amp;
($F45+M$4),Raw_Fund!$A:$A,0),
_xlpm.colNo,
MATCH(M$3,Raw_Fund!$E$1:$AZ$1,0),
_xlpm.val,
INDEX(Raw_Fund!$E:$AZ,_xlpm.rowNo,_xlpm.colNo),
IF(ISNUMBER(_xlpm.val),_xlpm.val*$H45,""))</f>
        <v/>
      </c>
      <c r="N45" s="6" t="str">
        <f>_xlfn.LET(
_xlpm.rowNo, MATCH($C45&amp;"|"&amp;
($F45+N$4),Raw_Fund!$A:$A,0),
_xlpm.colNo,
MATCH(N$3,Raw_Fund!$E$1:$AZ$1,0),
_xlpm.val,
INDEX(Raw_Fund!$E:$AZ,_xlpm.rowNo,_xlpm.colNo),
IF(ISNUMBER(_xlpm.val),_xlpm.val*$H45,""))</f>
        <v/>
      </c>
      <c r="O45" s="6" t="str">
        <f>_xlfn.LET(
_xlpm.rowNo, MATCH($C45&amp;"|"&amp;
($F45+O$4),Raw_Fund!$A:$A,0),
_xlpm.colNo,
MATCH(O$3,Raw_Fund!$E$1:$AZ$1,0),
_xlpm.val,
INDEX(Raw_Fund!$E:$AZ,_xlpm.rowNo,_xlpm.colNo),
IF(ISNUMBER(_xlpm.val),_xlpm.val*$H45,""))</f>
        <v/>
      </c>
      <c r="P45" s="6" t="str">
        <f>_xlfn.LET(
_xlpm.rowNo, MATCH($C45&amp;"|"&amp;
($F45+P$4),Raw_Fund!$A:$A,0),
_xlpm.colNo,
MATCH(P$3,Raw_Fund!$E$1:$AZ$1,0),
_xlpm.val,
INDEX(Raw_Fund!$E:$AZ,_xlpm.rowNo,_xlpm.colNo),
IF(ISNUMBER(_xlpm.val),_xlpm.val*$H45,""))</f>
        <v/>
      </c>
      <c r="Q45" s="6" t="str">
        <f>_xlfn.LET(
_xlpm.rowNo, MATCH($C45&amp;"|"&amp;
($F45+Q$4),Raw_Fund!$A:$A,0),
_xlpm.colNo,
MATCH(Q$3,Raw_Fund!$E$1:$AZ$1,0),
_xlpm.val,
INDEX(Raw_Fund!$E:$AZ,_xlpm.rowNo,_xlpm.colNo),
IF(ISNUMBER(_xlpm.val),_xlpm.val*$H45,""))</f>
        <v/>
      </c>
      <c r="R45" s="6" t="str">
        <f>_xlfn.LET(
_xlpm.rowNo, MATCH($C45&amp;"|"&amp;
($F45+R$4),Raw_Fund!$A:$A,0),
_xlpm.colNo,
MATCH(R$3,Raw_Fund!$E$1:$AZ$1,0),
_xlpm.val,
INDEX(Raw_Fund!$E:$AZ,_xlpm.rowNo,_xlpm.colNo),
IF(ISNUMBER(_xlpm.val),_xlpm.val*$H45,""))</f>
        <v/>
      </c>
      <c r="S45" s="6" t="str">
        <f>_xlfn.LET(
_xlpm.rowNo, MATCH($C45&amp;"|"&amp;
($F45+S$4),Raw_Fund!$A:$A,0),
_xlpm.colNo,
MATCH(S$3,Raw_Fund!$E$1:$AZ$1,0),
_xlpm.val,
INDEX(Raw_Fund!$E:$AZ,_xlpm.rowNo,_xlpm.colNo),
IF(ISNUMBER(_xlpm.val),_xlpm.val*$H45,""))</f>
        <v/>
      </c>
      <c r="T45" s="6" t="str">
        <f>_xlfn.LET(
_xlpm.rowNo, MATCH($C45&amp;"|"&amp;
($F45+T$4),Raw_Fund!$A:$A,0),
_xlpm.colNo,
MATCH(T$3,Raw_Fund!$E$1:$AZ$1,0),
_xlpm.val,
INDEX(Raw_Fund!$E:$AZ,_xlpm.rowNo,_xlpm.colNo),
IF(ISNUMBER(_xlpm.val),_xlpm.val*$H45,""))</f>
        <v/>
      </c>
      <c r="U45" s="6" t="str">
        <f>_xlfn.LET(
_xlpm.rowNo, MATCH($C45&amp;"|"&amp;
($F45+U$4),Raw_Fund!$A:$A,0),
_xlpm.colNo,
MATCH(U$3,Raw_Fund!$E$1:$AZ$1,0),
_xlpm.val,
INDEX(Raw_Fund!$E:$AZ,_xlpm.rowNo,_xlpm.colNo),
IF(ISNUMBER(_xlpm.val),_xlpm.val*$H45,""))</f>
        <v/>
      </c>
      <c r="V45" s="6" t="str">
        <f>_xlfn.LET(
_xlpm.rowNo, MATCH($C45&amp;"|"&amp;
($F45+V$4),Raw_Fund!$A:$A,0),
_xlpm.colNo,
MATCH(V$3,Raw_Fund!$E$1:$AZ$1,0),
_xlpm.val,
INDEX(Raw_Fund!$E:$AZ,_xlpm.rowNo,_xlpm.colNo),
IF(ISNUMBER(_xlpm.val),_xlpm.val*$H45,""))</f>
        <v/>
      </c>
      <c r="W45" s="6" t="str">
        <f>_xlfn.LET(
_xlpm.rowNo, MATCH($C45&amp;"|"&amp;
($F45+W$4),Raw_Fund!$A:$A,0),
_xlpm.colNo,
MATCH(W$3,Raw_Fund!$E$1:$AZ$1,0),
_xlpm.val,
INDEX(Raw_Fund!$E:$AZ,_xlpm.rowNo,_xlpm.colNo),
IF(ISNUMBER(_xlpm.val),_xlpm.val*$H45,""))</f>
        <v/>
      </c>
      <c r="X45" s="6" t="str">
        <f>_xlfn.LET(
_xlpm.rowNo, MATCH($C45&amp;"|"&amp;
($F45+X$4),Raw_Fund!$A:$A,0),
_xlpm.colNo,
MATCH(X$3,Raw_Fund!$E$1:$AZ$1,0),
_xlpm.val,
INDEX(Raw_Fund!$E:$AZ,_xlpm.rowNo,_xlpm.colNo),
IF(ISNUMBER(_xlpm.val),_xlpm.val*$H45,""))</f>
        <v/>
      </c>
      <c r="Y45" s="6" t="str">
        <f>_xlfn.LET(
_xlpm.rowNo, MATCH($C45&amp;"|"&amp;
($F45+Y$4),Raw_Fund!$A:$A,0),
_xlpm.colNo,
MATCH(Y$3,Raw_Fund!$E$1:$AZ$1,0),
_xlpm.val,
INDEX(Raw_Fund!$E:$AZ,_xlpm.rowNo,_xlpm.colNo),
IF(ISNUMBER(_xlpm.val),_xlpm.val*$H45,""))</f>
        <v/>
      </c>
      <c r="Z45" s="6" t="str">
        <f>IF($E45&lt;&gt;"Include","",_xlfn.XLOOKUP($C45,Raw_Mkt!$A:$A,Raw_Mkt!$B:$B))</f>
        <v/>
      </c>
    </row>
    <row r="46" spans="1:26" x14ac:dyDescent="0.4">
      <c r="A46" t="str">
        <f>IF(Universe!A46&lt;&gt;"",Universe!A46,"")</f>
        <v>CWR</v>
      </c>
      <c r="B46" t="str">
        <f>IF(Universe!B46&lt;&gt;"",Universe!B46,"")</f>
        <v>Ceres Power</v>
      </c>
      <c r="C46" t="str">
        <f>IF(Universe!C46&lt;&gt;"",Universe!C46,"")</f>
        <v>GB00BG5KQW09</v>
      </c>
      <c r="D46" t="str">
        <f>IF(Universe!D46&lt;&gt;"",Universe!D46,"")</f>
        <v>Energy</v>
      </c>
      <c r="E46" t="str">
        <f>Universe!G46</f>
        <v>Include</v>
      </c>
      <c r="F46" t="str">
        <f>IF($E46&lt;&gt;"Include","",_xlfn.LET(_xlpm.latest,_xlfn.MAXIFS(Raw_Fund!$C:$C,Raw_Fund!$B:$B,Data!$C46),IF(_xlpm.latest=0,"",_xlpm.latest)))</f>
        <v/>
      </c>
      <c r="G46" t="str">
        <f>IF($F46="","",INDEX(Raw_Fund!$E:$AZ,MATCH($C46&amp;"|"&amp;$F46,Raw_Fund!$A:$A,0),MATCH(G$3,Raw_Fund!$E$1:$AZ$1,0)))</f>
        <v/>
      </c>
      <c r="H46" t="str">
        <f t="shared" si="0"/>
        <v/>
      </c>
      <c r="I46" s="6" t="str">
        <f>_xlfn.LET(
_xlpm.rowNo, MATCH($C46&amp;"|"&amp;
($F46+I$4),Raw_Fund!$A:$A,0),
_xlpm.colNo,
MATCH(I$3,Raw_Fund!$E$1:$AZ$1,0),
_xlpm.val,
INDEX(Raw_Fund!$E:$AZ,_xlpm.rowNo,_xlpm.colNo),
IF(ISNUMBER(_xlpm.val),_xlpm.val*$H46,""))</f>
        <v/>
      </c>
      <c r="J46" s="6" t="str">
        <f>_xlfn.LET(
_xlpm.rowNo, MATCH($C46&amp;"|"&amp;
($F46+J$4),Raw_Fund!$A:$A,0),
_xlpm.colNo,
MATCH(J$3,Raw_Fund!$E$1:$AZ$1,0),
_xlpm.val,
INDEX(Raw_Fund!$E:$AZ,_xlpm.rowNo,_xlpm.colNo),
IF(ISNUMBER(_xlpm.val),_xlpm.val*$H46,""))</f>
        <v/>
      </c>
      <c r="K46" s="6" t="str">
        <f>_xlfn.LET(
_xlpm.rowNo, MATCH($C46&amp;"|"&amp;
($F46+K$4),Raw_Fund!$A:$A,0),
_xlpm.colNo,
MATCH(K$3,Raw_Fund!$E$1:$AZ$1,0),
_xlpm.val,
INDEX(Raw_Fund!$E:$AZ,_xlpm.rowNo,_xlpm.colNo),
IF(ISNUMBER(_xlpm.val),_xlpm.val*$H46,""))</f>
        <v/>
      </c>
      <c r="L46" s="6" t="str">
        <f>_xlfn.LET(
_xlpm.rowNo, MATCH($C46&amp;"|"&amp;
($F46+L$4),Raw_Fund!$A:$A,0),
_xlpm.colNo,
MATCH(L$3,Raw_Fund!$E$1:$AZ$1,0),
_xlpm.val,
INDEX(Raw_Fund!$E:$AZ,_xlpm.rowNo,_xlpm.colNo),
IF(ISNUMBER(_xlpm.val),_xlpm.val*$H46,""))</f>
        <v/>
      </c>
      <c r="M46" s="6" t="str">
        <f>_xlfn.LET(
_xlpm.rowNo, MATCH($C46&amp;"|"&amp;
($F46+M$4),Raw_Fund!$A:$A,0),
_xlpm.colNo,
MATCH(M$3,Raw_Fund!$E$1:$AZ$1,0),
_xlpm.val,
INDEX(Raw_Fund!$E:$AZ,_xlpm.rowNo,_xlpm.colNo),
IF(ISNUMBER(_xlpm.val),_xlpm.val*$H46,""))</f>
        <v/>
      </c>
      <c r="N46" s="6" t="str">
        <f>_xlfn.LET(
_xlpm.rowNo, MATCH($C46&amp;"|"&amp;
($F46+N$4),Raw_Fund!$A:$A,0),
_xlpm.colNo,
MATCH(N$3,Raw_Fund!$E$1:$AZ$1,0),
_xlpm.val,
INDEX(Raw_Fund!$E:$AZ,_xlpm.rowNo,_xlpm.colNo),
IF(ISNUMBER(_xlpm.val),_xlpm.val*$H46,""))</f>
        <v/>
      </c>
      <c r="O46" s="6" t="str">
        <f>_xlfn.LET(
_xlpm.rowNo, MATCH($C46&amp;"|"&amp;
($F46+O$4),Raw_Fund!$A:$A,0),
_xlpm.colNo,
MATCH(O$3,Raw_Fund!$E$1:$AZ$1,0),
_xlpm.val,
INDEX(Raw_Fund!$E:$AZ,_xlpm.rowNo,_xlpm.colNo),
IF(ISNUMBER(_xlpm.val),_xlpm.val*$H46,""))</f>
        <v/>
      </c>
      <c r="P46" s="6" t="str">
        <f>_xlfn.LET(
_xlpm.rowNo, MATCH($C46&amp;"|"&amp;
($F46+P$4),Raw_Fund!$A:$A,0),
_xlpm.colNo,
MATCH(P$3,Raw_Fund!$E$1:$AZ$1,0),
_xlpm.val,
INDEX(Raw_Fund!$E:$AZ,_xlpm.rowNo,_xlpm.colNo),
IF(ISNUMBER(_xlpm.val),_xlpm.val*$H46,""))</f>
        <v/>
      </c>
      <c r="Q46" s="6" t="str">
        <f>_xlfn.LET(
_xlpm.rowNo, MATCH($C46&amp;"|"&amp;
($F46+Q$4),Raw_Fund!$A:$A,0),
_xlpm.colNo,
MATCH(Q$3,Raw_Fund!$E$1:$AZ$1,0),
_xlpm.val,
INDEX(Raw_Fund!$E:$AZ,_xlpm.rowNo,_xlpm.colNo),
IF(ISNUMBER(_xlpm.val),_xlpm.val*$H46,""))</f>
        <v/>
      </c>
      <c r="R46" s="6" t="str">
        <f>_xlfn.LET(
_xlpm.rowNo, MATCH($C46&amp;"|"&amp;
($F46+R$4),Raw_Fund!$A:$A,0),
_xlpm.colNo,
MATCH(R$3,Raw_Fund!$E$1:$AZ$1,0),
_xlpm.val,
INDEX(Raw_Fund!$E:$AZ,_xlpm.rowNo,_xlpm.colNo),
IF(ISNUMBER(_xlpm.val),_xlpm.val*$H46,""))</f>
        <v/>
      </c>
      <c r="S46" s="6" t="str">
        <f>_xlfn.LET(
_xlpm.rowNo, MATCH($C46&amp;"|"&amp;
($F46+S$4),Raw_Fund!$A:$A,0),
_xlpm.colNo,
MATCH(S$3,Raw_Fund!$E$1:$AZ$1,0),
_xlpm.val,
INDEX(Raw_Fund!$E:$AZ,_xlpm.rowNo,_xlpm.colNo),
IF(ISNUMBER(_xlpm.val),_xlpm.val*$H46,""))</f>
        <v/>
      </c>
      <c r="T46" s="6" t="str">
        <f>_xlfn.LET(
_xlpm.rowNo, MATCH($C46&amp;"|"&amp;
($F46+T$4),Raw_Fund!$A:$A,0),
_xlpm.colNo,
MATCH(T$3,Raw_Fund!$E$1:$AZ$1,0),
_xlpm.val,
INDEX(Raw_Fund!$E:$AZ,_xlpm.rowNo,_xlpm.colNo),
IF(ISNUMBER(_xlpm.val),_xlpm.val*$H46,""))</f>
        <v/>
      </c>
      <c r="U46" s="6" t="str">
        <f>_xlfn.LET(
_xlpm.rowNo, MATCH($C46&amp;"|"&amp;
($F46+U$4),Raw_Fund!$A:$A,0),
_xlpm.colNo,
MATCH(U$3,Raw_Fund!$E$1:$AZ$1,0),
_xlpm.val,
INDEX(Raw_Fund!$E:$AZ,_xlpm.rowNo,_xlpm.colNo),
IF(ISNUMBER(_xlpm.val),_xlpm.val*$H46,""))</f>
        <v/>
      </c>
      <c r="V46" s="6" t="str">
        <f>_xlfn.LET(
_xlpm.rowNo, MATCH($C46&amp;"|"&amp;
($F46+V$4),Raw_Fund!$A:$A,0),
_xlpm.colNo,
MATCH(V$3,Raw_Fund!$E$1:$AZ$1,0),
_xlpm.val,
INDEX(Raw_Fund!$E:$AZ,_xlpm.rowNo,_xlpm.colNo),
IF(ISNUMBER(_xlpm.val),_xlpm.val*$H46,""))</f>
        <v/>
      </c>
      <c r="W46" s="6" t="str">
        <f>_xlfn.LET(
_xlpm.rowNo, MATCH($C46&amp;"|"&amp;
($F46+W$4),Raw_Fund!$A:$A,0),
_xlpm.colNo,
MATCH(W$3,Raw_Fund!$E$1:$AZ$1,0),
_xlpm.val,
INDEX(Raw_Fund!$E:$AZ,_xlpm.rowNo,_xlpm.colNo),
IF(ISNUMBER(_xlpm.val),_xlpm.val*$H46,""))</f>
        <v/>
      </c>
      <c r="X46" s="6" t="str">
        <f>_xlfn.LET(
_xlpm.rowNo, MATCH($C46&amp;"|"&amp;
($F46+X$4),Raw_Fund!$A:$A,0),
_xlpm.colNo,
MATCH(X$3,Raw_Fund!$E$1:$AZ$1,0),
_xlpm.val,
INDEX(Raw_Fund!$E:$AZ,_xlpm.rowNo,_xlpm.colNo),
IF(ISNUMBER(_xlpm.val),_xlpm.val*$H46,""))</f>
        <v/>
      </c>
      <c r="Y46" s="6" t="str">
        <f>_xlfn.LET(
_xlpm.rowNo, MATCH($C46&amp;"|"&amp;
($F46+Y$4),Raw_Fund!$A:$A,0),
_xlpm.colNo,
MATCH(Y$3,Raw_Fund!$E$1:$AZ$1,0),
_xlpm.val,
INDEX(Raw_Fund!$E:$AZ,_xlpm.rowNo,_xlpm.colNo),
IF(ISNUMBER(_xlpm.val),_xlpm.val*$H46,""))</f>
        <v/>
      </c>
      <c r="Z46" s="6" t="e">
        <f>IF($E46&lt;&gt;"Include","",_xlfn.XLOOKUP($C46,Raw_Mkt!$A:$A,Raw_Mkt!$B:$B))</f>
        <v>#N/A</v>
      </c>
    </row>
    <row r="47" spans="1:26" x14ac:dyDescent="0.4">
      <c r="A47" t="str">
        <f>IF(Universe!A47&lt;&gt;"",Universe!A47,"")</f>
        <v>CHG</v>
      </c>
      <c r="B47" t="str">
        <f>IF(Universe!B47&lt;&gt;"",Universe!B47,"")</f>
        <v>Chemring Group</v>
      </c>
      <c r="C47" t="str">
        <f>IF(Universe!C47&lt;&gt;"",Universe!C47,"")</f>
        <v>GB00B45C9X44</v>
      </c>
      <c r="D47" t="str">
        <f>IF(Universe!D47&lt;&gt;"",Universe!D47,"")</f>
        <v>Industrials</v>
      </c>
      <c r="E47" t="str">
        <f>Universe!G47</f>
        <v>Include</v>
      </c>
      <c r="F47" t="str">
        <f>IF($E47&lt;&gt;"Include","",_xlfn.LET(_xlpm.latest,_xlfn.MAXIFS(Raw_Fund!$C:$C,Raw_Fund!$B:$B,Data!$C47),IF(_xlpm.latest=0,"",_xlpm.latest)))</f>
        <v/>
      </c>
      <c r="G47" t="str">
        <f>IF($F47="","",INDEX(Raw_Fund!$E:$AZ,MATCH($C47&amp;"|"&amp;$F47,Raw_Fund!$A:$A,0),MATCH(G$3,Raw_Fund!$E$1:$AZ$1,0)))</f>
        <v/>
      </c>
      <c r="H47" t="str">
        <f t="shared" si="0"/>
        <v/>
      </c>
      <c r="I47" s="6" t="str">
        <f>_xlfn.LET(
_xlpm.rowNo, MATCH($C47&amp;"|"&amp;
($F47+I$4),Raw_Fund!$A:$A,0),
_xlpm.colNo,
MATCH(I$3,Raw_Fund!$E$1:$AZ$1,0),
_xlpm.val,
INDEX(Raw_Fund!$E:$AZ,_xlpm.rowNo,_xlpm.colNo),
IF(ISNUMBER(_xlpm.val),_xlpm.val*$H47,""))</f>
        <v/>
      </c>
      <c r="J47" s="6" t="str">
        <f>_xlfn.LET(
_xlpm.rowNo, MATCH($C47&amp;"|"&amp;
($F47+J$4),Raw_Fund!$A:$A,0),
_xlpm.colNo,
MATCH(J$3,Raw_Fund!$E$1:$AZ$1,0),
_xlpm.val,
INDEX(Raw_Fund!$E:$AZ,_xlpm.rowNo,_xlpm.colNo),
IF(ISNUMBER(_xlpm.val),_xlpm.val*$H47,""))</f>
        <v/>
      </c>
      <c r="K47" s="6" t="str">
        <f>_xlfn.LET(
_xlpm.rowNo, MATCH($C47&amp;"|"&amp;
($F47+K$4),Raw_Fund!$A:$A,0),
_xlpm.colNo,
MATCH(K$3,Raw_Fund!$E$1:$AZ$1,0),
_xlpm.val,
INDEX(Raw_Fund!$E:$AZ,_xlpm.rowNo,_xlpm.colNo),
IF(ISNUMBER(_xlpm.val),_xlpm.val*$H47,""))</f>
        <v/>
      </c>
      <c r="L47" s="6" t="str">
        <f>_xlfn.LET(
_xlpm.rowNo, MATCH($C47&amp;"|"&amp;
($F47+L$4),Raw_Fund!$A:$A,0),
_xlpm.colNo,
MATCH(L$3,Raw_Fund!$E$1:$AZ$1,0),
_xlpm.val,
INDEX(Raw_Fund!$E:$AZ,_xlpm.rowNo,_xlpm.colNo),
IF(ISNUMBER(_xlpm.val),_xlpm.val*$H47,""))</f>
        <v/>
      </c>
      <c r="M47" s="6" t="str">
        <f>_xlfn.LET(
_xlpm.rowNo, MATCH($C47&amp;"|"&amp;
($F47+M$4),Raw_Fund!$A:$A,0),
_xlpm.colNo,
MATCH(M$3,Raw_Fund!$E$1:$AZ$1,0),
_xlpm.val,
INDEX(Raw_Fund!$E:$AZ,_xlpm.rowNo,_xlpm.colNo),
IF(ISNUMBER(_xlpm.val),_xlpm.val*$H47,""))</f>
        <v/>
      </c>
      <c r="N47" s="6" t="str">
        <f>_xlfn.LET(
_xlpm.rowNo, MATCH($C47&amp;"|"&amp;
($F47+N$4),Raw_Fund!$A:$A,0),
_xlpm.colNo,
MATCH(N$3,Raw_Fund!$E$1:$AZ$1,0),
_xlpm.val,
INDEX(Raw_Fund!$E:$AZ,_xlpm.rowNo,_xlpm.colNo),
IF(ISNUMBER(_xlpm.val),_xlpm.val*$H47,""))</f>
        <v/>
      </c>
      <c r="O47" s="6" t="str">
        <f>_xlfn.LET(
_xlpm.rowNo, MATCH($C47&amp;"|"&amp;
($F47+O$4),Raw_Fund!$A:$A,0),
_xlpm.colNo,
MATCH(O$3,Raw_Fund!$E$1:$AZ$1,0),
_xlpm.val,
INDEX(Raw_Fund!$E:$AZ,_xlpm.rowNo,_xlpm.colNo),
IF(ISNUMBER(_xlpm.val),_xlpm.val*$H47,""))</f>
        <v/>
      </c>
      <c r="P47" s="6" t="str">
        <f>_xlfn.LET(
_xlpm.rowNo, MATCH($C47&amp;"|"&amp;
($F47+P$4),Raw_Fund!$A:$A,0),
_xlpm.colNo,
MATCH(P$3,Raw_Fund!$E$1:$AZ$1,0),
_xlpm.val,
INDEX(Raw_Fund!$E:$AZ,_xlpm.rowNo,_xlpm.colNo),
IF(ISNUMBER(_xlpm.val),_xlpm.val*$H47,""))</f>
        <v/>
      </c>
      <c r="Q47" s="6" t="str">
        <f>_xlfn.LET(
_xlpm.rowNo, MATCH($C47&amp;"|"&amp;
($F47+Q$4),Raw_Fund!$A:$A,0),
_xlpm.colNo,
MATCH(Q$3,Raw_Fund!$E$1:$AZ$1,0),
_xlpm.val,
INDEX(Raw_Fund!$E:$AZ,_xlpm.rowNo,_xlpm.colNo),
IF(ISNUMBER(_xlpm.val),_xlpm.val*$H47,""))</f>
        <v/>
      </c>
      <c r="R47" s="6" t="str">
        <f>_xlfn.LET(
_xlpm.rowNo, MATCH($C47&amp;"|"&amp;
($F47+R$4),Raw_Fund!$A:$A,0),
_xlpm.colNo,
MATCH(R$3,Raw_Fund!$E$1:$AZ$1,0),
_xlpm.val,
INDEX(Raw_Fund!$E:$AZ,_xlpm.rowNo,_xlpm.colNo),
IF(ISNUMBER(_xlpm.val),_xlpm.val*$H47,""))</f>
        <v/>
      </c>
      <c r="S47" s="6" t="str">
        <f>_xlfn.LET(
_xlpm.rowNo, MATCH($C47&amp;"|"&amp;
($F47+S$4),Raw_Fund!$A:$A,0),
_xlpm.colNo,
MATCH(S$3,Raw_Fund!$E$1:$AZ$1,0),
_xlpm.val,
INDEX(Raw_Fund!$E:$AZ,_xlpm.rowNo,_xlpm.colNo),
IF(ISNUMBER(_xlpm.val),_xlpm.val*$H47,""))</f>
        <v/>
      </c>
      <c r="T47" s="6" t="str">
        <f>_xlfn.LET(
_xlpm.rowNo, MATCH($C47&amp;"|"&amp;
($F47+T$4),Raw_Fund!$A:$A,0),
_xlpm.colNo,
MATCH(T$3,Raw_Fund!$E$1:$AZ$1,0),
_xlpm.val,
INDEX(Raw_Fund!$E:$AZ,_xlpm.rowNo,_xlpm.colNo),
IF(ISNUMBER(_xlpm.val),_xlpm.val*$H47,""))</f>
        <v/>
      </c>
      <c r="U47" s="6" t="str">
        <f>_xlfn.LET(
_xlpm.rowNo, MATCH($C47&amp;"|"&amp;
($F47+U$4),Raw_Fund!$A:$A,0),
_xlpm.colNo,
MATCH(U$3,Raw_Fund!$E$1:$AZ$1,0),
_xlpm.val,
INDEX(Raw_Fund!$E:$AZ,_xlpm.rowNo,_xlpm.colNo),
IF(ISNUMBER(_xlpm.val),_xlpm.val*$H47,""))</f>
        <v/>
      </c>
      <c r="V47" s="6" t="str">
        <f>_xlfn.LET(
_xlpm.rowNo, MATCH($C47&amp;"|"&amp;
($F47+V$4),Raw_Fund!$A:$A,0),
_xlpm.colNo,
MATCH(V$3,Raw_Fund!$E$1:$AZ$1,0),
_xlpm.val,
INDEX(Raw_Fund!$E:$AZ,_xlpm.rowNo,_xlpm.colNo),
IF(ISNUMBER(_xlpm.val),_xlpm.val*$H47,""))</f>
        <v/>
      </c>
      <c r="W47" s="6" t="str">
        <f>_xlfn.LET(
_xlpm.rowNo, MATCH($C47&amp;"|"&amp;
($F47+W$4),Raw_Fund!$A:$A,0),
_xlpm.colNo,
MATCH(W$3,Raw_Fund!$E$1:$AZ$1,0),
_xlpm.val,
INDEX(Raw_Fund!$E:$AZ,_xlpm.rowNo,_xlpm.colNo),
IF(ISNUMBER(_xlpm.val),_xlpm.val*$H47,""))</f>
        <v/>
      </c>
      <c r="X47" s="6" t="str">
        <f>_xlfn.LET(
_xlpm.rowNo, MATCH($C47&amp;"|"&amp;
($F47+X$4),Raw_Fund!$A:$A,0),
_xlpm.colNo,
MATCH(X$3,Raw_Fund!$E$1:$AZ$1,0),
_xlpm.val,
INDEX(Raw_Fund!$E:$AZ,_xlpm.rowNo,_xlpm.colNo),
IF(ISNUMBER(_xlpm.val),_xlpm.val*$H47,""))</f>
        <v/>
      </c>
      <c r="Y47" s="6" t="str">
        <f>_xlfn.LET(
_xlpm.rowNo, MATCH($C47&amp;"|"&amp;
($F47+Y$4),Raw_Fund!$A:$A,0),
_xlpm.colNo,
MATCH(Y$3,Raw_Fund!$E$1:$AZ$1,0),
_xlpm.val,
INDEX(Raw_Fund!$E:$AZ,_xlpm.rowNo,_xlpm.colNo),
IF(ISNUMBER(_xlpm.val),_xlpm.val*$H47,""))</f>
        <v/>
      </c>
      <c r="Z47" s="6" t="e">
        <f>IF($E47&lt;&gt;"Include","",_xlfn.XLOOKUP($C47,Raw_Mkt!$A:$A,Raw_Mkt!$B:$B))</f>
        <v>#N/A</v>
      </c>
    </row>
    <row r="48" spans="1:26" x14ac:dyDescent="0.4">
      <c r="A48" t="str">
        <f>IF(Universe!A48&lt;&gt;"",Universe!A48,"")</f>
        <v>CSN</v>
      </c>
      <c r="B48" t="str">
        <f>IF(Universe!B48&lt;&gt;"",Universe!B48,"")</f>
        <v>Chesnara</v>
      </c>
      <c r="C48" t="str">
        <f>IF(Universe!C48&lt;&gt;"",Universe!C48,"")</f>
        <v>GB00B00FPT80</v>
      </c>
      <c r="D48" t="str">
        <f>IF(Universe!D48&lt;&gt;"",Universe!D48,"")</f>
        <v>Financials</v>
      </c>
      <c r="E48" t="str">
        <f>Universe!G48</f>
        <v>Exclude</v>
      </c>
      <c r="F48" t="str">
        <f>IF($E48&lt;&gt;"Include","",_xlfn.LET(_xlpm.latest,_xlfn.MAXIFS(Raw_Fund!$C:$C,Raw_Fund!$B:$B,Data!$C48),IF(_xlpm.latest=0,"",_xlpm.latest)))</f>
        <v/>
      </c>
      <c r="G48" t="str">
        <f>IF($F48="","",INDEX(Raw_Fund!$E:$AZ,MATCH($C48&amp;"|"&amp;$F48,Raw_Fund!$A:$A,0),MATCH(G$3,Raw_Fund!$E$1:$AZ$1,0)))</f>
        <v/>
      </c>
      <c r="H48" t="str">
        <f t="shared" si="0"/>
        <v/>
      </c>
      <c r="I48" s="6" t="str">
        <f>_xlfn.LET(
_xlpm.rowNo, MATCH($C48&amp;"|"&amp;
($F48+I$4),Raw_Fund!$A:$A,0),
_xlpm.colNo,
MATCH(I$3,Raw_Fund!$E$1:$AZ$1,0),
_xlpm.val,
INDEX(Raw_Fund!$E:$AZ,_xlpm.rowNo,_xlpm.colNo),
IF(ISNUMBER(_xlpm.val),_xlpm.val*$H48,""))</f>
        <v/>
      </c>
      <c r="J48" s="6" t="str">
        <f>_xlfn.LET(
_xlpm.rowNo, MATCH($C48&amp;"|"&amp;
($F48+J$4),Raw_Fund!$A:$A,0),
_xlpm.colNo,
MATCH(J$3,Raw_Fund!$E$1:$AZ$1,0),
_xlpm.val,
INDEX(Raw_Fund!$E:$AZ,_xlpm.rowNo,_xlpm.colNo),
IF(ISNUMBER(_xlpm.val),_xlpm.val*$H48,""))</f>
        <v/>
      </c>
      <c r="K48" s="6" t="str">
        <f>_xlfn.LET(
_xlpm.rowNo, MATCH($C48&amp;"|"&amp;
($F48+K$4),Raw_Fund!$A:$A,0),
_xlpm.colNo,
MATCH(K$3,Raw_Fund!$E$1:$AZ$1,0),
_xlpm.val,
INDEX(Raw_Fund!$E:$AZ,_xlpm.rowNo,_xlpm.colNo),
IF(ISNUMBER(_xlpm.val),_xlpm.val*$H48,""))</f>
        <v/>
      </c>
      <c r="L48" s="6" t="str">
        <f>_xlfn.LET(
_xlpm.rowNo, MATCH($C48&amp;"|"&amp;
($F48+L$4),Raw_Fund!$A:$A,0),
_xlpm.colNo,
MATCH(L$3,Raw_Fund!$E$1:$AZ$1,0),
_xlpm.val,
INDEX(Raw_Fund!$E:$AZ,_xlpm.rowNo,_xlpm.colNo),
IF(ISNUMBER(_xlpm.val),_xlpm.val*$H48,""))</f>
        <v/>
      </c>
      <c r="M48" s="6" t="str">
        <f>_xlfn.LET(
_xlpm.rowNo, MATCH($C48&amp;"|"&amp;
($F48+M$4),Raw_Fund!$A:$A,0),
_xlpm.colNo,
MATCH(M$3,Raw_Fund!$E$1:$AZ$1,0),
_xlpm.val,
INDEX(Raw_Fund!$E:$AZ,_xlpm.rowNo,_xlpm.colNo),
IF(ISNUMBER(_xlpm.val),_xlpm.val*$H48,""))</f>
        <v/>
      </c>
      <c r="N48" s="6" t="str">
        <f>_xlfn.LET(
_xlpm.rowNo, MATCH($C48&amp;"|"&amp;
($F48+N$4),Raw_Fund!$A:$A,0),
_xlpm.colNo,
MATCH(N$3,Raw_Fund!$E$1:$AZ$1,0),
_xlpm.val,
INDEX(Raw_Fund!$E:$AZ,_xlpm.rowNo,_xlpm.colNo),
IF(ISNUMBER(_xlpm.val),_xlpm.val*$H48,""))</f>
        <v/>
      </c>
      <c r="O48" s="6" t="str">
        <f>_xlfn.LET(
_xlpm.rowNo, MATCH($C48&amp;"|"&amp;
($F48+O$4),Raw_Fund!$A:$A,0),
_xlpm.colNo,
MATCH(O$3,Raw_Fund!$E$1:$AZ$1,0),
_xlpm.val,
INDEX(Raw_Fund!$E:$AZ,_xlpm.rowNo,_xlpm.colNo),
IF(ISNUMBER(_xlpm.val),_xlpm.val*$H48,""))</f>
        <v/>
      </c>
      <c r="P48" s="6" t="str">
        <f>_xlfn.LET(
_xlpm.rowNo, MATCH($C48&amp;"|"&amp;
($F48+P$4),Raw_Fund!$A:$A,0),
_xlpm.colNo,
MATCH(P$3,Raw_Fund!$E$1:$AZ$1,0),
_xlpm.val,
INDEX(Raw_Fund!$E:$AZ,_xlpm.rowNo,_xlpm.colNo),
IF(ISNUMBER(_xlpm.val),_xlpm.val*$H48,""))</f>
        <v/>
      </c>
      <c r="Q48" s="6" t="str">
        <f>_xlfn.LET(
_xlpm.rowNo, MATCH($C48&amp;"|"&amp;
($F48+Q$4),Raw_Fund!$A:$A,0),
_xlpm.colNo,
MATCH(Q$3,Raw_Fund!$E$1:$AZ$1,0),
_xlpm.val,
INDEX(Raw_Fund!$E:$AZ,_xlpm.rowNo,_xlpm.colNo),
IF(ISNUMBER(_xlpm.val),_xlpm.val*$H48,""))</f>
        <v/>
      </c>
      <c r="R48" s="6" t="str">
        <f>_xlfn.LET(
_xlpm.rowNo, MATCH($C48&amp;"|"&amp;
($F48+R$4),Raw_Fund!$A:$A,0),
_xlpm.colNo,
MATCH(R$3,Raw_Fund!$E$1:$AZ$1,0),
_xlpm.val,
INDEX(Raw_Fund!$E:$AZ,_xlpm.rowNo,_xlpm.colNo),
IF(ISNUMBER(_xlpm.val),_xlpm.val*$H48,""))</f>
        <v/>
      </c>
      <c r="S48" s="6" t="str">
        <f>_xlfn.LET(
_xlpm.rowNo, MATCH($C48&amp;"|"&amp;
($F48+S$4),Raw_Fund!$A:$A,0),
_xlpm.colNo,
MATCH(S$3,Raw_Fund!$E$1:$AZ$1,0),
_xlpm.val,
INDEX(Raw_Fund!$E:$AZ,_xlpm.rowNo,_xlpm.colNo),
IF(ISNUMBER(_xlpm.val),_xlpm.val*$H48,""))</f>
        <v/>
      </c>
      <c r="T48" s="6" t="str">
        <f>_xlfn.LET(
_xlpm.rowNo, MATCH($C48&amp;"|"&amp;
($F48+T$4),Raw_Fund!$A:$A,0),
_xlpm.colNo,
MATCH(T$3,Raw_Fund!$E$1:$AZ$1,0),
_xlpm.val,
INDEX(Raw_Fund!$E:$AZ,_xlpm.rowNo,_xlpm.colNo),
IF(ISNUMBER(_xlpm.val),_xlpm.val*$H48,""))</f>
        <v/>
      </c>
      <c r="U48" s="6" t="str">
        <f>_xlfn.LET(
_xlpm.rowNo, MATCH($C48&amp;"|"&amp;
($F48+U$4),Raw_Fund!$A:$A,0),
_xlpm.colNo,
MATCH(U$3,Raw_Fund!$E$1:$AZ$1,0),
_xlpm.val,
INDEX(Raw_Fund!$E:$AZ,_xlpm.rowNo,_xlpm.colNo),
IF(ISNUMBER(_xlpm.val),_xlpm.val*$H48,""))</f>
        <v/>
      </c>
      <c r="V48" s="6" t="str">
        <f>_xlfn.LET(
_xlpm.rowNo, MATCH($C48&amp;"|"&amp;
($F48+V$4),Raw_Fund!$A:$A,0),
_xlpm.colNo,
MATCH(V$3,Raw_Fund!$E$1:$AZ$1,0),
_xlpm.val,
INDEX(Raw_Fund!$E:$AZ,_xlpm.rowNo,_xlpm.colNo),
IF(ISNUMBER(_xlpm.val),_xlpm.val*$H48,""))</f>
        <v/>
      </c>
      <c r="W48" s="6" t="str">
        <f>_xlfn.LET(
_xlpm.rowNo, MATCH($C48&amp;"|"&amp;
($F48+W$4),Raw_Fund!$A:$A,0),
_xlpm.colNo,
MATCH(W$3,Raw_Fund!$E$1:$AZ$1,0),
_xlpm.val,
INDEX(Raw_Fund!$E:$AZ,_xlpm.rowNo,_xlpm.colNo),
IF(ISNUMBER(_xlpm.val),_xlpm.val*$H48,""))</f>
        <v/>
      </c>
      <c r="X48" s="6" t="str">
        <f>_xlfn.LET(
_xlpm.rowNo, MATCH($C48&amp;"|"&amp;
($F48+X$4),Raw_Fund!$A:$A,0),
_xlpm.colNo,
MATCH(X$3,Raw_Fund!$E$1:$AZ$1,0),
_xlpm.val,
INDEX(Raw_Fund!$E:$AZ,_xlpm.rowNo,_xlpm.colNo),
IF(ISNUMBER(_xlpm.val),_xlpm.val*$H48,""))</f>
        <v/>
      </c>
      <c r="Y48" s="6" t="str">
        <f>_xlfn.LET(
_xlpm.rowNo, MATCH($C48&amp;"|"&amp;
($F48+Y$4),Raw_Fund!$A:$A,0),
_xlpm.colNo,
MATCH(Y$3,Raw_Fund!$E$1:$AZ$1,0),
_xlpm.val,
INDEX(Raw_Fund!$E:$AZ,_xlpm.rowNo,_xlpm.colNo),
IF(ISNUMBER(_xlpm.val),_xlpm.val*$H48,""))</f>
        <v/>
      </c>
      <c r="Z48" s="6" t="str">
        <f>IF($E48&lt;&gt;"Include","",_xlfn.XLOOKUP($C48,Raw_Mkt!$A:$A,Raw_Mkt!$B:$B))</f>
        <v/>
      </c>
    </row>
    <row r="49" spans="1:26" x14ac:dyDescent="0.4">
      <c r="A49" t="str">
        <f>IF(Universe!A49&lt;&gt;"",Universe!A49,"")</f>
        <v>CTY</v>
      </c>
      <c r="B49" t="str">
        <f>IF(Universe!B49&lt;&gt;"",Universe!B49,"")</f>
        <v>City of London Investment Trust</v>
      </c>
      <c r="C49" t="str">
        <f>IF(Universe!C49&lt;&gt;"",Universe!C49,"")</f>
        <v>GB0001990497</v>
      </c>
      <c r="D49" t="str">
        <f>IF(Universe!D49&lt;&gt;"",Universe!D49,"")</f>
        <v>Financials</v>
      </c>
      <c r="E49" t="str">
        <f>Universe!G49</f>
        <v>Exclude</v>
      </c>
      <c r="F49" t="str">
        <f>IF($E49&lt;&gt;"Include","",_xlfn.LET(_xlpm.latest,_xlfn.MAXIFS(Raw_Fund!$C:$C,Raw_Fund!$B:$B,Data!$C49),IF(_xlpm.latest=0,"",_xlpm.latest)))</f>
        <v/>
      </c>
      <c r="G49" t="str">
        <f>IF($F49="","",INDEX(Raw_Fund!$E:$AZ,MATCH($C49&amp;"|"&amp;$F49,Raw_Fund!$A:$A,0),MATCH(G$3,Raw_Fund!$E$1:$AZ$1,0)))</f>
        <v/>
      </c>
      <c r="H49" t="str">
        <f t="shared" si="0"/>
        <v/>
      </c>
      <c r="I49" s="6" t="str">
        <f>_xlfn.LET(
_xlpm.rowNo, MATCH($C49&amp;"|"&amp;
($F49+I$4),Raw_Fund!$A:$A,0),
_xlpm.colNo,
MATCH(I$3,Raw_Fund!$E$1:$AZ$1,0),
_xlpm.val,
INDEX(Raw_Fund!$E:$AZ,_xlpm.rowNo,_xlpm.colNo),
IF(ISNUMBER(_xlpm.val),_xlpm.val*$H49,""))</f>
        <v/>
      </c>
      <c r="J49" s="6" t="str">
        <f>_xlfn.LET(
_xlpm.rowNo, MATCH($C49&amp;"|"&amp;
($F49+J$4),Raw_Fund!$A:$A,0),
_xlpm.colNo,
MATCH(J$3,Raw_Fund!$E$1:$AZ$1,0),
_xlpm.val,
INDEX(Raw_Fund!$E:$AZ,_xlpm.rowNo,_xlpm.colNo),
IF(ISNUMBER(_xlpm.val),_xlpm.val*$H49,""))</f>
        <v/>
      </c>
      <c r="K49" s="6" t="str">
        <f>_xlfn.LET(
_xlpm.rowNo, MATCH($C49&amp;"|"&amp;
($F49+K$4),Raw_Fund!$A:$A,0),
_xlpm.colNo,
MATCH(K$3,Raw_Fund!$E$1:$AZ$1,0),
_xlpm.val,
INDEX(Raw_Fund!$E:$AZ,_xlpm.rowNo,_xlpm.colNo),
IF(ISNUMBER(_xlpm.val),_xlpm.val*$H49,""))</f>
        <v/>
      </c>
      <c r="L49" s="6" t="str">
        <f>_xlfn.LET(
_xlpm.rowNo, MATCH($C49&amp;"|"&amp;
($F49+L$4),Raw_Fund!$A:$A,0),
_xlpm.colNo,
MATCH(L$3,Raw_Fund!$E$1:$AZ$1,0),
_xlpm.val,
INDEX(Raw_Fund!$E:$AZ,_xlpm.rowNo,_xlpm.colNo),
IF(ISNUMBER(_xlpm.val),_xlpm.val*$H49,""))</f>
        <v/>
      </c>
      <c r="M49" s="6" t="str">
        <f>_xlfn.LET(
_xlpm.rowNo, MATCH($C49&amp;"|"&amp;
($F49+M$4),Raw_Fund!$A:$A,0),
_xlpm.colNo,
MATCH(M$3,Raw_Fund!$E$1:$AZ$1,0),
_xlpm.val,
INDEX(Raw_Fund!$E:$AZ,_xlpm.rowNo,_xlpm.colNo),
IF(ISNUMBER(_xlpm.val),_xlpm.val*$H49,""))</f>
        <v/>
      </c>
      <c r="N49" s="6" t="str">
        <f>_xlfn.LET(
_xlpm.rowNo, MATCH($C49&amp;"|"&amp;
($F49+N$4),Raw_Fund!$A:$A,0),
_xlpm.colNo,
MATCH(N$3,Raw_Fund!$E$1:$AZ$1,0),
_xlpm.val,
INDEX(Raw_Fund!$E:$AZ,_xlpm.rowNo,_xlpm.colNo),
IF(ISNUMBER(_xlpm.val),_xlpm.val*$H49,""))</f>
        <v/>
      </c>
      <c r="O49" s="6" t="str">
        <f>_xlfn.LET(
_xlpm.rowNo, MATCH($C49&amp;"|"&amp;
($F49+O$4),Raw_Fund!$A:$A,0),
_xlpm.colNo,
MATCH(O$3,Raw_Fund!$E$1:$AZ$1,0),
_xlpm.val,
INDEX(Raw_Fund!$E:$AZ,_xlpm.rowNo,_xlpm.colNo),
IF(ISNUMBER(_xlpm.val),_xlpm.val*$H49,""))</f>
        <v/>
      </c>
      <c r="P49" s="6" t="str">
        <f>_xlfn.LET(
_xlpm.rowNo, MATCH($C49&amp;"|"&amp;
($F49+P$4),Raw_Fund!$A:$A,0),
_xlpm.colNo,
MATCH(P$3,Raw_Fund!$E$1:$AZ$1,0),
_xlpm.val,
INDEX(Raw_Fund!$E:$AZ,_xlpm.rowNo,_xlpm.colNo),
IF(ISNUMBER(_xlpm.val),_xlpm.val*$H49,""))</f>
        <v/>
      </c>
      <c r="Q49" s="6" t="str">
        <f>_xlfn.LET(
_xlpm.rowNo, MATCH($C49&amp;"|"&amp;
($F49+Q$4),Raw_Fund!$A:$A,0),
_xlpm.colNo,
MATCH(Q$3,Raw_Fund!$E$1:$AZ$1,0),
_xlpm.val,
INDEX(Raw_Fund!$E:$AZ,_xlpm.rowNo,_xlpm.colNo),
IF(ISNUMBER(_xlpm.val),_xlpm.val*$H49,""))</f>
        <v/>
      </c>
      <c r="R49" s="6" t="str">
        <f>_xlfn.LET(
_xlpm.rowNo, MATCH($C49&amp;"|"&amp;
($F49+R$4),Raw_Fund!$A:$A,0),
_xlpm.colNo,
MATCH(R$3,Raw_Fund!$E$1:$AZ$1,0),
_xlpm.val,
INDEX(Raw_Fund!$E:$AZ,_xlpm.rowNo,_xlpm.colNo),
IF(ISNUMBER(_xlpm.val),_xlpm.val*$H49,""))</f>
        <v/>
      </c>
      <c r="S49" s="6" t="str">
        <f>_xlfn.LET(
_xlpm.rowNo, MATCH($C49&amp;"|"&amp;
($F49+S$4),Raw_Fund!$A:$A,0),
_xlpm.colNo,
MATCH(S$3,Raw_Fund!$E$1:$AZ$1,0),
_xlpm.val,
INDEX(Raw_Fund!$E:$AZ,_xlpm.rowNo,_xlpm.colNo),
IF(ISNUMBER(_xlpm.val),_xlpm.val*$H49,""))</f>
        <v/>
      </c>
      <c r="T49" s="6" t="str">
        <f>_xlfn.LET(
_xlpm.rowNo, MATCH($C49&amp;"|"&amp;
($F49+T$4),Raw_Fund!$A:$A,0),
_xlpm.colNo,
MATCH(T$3,Raw_Fund!$E$1:$AZ$1,0),
_xlpm.val,
INDEX(Raw_Fund!$E:$AZ,_xlpm.rowNo,_xlpm.colNo),
IF(ISNUMBER(_xlpm.val),_xlpm.val*$H49,""))</f>
        <v/>
      </c>
      <c r="U49" s="6" t="str">
        <f>_xlfn.LET(
_xlpm.rowNo, MATCH($C49&amp;"|"&amp;
($F49+U$4),Raw_Fund!$A:$A,0),
_xlpm.colNo,
MATCH(U$3,Raw_Fund!$E$1:$AZ$1,0),
_xlpm.val,
INDEX(Raw_Fund!$E:$AZ,_xlpm.rowNo,_xlpm.colNo),
IF(ISNUMBER(_xlpm.val),_xlpm.val*$H49,""))</f>
        <v/>
      </c>
      <c r="V49" s="6" t="str">
        <f>_xlfn.LET(
_xlpm.rowNo, MATCH($C49&amp;"|"&amp;
($F49+V$4),Raw_Fund!$A:$A,0),
_xlpm.colNo,
MATCH(V$3,Raw_Fund!$E$1:$AZ$1,0),
_xlpm.val,
INDEX(Raw_Fund!$E:$AZ,_xlpm.rowNo,_xlpm.colNo),
IF(ISNUMBER(_xlpm.val),_xlpm.val*$H49,""))</f>
        <v/>
      </c>
      <c r="W49" s="6" t="str">
        <f>_xlfn.LET(
_xlpm.rowNo, MATCH($C49&amp;"|"&amp;
($F49+W$4),Raw_Fund!$A:$A,0),
_xlpm.colNo,
MATCH(W$3,Raw_Fund!$E$1:$AZ$1,0),
_xlpm.val,
INDEX(Raw_Fund!$E:$AZ,_xlpm.rowNo,_xlpm.colNo),
IF(ISNUMBER(_xlpm.val),_xlpm.val*$H49,""))</f>
        <v/>
      </c>
      <c r="X49" s="6" t="str">
        <f>_xlfn.LET(
_xlpm.rowNo, MATCH($C49&amp;"|"&amp;
($F49+X$4),Raw_Fund!$A:$A,0),
_xlpm.colNo,
MATCH(X$3,Raw_Fund!$E$1:$AZ$1,0),
_xlpm.val,
INDEX(Raw_Fund!$E:$AZ,_xlpm.rowNo,_xlpm.colNo),
IF(ISNUMBER(_xlpm.val),_xlpm.val*$H49,""))</f>
        <v/>
      </c>
      <c r="Y49" s="6" t="str">
        <f>_xlfn.LET(
_xlpm.rowNo, MATCH($C49&amp;"|"&amp;
($F49+Y$4),Raw_Fund!$A:$A,0),
_xlpm.colNo,
MATCH(Y$3,Raw_Fund!$E$1:$AZ$1,0),
_xlpm.val,
INDEX(Raw_Fund!$E:$AZ,_xlpm.rowNo,_xlpm.colNo),
IF(ISNUMBER(_xlpm.val),_xlpm.val*$H49,""))</f>
        <v/>
      </c>
      <c r="Z49" s="6" t="str">
        <f>IF($E49&lt;&gt;"Include","",_xlfn.XLOOKUP($C49,Raw_Mkt!$A:$A,Raw_Mkt!$B:$B))</f>
        <v/>
      </c>
    </row>
    <row r="50" spans="1:26" x14ac:dyDescent="0.4">
      <c r="A50" t="str">
        <f>IF(Universe!A50&lt;&gt;"",Universe!A50,"")</f>
        <v>CKN</v>
      </c>
      <c r="B50" t="str">
        <f>IF(Universe!B50&lt;&gt;"",Universe!B50,"")</f>
        <v>Clarkson</v>
      </c>
      <c r="C50" t="str">
        <f>IF(Universe!C50&lt;&gt;"",Universe!C50,"")</f>
        <v>GB0002018363</v>
      </c>
      <c r="D50" t="str">
        <f>IF(Universe!D50&lt;&gt;"",Universe!D50,"")</f>
        <v>Industrials</v>
      </c>
      <c r="E50" t="str">
        <f>Universe!G50</f>
        <v>Include</v>
      </c>
      <c r="F50" t="str">
        <f>IF($E50&lt;&gt;"Include","",_xlfn.LET(_xlpm.latest,_xlfn.MAXIFS(Raw_Fund!$C:$C,Raw_Fund!$B:$B,Data!$C50),IF(_xlpm.latest=0,"",_xlpm.latest)))</f>
        <v/>
      </c>
      <c r="G50" t="str">
        <f>IF($F50="","",INDEX(Raw_Fund!$E:$AZ,MATCH($C50&amp;"|"&amp;$F50,Raw_Fund!$A:$A,0),MATCH(G$3,Raw_Fund!$E$1:$AZ$1,0)))</f>
        <v/>
      </c>
      <c r="H50" t="str">
        <f t="shared" si="0"/>
        <v/>
      </c>
      <c r="I50" s="6" t="str">
        <f>_xlfn.LET(
_xlpm.rowNo, MATCH($C50&amp;"|"&amp;
($F50+I$4),Raw_Fund!$A:$A,0),
_xlpm.colNo,
MATCH(I$3,Raw_Fund!$E$1:$AZ$1,0),
_xlpm.val,
INDEX(Raw_Fund!$E:$AZ,_xlpm.rowNo,_xlpm.colNo),
IF(ISNUMBER(_xlpm.val),_xlpm.val*$H50,""))</f>
        <v/>
      </c>
      <c r="J50" s="6" t="str">
        <f>_xlfn.LET(
_xlpm.rowNo, MATCH($C50&amp;"|"&amp;
($F50+J$4),Raw_Fund!$A:$A,0),
_xlpm.colNo,
MATCH(J$3,Raw_Fund!$E$1:$AZ$1,0),
_xlpm.val,
INDEX(Raw_Fund!$E:$AZ,_xlpm.rowNo,_xlpm.colNo),
IF(ISNUMBER(_xlpm.val),_xlpm.val*$H50,""))</f>
        <v/>
      </c>
      <c r="K50" s="6" t="str">
        <f>_xlfn.LET(
_xlpm.rowNo, MATCH($C50&amp;"|"&amp;
($F50+K$4),Raw_Fund!$A:$A,0),
_xlpm.colNo,
MATCH(K$3,Raw_Fund!$E$1:$AZ$1,0),
_xlpm.val,
INDEX(Raw_Fund!$E:$AZ,_xlpm.rowNo,_xlpm.colNo),
IF(ISNUMBER(_xlpm.val),_xlpm.val*$H50,""))</f>
        <v/>
      </c>
      <c r="L50" s="6" t="str">
        <f>_xlfn.LET(
_xlpm.rowNo, MATCH($C50&amp;"|"&amp;
($F50+L$4),Raw_Fund!$A:$A,0),
_xlpm.colNo,
MATCH(L$3,Raw_Fund!$E$1:$AZ$1,0),
_xlpm.val,
INDEX(Raw_Fund!$E:$AZ,_xlpm.rowNo,_xlpm.colNo),
IF(ISNUMBER(_xlpm.val),_xlpm.val*$H50,""))</f>
        <v/>
      </c>
      <c r="M50" s="6" t="str">
        <f>_xlfn.LET(
_xlpm.rowNo, MATCH($C50&amp;"|"&amp;
($F50+M$4),Raw_Fund!$A:$A,0),
_xlpm.colNo,
MATCH(M$3,Raw_Fund!$E$1:$AZ$1,0),
_xlpm.val,
INDEX(Raw_Fund!$E:$AZ,_xlpm.rowNo,_xlpm.colNo),
IF(ISNUMBER(_xlpm.val),_xlpm.val*$H50,""))</f>
        <v/>
      </c>
      <c r="N50" s="6" t="str">
        <f>_xlfn.LET(
_xlpm.rowNo, MATCH($C50&amp;"|"&amp;
($F50+N$4),Raw_Fund!$A:$A,0),
_xlpm.colNo,
MATCH(N$3,Raw_Fund!$E$1:$AZ$1,0),
_xlpm.val,
INDEX(Raw_Fund!$E:$AZ,_xlpm.rowNo,_xlpm.colNo),
IF(ISNUMBER(_xlpm.val),_xlpm.val*$H50,""))</f>
        <v/>
      </c>
      <c r="O50" s="6" t="str">
        <f>_xlfn.LET(
_xlpm.rowNo, MATCH($C50&amp;"|"&amp;
($F50+O$4),Raw_Fund!$A:$A,0),
_xlpm.colNo,
MATCH(O$3,Raw_Fund!$E$1:$AZ$1,0),
_xlpm.val,
INDEX(Raw_Fund!$E:$AZ,_xlpm.rowNo,_xlpm.colNo),
IF(ISNUMBER(_xlpm.val),_xlpm.val*$H50,""))</f>
        <v/>
      </c>
      <c r="P50" s="6" t="str">
        <f>_xlfn.LET(
_xlpm.rowNo, MATCH($C50&amp;"|"&amp;
($F50+P$4),Raw_Fund!$A:$A,0),
_xlpm.colNo,
MATCH(P$3,Raw_Fund!$E$1:$AZ$1,0),
_xlpm.val,
INDEX(Raw_Fund!$E:$AZ,_xlpm.rowNo,_xlpm.colNo),
IF(ISNUMBER(_xlpm.val),_xlpm.val*$H50,""))</f>
        <v/>
      </c>
      <c r="Q50" s="6" t="str">
        <f>_xlfn.LET(
_xlpm.rowNo, MATCH($C50&amp;"|"&amp;
($F50+Q$4),Raw_Fund!$A:$A,0),
_xlpm.colNo,
MATCH(Q$3,Raw_Fund!$E$1:$AZ$1,0),
_xlpm.val,
INDEX(Raw_Fund!$E:$AZ,_xlpm.rowNo,_xlpm.colNo),
IF(ISNUMBER(_xlpm.val),_xlpm.val*$H50,""))</f>
        <v/>
      </c>
      <c r="R50" s="6" t="str">
        <f>_xlfn.LET(
_xlpm.rowNo, MATCH($C50&amp;"|"&amp;
($F50+R$4),Raw_Fund!$A:$A,0),
_xlpm.colNo,
MATCH(R$3,Raw_Fund!$E$1:$AZ$1,0),
_xlpm.val,
INDEX(Raw_Fund!$E:$AZ,_xlpm.rowNo,_xlpm.colNo),
IF(ISNUMBER(_xlpm.val),_xlpm.val*$H50,""))</f>
        <v/>
      </c>
      <c r="S50" s="6" t="str">
        <f>_xlfn.LET(
_xlpm.rowNo, MATCH($C50&amp;"|"&amp;
($F50+S$4),Raw_Fund!$A:$A,0),
_xlpm.colNo,
MATCH(S$3,Raw_Fund!$E$1:$AZ$1,0),
_xlpm.val,
INDEX(Raw_Fund!$E:$AZ,_xlpm.rowNo,_xlpm.colNo),
IF(ISNUMBER(_xlpm.val),_xlpm.val*$H50,""))</f>
        <v/>
      </c>
      <c r="T50" s="6" t="str">
        <f>_xlfn.LET(
_xlpm.rowNo, MATCH($C50&amp;"|"&amp;
($F50+T$4),Raw_Fund!$A:$A,0),
_xlpm.colNo,
MATCH(T$3,Raw_Fund!$E$1:$AZ$1,0),
_xlpm.val,
INDEX(Raw_Fund!$E:$AZ,_xlpm.rowNo,_xlpm.colNo),
IF(ISNUMBER(_xlpm.val),_xlpm.val*$H50,""))</f>
        <v/>
      </c>
      <c r="U50" s="6" t="str">
        <f>_xlfn.LET(
_xlpm.rowNo, MATCH($C50&amp;"|"&amp;
($F50+U$4),Raw_Fund!$A:$A,0),
_xlpm.colNo,
MATCH(U$3,Raw_Fund!$E$1:$AZ$1,0),
_xlpm.val,
INDEX(Raw_Fund!$E:$AZ,_xlpm.rowNo,_xlpm.colNo),
IF(ISNUMBER(_xlpm.val),_xlpm.val*$H50,""))</f>
        <v/>
      </c>
      <c r="V50" s="6" t="str">
        <f>_xlfn.LET(
_xlpm.rowNo, MATCH($C50&amp;"|"&amp;
($F50+V$4),Raw_Fund!$A:$A,0),
_xlpm.colNo,
MATCH(V$3,Raw_Fund!$E$1:$AZ$1,0),
_xlpm.val,
INDEX(Raw_Fund!$E:$AZ,_xlpm.rowNo,_xlpm.colNo),
IF(ISNUMBER(_xlpm.val),_xlpm.val*$H50,""))</f>
        <v/>
      </c>
      <c r="W50" s="6" t="str">
        <f>_xlfn.LET(
_xlpm.rowNo, MATCH($C50&amp;"|"&amp;
($F50+W$4),Raw_Fund!$A:$A,0),
_xlpm.colNo,
MATCH(W$3,Raw_Fund!$E$1:$AZ$1,0),
_xlpm.val,
INDEX(Raw_Fund!$E:$AZ,_xlpm.rowNo,_xlpm.colNo),
IF(ISNUMBER(_xlpm.val),_xlpm.val*$H50,""))</f>
        <v/>
      </c>
      <c r="X50" s="6" t="str">
        <f>_xlfn.LET(
_xlpm.rowNo, MATCH($C50&amp;"|"&amp;
($F50+X$4),Raw_Fund!$A:$A,0),
_xlpm.colNo,
MATCH(X$3,Raw_Fund!$E$1:$AZ$1,0),
_xlpm.val,
INDEX(Raw_Fund!$E:$AZ,_xlpm.rowNo,_xlpm.colNo),
IF(ISNUMBER(_xlpm.val),_xlpm.val*$H50,""))</f>
        <v/>
      </c>
      <c r="Y50" s="6" t="str">
        <f>_xlfn.LET(
_xlpm.rowNo, MATCH($C50&amp;"|"&amp;
($F50+Y$4),Raw_Fund!$A:$A,0),
_xlpm.colNo,
MATCH(Y$3,Raw_Fund!$E$1:$AZ$1,0),
_xlpm.val,
INDEX(Raw_Fund!$E:$AZ,_xlpm.rowNo,_xlpm.colNo),
IF(ISNUMBER(_xlpm.val),_xlpm.val*$H50,""))</f>
        <v/>
      </c>
      <c r="Z50" s="6" t="e">
        <f>IF($E50&lt;&gt;"Include","",_xlfn.XLOOKUP($C50,Raw_Mkt!$A:$A,Raw_Mkt!$B:$B))</f>
        <v>#N/A</v>
      </c>
    </row>
    <row r="51" spans="1:26" x14ac:dyDescent="0.4">
      <c r="A51" t="str">
        <f>IF(Universe!A51&lt;&gt;"",Universe!A51,"")</f>
        <v>CBG</v>
      </c>
      <c r="B51" t="str">
        <f>IF(Universe!B51&lt;&gt;"",Universe!B51,"")</f>
        <v>Close Brothers Group</v>
      </c>
      <c r="C51" t="str">
        <f>IF(Universe!C51&lt;&gt;"",Universe!C51,"")</f>
        <v>GB0007668071</v>
      </c>
      <c r="D51" t="str">
        <f>IF(Universe!D51&lt;&gt;"",Universe!D51,"")</f>
        <v>Financials</v>
      </c>
      <c r="E51" t="str">
        <f>Universe!G51</f>
        <v>Exclude</v>
      </c>
      <c r="F51" t="str">
        <f>IF($E51&lt;&gt;"Include","",_xlfn.LET(_xlpm.latest,_xlfn.MAXIFS(Raw_Fund!$C:$C,Raw_Fund!$B:$B,Data!$C51),IF(_xlpm.latest=0,"",_xlpm.latest)))</f>
        <v/>
      </c>
      <c r="G51" t="str">
        <f>IF($F51="","",INDEX(Raw_Fund!$E:$AZ,MATCH($C51&amp;"|"&amp;$F51,Raw_Fund!$A:$A,0),MATCH(G$3,Raw_Fund!$E$1:$AZ$1,0)))</f>
        <v/>
      </c>
      <c r="H51" t="str">
        <f t="shared" si="0"/>
        <v/>
      </c>
      <c r="I51" s="6" t="str">
        <f>_xlfn.LET(
_xlpm.rowNo, MATCH($C51&amp;"|"&amp;
($F51+I$4),Raw_Fund!$A:$A,0),
_xlpm.colNo,
MATCH(I$3,Raw_Fund!$E$1:$AZ$1,0),
_xlpm.val,
INDEX(Raw_Fund!$E:$AZ,_xlpm.rowNo,_xlpm.colNo),
IF(ISNUMBER(_xlpm.val),_xlpm.val*$H51,""))</f>
        <v/>
      </c>
      <c r="J51" s="6" t="str">
        <f>_xlfn.LET(
_xlpm.rowNo, MATCH($C51&amp;"|"&amp;
($F51+J$4),Raw_Fund!$A:$A,0),
_xlpm.colNo,
MATCH(J$3,Raw_Fund!$E$1:$AZ$1,0),
_xlpm.val,
INDEX(Raw_Fund!$E:$AZ,_xlpm.rowNo,_xlpm.colNo),
IF(ISNUMBER(_xlpm.val),_xlpm.val*$H51,""))</f>
        <v/>
      </c>
      <c r="K51" s="6" t="str">
        <f>_xlfn.LET(
_xlpm.rowNo, MATCH($C51&amp;"|"&amp;
($F51+K$4),Raw_Fund!$A:$A,0),
_xlpm.colNo,
MATCH(K$3,Raw_Fund!$E$1:$AZ$1,0),
_xlpm.val,
INDEX(Raw_Fund!$E:$AZ,_xlpm.rowNo,_xlpm.colNo),
IF(ISNUMBER(_xlpm.val),_xlpm.val*$H51,""))</f>
        <v/>
      </c>
      <c r="L51" s="6" t="str">
        <f>_xlfn.LET(
_xlpm.rowNo, MATCH($C51&amp;"|"&amp;
($F51+L$4),Raw_Fund!$A:$A,0),
_xlpm.colNo,
MATCH(L$3,Raw_Fund!$E$1:$AZ$1,0),
_xlpm.val,
INDEX(Raw_Fund!$E:$AZ,_xlpm.rowNo,_xlpm.colNo),
IF(ISNUMBER(_xlpm.val),_xlpm.val*$H51,""))</f>
        <v/>
      </c>
      <c r="M51" s="6" t="str">
        <f>_xlfn.LET(
_xlpm.rowNo, MATCH($C51&amp;"|"&amp;
($F51+M$4),Raw_Fund!$A:$A,0),
_xlpm.colNo,
MATCH(M$3,Raw_Fund!$E$1:$AZ$1,0),
_xlpm.val,
INDEX(Raw_Fund!$E:$AZ,_xlpm.rowNo,_xlpm.colNo),
IF(ISNUMBER(_xlpm.val),_xlpm.val*$H51,""))</f>
        <v/>
      </c>
      <c r="N51" s="6" t="str">
        <f>_xlfn.LET(
_xlpm.rowNo, MATCH($C51&amp;"|"&amp;
($F51+N$4),Raw_Fund!$A:$A,0),
_xlpm.colNo,
MATCH(N$3,Raw_Fund!$E$1:$AZ$1,0),
_xlpm.val,
INDEX(Raw_Fund!$E:$AZ,_xlpm.rowNo,_xlpm.colNo),
IF(ISNUMBER(_xlpm.val),_xlpm.val*$H51,""))</f>
        <v/>
      </c>
      <c r="O51" s="6" t="str">
        <f>_xlfn.LET(
_xlpm.rowNo, MATCH($C51&amp;"|"&amp;
($F51+O$4),Raw_Fund!$A:$A,0),
_xlpm.colNo,
MATCH(O$3,Raw_Fund!$E$1:$AZ$1,0),
_xlpm.val,
INDEX(Raw_Fund!$E:$AZ,_xlpm.rowNo,_xlpm.colNo),
IF(ISNUMBER(_xlpm.val),_xlpm.val*$H51,""))</f>
        <v/>
      </c>
      <c r="P51" s="6" t="str">
        <f>_xlfn.LET(
_xlpm.rowNo, MATCH($C51&amp;"|"&amp;
($F51+P$4),Raw_Fund!$A:$A,0),
_xlpm.colNo,
MATCH(P$3,Raw_Fund!$E$1:$AZ$1,0),
_xlpm.val,
INDEX(Raw_Fund!$E:$AZ,_xlpm.rowNo,_xlpm.colNo),
IF(ISNUMBER(_xlpm.val),_xlpm.val*$H51,""))</f>
        <v/>
      </c>
      <c r="Q51" s="6" t="str">
        <f>_xlfn.LET(
_xlpm.rowNo, MATCH($C51&amp;"|"&amp;
($F51+Q$4),Raw_Fund!$A:$A,0),
_xlpm.colNo,
MATCH(Q$3,Raw_Fund!$E$1:$AZ$1,0),
_xlpm.val,
INDEX(Raw_Fund!$E:$AZ,_xlpm.rowNo,_xlpm.colNo),
IF(ISNUMBER(_xlpm.val),_xlpm.val*$H51,""))</f>
        <v/>
      </c>
      <c r="R51" s="6" t="str">
        <f>_xlfn.LET(
_xlpm.rowNo, MATCH($C51&amp;"|"&amp;
($F51+R$4),Raw_Fund!$A:$A,0),
_xlpm.colNo,
MATCH(R$3,Raw_Fund!$E$1:$AZ$1,0),
_xlpm.val,
INDEX(Raw_Fund!$E:$AZ,_xlpm.rowNo,_xlpm.colNo),
IF(ISNUMBER(_xlpm.val),_xlpm.val*$H51,""))</f>
        <v/>
      </c>
      <c r="S51" s="6" t="str">
        <f>_xlfn.LET(
_xlpm.rowNo, MATCH($C51&amp;"|"&amp;
($F51+S$4),Raw_Fund!$A:$A,0),
_xlpm.colNo,
MATCH(S$3,Raw_Fund!$E$1:$AZ$1,0),
_xlpm.val,
INDEX(Raw_Fund!$E:$AZ,_xlpm.rowNo,_xlpm.colNo),
IF(ISNUMBER(_xlpm.val),_xlpm.val*$H51,""))</f>
        <v/>
      </c>
      <c r="T51" s="6" t="str">
        <f>_xlfn.LET(
_xlpm.rowNo, MATCH($C51&amp;"|"&amp;
($F51+T$4),Raw_Fund!$A:$A,0),
_xlpm.colNo,
MATCH(T$3,Raw_Fund!$E$1:$AZ$1,0),
_xlpm.val,
INDEX(Raw_Fund!$E:$AZ,_xlpm.rowNo,_xlpm.colNo),
IF(ISNUMBER(_xlpm.val),_xlpm.val*$H51,""))</f>
        <v/>
      </c>
      <c r="U51" s="6" t="str">
        <f>_xlfn.LET(
_xlpm.rowNo, MATCH($C51&amp;"|"&amp;
($F51+U$4),Raw_Fund!$A:$A,0),
_xlpm.colNo,
MATCH(U$3,Raw_Fund!$E$1:$AZ$1,0),
_xlpm.val,
INDEX(Raw_Fund!$E:$AZ,_xlpm.rowNo,_xlpm.colNo),
IF(ISNUMBER(_xlpm.val),_xlpm.val*$H51,""))</f>
        <v/>
      </c>
      <c r="V51" s="6" t="str">
        <f>_xlfn.LET(
_xlpm.rowNo, MATCH($C51&amp;"|"&amp;
($F51+V$4),Raw_Fund!$A:$A,0),
_xlpm.colNo,
MATCH(V$3,Raw_Fund!$E$1:$AZ$1,0),
_xlpm.val,
INDEX(Raw_Fund!$E:$AZ,_xlpm.rowNo,_xlpm.colNo),
IF(ISNUMBER(_xlpm.val),_xlpm.val*$H51,""))</f>
        <v/>
      </c>
      <c r="W51" s="6" t="str">
        <f>_xlfn.LET(
_xlpm.rowNo, MATCH($C51&amp;"|"&amp;
($F51+W$4),Raw_Fund!$A:$A,0),
_xlpm.colNo,
MATCH(W$3,Raw_Fund!$E$1:$AZ$1,0),
_xlpm.val,
INDEX(Raw_Fund!$E:$AZ,_xlpm.rowNo,_xlpm.colNo),
IF(ISNUMBER(_xlpm.val),_xlpm.val*$H51,""))</f>
        <v/>
      </c>
      <c r="X51" s="6" t="str">
        <f>_xlfn.LET(
_xlpm.rowNo, MATCH($C51&amp;"|"&amp;
($F51+X$4),Raw_Fund!$A:$A,0),
_xlpm.colNo,
MATCH(X$3,Raw_Fund!$E$1:$AZ$1,0),
_xlpm.val,
INDEX(Raw_Fund!$E:$AZ,_xlpm.rowNo,_xlpm.colNo),
IF(ISNUMBER(_xlpm.val),_xlpm.val*$H51,""))</f>
        <v/>
      </c>
      <c r="Y51" s="6" t="str">
        <f>_xlfn.LET(
_xlpm.rowNo, MATCH($C51&amp;"|"&amp;
($F51+Y$4),Raw_Fund!$A:$A,0),
_xlpm.colNo,
MATCH(Y$3,Raw_Fund!$E$1:$AZ$1,0),
_xlpm.val,
INDEX(Raw_Fund!$E:$AZ,_xlpm.rowNo,_xlpm.colNo),
IF(ISNUMBER(_xlpm.val),_xlpm.val*$H51,""))</f>
        <v/>
      </c>
      <c r="Z51" s="6" t="str">
        <f>IF($E51&lt;&gt;"Include","",_xlfn.XLOOKUP($C51,Raw_Mkt!$A:$A,Raw_Mkt!$B:$B))</f>
        <v/>
      </c>
    </row>
    <row r="52" spans="1:26" x14ac:dyDescent="0.4">
      <c r="A52" t="str">
        <f>IF(Universe!A52&lt;&gt;"",Universe!A52,"")</f>
        <v>CMCX</v>
      </c>
      <c r="B52" t="str">
        <f>IF(Universe!B52&lt;&gt;"",Universe!B52,"")</f>
        <v>CMC Markets</v>
      </c>
      <c r="C52" t="str">
        <f>IF(Universe!C52&lt;&gt;"",Universe!C52,"")</f>
        <v>GB00B14SKR37</v>
      </c>
      <c r="D52" t="str">
        <f>IF(Universe!D52&lt;&gt;"",Universe!D52,"")</f>
        <v>Financials</v>
      </c>
      <c r="E52" t="str">
        <f>Universe!G52</f>
        <v>Exclude</v>
      </c>
      <c r="F52" t="str">
        <f>IF($E52&lt;&gt;"Include","",_xlfn.LET(_xlpm.latest,_xlfn.MAXIFS(Raw_Fund!$C:$C,Raw_Fund!$B:$B,Data!$C52),IF(_xlpm.latest=0,"",_xlpm.latest)))</f>
        <v/>
      </c>
      <c r="G52" t="str">
        <f>IF($F52="","",INDEX(Raw_Fund!$E:$AZ,MATCH($C52&amp;"|"&amp;$F52,Raw_Fund!$A:$A,0),MATCH(G$3,Raw_Fund!$E$1:$AZ$1,0)))</f>
        <v/>
      </c>
      <c r="H52" t="str">
        <f t="shared" si="0"/>
        <v/>
      </c>
      <c r="I52" s="6" t="str">
        <f>_xlfn.LET(
_xlpm.rowNo, MATCH($C52&amp;"|"&amp;
($F52+I$4),Raw_Fund!$A:$A,0),
_xlpm.colNo,
MATCH(I$3,Raw_Fund!$E$1:$AZ$1,0),
_xlpm.val,
INDEX(Raw_Fund!$E:$AZ,_xlpm.rowNo,_xlpm.colNo),
IF(ISNUMBER(_xlpm.val),_xlpm.val*$H52,""))</f>
        <v/>
      </c>
      <c r="J52" s="6" t="str">
        <f>_xlfn.LET(
_xlpm.rowNo, MATCH($C52&amp;"|"&amp;
($F52+J$4),Raw_Fund!$A:$A,0),
_xlpm.colNo,
MATCH(J$3,Raw_Fund!$E$1:$AZ$1,0),
_xlpm.val,
INDEX(Raw_Fund!$E:$AZ,_xlpm.rowNo,_xlpm.colNo),
IF(ISNUMBER(_xlpm.val),_xlpm.val*$H52,""))</f>
        <v/>
      </c>
      <c r="K52" s="6" t="str">
        <f>_xlfn.LET(
_xlpm.rowNo, MATCH($C52&amp;"|"&amp;
($F52+K$4),Raw_Fund!$A:$A,0),
_xlpm.colNo,
MATCH(K$3,Raw_Fund!$E$1:$AZ$1,0),
_xlpm.val,
INDEX(Raw_Fund!$E:$AZ,_xlpm.rowNo,_xlpm.colNo),
IF(ISNUMBER(_xlpm.val),_xlpm.val*$H52,""))</f>
        <v/>
      </c>
      <c r="L52" s="6" t="str">
        <f>_xlfn.LET(
_xlpm.rowNo, MATCH($C52&amp;"|"&amp;
($F52+L$4),Raw_Fund!$A:$A,0),
_xlpm.colNo,
MATCH(L$3,Raw_Fund!$E$1:$AZ$1,0),
_xlpm.val,
INDEX(Raw_Fund!$E:$AZ,_xlpm.rowNo,_xlpm.colNo),
IF(ISNUMBER(_xlpm.val),_xlpm.val*$H52,""))</f>
        <v/>
      </c>
      <c r="M52" s="6" t="str">
        <f>_xlfn.LET(
_xlpm.rowNo, MATCH($C52&amp;"|"&amp;
($F52+M$4),Raw_Fund!$A:$A,0),
_xlpm.colNo,
MATCH(M$3,Raw_Fund!$E$1:$AZ$1,0),
_xlpm.val,
INDEX(Raw_Fund!$E:$AZ,_xlpm.rowNo,_xlpm.colNo),
IF(ISNUMBER(_xlpm.val),_xlpm.val*$H52,""))</f>
        <v/>
      </c>
      <c r="N52" s="6" t="str">
        <f>_xlfn.LET(
_xlpm.rowNo, MATCH($C52&amp;"|"&amp;
($F52+N$4),Raw_Fund!$A:$A,0),
_xlpm.colNo,
MATCH(N$3,Raw_Fund!$E$1:$AZ$1,0),
_xlpm.val,
INDEX(Raw_Fund!$E:$AZ,_xlpm.rowNo,_xlpm.colNo),
IF(ISNUMBER(_xlpm.val),_xlpm.val*$H52,""))</f>
        <v/>
      </c>
      <c r="O52" s="6" t="str">
        <f>_xlfn.LET(
_xlpm.rowNo, MATCH($C52&amp;"|"&amp;
($F52+O$4),Raw_Fund!$A:$A,0),
_xlpm.colNo,
MATCH(O$3,Raw_Fund!$E$1:$AZ$1,0),
_xlpm.val,
INDEX(Raw_Fund!$E:$AZ,_xlpm.rowNo,_xlpm.colNo),
IF(ISNUMBER(_xlpm.val),_xlpm.val*$H52,""))</f>
        <v/>
      </c>
      <c r="P52" s="6" t="str">
        <f>_xlfn.LET(
_xlpm.rowNo, MATCH($C52&amp;"|"&amp;
($F52+P$4),Raw_Fund!$A:$A,0),
_xlpm.colNo,
MATCH(P$3,Raw_Fund!$E$1:$AZ$1,0),
_xlpm.val,
INDEX(Raw_Fund!$E:$AZ,_xlpm.rowNo,_xlpm.colNo),
IF(ISNUMBER(_xlpm.val),_xlpm.val*$H52,""))</f>
        <v/>
      </c>
      <c r="Q52" s="6" t="str">
        <f>_xlfn.LET(
_xlpm.rowNo, MATCH($C52&amp;"|"&amp;
($F52+Q$4),Raw_Fund!$A:$A,0),
_xlpm.colNo,
MATCH(Q$3,Raw_Fund!$E$1:$AZ$1,0),
_xlpm.val,
INDEX(Raw_Fund!$E:$AZ,_xlpm.rowNo,_xlpm.colNo),
IF(ISNUMBER(_xlpm.val),_xlpm.val*$H52,""))</f>
        <v/>
      </c>
      <c r="R52" s="6" t="str">
        <f>_xlfn.LET(
_xlpm.rowNo, MATCH($C52&amp;"|"&amp;
($F52+R$4),Raw_Fund!$A:$A,0),
_xlpm.colNo,
MATCH(R$3,Raw_Fund!$E$1:$AZ$1,0),
_xlpm.val,
INDEX(Raw_Fund!$E:$AZ,_xlpm.rowNo,_xlpm.colNo),
IF(ISNUMBER(_xlpm.val),_xlpm.val*$H52,""))</f>
        <v/>
      </c>
      <c r="S52" s="6" t="str">
        <f>_xlfn.LET(
_xlpm.rowNo, MATCH($C52&amp;"|"&amp;
($F52+S$4),Raw_Fund!$A:$A,0),
_xlpm.colNo,
MATCH(S$3,Raw_Fund!$E$1:$AZ$1,0),
_xlpm.val,
INDEX(Raw_Fund!$E:$AZ,_xlpm.rowNo,_xlpm.colNo),
IF(ISNUMBER(_xlpm.val),_xlpm.val*$H52,""))</f>
        <v/>
      </c>
      <c r="T52" s="6" t="str">
        <f>_xlfn.LET(
_xlpm.rowNo, MATCH($C52&amp;"|"&amp;
($F52+T$4),Raw_Fund!$A:$A,0),
_xlpm.colNo,
MATCH(T$3,Raw_Fund!$E$1:$AZ$1,0),
_xlpm.val,
INDEX(Raw_Fund!$E:$AZ,_xlpm.rowNo,_xlpm.colNo),
IF(ISNUMBER(_xlpm.val),_xlpm.val*$H52,""))</f>
        <v/>
      </c>
      <c r="U52" s="6" t="str">
        <f>_xlfn.LET(
_xlpm.rowNo, MATCH($C52&amp;"|"&amp;
($F52+U$4),Raw_Fund!$A:$A,0),
_xlpm.colNo,
MATCH(U$3,Raw_Fund!$E$1:$AZ$1,0),
_xlpm.val,
INDEX(Raw_Fund!$E:$AZ,_xlpm.rowNo,_xlpm.colNo),
IF(ISNUMBER(_xlpm.val),_xlpm.val*$H52,""))</f>
        <v/>
      </c>
      <c r="V52" s="6" t="str">
        <f>_xlfn.LET(
_xlpm.rowNo, MATCH($C52&amp;"|"&amp;
($F52+V$4),Raw_Fund!$A:$A,0),
_xlpm.colNo,
MATCH(V$3,Raw_Fund!$E$1:$AZ$1,0),
_xlpm.val,
INDEX(Raw_Fund!$E:$AZ,_xlpm.rowNo,_xlpm.colNo),
IF(ISNUMBER(_xlpm.val),_xlpm.val*$H52,""))</f>
        <v/>
      </c>
      <c r="W52" s="6" t="str">
        <f>_xlfn.LET(
_xlpm.rowNo, MATCH($C52&amp;"|"&amp;
($F52+W$4),Raw_Fund!$A:$A,0),
_xlpm.colNo,
MATCH(W$3,Raw_Fund!$E$1:$AZ$1,0),
_xlpm.val,
INDEX(Raw_Fund!$E:$AZ,_xlpm.rowNo,_xlpm.colNo),
IF(ISNUMBER(_xlpm.val),_xlpm.val*$H52,""))</f>
        <v/>
      </c>
      <c r="X52" s="6" t="str">
        <f>_xlfn.LET(
_xlpm.rowNo, MATCH($C52&amp;"|"&amp;
($F52+X$4),Raw_Fund!$A:$A,0),
_xlpm.colNo,
MATCH(X$3,Raw_Fund!$E$1:$AZ$1,0),
_xlpm.val,
INDEX(Raw_Fund!$E:$AZ,_xlpm.rowNo,_xlpm.colNo),
IF(ISNUMBER(_xlpm.val),_xlpm.val*$H52,""))</f>
        <v/>
      </c>
      <c r="Y52" s="6" t="str">
        <f>_xlfn.LET(
_xlpm.rowNo, MATCH($C52&amp;"|"&amp;
($F52+Y$4),Raw_Fund!$A:$A,0),
_xlpm.colNo,
MATCH(Y$3,Raw_Fund!$E$1:$AZ$1,0),
_xlpm.val,
INDEX(Raw_Fund!$E:$AZ,_xlpm.rowNo,_xlpm.colNo),
IF(ISNUMBER(_xlpm.val),_xlpm.val*$H52,""))</f>
        <v/>
      </c>
      <c r="Z52" s="6" t="str">
        <f>IF($E52&lt;&gt;"Include","",_xlfn.XLOOKUP($C52,Raw_Mkt!$A:$A,Raw_Mkt!$B:$B))</f>
        <v/>
      </c>
    </row>
    <row r="53" spans="1:26" x14ac:dyDescent="0.4">
      <c r="A53" t="str">
        <f>IF(Universe!A53&lt;&gt;"",Universe!A53,"")</f>
        <v>COA</v>
      </c>
      <c r="B53" t="str">
        <f>IF(Universe!B53&lt;&gt;"",Universe!B53,"")</f>
        <v>Coats Group</v>
      </c>
      <c r="C53" t="str">
        <f>IF(Universe!C53&lt;&gt;"",Universe!C53,"")</f>
        <v>GB00B4YZN328</v>
      </c>
      <c r="D53" t="str">
        <f>IF(Universe!D53&lt;&gt;"",Universe!D53,"")</f>
        <v>Industrials</v>
      </c>
      <c r="E53" t="str">
        <f>Universe!G53</f>
        <v>Include</v>
      </c>
      <c r="F53" t="str">
        <f>IF($E53&lt;&gt;"Include","",_xlfn.LET(_xlpm.latest,_xlfn.MAXIFS(Raw_Fund!$C:$C,Raw_Fund!$B:$B,Data!$C53),IF(_xlpm.latest=0,"",_xlpm.latest)))</f>
        <v/>
      </c>
      <c r="G53" t="str">
        <f>IF($F53="","",INDEX(Raw_Fund!$E:$AZ,MATCH($C53&amp;"|"&amp;$F53,Raw_Fund!$A:$A,0),MATCH(G$3,Raw_Fund!$E$1:$AZ$1,0)))</f>
        <v/>
      </c>
      <c r="H53" t="str">
        <f t="shared" si="0"/>
        <v/>
      </c>
      <c r="I53" s="6" t="str">
        <f>_xlfn.LET(
_xlpm.rowNo, MATCH($C53&amp;"|"&amp;
($F53+I$4),Raw_Fund!$A:$A,0),
_xlpm.colNo,
MATCH(I$3,Raw_Fund!$E$1:$AZ$1,0),
_xlpm.val,
INDEX(Raw_Fund!$E:$AZ,_xlpm.rowNo,_xlpm.colNo),
IF(ISNUMBER(_xlpm.val),_xlpm.val*$H53,""))</f>
        <v/>
      </c>
      <c r="J53" s="6" t="str">
        <f>_xlfn.LET(
_xlpm.rowNo, MATCH($C53&amp;"|"&amp;
($F53+J$4),Raw_Fund!$A:$A,0),
_xlpm.colNo,
MATCH(J$3,Raw_Fund!$E$1:$AZ$1,0),
_xlpm.val,
INDEX(Raw_Fund!$E:$AZ,_xlpm.rowNo,_xlpm.colNo),
IF(ISNUMBER(_xlpm.val),_xlpm.val*$H53,""))</f>
        <v/>
      </c>
      <c r="K53" s="6" t="str">
        <f>_xlfn.LET(
_xlpm.rowNo, MATCH($C53&amp;"|"&amp;
($F53+K$4),Raw_Fund!$A:$A,0),
_xlpm.colNo,
MATCH(K$3,Raw_Fund!$E$1:$AZ$1,0),
_xlpm.val,
INDEX(Raw_Fund!$E:$AZ,_xlpm.rowNo,_xlpm.colNo),
IF(ISNUMBER(_xlpm.val),_xlpm.val*$H53,""))</f>
        <v/>
      </c>
      <c r="L53" s="6" t="str">
        <f>_xlfn.LET(
_xlpm.rowNo, MATCH($C53&amp;"|"&amp;
($F53+L$4),Raw_Fund!$A:$A,0),
_xlpm.colNo,
MATCH(L$3,Raw_Fund!$E$1:$AZ$1,0),
_xlpm.val,
INDEX(Raw_Fund!$E:$AZ,_xlpm.rowNo,_xlpm.colNo),
IF(ISNUMBER(_xlpm.val),_xlpm.val*$H53,""))</f>
        <v/>
      </c>
      <c r="M53" s="6" t="str">
        <f>_xlfn.LET(
_xlpm.rowNo, MATCH($C53&amp;"|"&amp;
($F53+M$4),Raw_Fund!$A:$A,0),
_xlpm.colNo,
MATCH(M$3,Raw_Fund!$E$1:$AZ$1,0),
_xlpm.val,
INDEX(Raw_Fund!$E:$AZ,_xlpm.rowNo,_xlpm.colNo),
IF(ISNUMBER(_xlpm.val),_xlpm.val*$H53,""))</f>
        <v/>
      </c>
      <c r="N53" s="6" t="str">
        <f>_xlfn.LET(
_xlpm.rowNo, MATCH($C53&amp;"|"&amp;
($F53+N$4),Raw_Fund!$A:$A,0),
_xlpm.colNo,
MATCH(N$3,Raw_Fund!$E$1:$AZ$1,0),
_xlpm.val,
INDEX(Raw_Fund!$E:$AZ,_xlpm.rowNo,_xlpm.colNo),
IF(ISNUMBER(_xlpm.val),_xlpm.val*$H53,""))</f>
        <v/>
      </c>
      <c r="O53" s="6" t="str">
        <f>_xlfn.LET(
_xlpm.rowNo, MATCH($C53&amp;"|"&amp;
($F53+O$4),Raw_Fund!$A:$A,0),
_xlpm.colNo,
MATCH(O$3,Raw_Fund!$E$1:$AZ$1,0),
_xlpm.val,
INDEX(Raw_Fund!$E:$AZ,_xlpm.rowNo,_xlpm.colNo),
IF(ISNUMBER(_xlpm.val),_xlpm.val*$H53,""))</f>
        <v/>
      </c>
      <c r="P53" s="6" t="str">
        <f>_xlfn.LET(
_xlpm.rowNo, MATCH($C53&amp;"|"&amp;
($F53+P$4),Raw_Fund!$A:$A,0),
_xlpm.colNo,
MATCH(P$3,Raw_Fund!$E$1:$AZ$1,0),
_xlpm.val,
INDEX(Raw_Fund!$E:$AZ,_xlpm.rowNo,_xlpm.colNo),
IF(ISNUMBER(_xlpm.val),_xlpm.val*$H53,""))</f>
        <v/>
      </c>
      <c r="Q53" s="6" t="str">
        <f>_xlfn.LET(
_xlpm.rowNo, MATCH($C53&amp;"|"&amp;
($F53+Q$4),Raw_Fund!$A:$A,0),
_xlpm.colNo,
MATCH(Q$3,Raw_Fund!$E$1:$AZ$1,0),
_xlpm.val,
INDEX(Raw_Fund!$E:$AZ,_xlpm.rowNo,_xlpm.colNo),
IF(ISNUMBER(_xlpm.val),_xlpm.val*$H53,""))</f>
        <v/>
      </c>
      <c r="R53" s="6" t="str">
        <f>_xlfn.LET(
_xlpm.rowNo, MATCH($C53&amp;"|"&amp;
($F53+R$4),Raw_Fund!$A:$A,0),
_xlpm.colNo,
MATCH(R$3,Raw_Fund!$E$1:$AZ$1,0),
_xlpm.val,
INDEX(Raw_Fund!$E:$AZ,_xlpm.rowNo,_xlpm.colNo),
IF(ISNUMBER(_xlpm.val),_xlpm.val*$H53,""))</f>
        <v/>
      </c>
      <c r="S53" s="6" t="str">
        <f>_xlfn.LET(
_xlpm.rowNo, MATCH($C53&amp;"|"&amp;
($F53+S$4),Raw_Fund!$A:$A,0),
_xlpm.colNo,
MATCH(S$3,Raw_Fund!$E$1:$AZ$1,0),
_xlpm.val,
INDEX(Raw_Fund!$E:$AZ,_xlpm.rowNo,_xlpm.colNo),
IF(ISNUMBER(_xlpm.val),_xlpm.val*$H53,""))</f>
        <v/>
      </c>
      <c r="T53" s="6" t="str">
        <f>_xlfn.LET(
_xlpm.rowNo, MATCH($C53&amp;"|"&amp;
($F53+T$4),Raw_Fund!$A:$A,0),
_xlpm.colNo,
MATCH(T$3,Raw_Fund!$E$1:$AZ$1,0),
_xlpm.val,
INDEX(Raw_Fund!$E:$AZ,_xlpm.rowNo,_xlpm.colNo),
IF(ISNUMBER(_xlpm.val),_xlpm.val*$H53,""))</f>
        <v/>
      </c>
      <c r="U53" s="6" t="str">
        <f>_xlfn.LET(
_xlpm.rowNo, MATCH($C53&amp;"|"&amp;
($F53+U$4),Raw_Fund!$A:$A,0),
_xlpm.colNo,
MATCH(U$3,Raw_Fund!$E$1:$AZ$1,0),
_xlpm.val,
INDEX(Raw_Fund!$E:$AZ,_xlpm.rowNo,_xlpm.colNo),
IF(ISNUMBER(_xlpm.val),_xlpm.val*$H53,""))</f>
        <v/>
      </c>
      <c r="V53" s="6" t="str">
        <f>_xlfn.LET(
_xlpm.rowNo, MATCH($C53&amp;"|"&amp;
($F53+V$4),Raw_Fund!$A:$A,0),
_xlpm.colNo,
MATCH(V$3,Raw_Fund!$E$1:$AZ$1,0),
_xlpm.val,
INDEX(Raw_Fund!$E:$AZ,_xlpm.rowNo,_xlpm.colNo),
IF(ISNUMBER(_xlpm.val),_xlpm.val*$H53,""))</f>
        <v/>
      </c>
      <c r="W53" s="6" t="str">
        <f>_xlfn.LET(
_xlpm.rowNo, MATCH($C53&amp;"|"&amp;
($F53+W$4),Raw_Fund!$A:$A,0),
_xlpm.colNo,
MATCH(W$3,Raw_Fund!$E$1:$AZ$1,0),
_xlpm.val,
INDEX(Raw_Fund!$E:$AZ,_xlpm.rowNo,_xlpm.colNo),
IF(ISNUMBER(_xlpm.val),_xlpm.val*$H53,""))</f>
        <v/>
      </c>
      <c r="X53" s="6" t="str">
        <f>_xlfn.LET(
_xlpm.rowNo, MATCH($C53&amp;"|"&amp;
($F53+X$4),Raw_Fund!$A:$A,0),
_xlpm.colNo,
MATCH(X$3,Raw_Fund!$E$1:$AZ$1,0),
_xlpm.val,
INDEX(Raw_Fund!$E:$AZ,_xlpm.rowNo,_xlpm.colNo),
IF(ISNUMBER(_xlpm.val),_xlpm.val*$H53,""))</f>
        <v/>
      </c>
      <c r="Y53" s="6" t="str">
        <f>_xlfn.LET(
_xlpm.rowNo, MATCH($C53&amp;"|"&amp;
($F53+Y$4),Raw_Fund!$A:$A,0),
_xlpm.colNo,
MATCH(Y$3,Raw_Fund!$E$1:$AZ$1,0),
_xlpm.val,
INDEX(Raw_Fund!$E:$AZ,_xlpm.rowNo,_xlpm.colNo),
IF(ISNUMBER(_xlpm.val),_xlpm.val*$H53,""))</f>
        <v/>
      </c>
      <c r="Z53" s="6" t="e">
        <f>IF($E53&lt;&gt;"Include","",_xlfn.XLOOKUP($C53,Raw_Mkt!$A:$A,Raw_Mkt!$B:$B))</f>
        <v>#N/A</v>
      </c>
    </row>
    <row r="54" spans="1:26" x14ac:dyDescent="0.4">
      <c r="A54" t="str">
        <f>IF(Universe!A54&lt;&gt;"",Universe!A54,"")</f>
        <v>CORD</v>
      </c>
      <c r="B54" t="str">
        <f>IF(Universe!B54&lt;&gt;"",Universe!B54,"")</f>
        <v>Cordiant Digital Infrastructure</v>
      </c>
      <c r="C54" t="str">
        <f>IF(Universe!C54&lt;&gt;"",Universe!C54,"")</f>
        <v>GG00BMC7TM77</v>
      </c>
      <c r="D54" t="str">
        <f>IF(Universe!D54&lt;&gt;"",Universe!D54,"")</f>
        <v>Financials</v>
      </c>
      <c r="E54" t="str">
        <f>Universe!G54</f>
        <v>Exclude</v>
      </c>
      <c r="F54" t="str">
        <f>IF($E54&lt;&gt;"Include","",_xlfn.LET(_xlpm.latest,_xlfn.MAXIFS(Raw_Fund!$C:$C,Raw_Fund!$B:$B,Data!$C54),IF(_xlpm.latest=0,"",_xlpm.latest)))</f>
        <v/>
      </c>
      <c r="G54" t="str">
        <f>IF($F54="","",INDEX(Raw_Fund!$E:$AZ,MATCH($C54&amp;"|"&amp;$F54,Raw_Fund!$A:$A,0),MATCH(G$3,Raw_Fund!$E$1:$AZ$1,0)))</f>
        <v/>
      </c>
      <c r="H54" t="str">
        <f t="shared" si="0"/>
        <v/>
      </c>
      <c r="I54" s="6" t="str">
        <f>_xlfn.LET(
_xlpm.rowNo, MATCH($C54&amp;"|"&amp;
($F54+I$4),Raw_Fund!$A:$A,0),
_xlpm.colNo,
MATCH(I$3,Raw_Fund!$E$1:$AZ$1,0),
_xlpm.val,
INDEX(Raw_Fund!$E:$AZ,_xlpm.rowNo,_xlpm.colNo),
IF(ISNUMBER(_xlpm.val),_xlpm.val*$H54,""))</f>
        <v/>
      </c>
      <c r="J54" s="6" t="str">
        <f>_xlfn.LET(
_xlpm.rowNo, MATCH($C54&amp;"|"&amp;
($F54+J$4),Raw_Fund!$A:$A,0),
_xlpm.colNo,
MATCH(J$3,Raw_Fund!$E$1:$AZ$1,0),
_xlpm.val,
INDEX(Raw_Fund!$E:$AZ,_xlpm.rowNo,_xlpm.colNo),
IF(ISNUMBER(_xlpm.val),_xlpm.val*$H54,""))</f>
        <v/>
      </c>
      <c r="K54" s="6" t="str">
        <f>_xlfn.LET(
_xlpm.rowNo, MATCH($C54&amp;"|"&amp;
($F54+K$4),Raw_Fund!$A:$A,0),
_xlpm.colNo,
MATCH(K$3,Raw_Fund!$E$1:$AZ$1,0),
_xlpm.val,
INDEX(Raw_Fund!$E:$AZ,_xlpm.rowNo,_xlpm.colNo),
IF(ISNUMBER(_xlpm.val),_xlpm.val*$H54,""))</f>
        <v/>
      </c>
      <c r="L54" s="6" t="str">
        <f>_xlfn.LET(
_xlpm.rowNo, MATCH($C54&amp;"|"&amp;
($F54+L$4),Raw_Fund!$A:$A,0),
_xlpm.colNo,
MATCH(L$3,Raw_Fund!$E$1:$AZ$1,0),
_xlpm.val,
INDEX(Raw_Fund!$E:$AZ,_xlpm.rowNo,_xlpm.colNo),
IF(ISNUMBER(_xlpm.val),_xlpm.val*$H54,""))</f>
        <v/>
      </c>
      <c r="M54" s="6" t="str">
        <f>_xlfn.LET(
_xlpm.rowNo, MATCH($C54&amp;"|"&amp;
($F54+M$4),Raw_Fund!$A:$A,0),
_xlpm.colNo,
MATCH(M$3,Raw_Fund!$E$1:$AZ$1,0),
_xlpm.val,
INDEX(Raw_Fund!$E:$AZ,_xlpm.rowNo,_xlpm.colNo),
IF(ISNUMBER(_xlpm.val),_xlpm.val*$H54,""))</f>
        <v/>
      </c>
      <c r="N54" s="6" t="str">
        <f>_xlfn.LET(
_xlpm.rowNo, MATCH($C54&amp;"|"&amp;
($F54+N$4),Raw_Fund!$A:$A,0),
_xlpm.colNo,
MATCH(N$3,Raw_Fund!$E$1:$AZ$1,0),
_xlpm.val,
INDEX(Raw_Fund!$E:$AZ,_xlpm.rowNo,_xlpm.colNo),
IF(ISNUMBER(_xlpm.val),_xlpm.val*$H54,""))</f>
        <v/>
      </c>
      <c r="O54" s="6" t="str">
        <f>_xlfn.LET(
_xlpm.rowNo, MATCH($C54&amp;"|"&amp;
($F54+O$4),Raw_Fund!$A:$A,0),
_xlpm.colNo,
MATCH(O$3,Raw_Fund!$E$1:$AZ$1,0),
_xlpm.val,
INDEX(Raw_Fund!$E:$AZ,_xlpm.rowNo,_xlpm.colNo),
IF(ISNUMBER(_xlpm.val),_xlpm.val*$H54,""))</f>
        <v/>
      </c>
      <c r="P54" s="6" t="str">
        <f>_xlfn.LET(
_xlpm.rowNo, MATCH($C54&amp;"|"&amp;
($F54+P$4),Raw_Fund!$A:$A,0),
_xlpm.colNo,
MATCH(P$3,Raw_Fund!$E$1:$AZ$1,0),
_xlpm.val,
INDEX(Raw_Fund!$E:$AZ,_xlpm.rowNo,_xlpm.colNo),
IF(ISNUMBER(_xlpm.val),_xlpm.val*$H54,""))</f>
        <v/>
      </c>
      <c r="Q54" s="6" t="str">
        <f>_xlfn.LET(
_xlpm.rowNo, MATCH($C54&amp;"|"&amp;
($F54+Q$4),Raw_Fund!$A:$A,0),
_xlpm.colNo,
MATCH(Q$3,Raw_Fund!$E$1:$AZ$1,0),
_xlpm.val,
INDEX(Raw_Fund!$E:$AZ,_xlpm.rowNo,_xlpm.colNo),
IF(ISNUMBER(_xlpm.val),_xlpm.val*$H54,""))</f>
        <v/>
      </c>
      <c r="R54" s="6" t="str">
        <f>_xlfn.LET(
_xlpm.rowNo, MATCH($C54&amp;"|"&amp;
($F54+R$4),Raw_Fund!$A:$A,0),
_xlpm.colNo,
MATCH(R$3,Raw_Fund!$E$1:$AZ$1,0),
_xlpm.val,
INDEX(Raw_Fund!$E:$AZ,_xlpm.rowNo,_xlpm.colNo),
IF(ISNUMBER(_xlpm.val),_xlpm.val*$H54,""))</f>
        <v/>
      </c>
      <c r="S54" s="6" t="str">
        <f>_xlfn.LET(
_xlpm.rowNo, MATCH($C54&amp;"|"&amp;
($F54+S$4),Raw_Fund!$A:$A,0),
_xlpm.colNo,
MATCH(S$3,Raw_Fund!$E$1:$AZ$1,0),
_xlpm.val,
INDEX(Raw_Fund!$E:$AZ,_xlpm.rowNo,_xlpm.colNo),
IF(ISNUMBER(_xlpm.val),_xlpm.val*$H54,""))</f>
        <v/>
      </c>
      <c r="T54" s="6" t="str">
        <f>_xlfn.LET(
_xlpm.rowNo, MATCH($C54&amp;"|"&amp;
($F54+T$4),Raw_Fund!$A:$A,0),
_xlpm.colNo,
MATCH(T$3,Raw_Fund!$E$1:$AZ$1,0),
_xlpm.val,
INDEX(Raw_Fund!$E:$AZ,_xlpm.rowNo,_xlpm.colNo),
IF(ISNUMBER(_xlpm.val),_xlpm.val*$H54,""))</f>
        <v/>
      </c>
      <c r="U54" s="6" t="str">
        <f>_xlfn.LET(
_xlpm.rowNo, MATCH($C54&amp;"|"&amp;
($F54+U$4),Raw_Fund!$A:$A,0),
_xlpm.colNo,
MATCH(U$3,Raw_Fund!$E$1:$AZ$1,0),
_xlpm.val,
INDEX(Raw_Fund!$E:$AZ,_xlpm.rowNo,_xlpm.colNo),
IF(ISNUMBER(_xlpm.val),_xlpm.val*$H54,""))</f>
        <v/>
      </c>
      <c r="V54" s="6" t="str">
        <f>_xlfn.LET(
_xlpm.rowNo, MATCH($C54&amp;"|"&amp;
($F54+V$4),Raw_Fund!$A:$A,0),
_xlpm.colNo,
MATCH(V$3,Raw_Fund!$E$1:$AZ$1,0),
_xlpm.val,
INDEX(Raw_Fund!$E:$AZ,_xlpm.rowNo,_xlpm.colNo),
IF(ISNUMBER(_xlpm.val),_xlpm.val*$H54,""))</f>
        <v/>
      </c>
      <c r="W54" s="6" t="str">
        <f>_xlfn.LET(
_xlpm.rowNo, MATCH($C54&amp;"|"&amp;
($F54+W$4),Raw_Fund!$A:$A,0),
_xlpm.colNo,
MATCH(W$3,Raw_Fund!$E$1:$AZ$1,0),
_xlpm.val,
INDEX(Raw_Fund!$E:$AZ,_xlpm.rowNo,_xlpm.colNo),
IF(ISNUMBER(_xlpm.val),_xlpm.val*$H54,""))</f>
        <v/>
      </c>
      <c r="X54" s="6" t="str">
        <f>_xlfn.LET(
_xlpm.rowNo, MATCH($C54&amp;"|"&amp;
($F54+X$4),Raw_Fund!$A:$A,0),
_xlpm.colNo,
MATCH(X$3,Raw_Fund!$E$1:$AZ$1,0),
_xlpm.val,
INDEX(Raw_Fund!$E:$AZ,_xlpm.rowNo,_xlpm.colNo),
IF(ISNUMBER(_xlpm.val),_xlpm.val*$H54,""))</f>
        <v/>
      </c>
      <c r="Y54" s="6" t="str">
        <f>_xlfn.LET(
_xlpm.rowNo, MATCH($C54&amp;"|"&amp;
($F54+Y$4),Raw_Fund!$A:$A,0),
_xlpm.colNo,
MATCH(Y$3,Raw_Fund!$E$1:$AZ$1,0),
_xlpm.val,
INDEX(Raw_Fund!$E:$AZ,_xlpm.rowNo,_xlpm.colNo),
IF(ISNUMBER(_xlpm.val),_xlpm.val*$H54,""))</f>
        <v/>
      </c>
      <c r="Z54" s="6" t="str">
        <f>IF($E54&lt;&gt;"Include","",_xlfn.XLOOKUP($C54,Raw_Mkt!$A:$A,Raw_Mkt!$B:$B))</f>
        <v/>
      </c>
    </row>
    <row r="55" spans="1:26" x14ac:dyDescent="0.4">
      <c r="A55" t="str">
        <f>IF(Universe!A55&lt;&gt;"",Universe!A55,"")</f>
        <v>COST</v>
      </c>
      <c r="B55" t="str">
        <f>IF(Universe!B55&lt;&gt;"",Universe!B55,"")</f>
        <v>Costain Group</v>
      </c>
      <c r="C55" t="str">
        <f>IF(Universe!C55&lt;&gt;"",Universe!C55,"")</f>
        <v>GB00B64NSP76</v>
      </c>
      <c r="D55" t="str">
        <f>IF(Universe!D55&lt;&gt;"",Universe!D55,"")</f>
        <v>Industrials</v>
      </c>
      <c r="E55" t="str">
        <f>Universe!G55</f>
        <v>Include</v>
      </c>
      <c r="F55" t="str">
        <f>IF($E55&lt;&gt;"Include","",_xlfn.LET(_xlpm.latest,_xlfn.MAXIFS(Raw_Fund!$C:$C,Raw_Fund!$B:$B,Data!$C55),IF(_xlpm.latest=0,"",_xlpm.latest)))</f>
        <v/>
      </c>
      <c r="G55" t="str">
        <f>IF($F55="","",INDEX(Raw_Fund!$E:$AZ,MATCH($C55&amp;"|"&amp;$F55,Raw_Fund!$A:$A,0),MATCH(G$3,Raw_Fund!$E$1:$AZ$1,0)))</f>
        <v/>
      </c>
      <c r="H55" t="str">
        <f t="shared" si="0"/>
        <v/>
      </c>
      <c r="I55" s="6" t="str">
        <f>_xlfn.LET(
_xlpm.rowNo, MATCH($C55&amp;"|"&amp;
($F55+I$4),Raw_Fund!$A:$A,0),
_xlpm.colNo,
MATCH(I$3,Raw_Fund!$E$1:$AZ$1,0),
_xlpm.val,
INDEX(Raw_Fund!$E:$AZ,_xlpm.rowNo,_xlpm.colNo),
IF(ISNUMBER(_xlpm.val),_xlpm.val*$H55,""))</f>
        <v/>
      </c>
      <c r="J55" s="6" t="str">
        <f>_xlfn.LET(
_xlpm.rowNo, MATCH($C55&amp;"|"&amp;
($F55+J$4),Raw_Fund!$A:$A,0),
_xlpm.colNo,
MATCH(J$3,Raw_Fund!$E$1:$AZ$1,0),
_xlpm.val,
INDEX(Raw_Fund!$E:$AZ,_xlpm.rowNo,_xlpm.colNo),
IF(ISNUMBER(_xlpm.val),_xlpm.val*$H55,""))</f>
        <v/>
      </c>
      <c r="K55" s="6" t="str">
        <f>_xlfn.LET(
_xlpm.rowNo, MATCH($C55&amp;"|"&amp;
($F55+K$4),Raw_Fund!$A:$A,0),
_xlpm.colNo,
MATCH(K$3,Raw_Fund!$E$1:$AZ$1,0),
_xlpm.val,
INDEX(Raw_Fund!$E:$AZ,_xlpm.rowNo,_xlpm.colNo),
IF(ISNUMBER(_xlpm.val),_xlpm.val*$H55,""))</f>
        <v/>
      </c>
      <c r="L55" s="6" t="str">
        <f>_xlfn.LET(
_xlpm.rowNo, MATCH($C55&amp;"|"&amp;
($F55+L$4),Raw_Fund!$A:$A,0),
_xlpm.colNo,
MATCH(L$3,Raw_Fund!$E$1:$AZ$1,0),
_xlpm.val,
INDEX(Raw_Fund!$E:$AZ,_xlpm.rowNo,_xlpm.colNo),
IF(ISNUMBER(_xlpm.val),_xlpm.val*$H55,""))</f>
        <v/>
      </c>
      <c r="M55" s="6" t="str">
        <f>_xlfn.LET(
_xlpm.rowNo, MATCH($C55&amp;"|"&amp;
($F55+M$4),Raw_Fund!$A:$A,0),
_xlpm.colNo,
MATCH(M$3,Raw_Fund!$E$1:$AZ$1,0),
_xlpm.val,
INDEX(Raw_Fund!$E:$AZ,_xlpm.rowNo,_xlpm.colNo),
IF(ISNUMBER(_xlpm.val),_xlpm.val*$H55,""))</f>
        <v/>
      </c>
      <c r="N55" s="6" t="str">
        <f>_xlfn.LET(
_xlpm.rowNo, MATCH($C55&amp;"|"&amp;
($F55+N$4),Raw_Fund!$A:$A,0),
_xlpm.colNo,
MATCH(N$3,Raw_Fund!$E$1:$AZ$1,0),
_xlpm.val,
INDEX(Raw_Fund!$E:$AZ,_xlpm.rowNo,_xlpm.colNo),
IF(ISNUMBER(_xlpm.val),_xlpm.val*$H55,""))</f>
        <v/>
      </c>
      <c r="O55" s="6" t="str">
        <f>_xlfn.LET(
_xlpm.rowNo, MATCH($C55&amp;"|"&amp;
($F55+O$4),Raw_Fund!$A:$A,0),
_xlpm.colNo,
MATCH(O$3,Raw_Fund!$E$1:$AZ$1,0),
_xlpm.val,
INDEX(Raw_Fund!$E:$AZ,_xlpm.rowNo,_xlpm.colNo),
IF(ISNUMBER(_xlpm.val),_xlpm.val*$H55,""))</f>
        <v/>
      </c>
      <c r="P55" s="6" t="str">
        <f>_xlfn.LET(
_xlpm.rowNo, MATCH($C55&amp;"|"&amp;
($F55+P$4),Raw_Fund!$A:$A,0),
_xlpm.colNo,
MATCH(P$3,Raw_Fund!$E$1:$AZ$1,0),
_xlpm.val,
INDEX(Raw_Fund!$E:$AZ,_xlpm.rowNo,_xlpm.colNo),
IF(ISNUMBER(_xlpm.val),_xlpm.val*$H55,""))</f>
        <v/>
      </c>
      <c r="Q55" s="6" t="str">
        <f>_xlfn.LET(
_xlpm.rowNo, MATCH($C55&amp;"|"&amp;
($F55+Q$4),Raw_Fund!$A:$A,0),
_xlpm.colNo,
MATCH(Q$3,Raw_Fund!$E$1:$AZ$1,0),
_xlpm.val,
INDEX(Raw_Fund!$E:$AZ,_xlpm.rowNo,_xlpm.colNo),
IF(ISNUMBER(_xlpm.val),_xlpm.val*$H55,""))</f>
        <v/>
      </c>
      <c r="R55" s="6" t="str">
        <f>_xlfn.LET(
_xlpm.rowNo, MATCH($C55&amp;"|"&amp;
($F55+R$4),Raw_Fund!$A:$A,0),
_xlpm.colNo,
MATCH(R$3,Raw_Fund!$E$1:$AZ$1,0),
_xlpm.val,
INDEX(Raw_Fund!$E:$AZ,_xlpm.rowNo,_xlpm.colNo),
IF(ISNUMBER(_xlpm.val),_xlpm.val*$H55,""))</f>
        <v/>
      </c>
      <c r="S55" s="6" t="str">
        <f>_xlfn.LET(
_xlpm.rowNo, MATCH($C55&amp;"|"&amp;
($F55+S$4),Raw_Fund!$A:$A,0),
_xlpm.colNo,
MATCH(S$3,Raw_Fund!$E$1:$AZ$1,0),
_xlpm.val,
INDEX(Raw_Fund!$E:$AZ,_xlpm.rowNo,_xlpm.colNo),
IF(ISNUMBER(_xlpm.val),_xlpm.val*$H55,""))</f>
        <v/>
      </c>
      <c r="T55" s="6" t="str">
        <f>_xlfn.LET(
_xlpm.rowNo, MATCH($C55&amp;"|"&amp;
($F55+T$4),Raw_Fund!$A:$A,0),
_xlpm.colNo,
MATCH(T$3,Raw_Fund!$E$1:$AZ$1,0),
_xlpm.val,
INDEX(Raw_Fund!$E:$AZ,_xlpm.rowNo,_xlpm.colNo),
IF(ISNUMBER(_xlpm.val),_xlpm.val*$H55,""))</f>
        <v/>
      </c>
      <c r="U55" s="6" t="str">
        <f>_xlfn.LET(
_xlpm.rowNo, MATCH($C55&amp;"|"&amp;
($F55+U$4),Raw_Fund!$A:$A,0),
_xlpm.colNo,
MATCH(U$3,Raw_Fund!$E$1:$AZ$1,0),
_xlpm.val,
INDEX(Raw_Fund!$E:$AZ,_xlpm.rowNo,_xlpm.colNo),
IF(ISNUMBER(_xlpm.val),_xlpm.val*$H55,""))</f>
        <v/>
      </c>
      <c r="V55" s="6" t="str">
        <f>_xlfn.LET(
_xlpm.rowNo, MATCH($C55&amp;"|"&amp;
($F55+V$4),Raw_Fund!$A:$A,0),
_xlpm.colNo,
MATCH(V$3,Raw_Fund!$E$1:$AZ$1,0),
_xlpm.val,
INDEX(Raw_Fund!$E:$AZ,_xlpm.rowNo,_xlpm.colNo),
IF(ISNUMBER(_xlpm.val),_xlpm.val*$H55,""))</f>
        <v/>
      </c>
      <c r="W55" s="6" t="str">
        <f>_xlfn.LET(
_xlpm.rowNo, MATCH($C55&amp;"|"&amp;
($F55+W$4),Raw_Fund!$A:$A,0),
_xlpm.colNo,
MATCH(W$3,Raw_Fund!$E$1:$AZ$1,0),
_xlpm.val,
INDEX(Raw_Fund!$E:$AZ,_xlpm.rowNo,_xlpm.colNo),
IF(ISNUMBER(_xlpm.val),_xlpm.val*$H55,""))</f>
        <v/>
      </c>
      <c r="X55" s="6" t="str">
        <f>_xlfn.LET(
_xlpm.rowNo, MATCH($C55&amp;"|"&amp;
($F55+X$4),Raw_Fund!$A:$A,0),
_xlpm.colNo,
MATCH(X$3,Raw_Fund!$E$1:$AZ$1,0),
_xlpm.val,
INDEX(Raw_Fund!$E:$AZ,_xlpm.rowNo,_xlpm.colNo),
IF(ISNUMBER(_xlpm.val),_xlpm.val*$H55,""))</f>
        <v/>
      </c>
      <c r="Y55" s="6" t="str">
        <f>_xlfn.LET(
_xlpm.rowNo, MATCH($C55&amp;"|"&amp;
($F55+Y$4),Raw_Fund!$A:$A,0),
_xlpm.colNo,
MATCH(Y$3,Raw_Fund!$E$1:$AZ$1,0),
_xlpm.val,
INDEX(Raw_Fund!$E:$AZ,_xlpm.rowNo,_xlpm.colNo),
IF(ISNUMBER(_xlpm.val),_xlpm.val*$H55,""))</f>
        <v/>
      </c>
      <c r="Z55" s="6" t="e">
        <f>IF($E55&lt;&gt;"Include","",_xlfn.XLOOKUP($C55,Raw_Mkt!$A:$A,Raw_Mkt!$B:$B))</f>
        <v>#N/A</v>
      </c>
    </row>
    <row r="56" spans="1:26" x14ac:dyDescent="0.4">
      <c r="A56" t="str">
        <f>IF(Universe!A56&lt;&gt;"",Universe!A56,"")</f>
        <v>CWK</v>
      </c>
      <c r="B56" t="str">
        <f>IF(Universe!B56&lt;&gt;"",Universe!B56,"")</f>
        <v>Cranswick</v>
      </c>
      <c r="C56" t="str">
        <f>IF(Universe!C56&lt;&gt;"",Universe!C56,"")</f>
        <v>GB0002318888</v>
      </c>
      <c r="D56" t="str">
        <f>IF(Universe!D56&lt;&gt;"",Universe!D56,"")</f>
        <v>Consumer Staples</v>
      </c>
      <c r="E56" t="str">
        <f>Universe!G56</f>
        <v>Include</v>
      </c>
      <c r="F56" t="str">
        <f>IF($E56&lt;&gt;"Include","",_xlfn.LET(_xlpm.latest,_xlfn.MAXIFS(Raw_Fund!$C:$C,Raw_Fund!$B:$B,Data!$C56),IF(_xlpm.latest=0,"",_xlpm.latest)))</f>
        <v/>
      </c>
      <c r="G56" t="str">
        <f>IF($F56="","",INDEX(Raw_Fund!$E:$AZ,MATCH($C56&amp;"|"&amp;$F56,Raw_Fund!$A:$A,0),MATCH(G$3,Raw_Fund!$E$1:$AZ$1,0)))</f>
        <v/>
      </c>
      <c r="H56" t="str">
        <f t="shared" si="0"/>
        <v/>
      </c>
      <c r="I56" s="6" t="str">
        <f>_xlfn.LET(
_xlpm.rowNo, MATCH($C56&amp;"|"&amp;
($F56+I$4),Raw_Fund!$A:$A,0),
_xlpm.colNo,
MATCH(I$3,Raw_Fund!$E$1:$AZ$1,0),
_xlpm.val,
INDEX(Raw_Fund!$E:$AZ,_xlpm.rowNo,_xlpm.colNo),
IF(ISNUMBER(_xlpm.val),_xlpm.val*$H56,""))</f>
        <v/>
      </c>
      <c r="J56" s="6" t="str">
        <f>_xlfn.LET(
_xlpm.rowNo, MATCH($C56&amp;"|"&amp;
($F56+J$4),Raw_Fund!$A:$A,0),
_xlpm.colNo,
MATCH(J$3,Raw_Fund!$E$1:$AZ$1,0),
_xlpm.val,
INDEX(Raw_Fund!$E:$AZ,_xlpm.rowNo,_xlpm.colNo),
IF(ISNUMBER(_xlpm.val),_xlpm.val*$H56,""))</f>
        <v/>
      </c>
      <c r="K56" s="6" t="str">
        <f>_xlfn.LET(
_xlpm.rowNo, MATCH($C56&amp;"|"&amp;
($F56+K$4),Raw_Fund!$A:$A,0),
_xlpm.colNo,
MATCH(K$3,Raw_Fund!$E$1:$AZ$1,0),
_xlpm.val,
INDEX(Raw_Fund!$E:$AZ,_xlpm.rowNo,_xlpm.colNo),
IF(ISNUMBER(_xlpm.val),_xlpm.val*$H56,""))</f>
        <v/>
      </c>
      <c r="L56" s="6" t="str">
        <f>_xlfn.LET(
_xlpm.rowNo, MATCH($C56&amp;"|"&amp;
($F56+L$4),Raw_Fund!$A:$A,0),
_xlpm.colNo,
MATCH(L$3,Raw_Fund!$E$1:$AZ$1,0),
_xlpm.val,
INDEX(Raw_Fund!$E:$AZ,_xlpm.rowNo,_xlpm.colNo),
IF(ISNUMBER(_xlpm.val),_xlpm.val*$H56,""))</f>
        <v/>
      </c>
      <c r="M56" s="6" t="str">
        <f>_xlfn.LET(
_xlpm.rowNo, MATCH($C56&amp;"|"&amp;
($F56+M$4),Raw_Fund!$A:$A,0),
_xlpm.colNo,
MATCH(M$3,Raw_Fund!$E$1:$AZ$1,0),
_xlpm.val,
INDEX(Raw_Fund!$E:$AZ,_xlpm.rowNo,_xlpm.colNo),
IF(ISNUMBER(_xlpm.val),_xlpm.val*$H56,""))</f>
        <v/>
      </c>
      <c r="N56" s="6" t="str">
        <f>_xlfn.LET(
_xlpm.rowNo, MATCH($C56&amp;"|"&amp;
($F56+N$4),Raw_Fund!$A:$A,0),
_xlpm.colNo,
MATCH(N$3,Raw_Fund!$E$1:$AZ$1,0),
_xlpm.val,
INDEX(Raw_Fund!$E:$AZ,_xlpm.rowNo,_xlpm.colNo),
IF(ISNUMBER(_xlpm.val),_xlpm.val*$H56,""))</f>
        <v/>
      </c>
      <c r="O56" s="6" t="str">
        <f>_xlfn.LET(
_xlpm.rowNo, MATCH($C56&amp;"|"&amp;
($F56+O$4),Raw_Fund!$A:$A,0),
_xlpm.colNo,
MATCH(O$3,Raw_Fund!$E$1:$AZ$1,0),
_xlpm.val,
INDEX(Raw_Fund!$E:$AZ,_xlpm.rowNo,_xlpm.colNo),
IF(ISNUMBER(_xlpm.val),_xlpm.val*$H56,""))</f>
        <v/>
      </c>
      <c r="P56" s="6" t="str">
        <f>_xlfn.LET(
_xlpm.rowNo, MATCH($C56&amp;"|"&amp;
($F56+P$4),Raw_Fund!$A:$A,0),
_xlpm.colNo,
MATCH(P$3,Raw_Fund!$E$1:$AZ$1,0),
_xlpm.val,
INDEX(Raw_Fund!$E:$AZ,_xlpm.rowNo,_xlpm.colNo),
IF(ISNUMBER(_xlpm.val),_xlpm.val*$H56,""))</f>
        <v/>
      </c>
      <c r="Q56" s="6" t="str">
        <f>_xlfn.LET(
_xlpm.rowNo, MATCH($C56&amp;"|"&amp;
($F56+Q$4),Raw_Fund!$A:$A,0),
_xlpm.colNo,
MATCH(Q$3,Raw_Fund!$E$1:$AZ$1,0),
_xlpm.val,
INDEX(Raw_Fund!$E:$AZ,_xlpm.rowNo,_xlpm.colNo),
IF(ISNUMBER(_xlpm.val),_xlpm.val*$H56,""))</f>
        <v/>
      </c>
      <c r="R56" s="6" t="str">
        <f>_xlfn.LET(
_xlpm.rowNo, MATCH($C56&amp;"|"&amp;
($F56+R$4),Raw_Fund!$A:$A,0),
_xlpm.colNo,
MATCH(R$3,Raw_Fund!$E$1:$AZ$1,0),
_xlpm.val,
INDEX(Raw_Fund!$E:$AZ,_xlpm.rowNo,_xlpm.colNo),
IF(ISNUMBER(_xlpm.val),_xlpm.val*$H56,""))</f>
        <v/>
      </c>
      <c r="S56" s="6" t="str">
        <f>_xlfn.LET(
_xlpm.rowNo, MATCH($C56&amp;"|"&amp;
($F56+S$4),Raw_Fund!$A:$A,0),
_xlpm.colNo,
MATCH(S$3,Raw_Fund!$E$1:$AZ$1,0),
_xlpm.val,
INDEX(Raw_Fund!$E:$AZ,_xlpm.rowNo,_xlpm.colNo),
IF(ISNUMBER(_xlpm.val),_xlpm.val*$H56,""))</f>
        <v/>
      </c>
      <c r="T56" s="6" t="str">
        <f>_xlfn.LET(
_xlpm.rowNo, MATCH($C56&amp;"|"&amp;
($F56+T$4),Raw_Fund!$A:$A,0),
_xlpm.colNo,
MATCH(T$3,Raw_Fund!$E$1:$AZ$1,0),
_xlpm.val,
INDEX(Raw_Fund!$E:$AZ,_xlpm.rowNo,_xlpm.colNo),
IF(ISNUMBER(_xlpm.val),_xlpm.val*$H56,""))</f>
        <v/>
      </c>
      <c r="U56" s="6" t="str">
        <f>_xlfn.LET(
_xlpm.rowNo, MATCH($C56&amp;"|"&amp;
($F56+U$4),Raw_Fund!$A:$A,0),
_xlpm.colNo,
MATCH(U$3,Raw_Fund!$E$1:$AZ$1,0),
_xlpm.val,
INDEX(Raw_Fund!$E:$AZ,_xlpm.rowNo,_xlpm.colNo),
IF(ISNUMBER(_xlpm.val),_xlpm.val*$H56,""))</f>
        <v/>
      </c>
      <c r="V56" s="6" t="str">
        <f>_xlfn.LET(
_xlpm.rowNo, MATCH($C56&amp;"|"&amp;
($F56+V$4),Raw_Fund!$A:$A,0),
_xlpm.colNo,
MATCH(V$3,Raw_Fund!$E$1:$AZ$1,0),
_xlpm.val,
INDEX(Raw_Fund!$E:$AZ,_xlpm.rowNo,_xlpm.colNo),
IF(ISNUMBER(_xlpm.val),_xlpm.val*$H56,""))</f>
        <v/>
      </c>
      <c r="W56" s="6" t="str">
        <f>_xlfn.LET(
_xlpm.rowNo, MATCH($C56&amp;"|"&amp;
($F56+W$4),Raw_Fund!$A:$A,0),
_xlpm.colNo,
MATCH(W$3,Raw_Fund!$E$1:$AZ$1,0),
_xlpm.val,
INDEX(Raw_Fund!$E:$AZ,_xlpm.rowNo,_xlpm.colNo),
IF(ISNUMBER(_xlpm.val),_xlpm.val*$H56,""))</f>
        <v/>
      </c>
      <c r="X56" s="6" t="str">
        <f>_xlfn.LET(
_xlpm.rowNo, MATCH($C56&amp;"|"&amp;
($F56+X$4),Raw_Fund!$A:$A,0),
_xlpm.colNo,
MATCH(X$3,Raw_Fund!$E$1:$AZ$1,0),
_xlpm.val,
INDEX(Raw_Fund!$E:$AZ,_xlpm.rowNo,_xlpm.colNo),
IF(ISNUMBER(_xlpm.val),_xlpm.val*$H56,""))</f>
        <v/>
      </c>
      <c r="Y56" s="6" t="str">
        <f>_xlfn.LET(
_xlpm.rowNo, MATCH($C56&amp;"|"&amp;
($F56+Y$4),Raw_Fund!$A:$A,0),
_xlpm.colNo,
MATCH(Y$3,Raw_Fund!$E$1:$AZ$1,0),
_xlpm.val,
INDEX(Raw_Fund!$E:$AZ,_xlpm.rowNo,_xlpm.colNo),
IF(ISNUMBER(_xlpm.val),_xlpm.val*$H56,""))</f>
        <v/>
      </c>
      <c r="Z56" s="6" t="e">
        <f>IF($E56&lt;&gt;"Include","",_xlfn.XLOOKUP($C56,Raw_Mkt!$A:$A,Raw_Mkt!$B:$B))</f>
        <v>#N/A</v>
      </c>
    </row>
    <row r="57" spans="1:26" x14ac:dyDescent="0.4">
      <c r="A57" t="str">
        <f>IF(Universe!A57&lt;&gt;"",Universe!A57,"")</f>
        <v>CURY</v>
      </c>
      <c r="B57" t="str">
        <f>IF(Universe!B57&lt;&gt;"",Universe!B57,"")</f>
        <v>Currys</v>
      </c>
      <c r="C57" t="str">
        <f>IF(Universe!C57&lt;&gt;"",Universe!C57,"")</f>
        <v>GB00B4Y7R145</v>
      </c>
      <c r="D57" t="str">
        <f>IF(Universe!D57&lt;&gt;"",Universe!D57,"")</f>
        <v>Consumer Discretionary</v>
      </c>
      <c r="E57" t="str">
        <f>Universe!G57</f>
        <v>Include</v>
      </c>
      <c r="F57" t="str">
        <f>IF($E57&lt;&gt;"Include","",_xlfn.LET(_xlpm.latest,_xlfn.MAXIFS(Raw_Fund!$C:$C,Raw_Fund!$B:$B,Data!$C57),IF(_xlpm.latest=0,"",_xlpm.latest)))</f>
        <v/>
      </c>
      <c r="G57" t="str">
        <f>IF($F57="","",INDEX(Raw_Fund!$E:$AZ,MATCH($C57&amp;"|"&amp;$F57,Raw_Fund!$A:$A,0),MATCH(G$3,Raw_Fund!$E$1:$AZ$1,0)))</f>
        <v/>
      </c>
      <c r="H57" t="str">
        <f t="shared" si="0"/>
        <v/>
      </c>
      <c r="I57" s="6" t="str">
        <f>_xlfn.LET(
_xlpm.rowNo, MATCH($C57&amp;"|"&amp;
($F57+I$4),Raw_Fund!$A:$A,0),
_xlpm.colNo,
MATCH(I$3,Raw_Fund!$E$1:$AZ$1,0),
_xlpm.val,
INDEX(Raw_Fund!$E:$AZ,_xlpm.rowNo,_xlpm.colNo),
IF(ISNUMBER(_xlpm.val),_xlpm.val*$H57,""))</f>
        <v/>
      </c>
      <c r="J57" s="6" t="str">
        <f>_xlfn.LET(
_xlpm.rowNo, MATCH($C57&amp;"|"&amp;
($F57+J$4),Raw_Fund!$A:$A,0),
_xlpm.colNo,
MATCH(J$3,Raw_Fund!$E$1:$AZ$1,0),
_xlpm.val,
INDEX(Raw_Fund!$E:$AZ,_xlpm.rowNo,_xlpm.colNo),
IF(ISNUMBER(_xlpm.val),_xlpm.val*$H57,""))</f>
        <v/>
      </c>
      <c r="K57" s="6" t="str">
        <f>_xlfn.LET(
_xlpm.rowNo, MATCH($C57&amp;"|"&amp;
($F57+K$4),Raw_Fund!$A:$A,0),
_xlpm.colNo,
MATCH(K$3,Raw_Fund!$E$1:$AZ$1,0),
_xlpm.val,
INDEX(Raw_Fund!$E:$AZ,_xlpm.rowNo,_xlpm.colNo),
IF(ISNUMBER(_xlpm.val),_xlpm.val*$H57,""))</f>
        <v/>
      </c>
      <c r="L57" s="6" t="str">
        <f>_xlfn.LET(
_xlpm.rowNo, MATCH($C57&amp;"|"&amp;
($F57+L$4),Raw_Fund!$A:$A,0),
_xlpm.colNo,
MATCH(L$3,Raw_Fund!$E$1:$AZ$1,0),
_xlpm.val,
INDEX(Raw_Fund!$E:$AZ,_xlpm.rowNo,_xlpm.colNo),
IF(ISNUMBER(_xlpm.val),_xlpm.val*$H57,""))</f>
        <v/>
      </c>
      <c r="M57" s="6" t="str">
        <f>_xlfn.LET(
_xlpm.rowNo, MATCH($C57&amp;"|"&amp;
($F57+M$4),Raw_Fund!$A:$A,0),
_xlpm.colNo,
MATCH(M$3,Raw_Fund!$E$1:$AZ$1,0),
_xlpm.val,
INDEX(Raw_Fund!$E:$AZ,_xlpm.rowNo,_xlpm.colNo),
IF(ISNUMBER(_xlpm.val),_xlpm.val*$H57,""))</f>
        <v/>
      </c>
      <c r="N57" s="6" t="str">
        <f>_xlfn.LET(
_xlpm.rowNo, MATCH($C57&amp;"|"&amp;
($F57+N$4),Raw_Fund!$A:$A,0),
_xlpm.colNo,
MATCH(N$3,Raw_Fund!$E$1:$AZ$1,0),
_xlpm.val,
INDEX(Raw_Fund!$E:$AZ,_xlpm.rowNo,_xlpm.colNo),
IF(ISNUMBER(_xlpm.val),_xlpm.val*$H57,""))</f>
        <v/>
      </c>
      <c r="O57" s="6" t="str">
        <f>_xlfn.LET(
_xlpm.rowNo, MATCH($C57&amp;"|"&amp;
($F57+O$4),Raw_Fund!$A:$A,0),
_xlpm.colNo,
MATCH(O$3,Raw_Fund!$E$1:$AZ$1,0),
_xlpm.val,
INDEX(Raw_Fund!$E:$AZ,_xlpm.rowNo,_xlpm.colNo),
IF(ISNUMBER(_xlpm.val),_xlpm.val*$H57,""))</f>
        <v/>
      </c>
      <c r="P57" s="6" t="str">
        <f>_xlfn.LET(
_xlpm.rowNo, MATCH($C57&amp;"|"&amp;
($F57+P$4),Raw_Fund!$A:$A,0),
_xlpm.colNo,
MATCH(P$3,Raw_Fund!$E$1:$AZ$1,0),
_xlpm.val,
INDEX(Raw_Fund!$E:$AZ,_xlpm.rowNo,_xlpm.colNo),
IF(ISNUMBER(_xlpm.val),_xlpm.val*$H57,""))</f>
        <v/>
      </c>
      <c r="Q57" s="6" t="str">
        <f>_xlfn.LET(
_xlpm.rowNo, MATCH($C57&amp;"|"&amp;
($F57+Q$4),Raw_Fund!$A:$A,0),
_xlpm.colNo,
MATCH(Q$3,Raw_Fund!$E$1:$AZ$1,0),
_xlpm.val,
INDEX(Raw_Fund!$E:$AZ,_xlpm.rowNo,_xlpm.colNo),
IF(ISNUMBER(_xlpm.val),_xlpm.val*$H57,""))</f>
        <v/>
      </c>
      <c r="R57" s="6" t="str">
        <f>_xlfn.LET(
_xlpm.rowNo, MATCH($C57&amp;"|"&amp;
($F57+R$4),Raw_Fund!$A:$A,0),
_xlpm.colNo,
MATCH(R$3,Raw_Fund!$E$1:$AZ$1,0),
_xlpm.val,
INDEX(Raw_Fund!$E:$AZ,_xlpm.rowNo,_xlpm.colNo),
IF(ISNUMBER(_xlpm.val),_xlpm.val*$H57,""))</f>
        <v/>
      </c>
      <c r="S57" s="6" t="str">
        <f>_xlfn.LET(
_xlpm.rowNo, MATCH($C57&amp;"|"&amp;
($F57+S$4),Raw_Fund!$A:$A,0),
_xlpm.colNo,
MATCH(S$3,Raw_Fund!$E$1:$AZ$1,0),
_xlpm.val,
INDEX(Raw_Fund!$E:$AZ,_xlpm.rowNo,_xlpm.colNo),
IF(ISNUMBER(_xlpm.val),_xlpm.val*$H57,""))</f>
        <v/>
      </c>
      <c r="T57" s="6" t="str">
        <f>_xlfn.LET(
_xlpm.rowNo, MATCH($C57&amp;"|"&amp;
($F57+T$4),Raw_Fund!$A:$A,0),
_xlpm.colNo,
MATCH(T$3,Raw_Fund!$E$1:$AZ$1,0),
_xlpm.val,
INDEX(Raw_Fund!$E:$AZ,_xlpm.rowNo,_xlpm.colNo),
IF(ISNUMBER(_xlpm.val),_xlpm.val*$H57,""))</f>
        <v/>
      </c>
      <c r="U57" s="6" t="str">
        <f>_xlfn.LET(
_xlpm.rowNo, MATCH($C57&amp;"|"&amp;
($F57+U$4),Raw_Fund!$A:$A,0),
_xlpm.colNo,
MATCH(U$3,Raw_Fund!$E$1:$AZ$1,0),
_xlpm.val,
INDEX(Raw_Fund!$E:$AZ,_xlpm.rowNo,_xlpm.colNo),
IF(ISNUMBER(_xlpm.val),_xlpm.val*$H57,""))</f>
        <v/>
      </c>
      <c r="V57" s="6" t="str">
        <f>_xlfn.LET(
_xlpm.rowNo, MATCH($C57&amp;"|"&amp;
($F57+V$4),Raw_Fund!$A:$A,0),
_xlpm.colNo,
MATCH(V$3,Raw_Fund!$E$1:$AZ$1,0),
_xlpm.val,
INDEX(Raw_Fund!$E:$AZ,_xlpm.rowNo,_xlpm.colNo),
IF(ISNUMBER(_xlpm.val),_xlpm.val*$H57,""))</f>
        <v/>
      </c>
      <c r="W57" s="6" t="str">
        <f>_xlfn.LET(
_xlpm.rowNo, MATCH($C57&amp;"|"&amp;
($F57+W$4),Raw_Fund!$A:$A,0),
_xlpm.colNo,
MATCH(W$3,Raw_Fund!$E$1:$AZ$1,0),
_xlpm.val,
INDEX(Raw_Fund!$E:$AZ,_xlpm.rowNo,_xlpm.colNo),
IF(ISNUMBER(_xlpm.val),_xlpm.val*$H57,""))</f>
        <v/>
      </c>
      <c r="X57" s="6" t="str">
        <f>_xlfn.LET(
_xlpm.rowNo, MATCH($C57&amp;"|"&amp;
($F57+X$4),Raw_Fund!$A:$A,0),
_xlpm.colNo,
MATCH(X$3,Raw_Fund!$E$1:$AZ$1,0),
_xlpm.val,
INDEX(Raw_Fund!$E:$AZ,_xlpm.rowNo,_xlpm.colNo),
IF(ISNUMBER(_xlpm.val),_xlpm.val*$H57,""))</f>
        <v/>
      </c>
      <c r="Y57" s="6" t="str">
        <f>_xlfn.LET(
_xlpm.rowNo, MATCH($C57&amp;"|"&amp;
($F57+Y$4),Raw_Fund!$A:$A,0),
_xlpm.colNo,
MATCH(Y$3,Raw_Fund!$E$1:$AZ$1,0),
_xlpm.val,
INDEX(Raw_Fund!$E:$AZ,_xlpm.rowNo,_xlpm.colNo),
IF(ISNUMBER(_xlpm.val),_xlpm.val*$H57,""))</f>
        <v/>
      </c>
      <c r="Z57" s="6" t="e">
        <f>IF($E57&lt;&gt;"Include","",_xlfn.XLOOKUP($C57,Raw_Mkt!$A:$A,Raw_Mkt!$B:$B))</f>
        <v>#N/A</v>
      </c>
    </row>
    <row r="58" spans="1:26" x14ac:dyDescent="0.4">
      <c r="A58" t="str">
        <f>IF(Universe!A58&lt;&gt;"",Universe!A58,"")</f>
        <v>CVSG</v>
      </c>
      <c r="B58" t="str">
        <f>IF(Universe!B58&lt;&gt;"",Universe!B58,"")</f>
        <v>CVS Group</v>
      </c>
      <c r="C58" t="str">
        <f>IF(Universe!C58&lt;&gt;"",Universe!C58,"")</f>
        <v>GB00B2863827</v>
      </c>
      <c r="D58" t="str">
        <f>IF(Universe!D58&lt;&gt;"",Universe!D58,"")</f>
        <v>Health Care</v>
      </c>
      <c r="E58" t="str">
        <f>Universe!G58</f>
        <v>Include</v>
      </c>
      <c r="F58" t="str">
        <f>IF($E58&lt;&gt;"Include","",_xlfn.LET(_xlpm.latest,_xlfn.MAXIFS(Raw_Fund!$C:$C,Raw_Fund!$B:$B,Data!$C58),IF(_xlpm.latest=0,"",_xlpm.latest)))</f>
        <v/>
      </c>
      <c r="G58" t="str">
        <f>IF($F58="","",INDEX(Raw_Fund!$E:$AZ,MATCH($C58&amp;"|"&amp;$F58,Raw_Fund!$A:$A,0),MATCH(G$3,Raw_Fund!$E$1:$AZ$1,0)))</f>
        <v/>
      </c>
      <c r="H58" t="str">
        <f t="shared" si="0"/>
        <v/>
      </c>
      <c r="I58" s="6" t="str">
        <f>_xlfn.LET(
_xlpm.rowNo, MATCH($C58&amp;"|"&amp;
($F58+I$4),Raw_Fund!$A:$A,0),
_xlpm.colNo,
MATCH(I$3,Raw_Fund!$E$1:$AZ$1,0),
_xlpm.val,
INDEX(Raw_Fund!$E:$AZ,_xlpm.rowNo,_xlpm.colNo),
IF(ISNUMBER(_xlpm.val),_xlpm.val*$H58,""))</f>
        <v/>
      </c>
      <c r="J58" s="6" t="str">
        <f>_xlfn.LET(
_xlpm.rowNo, MATCH($C58&amp;"|"&amp;
($F58+J$4),Raw_Fund!$A:$A,0),
_xlpm.colNo,
MATCH(J$3,Raw_Fund!$E$1:$AZ$1,0),
_xlpm.val,
INDEX(Raw_Fund!$E:$AZ,_xlpm.rowNo,_xlpm.colNo),
IF(ISNUMBER(_xlpm.val),_xlpm.val*$H58,""))</f>
        <v/>
      </c>
      <c r="K58" s="6" t="str">
        <f>_xlfn.LET(
_xlpm.rowNo, MATCH($C58&amp;"|"&amp;
($F58+K$4),Raw_Fund!$A:$A,0),
_xlpm.colNo,
MATCH(K$3,Raw_Fund!$E$1:$AZ$1,0),
_xlpm.val,
INDEX(Raw_Fund!$E:$AZ,_xlpm.rowNo,_xlpm.colNo),
IF(ISNUMBER(_xlpm.val),_xlpm.val*$H58,""))</f>
        <v/>
      </c>
      <c r="L58" s="6" t="str">
        <f>_xlfn.LET(
_xlpm.rowNo, MATCH($C58&amp;"|"&amp;
($F58+L$4),Raw_Fund!$A:$A,0),
_xlpm.colNo,
MATCH(L$3,Raw_Fund!$E$1:$AZ$1,0),
_xlpm.val,
INDEX(Raw_Fund!$E:$AZ,_xlpm.rowNo,_xlpm.colNo),
IF(ISNUMBER(_xlpm.val),_xlpm.val*$H58,""))</f>
        <v/>
      </c>
      <c r="M58" s="6" t="str">
        <f>_xlfn.LET(
_xlpm.rowNo, MATCH($C58&amp;"|"&amp;
($F58+M$4),Raw_Fund!$A:$A,0),
_xlpm.colNo,
MATCH(M$3,Raw_Fund!$E$1:$AZ$1,0),
_xlpm.val,
INDEX(Raw_Fund!$E:$AZ,_xlpm.rowNo,_xlpm.colNo),
IF(ISNUMBER(_xlpm.val),_xlpm.val*$H58,""))</f>
        <v/>
      </c>
      <c r="N58" s="6" t="str">
        <f>_xlfn.LET(
_xlpm.rowNo, MATCH($C58&amp;"|"&amp;
($F58+N$4),Raw_Fund!$A:$A,0),
_xlpm.colNo,
MATCH(N$3,Raw_Fund!$E$1:$AZ$1,0),
_xlpm.val,
INDEX(Raw_Fund!$E:$AZ,_xlpm.rowNo,_xlpm.colNo),
IF(ISNUMBER(_xlpm.val),_xlpm.val*$H58,""))</f>
        <v/>
      </c>
      <c r="O58" s="6" t="str">
        <f>_xlfn.LET(
_xlpm.rowNo, MATCH($C58&amp;"|"&amp;
($F58+O$4),Raw_Fund!$A:$A,0),
_xlpm.colNo,
MATCH(O$3,Raw_Fund!$E$1:$AZ$1,0),
_xlpm.val,
INDEX(Raw_Fund!$E:$AZ,_xlpm.rowNo,_xlpm.colNo),
IF(ISNUMBER(_xlpm.val),_xlpm.val*$H58,""))</f>
        <v/>
      </c>
      <c r="P58" s="6" t="str">
        <f>_xlfn.LET(
_xlpm.rowNo, MATCH($C58&amp;"|"&amp;
($F58+P$4),Raw_Fund!$A:$A,0),
_xlpm.colNo,
MATCH(P$3,Raw_Fund!$E$1:$AZ$1,0),
_xlpm.val,
INDEX(Raw_Fund!$E:$AZ,_xlpm.rowNo,_xlpm.colNo),
IF(ISNUMBER(_xlpm.val),_xlpm.val*$H58,""))</f>
        <v/>
      </c>
      <c r="Q58" s="6" t="str">
        <f>_xlfn.LET(
_xlpm.rowNo, MATCH($C58&amp;"|"&amp;
($F58+Q$4),Raw_Fund!$A:$A,0),
_xlpm.colNo,
MATCH(Q$3,Raw_Fund!$E$1:$AZ$1,0),
_xlpm.val,
INDEX(Raw_Fund!$E:$AZ,_xlpm.rowNo,_xlpm.colNo),
IF(ISNUMBER(_xlpm.val),_xlpm.val*$H58,""))</f>
        <v/>
      </c>
      <c r="R58" s="6" t="str">
        <f>_xlfn.LET(
_xlpm.rowNo, MATCH($C58&amp;"|"&amp;
($F58+R$4),Raw_Fund!$A:$A,0),
_xlpm.colNo,
MATCH(R$3,Raw_Fund!$E$1:$AZ$1,0),
_xlpm.val,
INDEX(Raw_Fund!$E:$AZ,_xlpm.rowNo,_xlpm.colNo),
IF(ISNUMBER(_xlpm.val),_xlpm.val*$H58,""))</f>
        <v/>
      </c>
      <c r="S58" s="6" t="str">
        <f>_xlfn.LET(
_xlpm.rowNo, MATCH($C58&amp;"|"&amp;
($F58+S$4),Raw_Fund!$A:$A,0),
_xlpm.colNo,
MATCH(S$3,Raw_Fund!$E$1:$AZ$1,0),
_xlpm.val,
INDEX(Raw_Fund!$E:$AZ,_xlpm.rowNo,_xlpm.colNo),
IF(ISNUMBER(_xlpm.val),_xlpm.val*$H58,""))</f>
        <v/>
      </c>
      <c r="T58" s="6" t="str">
        <f>_xlfn.LET(
_xlpm.rowNo, MATCH($C58&amp;"|"&amp;
($F58+T$4),Raw_Fund!$A:$A,0),
_xlpm.colNo,
MATCH(T$3,Raw_Fund!$E$1:$AZ$1,0),
_xlpm.val,
INDEX(Raw_Fund!$E:$AZ,_xlpm.rowNo,_xlpm.colNo),
IF(ISNUMBER(_xlpm.val),_xlpm.val*$H58,""))</f>
        <v/>
      </c>
      <c r="U58" s="6" t="str">
        <f>_xlfn.LET(
_xlpm.rowNo, MATCH($C58&amp;"|"&amp;
($F58+U$4),Raw_Fund!$A:$A,0),
_xlpm.colNo,
MATCH(U$3,Raw_Fund!$E$1:$AZ$1,0),
_xlpm.val,
INDEX(Raw_Fund!$E:$AZ,_xlpm.rowNo,_xlpm.colNo),
IF(ISNUMBER(_xlpm.val),_xlpm.val*$H58,""))</f>
        <v/>
      </c>
      <c r="V58" s="6" t="str">
        <f>_xlfn.LET(
_xlpm.rowNo, MATCH($C58&amp;"|"&amp;
($F58+V$4),Raw_Fund!$A:$A,0),
_xlpm.colNo,
MATCH(V$3,Raw_Fund!$E$1:$AZ$1,0),
_xlpm.val,
INDEX(Raw_Fund!$E:$AZ,_xlpm.rowNo,_xlpm.colNo),
IF(ISNUMBER(_xlpm.val),_xlpm.val*$H58,""))</f>
        <v/>
      </c>
      <c r="W58" s="6" t="str">
        <f>_xlfn.LET(
_xlpm.rowNo, MATCH($C58&amp;"|"&amp;
($F58+W$4),Raw_Fund!$A:$A,0),
_xlpm.colNo,
MATCH(W$3,Raw_Fund!$E$1:$AZ$1,0),
_xlpm.val,
INDEX(Raw_Fund!$E:$AZ,_xlpm.rowNo,_xlpm.colNo),
IF(ISNUMBER(_xlpm.val),_xlpm.val*$H58,""))</f>
        <v/>
      </c>
      <c r="X58" s="6" t="str">
        <f>_xlfn.LET(
_xlpm.rowNo, MATCH($C58&amp;"|"&amp;
($F58+X$4),Raw_Fund!$A:$A,0),
_xlpm.colNo,
MATCH(X$3,Raw_Fund!$E$1:$AZ$1,0),
_xlpm.val,
INDEX(Raw_Fund!$E:$AZ,_xlpm.rowNo,_xlpm.colNo),
IF(ISNUMBER(_xlpm.val),_xlpm.val*$H58,""))</f>
        <v/>
      </c>
      <c r="Y58" s="6" t="str">
        <f>_xlfn.LET(
_xlpm.rowNo, MATCH($C58&amp;"|"&amp;
($F58+Y$4),Raw_Fund!$A:$A,0),
_xlpm.colNo,
MATCH(Y$3,Raw_Fund!$E$1:$AZ$1,0),
_xlpm.val,
INDEX(Raw_Fund!$E:$AZ,_xlpm.rowNo,_xlpm.colNo),
IF(ISNUMBER(_xlpm.val),_xlpm.val*$H58,""))</f>
        <v/>
      </c>
      <c r="Z58" s="6" t="e">
        <f>IF($E58&lt;&gt;"Include","",_xlfn.XLOOKUP($C58,Raw_Mkt!$A:$A,Raw_Mkt!$B:$B))</f>
        <v>#N/A</v>
      </c>
    </row>
    <row r="59" spans="1:26" x14ac:dyDescent="0.4">
      <c r="A59" t="str">
        <f>IF(Universe!A59&lt;&gt;"",Universe!A59,"")</f>
        <v>DLN</v>
      </c>
      <c r="B59" t="str">
        <f>IF(Universe!B59&lt;&gt;"",Universe!B59,"")</f>
        <v>Derwent London</v>
      </c>
      <c r="C59" t="str">
        <f>IF(Universe!C59&lt;&gt;"",Universe!C59,"")</f>
        <v>GB0002652740</v>
      </c>
      <c r="D59" t="str">
        <f>IF(Universe!D59&lt;&gt;"",Universe!D59,"")</f>
        <v>Real Estate</v>
      </c>
      <c r="E59" t="str">
        <f>Universe!G59</f>
        <v>Exclude</v>
      </c>
      <c r="F59" t="str">
        <f>IF($E59&lt;&gt;"Include","",_xlfn.LET(_xlpm.latest,_xlfn.MAXIFS(Raw_Fund!$C:$C,Raw_Fund!$B:$B,Data!$C59),IF(_xlpm.latest=0,"",_xlpm.latest)))</f>
        <v/>
      </c>
      <c r="G59" t="str">
        <f>IF($F59="","",INDEX(Raw_Fund!$E:$AZ,MATCH($C59&amp;"|"&amp;$F59,Raw_Fund!$A:$A,0),MATCH(G$3,Raw_Fund!$E$1:$AZ$1,0)))</f>
        <v/>
      </c>
      <c r="H59" t="str">
        <f t="shared" si="0"/>
        <v/>
      </c>
      <c r="I59" s="6" t="str">
        <f>_xlfn.LET(
_xlpm.rowNo, MATCH($C59&amp;"|"&amp;
($F59+I$4),Raw_Fund!$A:$A,0),
_xlpm.colNo,
MATCH(I$3,Raw_Fund!$E$1:$AZ$1,0),
_xlpm.val,
INDEX(Raw_Fund!$E:$AZ,_xlpm.rowNo,_xlpm.colNo),
IF(ISNUMBER(_xlpm.val),_xlpm.val*$H59,""))</f>
        <v/>
      </c>
      <c r="J59" s="6" t="str">
        <f>_xlfn.LET(
_xlpm.rowNo, MATCH($C59&amp;"|"&amp;
($F59+J$4),Raw_Fund!$A:$A,0),
_xlpm.colNo,
MATCH(J$3,Raw_Fund!$E$1:$AZ$1,0),
_xlpm.val,
INDEX(Raw_Fund!$E:$AZ,_xlpm.rowNo,_xlpm.colNo),
IF(ISNUMBER(_xlpm.val),_xlpm.val*$H59,""))</f>
        <v/>
      </c>
      <c r="K59" s="6" t="str">
        <f>_xlfn.LET(
_xlpm.rowNo, MATCH($C59&amp;"|"&amp;
($F59+K$4),Raw_Fund!$A:$A,0),
_xlpm.colNo,
MATCH(K$3,Raw_Fund!$E$1:$AZ$1,0),
_xlpm.val,
INDEX(Raw_Fund!$E:$AZ,_xlpm.rowNo,_xlpm.colNo),
IF(ISNUMBER(_xlpm.val),_xlpm.val*$H59,""))</f>
        <v/>
      </c>
      <c r="L59" s="6" t="str">
        <f>_xlfn.LET(
_xlpm.rowNo, MATCH($C59&amp;"|"&amp;
($F59+L$4),Raw_Fund!$A:$A,0),
_xlpm.colNo,
MATCH(L$3,Raw_Fund!$E$1:$AZ$1,0),
_xlpm.val,
INDEX(Raw_Fund!$E:$AZ,_xlpm.rowNo,_xlpm.colNo),
IF(ISNUMBER(_xlpm.val),_xlpm.val*$H59,""))</f>
        <v/>
      </c>
      <c r="M59" s="6" t="str">
        <f>_xlfn.LET(
_xlpm.rowNo, MATCH($C59&amp;"|"&amp;
($F59+M$4),Raw_Fund!$A:$A,0),
_xlpm.colNo,
MATCH(M$3,Raw_Fund!$E$1:$AZ$1,0),
_xlpm.val,
INDEX(Raw_Fund!$E:$AZ,_xlpm.rowNo,_xlpm.colNo),
IF(ISNUMBER(_xlpm.val),_xlpm.val*$H59,""))</f>
        <v/>
      </c>
      <c r="N59" s="6" t="str">
        <f>_xlfn.LET(
_xlpm.rowNo, MATCH($C59&amp;"|"&amp;
($F59+N$4),Raw_Fund!$A:$A,0),
_xlpm.colNo,
MATCH(N$3,Raw_Fund!$E$1:$AZ$1,0),
_xlpm.val,
INDEX(Raw_Fund!$E:$AZ,_xlpm.rowNo,_xlpm.colNo),
IF(ISNUMBER(_xlpm.val),_xlpm.val*$H59,""))</f>
        <v/>
      </c>
      <c r="O59" s="6" t="str">
        <f>_xlfn.LET(
_xlpm.rowNo, MATCH($C59&amp;"|"&amp;
($F59+O$4),Raw_Fund!$A:$A,0),
_xlpm.colNo,
MATCH(O$3,Raw_Fund!$E$1:$AZ$1,0),
_xlpm.val,
INDEX(Raw_Fund!$E:$AZ,_xlpm.rowNo,_xlpm.colNo),
IF(ISNUMBER(_xlpm.val),_xlpm.val*$H59,""))</f>
        <v/>
      </c>
      <c r="P59" s="6" t="str">
        <f>_xlfn.LET(
_xlpm.rowNo, MATCH($C59&amp;"|"&amp;
($F59+P$4),Raw_Fund!$A:$A,0),
_xlpm.colNo,
MATCH(P$3,Raw_Fund!$E$1:$AZ$1,0),
_xlpm.val,
INDEX(Raw_Fund!$E:$AZ,_xlpm.rowNo,_xlpm.colNo),
IF(ISNUMBER(_xlpm.val),_xlpm.val*$H59,""))</f>
        <v/>
      </c>
      <c r="Q59" s="6" t="str">
        <f>_xlfn.LET(
_xlpm.rowNo, MATCH($C59&amp;"|"&amp;
($F59+Q$4),Raw_Fund!$A:$A,0),
_xlpm.colNo,
MATCH(Q$3,Raw_Fund!$E$1:$AZ$1,0),
_xlpm.val,
INDEX(Raw_Fund!$E:$AZ,_xlpm.rowNo,_xlpm.colNo),
IF(ISNUMBER(_xlpm.val),_xlpm.val*$H59,""))</f>
        <v/>
      </c>
      <c r="R59" s="6" t="str">
        <f>_xlfn.LET(
_xlpm.rowNo, MATCH($C59&amp;"|"&amp;
($F59+R$4),Raw_Fund!$A:$A,0),
_xlpm.colNo,
MATCH(R$3,Raw_Fund!$E$1:$AZ$1,0),
_xlpm.val,
INDEX(Raw_Fund!$E:$AZ,_xlpm.rowNo,_xlpm.colNo),
IF(ISNUMBER(_xlpm.val),_xlpm.val*$H59,""))</f>
        <v/>
      </c>
      <c r="S59" s="6" t="str">
        <f>_xlfn.LET(
_xlpm.rowNo, MATCH($C59&amp;"|"&amp;
($F59+S$4),Raw_Fund!$A:$A,0),
_xlpm.colNo,
MATCH(S$3,Raw_Fund!$E$1:$AZ$1,0),
_xlpm.val,
INDEX(Raw_Fund!$E:$AZ,_xlpm.rowNo,_xlpm.colNo),
IF(ISNUMBER(_xlpm.val),_xlpm.val*$H59,""))</f>
        <v/>
      </c>
      <c r="T59" s="6" t="str">
        <f>_xlfn.LET(
_xlpm.rowNo, MATCH($C59&amp;"|"&amp;
($F59+T$4),Raw_Fund!$A:$A,0),
_xlpm.colNo,
MATCH(T$3,Raw_Fund!$E$1:$AZ$1,0),
_xlpm.val,
INDEX(Raw_Fund!$E:$AZ,_xlpm.rowNo,_xlpm.colNo),
IF(ISNUMBER(_xlpm.val),_xlpm.val*$H59,""))</f>
        <v/>
      </c>
      <c r="U59" s="6" t="str">
        <f>_xlfn.LET(
_xlpm.rowNo, MATCH($C59&amp;"|"&amp;
($F59+U$4),Raw_Fund!$A:$A,0),
_xlpm.colNo,
MATCH(U$3,Raw_Fund!$E$1:$AZ$1,0),
_xlpm.val,
INDEX(Raw_Fund!$E:$AZ,_xlpm.rowNo,_xlpm.colNo),
IF(ISNUMBER(_xlpm.val),_xlpm.val*$H59,""))</f>
        <v/>
      </c>
      <c r="V59" s="6" t="str">
        <f>_xlfn.LET(
_xlpm.rowNo, MATCH($C59&amp;"|"&amp;
($F59+V$4),Raw_Fund!$A:$A,0),
_xlpm.colNo,
MATCH(V$3,Raw_Fund!$E$1:$AZ$1,0),
_xlpm.val,
INDEX(Raw_Fund!$E:$AZ,_xlpm.rowNo,_xlpm.colNo),
IF(ISNUMBER(_xlpm.val),_xlpm.val*$H59,""))</f>
        <v/>
      </c>
      <c r="W59" s="6" t="str">
        <f>_xlfn.LET(
_xlpm.rowNo, MATCH($C59&amp;"|"&amp;
($F59+W$4),Raw_Fund!$A:$A,0),
_xlpm.colNo,
MATCH(W$3,Raw_Fund!$E$1:$AZ$1,0),
_xlpm.val,
INDEX(Raw_Fund!$E:$AZ,_xlpm.rowNo,_xlpm.colNo),
IF(ISNUMBER(_xlpm.val),_xlpm.val*$H59,""))</f>
        <v/>
      </c>
      <c r="X59" s="6" t="str">
        <f>_xlfn.LET(
_xlpm.rowNo, MATCH($C59&amp;"|"&amp;
($F59+X$4),Raw_Fund!$A:$A,0),
_xlpm.colNo,
MATCH(X$3,Raw_Fund!$E$1:$AZ$1,0),
_xlpm.val,
INDEX(Raw_Fund!$E:$AZ,_xlpm.rowNo,_xlpm.colNo),
IF(ISNUMBER(_xlpm.val),_xlpm.val*$H59,""))</f>
        <v/>
      </c>
      <c r="Y59" s="6" t="str">
        <f>_xlfn.LET(
_xlpm.rowNo, MATCH($C59&amp;"|"&amp;
($F59+Y$4),Raw_Fund!$A:$A,0),
_xlpm.colNo,
MATCH(Y$3,Raw_Fund!$E$1:$AZ$1,0),
_xlpm.val,
INDEX(Raw_Fund!$E:$AZ,_xlpm.rowNo,_xlpm.colNo),
IF(ISNUMBER(_xlpm.val),_xlpm.val*$H59,""))</f>
        <v/>
      </c>
      <c r="Z59" s="6" t="str">
        <f>IF($E59&lt;&gt;"Include","",_xlfn.XLOOKUP($C59,Raw_Mkt!$A:$A,Raw_Mkt!$B:$B))</f>
        <v/>
      </c>
    </row>
    <row r="60" spans="1:26" x14ac:dyDescent="0.4">
      <c r="A60" t="str">
        <f>IF(Universe!A60&lt;&gt;"",Universe!A60,"")</f>
        <v>DSCV</v>
      </c>
      <c r="B60" t="str">
        <f>IF(Universe!B60&lt;&gt;"",Universe!B60,"")</f>
        <v>discoverIE</v>
      </c>
      <c r="C60" t="str">
        <f>IF(Universe!C60&lt;&gt;"",Universe!C60,"")</f>
        <v>GB0000055888</v>
      </c>
      <c r="D60" t="str">
        <f>IF(Universe!D60&lt;&gt;"",Universe!D60,"")</f>
        <v>Industrials</v>
      </c>
      <c r="E60" t="str">
        <f>Universe!G60</f>
        <v>Include</v>
      </c>
      <c r="F60" t="str">
        <f>IF($E60&lt;&gt;"Include","",_xlfn.LET(_xlpm.latest,_xlfn.MAXIFS(Raw_Fund!$C:$C,Raw_Fund!$B:$B,Data!$C60),IF(_xlpm.latest=0,"",_xlpm.latest)))</f>
        <v/>
      </c>
      <c r="G60" t="str">
        <f>IF($F60="","",INDEX(Raw_Fund!$E:$AZ,MATCH($C60&amp;"|"&amp;$F60,Raw_Fund!$A:$A,0),MATCH(G$3,Raw_Fund!$E$1:$AZ$1,0)))</f>
        <v/>
      </c>
      <c r="H60" t="str">
        <f t="shared" si="0"/>
        <v/>
      </c>
      <c r="I60" s="6" t="str">
        <f>_xlfn.LET(
_xlpm.rowNo, MATCH($C60&amp;"|"&amp;
($F60+I$4),Raw_Fund!$A:$A,0),
_xlpm.colNo,
MATCH(I$3,Raw_Fund!$E$1:$AZ$1,0),
_xlpm.val,
INDEX(Raw_Fund!$E:$AZ,_xlpm.rowNo,_xlpm.colNo),
IF(ISNUMBER(_xlpm.val),_xlpm.val*$H60,""))</f>
        <v/>
      </c>
      <c r="J60" s="6" t="str">
        <f>_xlfn.LET(
_xlpm.rowNo, MATCH($C60&amp;"|"&amp;
($F60+J$4),Raw_Fund!$A:$A,0),
_xlpm.colNo,
MATCH(J$3,Raw_Fund!$E$1:$AZ$1,0),
_xlpm.val,
INDEX(Raw_Fund!$E:$AZ,_xlpm.rowNo,_xlpm.colNo),
IF(ISNUMBER(_xlpm.val),_xlpm.val*$H60,""))</f>
        <v/>
      </c>
      <c r="K60" s="6" t="str">
        <f>_xlfn.LET(
_xlpm.rowNo, MATCH($C60&amp;"|"&amp;
($F60+K$4),Raw_Fund!$A:$A,0),
_xlpm.colNo,
MATCH(K$3,Raw_Fund!$E$1:$AZ$1,0),
_xlpm.val,
INDEX(Raw_Fund!$E:$AZ,_xlpm.rowNo,_xlpm.colNo),
IF(ISNUMBER(_xlpm.val),_xlpm.val*$H60,""))</f>
        <v/>
      </c>
      <c r="L60" s="6" t="str">
        <f>_xlfn.LET(
_xlpm.rowNo, MATCH($C60&amp;"|"&amp;
($F60+L$4),Raw_Fund!$A:$A,0),
_xlpm.colNo,
MATCH(L$3,Raw_Fund!$E$1:$AZ$1,0),
_xlpm.val,
INDEX(Raw_Fund!$E:$AZ,_xlpm.rowNo,_xlpm.colNo),
IF(ISNUMBER(_xlpm.val),_xlpm.val*$H60,""))</f>
        <v/>
      </c>
      <c r="M60" s="6" t="str">
        <f>_xlfn.LET(
_xlpm.rowNo, MATCH($C60&amp;"|"&amp;
($F60+M$4),Raw_Fund!$A:$A,0),
_xlpm.colNo,
MATCH(M$3,Raw_Fund!$E$1:$AZ$1,0),
_xlpm.val,
INDEX(Raw_Fund!$E:$AZ,_xlpm.rowNo,_xlpm.colNo),
IF(ISNUMBER(_xlpm.val),_xlpm.val*$H60,""))</f>
        <v/>
      </c>
      <c r="N60" s="6" t="str">
        <f>_xlfn.LET(
_xlpm.rowNo, MATCH($C60&amp;"|"&amp;
($F60+N$4),Raw_Fund!$A:$A,0),
_xlpm.colNo,
MATCH(N$3,Raw_Fund!$E$1:$AZ$1,0),
_xlpm.val,
INDEX(Raw_Fund!$E:$AZ,_xlpm.rowNo,_xlpm.colNo),
IF(ISNUMBER(_xlpm.val),_xlpm.val*$H60,""))</f>
        <v/>
      </c>
      <c r="O60" s="6" t="str">
        <f>_xlfn.LET(
_xlpm.rowNo, MATCH($C60&amp;"|"&amp;
($F60+O$4),Raw_Fund!$A:$A,0),
_xlpm.colNo,
MATCH(O$3,Raw_Fund!$E$1:$AZ$1,0),
_xlpm.val,
INDEX(Raw_Fund!$E:$AZ,_xlpm.rowNo,_xlpm.colNo),
IF(ISNUMBER(_xlpm.val),_xlpm.val*$H60,""))</f>
        <v/>
      </c>
      <c r="P60" s="6" t="str">
        <f>_xlfn.LET(
_xlpm.rowNo, MATCH($C60&amp;"|"&amp;
($F60+P$4),Raw_Fund!$A:$A,0),
_xlpm.colNo,
MATCH(P$3,Raw_Fund!$E$1:$AZ$1,0),
_xlpm.val,
INDEX(Raw_Fund!$E:$AZ,_xlpm.rowNo,_xlpm.colNo),
IF(ISNUMBER(_xlpm.val),_xlpm.val*$H60,""))</f>
        <v/>
      </c>
      <c r="Q60" s="6" t="str">
        <f>_xlfn.LET(
_xlpm.rowNo, MATCH($C60&amp;"|"&amp;
($F60+Q$4),Raw_Fund!$A:$A,0),
_xlpm.colNo,
MATCH(Q$3,Raw_Fund!$E$1:$AZ$1,0),
_xlpm.val,
INDEX(Raw_Fund!$E:$AZ,_xlpm.rowNo,_xlpm.colNo),
IF(ISNUMBER(_xlpm.val),_xlpm.val*$H60,""))</f>
        <v/>
      </c>
      <c r="R60" s="6" t="str">
        <f>_xlfn.LET(
_xlpm.rowNo, MATCH($C60&amp;"|"&amp;
($F60+R$4),Raw_Fund!$A:$A,0),
_xlpm.colNo,
MATCH(R$3,Raw_Fund!$E$1:$AZ$1,0),
_xlpm.val,
INDEX(Raw_Fund!$E:$AZ,_xlpm.rowNo,_xlpm.colNo),
IF(ISNUMBER(_xlpm.val),_xlpm.val*$H60,""))</f>
        <v/>
      </c>
      <c r="S60" s="6" t="str">
        <f>_xlfn.LET(
_xlpm.rowNo, MATCH($C60&amp;"|"&amp;
($F60+S$4),Raw_Fund!$A:$A,0),
_xlpm.colNo,
MATCH(S$3,Raw_Fund!$E$1:$AZ$1,0),
_xlpm.val,
INDEX(Raw_Fund!$E:$AZ,_xlpm.rowNo,_xlpm.colNo),
IF(ISNUMBER(_xlpm.val),_xlpm.val*$H60,""))</f>
        <v/>
      </c>
      <c r="T60" s="6" t="str">
        <f>_xlfn.LET(
_xlpm.rowNo, MATCH($C60&amp;"|"&amp;
($F60+T$4),Raw_Fund!$A:$A,0),
_xlpm.colNo,
MATCH(T$3,Raw_Fund!$E$1:$AZ$1,0),
_xlpm.val,
INDEX(Raw_Fund!$E:$AZ,_xlpm.rowNo,_xlpm.colNo),
IF(ISNUMBER(_xlpm.val),_xlpm.val*$H60,""))</f>
        <v/>
      </c>
      <c r="U60" s="6" t="str">
        <f>_xlfn.LET(
_xlpm.rowNo, MATCH($C60&amp;"|"&amp;
($F60+U$4),Raw_Fund!$A:$A,0),
_xlpm.colNo,
MATCH(U$3,Raw_Fund!$E$1:$AZ$1,0),
_xlpm.val,
INDEX(Raw_Fund!$E:$AZ,_xlpm.rowNo,_xlpm.colNo),
IF(ISNUMBER(_xlpm.val),_xlpm.val*$H60,""))</f>
        <v/>
      </c>
      <c r="V60" s="6" t="str">
        <f>_xlfn.LET(
_xlpm.rowNo, MATCH($C60&amp;"|"&amp;
($F60+V$4),Raw_Fund!$A:$A,0),
_xlpm.colNo,
MATCH(V$3,Raw_Fund!$E$1:$AZ$1,0),
_xlpm.val,
INDEX(Raw_Fund!$E:$AZ,_xlpm.rowNo,_xlpm.colNo),
IF(ISNUMBER(_xlpm.val),_xlpm.val*$H60,""))</f>
        <v/>
      </c>
      <c r="W60" s="6" t="str">
        <f>_xlfn.LET(
_xlpm.rowNo, MATCH($C60&amp;"|"&amp;
($F60+W$4),Raw_Fund!$A:$A,0),
_xlpm.colNo,
MATCH(W$3,Raw_Fund!$E$1:$AZ$1,0),
_xlpm.val,
INDEX(Raw_Fund!$E:$AZ,_xlpm.rowNo,_xlpm.colNo),
IF(ISNUMBER(_xlpm.val),_xlpm.val*$H60,""))</f>
        <v/>
      </c>
      <c r="X60" s="6" t="str">
        <f>_xlfn.LET(
_xlpm.rowNo, MATCH($C60&amp;"|"&amp;
($F60+X$4),Raw_Fund!$A:$A,0),
_xlpm.colNo,
MATCH(X$3,Raw_Fund!$E$1:$AZ$1,0),
_xlpm.val,
INDEX(Raw_Fund!$E:$AZ,_xlpm.rowNo,_xlpm.colNo),
IF(ISNUMBER(_xlpm.val),_xlpm.val*$H60,""))</f>
        <v/>
      </c>
      <c r="Y60" s="6" t="str">
        <f>_xlfn.LET(
_xlpm.rowNo, MATCH($C60&amp;"|"&amp;
($F60+Y$4),Raw_Fund!$A:$A,0),
_xlpm.colNo,
MATCH(Y$3,Raw_Fund!$E$1:$AZ$1,0),
_xlpm.val,
INDEX(Raw_Fund!$E:$AZ,_xlpm.rowNo,_xlpm.colNo),
IF(ISNUMBER(_xlpm.val),_xlpm.val*$H60,""))</f>
        <v/>
      </c>
      <c r="Z60" s="6" t="e">
        <f>IF($E60&lt;&gt;"Include","",_xlfn.XLOOKUP($C60,Raw_Mkt!$A:$A,Raw_Mkt!$B:$B))</f>
        <v>#N/A</v>
      </c>
    </row>
    <row r="61" spans="1:26" x14ac:dyDescent="0.4">
      <c r="A61" t="str">
        <f>IF(Universe!A61&lt;&gt;"",Universe!A61,"")</f>
        <v>DOM</v>
      </c>
      <c r="B61" t="str">
        <f>IF(Universe!B61&lt;&gt;"",Universe!B61,"")</f>
        <v>Domino's Pizza</v>
      </c>
      <c r="C61" t="str">
        <f>IF(Universe!C61&lt;&gt;"",Universe!C61,"")</f>
        <v>GB00BYN59130</v>
      </c>
      <c r="D61" t="str">
        <f>IF(Universe!D61&lt;&gt;"",Universe!D61,"")</f>
        <v>Consumer Discretionary</v>
      </c>
      <c r="E61" t="str">
        <f>Universe!G61</f>
        <v>Include</v>
      </c>
      <c r="F61" t="str">
        <f>IF($E61&lt;&gt;"Include","",_xlfn.LET(_xlpm.latest,_xlfn.MAXIFS(Raw_Fund!$C:$C,Raw_Fund!$B:$B,Data!$C61),IF(_xlpm.latest=0,"",_xlpm.latest)))</f>
        <v/>
      </c>
      <c r="G61" t="str">
        <f>IF($F61="","",INDEX(Raw_Fund!$E:$AZ,MATCH($C61&amp;"|"&amp;$F61,Raw_Fund!$A:$A,0),MATCH(G$3,Raw_Fund!$E$1:$AZ$1,0)))</f>
        <v/>
      </c>
      <c r="H61" t="str">
        <f t="shared" si="0"/>
        <v/>
      </c>
      <c r="I61" s="6" t="str">
        <f>_xlfn.LET(
_xlpm.rowNo, MATCH($C61&amp;"|"&amp;
($F61+I$4),Raw_Fund!$A:$A,0),
_xlpm.colNo,
MATCH(I$3,Raw_Fund!$E$1:$AZ$1,0),
_xlpm.val,
INDEX(Raw_Fund!$E:$AZ,_xlpm.rowNo,_xlpm.colNo),
IF(ISNUMBER(_xlpm.val),_xlpm.val*$H61,""))</f>
        <v/>
      </c>
      <c r="J61" s="6" t="str">
        <f>_xlfn.LET(
_xlpm.rowNo, MATCH($C61&amp;"|"&amp;
($F61+J$4),Raw_Fund!$A:$A,0),
_xlpm.colNo,
MATCH(J$3,Raw_Fund!$E$1:$AZ$1,0),
_xlpm.val,
INDEX(Raw_Fund!$E:$AZ,_xlpm.rowNo,_xlpm.colNo),
IF(ISNUMBER(_xlpm.val),_xlpm.val*$H61,""))</f>
        <v/>
      </c>
      <c r="K61" s="6" t="str">
        <f>_xlfn.LET(
_xlpm.rowNo, MATCH($C61&amp;"|"&amp;
($F61+K$4),Raw_Fund!$A:$A,0),
_xlpm.colNo,
MATCH(K$3,Raw_Fund!$E$1:$AZ$1,0),
_xlpm.val,
INDEX(Raw_Fund!$E:$AZ,_xlpm.rowNo,_xlpm.colNo),
IF(ISNUMBER(_xlpm.val),_xlpm.val*$H61,""))</f>
        <v/>
      </c>
      <c r="L61" s="6" t="str">
        <f>_xlfn.LET(
_xlpm.rowNo, MATCH($C61&amp;"|"&amp;
($F61+L$4),Raw_Fund!$A:$A,0),
_xlpm.colNo,
MATCH(L$3,Raw_Fund!$E$1:$AZ$1,0),
_xlpm.val,
INDEX(Raw_Fund!$E:$AZ,_xlpm.rowNo,_xlpm.colNo),
IF(ISNUMBER(_xlpm.val),_xlpm.val*$H61,""))</f>
        <v/>
      </c>
      <c r="M61" s="6" t="str">
        <f>_xlfn.LET(
_xlpm.rowNo, MATCH($C61&amp;"|"&amp;
($F61+M$4),Raw_Fund!$A:$A,0),
_xlpm.colNo,
MATCH(M$3,Raw_Fund!$E$1:$AZ$1,0),
_xlpm.val,
INDEX(Raw_Fund!$E:$AZ,_xlpm.rowNo,_xlpm.colNo),
IF(ISNUMBER(_xlpm.val),_xlpm.val*$H61,""))</f>
        <v/>
      </c>
      <c r="N61" s="6" t="str">
        <f>_xlfn.LET(
_xlpm.rowNo, MATCH($C61&amp;"|"&amp;
($F61+N$4),Raw_Fund!$A:$A,0),
_xlpm.colNo,
MATCH(N$3,Raw_Fund!$E$1:$AZ$1,0),
_xlpm.val,
INDEX(Raw_Fund!$E:$AZ,_xlpm.rowNo,_xlpm.colNo),
IF(ISNUMBER(_xlpm.val),_xlpm.val*$H61,""))</f>
        <v/>
      </c>
      <c r="O61" s="6" t="str">
        <f>_xlfn.LET(
_xlpm.rowNo, MATCH($C61&amp;"|"&amp;
($F61+O$4),Raw_Fund!$A:$A,0),
_xlpm.colNo,
MATCH(O$3,Raw_Fund!$E$1:$AZ$1,0),
_xlpm.val,
INDEX(Raw_Fund!$E:$AZ,_xlpm.rowNo,_xlpm.colNo),
IF(ISNUMBER(_xlpm.val),_xlpm.val*$H61,""))</f>
        <v/>
      </c>
      <c r="P61" s="6" t="str">
        <f>_xlfn.LET(
_xlpm.rowNo, MATCH($C61&amp;"|"&amp;
($F61+P$4),Raw_Fund!$A:$A,0),
_xlpm.colNo,
MATCH(P$3,Raw_Fund!$E$1:$AZ$1,0),
_xlpm.val,
INDEX(Raw_Fund!$E:$AZ,_xlpm.rowNo,_xlpm.colNo),
IF(ISNUMBER(_xlpm.val),_xlpm.val*$H61,""))</f>
        <v/>
      </c>
      <c r="Q61" s="6" t="str">
        <f>_xlfn.LET(
_xlpm.rowNo, MATCH($C61&amp;"|"&amp;
($F61+Q$4),Raw_Fund!$A:$A,0),
_xlpm.colNo,
MATCH(Q$3,Raw_Fund!$E$1:$AZ$1,0),
_xlpm.val,
INDEX(Raw_Fund!$E:$AZ,_xlpm.rowNo,_xlpm.colNo),
IF(ISNUMBER(_xlpm.val),_xlpm.val*$H61,""))</f>
        <v/>
      </c>
      <c r="R61" s="6" t="str">
        <f>_xlfn.LET(
_xlpm.rowNo, MATCH($C61&amp;"|"&amp;
($F61+R$4),Raw_Fund!$A:$A,0),
_xlpm.colNo,
MATCH(R$3,Raw_Fund!$E$1:$AZ$1,0),
_xlpm.val,
INDEX(Raw_Fund!$E:$AZ,_xlpm.rowNo,_xlpm.colNo),
IF(ISNUMBER(_xlpm.val),_xlpm.val*$H61,""))</f>
        <v/>
      </c>
      <c r="S61" s="6" t="str">
        <f>_xlfn.LET(
_xlpm.rowNo, MATCH($C61&amp;"|"&amp;
($F61+S$4),Raw_Fund!$A:$A,0),
_xlpm.colNo,
MATCH(S$3,Raw_Fund!$E$1:$AZ$1,0),
_xlpm.val,
INDEX(Raw_Fund!$E:$AZ,_xlpm.rowNo,_xlpm.colNo),
IF(ISNUMBER(_xlpm.val),_xlpm.val*$H61,""))</f>
        <v/>
      </c>
      <c r="T61" s="6" t="str">
        <f>_xlfn.LET(
_xlpm.rowNo, MATCH($C61&amp;"|"&amp;
($F61+T$4),Raw_Fund!$A:$A,0),
_xlpm.colNo,
MATCH(T$3,Raw_Fund!$E$1:$AZ$1,0),
_xlpm.val,
INDEX(Raw_Fund!$E:$AZ,_xlpm.rowNo,_xlpm.colNo),
IF(ISNUMBER(_xlpm.val),_xlpm.val*$H61,""))</f>
        <v/>
      </c>
      <c r="U61" s="6" t="str">
        <f>_xlfn.LET(
_xlpm.rowNo, MATCH($C61&amp;"|"&amp;
($F61+U$4),Raw_Fund!$A:$A,0),
_xlpm.colNo,
MATCH(U$3,Raw_Fund!$E$1:$AZ$1,0),
_xlpm.val,
INDEX(Raw_Fund!$E:$AZ,_xlpm.rowNo,_xlpm.colNo),
IF(ISNUMBER(_xlpm.val),_xlpm.val*$H61,""))</f>
        <v/>
      </c>
      <c r="V61" s="6" t="str">
        <f>_xlfn.LET(
_xlpm.rowNo, MATCH($C61&amp;"|"&amp;
($F61+V$4),Raw_Fund!$A:$A,0),
_xlpm.colNo,
MATCH(V$3,Raw_Fund!$E$1:$AZ$1,0),
_xlpm.val,
INDEX(Raw_Fund!$E:$AZ,_xlpm.rowNo,_xlpm.colNo),
IF(ISNUMBER(_xlpm.val),_xlpm.val*$H61,""))</f>
        <v/>
      </c>
      <c r="W61" s="6" t="str">
        <f>_xlfn.LET(
_xlpm.rowNo, MATCH($C61&amp;"|"&amp;
($F61+W$4),Raw_Fund!$A:$A,0),
_xlpm.colNo,
MATCH(W$3,Raw_Fund!$E$1:$AZ$1,0),
_xlpm.val,
INDEX(Raw_Fund!$E:$AZ,_xlpm.rowNo,_xlpm.colNo),
IF(ISNUMBER(_xlpm.val),_xlpm.val*$H61,""))</f>
        <v/>
      </c>
      <c r="X61" s="6" t="str">
        <f>_xlfn.LET(
_xlpm.rowNo, MATCH($C61&amp;"|"&amp;
($F61+X$4),Raw_Fund!$A:$A,0),
_xlpm.colNo,
MATCH(X$3,Raw_Fund!$E$1:$AZ$1,0),
_xlpm.val,
INDEX(Raw_Fund!$E:$AZ,_xlpm.rowNo,_xlpm.colNo),
IF(ISNUMBER(_xlpm.val),_xlpm.val*$H61,""))</f>
        <v/>
      </c>
      <c r="Y61" s="6" t="str">
        <f>_xlfn.LET(
_xlpm.rowNo, MATCH($C61&amp;"|"&amp;
($F61+Y$4),Raw_Fund!$A:$A,0),
_xlpm.colNo,
MATCH(Y$3,Raw_Fund!$E$1:$AZ$1,0),
_xlpm.val,
INDEX(Raw_Fund!$E:$AZ,_xlpm.rowNo,_xlpm.colNo),
IF(ISNUMBER(_xlpm.val),_xlpm.val*$H61,""))</f>
        <v/>
      </c>
      <c r="Z61" s="6" t="e">
        <f>IF($E61&lt;&gt;"Include","",_xlfn.XLOOKUP($C61,Raw_Mkt!$A:$A,Raw_Mkt!$B:$B))</f>
        <v>#N/A</v>
      </c>
    </row>
    <row r="62" spans="1:26" x14ac:dyDescent="0.4">
      <c r="A62" t="str">
        <f>IF(Universe!A62&lt;&gt;"",Universe!A62,"")</f>
        <v>DRX</v>
      </c>
      <c r="B62" t="str">
        <f>IF(Universe!B62&lt;&gt;"",Universe!B62,"")</f>
        <v>Drax Group</v>
      </c>
      <c r="C62" t="str">
        <f>IF(Universe!C62&lt;&gt;"",Universe!C62,"")</f>
        <v>GB00B1VNSX38</v>
      </c>
      <c r="D62" t="str">
        <f>IF(Universe!D62&lt;&gt;"",Universe!D62,"")</f>
        <v>Utilities</v>
      </c>
      <c r="E62" t="str">
        <f>Universe!G62</f>
        <v>Include</v>
      </c>
      <c r="F62" t="str">
        <f>IF($E62&lt;&gt;"Include","",_xlfn.LET(_xlpm.latest,_xlfn.MAXIFS(Raw_Fund!$C:$C,Raw_Fund!$B:$B,Data!$C62),IF(_xlpm.latest=0,"",_xlpm.latest)))</f>
        <v/>
      </c>
      <c r="G62" t="str">
        <f>IF($F62="","",INDEX(Raw_Fund!$E:$AZ,MATCH($C62&amp;"|"&amp;$F62,Raw_Fund!$A:$A,0),MATCH(G$3,Raw_Fund!$E$1:$AZ$1,0)))</f>
        <v/>
      </c>
      <c r="H62" t="str">
        <f t="shared" si="0"/>
        <v/>
      </c>
      <c r="I62" s="6" t="str">
        <f>_xlfn.LET(
_xlpm.rowNo, MATCH($C62&amp;"|"&amp;
($F62+I$4),Raw_Fund!$A:$A,0),
_xlpm.colNo,
MATCH(I$3,Raw_Fund!$E$1:$AZ$1,0),
_xlpm.val,
INDEX(Raw_Fund!$E:$AZ,_xlpm.rowNo,_xlpm.colNo),
IF(ISNUMBER(_xlpm.val),_xlpm.val*$H62,""))</f>
        <v/>
      </c>
      <c r="J62" s="6" t="str">
        <f>_xlfn.LET(
_xlpm.rowNo, MATCH($C62&amp;"|"&amp;
($F62+J$4),Raw_Fund!$A:$A,0),
_xlpm.colNo,
MATCH(J$3,Raw_Fund!$E$1:$AZ$1,0),
_xlpm.val,
INDEX(Raw_Fund!$E:$AZ,_xlpm.rowNo,_xlpm.colNo),
IF(ISNUMBER(_xlpm.val),_xlpm.val*$H62,""))</f>
        <v/>
      </c>
      <c r="K62" s="6" t="str">
        <f>_xlfn.LET(
_xlpm.rowNo, MATCH($C62&amp;"|"&amp;
($F62+K$4),Raw_Fund!$A:$A,0),
_xlpm.colNo,
MATCH(K$3,Raw_Fund!$E$1:$AZ$1,0),
_xlpm.val,
INDEX(Raw_Fund!$E:$AZ,_xlpm.rowNo,_xlpm.colNo),
IF(ISNUMBER(_xlpm.val),_xlpm.val*$H62,""))</f>
        <v/>
      </c>
      <c r="L62" s="6" t="str">
        <f>_xlfn.LET(
_xlpm.rowNo, MATCH($C62&amp;"|"&amp;
($F62+L$4),Raw_Fund!$A:$A,0),
_xlpm.colNo,
MATCH(L$3,Raw_Fund!$E$1:$AZ$1,0),
_xlpm.val,
INDEX(Raw_Fund!$E:$AZ,_xlpm.rowNo,_xlpm.colNo),
IF(ISNUMBER(_xlpm.val),_xlpm.val*$H62,""))</f>
        <v/>
      </c>
      <c r="M62" s="6" t="str">
        <f>_xlfn.LET(
_xlpm.rowNo, MATCH($C62&amp;"|"&amp;
($F62+M$4),Raw_Fund!$A:$A,0),
_xlpm.colNo,
MATCH(M$3,Raw_Fund!$E$1:$AZ$1,0),
_xlpm.val,
INDEX(Raw_Fund!$E:$AZ,_xlpm.rowNo,_xlpm.colNo),
IF(ISNUMBER(_xlpm.val),_xlpm.val*$H62,""))</f>
        <v/>
      </c>
      <c r="N62" s="6" t="str">
        <f>_xlfn.LET(
_xlpm.rowNo, MATCH($C62&amp;"|"&amp;
($F62+N$4),Raw_Fund!$A:$A,0),
_xlpm.colNo,
MATCH(N$3,Raw_Fund!$E$1:$AZ$1,0),
_xlpm.val,
INDEX(Raw_Fund!$E:$AZ,_xlpm.rowNo,_xlpm.colNo),
IF(ISNUMBER(_xlpm.val),_xlpm.val*$H62,""))</f>
        <v/>
      </c>
      <c r="O62" s="6" t="str">
        <f>_xlfn.LET(
_xlpm.rowNo, MATCH($C62&amp;"|"&amp;
($F62+O$4),Raw_Fund!$A:$A,0),
_xlpm.colNo,
MATCH(O$3,Raw_Fund!$E$1:$AZ$1,0),
_xlpm.val,
INDEX(Raw_Fund!$E:$AZ,_xlpm.rowNo,_xlpm.colNo),
IF(ISNUMBER(_xlpm.val),_xlpm.val*$H62,""))</f>
        <v/>
      </c>
      <c r="P62" s="6" t="str">
        <f>_xlfn.LET(
_xlpm.rowNo, MATCH($C62&amp;"|"&amp;
($F62+P$4),Raw_Fund!$A:$A,0),
_xlpm.colNo,
MATCH(P$3,Raw_Fund!$E$1:$AZ$1,0),
_xlpm.val,
INDEX(Raw_Fund!$E:$AZ,_xlpm.rowNo,_xlpm.colNo),
IF(ISNUMBER(_xlpm.val),_xlpm.val*$H62,""))</f>
        <v/>
      </c>
      <c r="Q62" s="6" t="str">
        <f>_xlfn.LET(
_xlpm.rowNo, MATCH($C62&amp;"|"&amp;
($F62+Q$4),Raw_Fund!$A:$A,0),
_xlpm.colNo,
MATCH(Q$3,Raw_Fund!$E$1:$AZ$1,0),
_xlpm.val,
INDEX(Raw_Fund!$E:$AZ,_xlpm.rowNo,_xlpm.colNo),
IF(ISNUMBER(_xlpm.val),_xlpm.val*$H62,""))</f>
        <v/>
      </c>
      <c r="R62" s="6" t="str">
        <f>_xlfn.LET(
_xlpm.rowNo, MATCH($C62&amp;"|"&amp;
($F62+R$4),Raw_Fund!$A:$A,0),
_xlpm.colNo,
MATCH(R$3,Raw_Fund!$E$1:$AZ$1,0),
_xlpm.val,
INDEX(Raw_Fund!$E:$AZ,_xlpm.rowNo,_xlpm.colNo),
IF(ISNUMBER(_xlpm.val),_xlpm.val*$H62,""))</f>
        <v/>
      </c>
      <c r="S62" s="6" t="str">
        <f>_xlfn.LET(
_xlpm.rowNo, MATCH($C62&amp;"|"&amp;
($F62+S$4),Raw_Fund!$A:$A,0),
_xlpm.colNo,
MATCH(S$3,Raw_Fund!$E$1:$AZ$1,0),
_xlpm.val,
INDEX(Raw_Fund!$E:$AZ,_xlpm.rowNo,_xlpm.colNo),
IF(ISNUMBER(_xlpm.val),_xlpm.val*$H62,""))</f>
        <v/>
      </c>
      <c r="T62" s="6" t="str">
        <f>_xlfn.LET(
_xlpm.rowNo, MATCH($C62&amp;"|"&amp;
($F62+T$4),Raw_Fund!$A:$A,0),
_xlpm.colNo,
MATCH(T$3,Raw_Fund!$E$1:$AZ$1,0),
_xlpm.val,
INDEX(Raw_Fund!$E:$AZ,_xlpm.rowNo,_xlpm.colNo),
IF(ISNUMBER(_xlpm.val),_xlpm.val*$H62,""))</f>
        <v/>
      </c>
      <c r="U62" s="6" t="str">
        <f>_xlfn.LET(
_xlpm.rowNo, MATCH($C62&amp;"|"&amp;
($F62+U$4),Raw_Fund!$A:$A,0),
_xlpm.colNo,
MATCH(U$3,Raw_Fund!$E$1:$AZ$1,0),
_xlpm.val,
INDEX(Raw_Fund!$E:$AZ,_xlpm.rowNo,_xlpm.colNo),
IF(ISNUMBER(_xlpm.val),_xlpm.val*$H62,""))</f>
        <v/>
      </c>
      <c r="V62" s="6" t="str">
        <f>_xlfn.LET(
_xlpm.rowNo, MATCH($C62&amp;"|"&amp;
($F62+V$4),Raw_Fund!$A:$A,0),
_xlpm.colNo,
MATCH(V$3,Raw_Fund!$E$1:$AZ$1,0),
_xlpm.val,
INDEX(Raw_Fund!$E:$AZ,_xlpm.rowNo,_xlpm.colNo),
IF(ISNUMBER(_xlpm.val),_xlpm.val*$H62,""))</f>
        <v/>
      </c>
      <c r="W62" s="6" t="str">
        <f>_xlfn.LET(
_xlpm.rowNo, MATCH($C62&amp;"|"&amp;
($F62+W$4),Raw_Fund!$A:$A,0),
_xlpm.colNo,
MATCH(W$3,Raw_Fund!$E$1:$AZ$1,0),
_xlpm.val,
INDEX(Raw_Fund!$E:$AZ,_xlpm.rowNo,_xlpm.colNo),
IF(ISNUMBER(_xlpm.val),_xlpm.val*$H62,""))</f>
        <v/>
      </c>
      <c r="X62" s="6" t="str">
        <f>_xlfn.LET(
_xlpm.rowNo, MATCH($C62&amp;"|"&amp;
($F62+X$4),Raw_Fund!$A:$A,0),
_xlpm.colNo,
MATCH(X$3,Raw_Fund!$E$1:$AZ$1,0),
_xlpm.val,
INDEX(Raw_Fund!$E:$AZ,_xlpm.rowNo,_xlpm.colNo),
IF(ISNUMBER(_xlpm.val),_xlpm.val*$H62,""))</f>
        <v/>
      </c>
      <c r="Y62" s="6" t="str">
        <f>_xlfn.LET(
_xlpm.rowNo, MATCH($C62&amp;"|"&amp;
($F62+Y$4),Raw_Fund!$A:$A,0),
_xlpm.colNo,
MATCH(Y$3,Raw_Fund!$E$1:$AZ$1,0),
_xlpm.val,
INDEX(Raw_Fund!$E:$AZ,_xlpm.rowNo,_xlpm.colNo),
IF(ISNUMBER(_xlpm.val),_xlpm.val*$H62,""))</f>
        <v/>
      </c>
      <c r="Z62" s="6" t="e">
        <f>IF($E62&lt;&gt;"Include","",_xlfn.XLOOKUP($C62,Raw_Mkt!$A:$A,Raw_Mkt!$B:$B))</f>
        <v>#N/A</v>
      </c>
    </row>
    <row r="63" spans="1:26" x14ac:dyDescent="0.4">
      <c r="A63" t="str">
        <f>IF(Universe!A63&lt;&gt;"",Universe!A63,"")</f>
        <v>DOCS</v>
      </c>
      <c r="B63" t="str">
        <f>IF(Universe!B63&lt;&gt;"",Universe!B63,"")</f>
        <v>Dr. Martens</v>
      </c>
      <c r="C63" t="str">
        <f>IF(Universe!C63&lt;&gt;"",Universe!C63,"")</f>
        <v>GB00BL6NGV24</v>
      </c>
      <c r="D63" t="str">
        <f>IF(Universe!D63&lt;&gt;"",Universe!D63,"")</f>
        <v>Consumer Discretionary</v>
      </c>
      <c r="E63" t="str">
        <f>Universe!G63</f>
        <v>Include</v>
      </c>
      <c r="F63" t="str">
        <f>IF($E63&lt;&gt;"Include","",_xlfn.LET(_xlpm.latest,_xlfn.MAXIFS(Raw_Fund!$C:$C,Raw_Fund!$B:$B,Data!$C63),IF(_xlpm.latest=0,"",_xlpm.latest)))</f>
        <v/>
      </c>
      <c r="G63" t="str">
        <f>IF($F63="","",INDEX(Raw_Fund!$E:$AZ,MATCH($C63&amp;"|"&amp;$F63,Raw_Fund!$A:$A,0),MATCH(G$3,Raw_Fund!$E$1:$AZ$1,0)))</f>
        <v/>
      </c>
      <c r="H63" t="str">
        <f t="shared" si="0"/>
        <v/>
      </c>
      <c r="I63" s="6" t="str">
        <f>_xlfn.LET(
_xlpm.rowNo, MATCH($C63&amp;"|"&amp;
($F63+I$4),Raw_Fund!$A:$A,0),
_xlpm.colNo,
MATCH(I$3,Raw_Fund!$E$1:$AZ$1,0),
_xlpm.val,
INDEX(Raw_Fund!$E:$AZ,_xlpm.rowNo,_xlpm.colNo),
IF(ISNUMBER(_xlpm.val),_xlpm.val*$H63,""))</f>
        <v/>
      </c>
      <c r="J63" s="6" t="str">
        <f>_xlfn.LET(
_xlpm.rowNo, MATCH($C63&amp;"|"&amp;
($F63+J$4),Raw_Fund!$A:$A,0),
_xlpm.colNo,
MATCH(J$3,Raw_Fund!$E$1:$AZ$1,0),
_xlpm.val,
INDEX(Raw_Fund!$E:$AZ,_xlpm.rowNo,_xlpm.colNo),
IF(ISNUMBER(_xlpm.val),_xlpm.val*$H63,""))</f>
        <v/>
      </c>
      <c r="K63" s="6" t="str">
        <f>_xlfn.LET(
_xlpm.rowNo, MATCH($C63&amp;"|"&amp;
($F63+K$4),Raw_Fund!$A:$A,0),
_xlpm.colNo,
MATCH(K$3,Raw_Fund!$E$1:$AZ$1,0),
_xlpm.val,
INDEX(Raw_Fund!$E:$AZ,_xlpm.rowNo,_xlpm.colNo),
IF(ISNUMBER(_xlpm.val),_xlpm.val*$H63,""))</f>
        <v/>
      </c>
      <c r="L63" s="6" t="str">
        <f>_xlfn.LET(
_xlpm.rowNo, MATCH($C63&amp;"|"&amp;
($F63+L$4),Raw_Fund!$A:$A,0),
_xlpm.colNo,
MATCH(L$3,Raw_Fund!$E$1:$AZ$1,0),
_xlpm.val,
INDEX(Raw_Fund!$E:$AZ,_xlpm.rowNo,_xlpm.colNo),
IF(ISNUMBER(_xlpm.val),_xlpm.val*$H63,""))</f>
        <v/>
      </c>
      <c r="M63" s="6" t="str">
        <f>_xlfn.LET(
_xlpm.rowNo, MATCH($C63&amp;"|"&amp;
($F63+M$4),Raw_Fund!$A:$A,0),
_xlpm.colNo,
MATCH(M$3,Raw_Fund!$E$1:$AZ$1,0),
_xlpm.val,
INDEX(Raw_Fund!$E:$AZ,_xlpm.rowNo,_xlpm.colNo),
IF(ISNUMBER(_xlpm.val),_xlpm.val*$H63,""))</f>
        <v/>
      </c>
      <c r="N63" s="6" t="str">
        <f>_xlfn.LET(
_xlpm.rowNo, MATCH($C63&amp;"|"&amp;
($F63+N$4),Raw_Fund!$A:$A,0),
_xlpm.colNo,
MATCH(N$3,Raw_Fund!$E$1:$AZ$1,0),
_xlpm.val,
INDEX(Raw_Fund!$E:$AZ,_xlpm.rowNo,_xlpm.colNo),
IF(ISNUMBER(_xlpm.val),_xlpm.val*$H63,""))</f>
        <v/>
      </c>
      <c r="O63" s="6" t="str">
        <f>_xlfn.LET(
_xlpm.rowNo, MATCH($C63&amp;"|"&amp;
($F63+O$4),Raw_Fund!$A:$A,0),
_xlpm.colNo,
MATCH(O$3,Raw_Fund!$E$1:$AZ$1,0),
_xlpm.val,
INDEX(Raw_Fund!$E:$AZ,_xlpm.rowNo,_xlpm.colNo),
IF(ISNUMBER(_xlpm.val),_xlpm.val*$H63,""))</f>
        <v/>
      </c>
      <c r="P63" s="6" t="str">
        <f>_xlfn.LET(
_xlpm.rowNo, MATCH($C63&amp;"|"&amp;
($F63+P$4),Raw_Fund!$A:$A,0),
_xlpm.colNo,
MATCH(P$3,Raw_Fund!$E$1:$AZ$1,0),
_xlpm.val,
INDEX(Raw_Fund!$E:$AZ,_xlpm.rowNo,_xlpm.colNo),
IF(ISNUMBER(_xlpm.val),_xlpm.val*$H63,""))</f>
        <v/>
      </c>
      <c r="Q63" s="6" t="str">
        <f>_xlfn.LET(
_xlpm.rowNo, MATCH($C63&amp;"|"&amp;
($F63+Q$4),Raw_Fund!$A:$A,0),
_xlpm.colNo,
MATCH(Q$3,Raw_Fund!$E$1:$AZ$1,0),
_xlpm.val,
INDEX(Raw_Fund!$E:$AZ,_xlpm.rowNo,_xlpm.colNo),
IF(ISNUMBER(_xlpm.val),_xlpm.val*$H63,""))</f>
        <v/>
      </c>
      <c r="R63" s="6" t="str">
        <f>_xlfn.LET(
_xlpm.rowNo, MATCH($C63&amp;"|"&amp;
($F63+R$4),Raw_Fund!$A:$A,0),
_xlpm.colNo,
MATCH(R$3,Raw_Fund!$E$1:$AZ$1,0),
_xlpm.val,
INDEX(Raw_Fund!$E:$AZ,_xlpm.rowNo,_xlpm.colNo),
IF(ISNUMBER(_xlpm.val),_xlpm.val*$H63,""))</f>
        <v/>
      </c>
      <c r="S63" s="6" t="str">
        <f>_xlfn.LET(
_xlpm.rowNo, MATCH($C63&amp;"|"&amp;
($F63+S$4),Raw_Fund!$A:$A,0),
_xlpm.colNo,
MATCH(S$3,Raw_Fund!$E$1:$AZ$1,0),
_xlpm.val,
INDEX(Raw_Fund!$E:$AZ,_xlpm.rowNo,_xlpm.colNo),
IF(ISNUMBER(_xlpm.val),_xlpm.val*$H63,""))</f>
        <v/>
      </c>
      <c r="T63" s="6" t="str">
        <f>_xlfn.LET(
_xlpm.rowNo, MATCH($C63&amp;"|"&amp;
($F63+T$4),Raw_Fund!$A:$A,0),
_xlpm.colNo,
MATCH(T$3,Raw_Fund!$E$1:$AZ$1,0),
_xlpm.val,
INDEX(Raw_Fund!$E:$AZ,_xlpm.rowNo,_xlpm.colNo),
IF(ISNUMBER(_xlpm.val),_xlpm.val*$H63,""))</f>
        <v/>
      </c>
      <c r="U63" s="6" t="str">
        <f>_xlfn.LET(
_xlpm.rowNo, MATCH($C63&amp;"|"&amp;
($F63+U$4),Raw_Fund!$A:$A,0),
_xlpm.colNo,
MATCH(U$3,Raw_Fund!$E$1:$AZ$1,0),
_xlpm.val,
INDEX(Raw_Fund!$E:$AZ,_xlpm.rowNo,_xlpm.colNo),
IF(ISNUMBER(_xlpm.val),_xlpm.val*$H63,""))</f>
        <v/>
      </c>
      <c r="V63" s="6" t="str">
        <f>_xlfn.LET(
_xlpm.rowNo, MATCH($C63&amp;"|"&amp;
($F63+V$4),Raw_Fund!$A:$A,0),
_xlpm.colNo,
MATCH(V$3,Raw_Fund!$E$1:$AZ$1,0),
_xlpm.val,
INDEX(Raw_Fund!$E:$AZ,_xlpm.rowNo,_xlpm.colNo),
IF(ISNUMBER(_xlpm.val),_xlpm.val*$H63,""))</f>
        <v/>
      </c>
      <c r="W63" s="6" t="str">
        <f>_xlfn.LET(
_xlpm.rowNo, MATCH($C63&amp;"|"&amp;
($F63+W$4),Raw_Fund!$A:$A,0),
_xlpm.colNo,
MATCH(W$3,Raw_Fund!$E$1:$AZ$1,0),
_xlpm.val,
INDEX(Raw_Fund!$E:$AZ,_xlpm.rowNo,_xlpm.colNo),
IF(ISNUMBER(_xlpm.val),_xlpm.val*$H63,""))</f>
        <v/>
      </c>
      <c r="X63" s="6" t="str">
        <f>_xlfn.LET(
_xlpm.rowNo, MATCH($C63&amp;"|"&amp;
($F63+X$4),Raw_Fund!$A:$A,0),
_xlpm.colNo,
MATCH(X$3,Raw_Fund!$E$1:$AZ$1,0),
_xlpm.val,
INDEX(Raw_Fund!$E:$AZ,_xlpm.rowNo,_xlpm.colNo),
IF(ISNUMBER(_xlpm.val),_xlpm.val*$H63,""))</f>
        <v/>
      </c>
      <c r="Y63" s="6" t="str">
        <f>_xlfn.LET(
_xlpm.rowNo, MATCH($C63&amp;"|"&amp;
($F63+Y$4),Raw_Fund!$A:$A,0),
_xlpm.colNo,
MATCH(Y$3,Raw_Fund!$E$1:$AZ$1,0),
_xlpm.val,
INDEX(Raw_Fund!$E:$AZ,_xlpm.rowNo,_xlpm.colNo),
IF(ISNUMBER(_xlpm.val),_xlpm.val*$H63,""))</f>
        <v/>
      </c>
      <c r="Z63" s="6" t="e">
        <f>IF($E63&lt;&gt;"Include","",_xlfn.XLOOKUP($C63,Raw_Mkt!$A:$A,Raw_Mkt!$B:$B))</f>
        <v>#N/A</v>
      </c>
    </row>
    <row r="64" spans="1:26" x14ac:dyDescent="0.4">
      <c r="A64" t="str">
        <f>IF(Universe!A64&lt;&gt;"",Universe!A64,"")</f>
        <v>DNLM</v>
      </c>
      <c r="B64" t="str">
        <f>IF(Universe!B64&lt;&gt;"",Universe!B64,"")</f>
        <v>Dunelm Group</v>
      </c>
      <c r="C64" t="str">
        <f>IF(Universe!C64&lt;&gt;"",Universe!C64,"")</f>
        <v>GB00B1CKQ739</v>
      </c>
      <c r="D64" t="str">
        <f>IF(Universe!D64&lt;&gt;"",Universe!D64,"")</f>
        <v>Consumer Discretionary</v>
      </c>
      <c r="E64" t="str">
        <f>Universe!G64</f>
        <v>Include</v>
      </c>
      <c r="F64" t="str">
        <f>IF($E64&lt;&gt;"Include","",_xlfn.LET(_xlpm.latest,_xlfn.MAXIFS(Raw_Fund!$C:$C,Raw_Fund!$B:$B,Data!$C64),IF(_xlpm.latest=0,"",_xlpm.latest)))</f>
        <v/>
      </c>
      <c r="G64" t="str">
        <f>IF($F64="","",INDEX(Raw_Fund!$E:$AZ,MATCH($C64&amp;"|"&amp;$F64,Raw_Fund!$A:$A,0),MATCH(G$3,Raw_Fund!$E$1:$AZ$1,0)))</f>
        <v/>
      </c>
      <c r="H64" t="str">
        <f t="shared" si="0"/>
        <v/>
      </c>
      <c r="I64" s="6" t="str">
        <f>_xlfn.LET(
_xlpm.rowNo, MATCH($C64&amp;"|"&amp;
($F64+I$4),Raw_Fund!$A:$A,0),
_xlpm.colNo,
MATCH(I$3,Raw_Fund!$E$1:$AZ$1,0),
_xlpm.val,
INDEX(Raw_Fund!$E:$AZ,_xlpm.rowNo,_xlpm.colNo),
IF(ISNUMBER(_xlpm.val),_xlpm.val*$H64,""))</f>
        <v/>
      </c>
      <c r="J64" s="6" t="str">
        <f>_xlfn.LET(
_xlpm.rowNo, MATCH($C64&amp;"|"&amp;
($F64+J$4),Raw_Fund!$A:$A,0),
_xlpm.colNo,
MATCH(J$3,Raw_Fund!$E$1:$AZ$1,0),
_xlpm.val,
INDEX(Raw_Fund!$E:$AZ,_xlpm.rowNo,_xlpm.colNo),
IF(ISNUMBER(_xlpm.val),_xlpm.val*$H64,""))</f>
        <v/>
      </c>
      <c r="K64" s="6" t="str">
        <f>_xlfn.LET(
_xlpm.rowNo, MATCH($C64&amp;"|"&amp;
($F64+K$4),Raw_Fund!$A:$A,0),
_xlpm.colNo,
MATCH(K$3,Raw_Fund!$E$1:$AZ$1,0),
_xlpm.val,
INDEX(Raw_Fund!$E:$AZ,_xlpm.rowNo,_xlpm.colNo),
IF(ISNUMBER(_xlpm.val),_xlpm.val*$H64,""))</f>
        <v/>
      </c>
      <c r="L64" s="6" t="str">
        <f>_xlfn.LET(
_xlpm.rowNo, MATCH($C64&amp;"|"&amp;
($F64+L$4),Raw_Fund!$A:$A,0),
_xlpm.colNo,
MATCH(L$3,Raw_Fund!$E$1:$AZ$1,0),
_xlpm.val,
INDEX(Raw_Fund!$E:$AZ,_xlpm.rowNo,_xlpm.colNo),
IF(ISNUMBER(_xlpm.val),_xlpm.val*$H64,""))</f>
        <v/>
      </c>
      <c r="M64" s="6" t="str">
        <f>_xlfn.LET(
_xlpm.rowNo, MATCH($C64&amp;"|"&amp;
($F64+M$4),Raw_Fund!$A:$A,0),
_xlpm.colNo,
MATCH(M$3,Raw_Fund!$E$1:$AZ$1,0),
_xlpm.val,
INDEX(Raw_Fund!$E:$AZ,_xlpm.rowNo,_xlpm.colNo),
IF(ISNUMBER(_xlpm.val),_xlpm.val*$H64,""))</f>
        <v/>
      </c>
      <c r="N64" s="6" t="str">
        <f>_xlfn.LET(
_xlpm.rowNo, MATCH($C64&amp;"|"&amp;
($F64+N$4),Raw_Fund!$A:$A,0),
_xlpm.colNo,
MATCH(N$3,Raw_Fund!$E$1:$AZ$1,0),
_xlpm.val,
INDEX(Raw_Fund!$E:$AZ,_xlpm.rowNo,_xlpm.colNo),
IF(ISNUMBER(_xlpm.val),_xlpm.val*$H64,""))</f>
        <v/>
      </c>
      <c r="O64" s="6" t="str">
        <f>_xlfn.LET(
_xlpm.rowNo, MATCH($C64&amp;"|"&amp;
($F64+O$4),Raw_Fund!$A:$A,0),
_xlpm.colNo,
MATCH(O$3,Raw_Fund!$E$1:$AZ$1,0),
_xlpm.val,
INDEX(Raw_Fund!$E:$AZ,_xlpm.rowNo,_xlpm.colNo),
IF(ISNUMBER(_xlpm.val),_xlpm.val*$H64,""))</f>
        <v/>
      </c>
      <c r="P64" s="6" t="str">
        <f>_xlfn.LET(
_xlpm.rowNo, MATCH($C64&amp;"|"&amp;
($F64+P$4),Raw_Fund!$A:$A,0),
_xlpm.colNo,
MATCH(P$3,Raw_Fund!$E$1:$AZ$1,0),
_xlpm.val,
INDEX(Raw_Fund!$E:$AZ,_xlpm.rowNo,_xlpm.colNo),
IF(ISNUMBER(_xlpm.val),_xlpm.val*$H64,""))</f>
        <v/>
      </c>
      <c r="Q64" s="6" t="str">
        <f>_xlfn.LET(
_xlpm.rowNo, MATCH($C64&amp;"|"&amp;
($F64+Q$4),Raw_Fund!$A:$A,0),
_xlpm.colNo,
MATCH(Q$3,Raw_Fund!$E$1:$AZ$1,0),
_xlpm.val,
INDEX(Raw_Fund!$E:$AZ,_xlpm.rowNo,_xlpm.colNo),
IF(ISNUMBER(_xlpm.val),_xlpm.val*$H64,""))</f>
        <v/>
      </c>
      <c r="R64" s="6" t="str">
        <f>_xlfn.LET(
_xlpm.rowNo, MATCH($C64&amp;"|"&amp;
($F64+R$4),Raw_Fund!$A:$A,0),
_xlpm.colNo,
MATCH(R$3,Raw_Fund!$E$1:$AZ$1,0),
_xlpm.val,
INDEX(Raw_Fund!$E:$AZ,_xlpm.rowNo,_xlpm.colNo),
IF(ISNUMBER(_xlpm.val),_xlpm.val*$H64,""))</f>
        <v/>
      </c>
      <c r="S64" s="6" t="str">
        <f>_xlfn.LET(
_xlpm.rowNo, MATCH($C64&amp;"|"&amp;
($F64+S$4),Raw_Fund!$A:$A,0),
_xlpm.colNo,
MATCH(S$3,Raw_Fund!$E$1:$AZ$1,0),
_xlpm.val,
INDEX(Raw_Fund!$E:$AZ,_xlpm.rowNo,_xlpm.colNo),
IF(ISNUMBER(_xlpm.val),_xlpm.val*$H64,""))</f>
        <v/>
      </c>
      <c r="T64" s="6" t="str">
        <f>_xlfn.LET(
_xlpm.rowNo, MATCH($C64&amp;"|"&amp;
($F64+T$4),Raw_Fund!$A:$A,0),
_xlpm.colNo,
MATCH(T$3,Raw_Fund!$E$1:$AZ$1,0),
_xlpm.val,
INDEX(Raw_Fund!$E:$AZ,_xlpm.rowNo,_xlpm.colNo),
IF(ISNUMBER(_xlpm.val),_xlpm.val*$H64,""))</f>
        <v/>
      </c>
      <c r="U64" s="6" t="str">
        <f>_xlfn.LET(
_xlpm.rowNo, MATCH($C64&amp;"|"&amp;
($F64+U$4),Raw_Fund!$A:$A,0),
_xlpm.colNo,
MATCH(U$3,Raw_Fund!$E$1:$AZ$1,0),
_xlpm.val,
INDEX(Raw_Fund!$E:$AZ,_xlpm.rowNo,_xlpm.colNo),
IF(ISNUMBER(_xlpm.val),_xlpm.val*$H64,""))</f>
        <v/>
      </c>
      <c r="V64" s="6" t="str">
        <f>_xlfn.LET(
_xlpm.rowNo, MATCH($C64&amp;"|"&amp;
($F64+V$4),Raw_Fund!$A:$A,0),
_xlpm.colNo,
MATCH(V$3,Raw_Fund!$E$1:$AZ$1,0),
_xlpm.val,
INDEX(Raw_Fund!$E:$AZ,_xlpm.rowNo,_xlpm.colNo),
IF(ISNUMBER(_xlpm.val),_xlpm.val*$H64,""))</f>
        <v/>
      </c>
      <c r="W64" s="6" t="str">
        <f>_xlfn.LET(
_xlpm.rowNo, MATCH($C64&amp;"|"&amp;
($F64+W$4),Raw_Fund!$A:$A,0),
_xlpm.colNo,
MATCH(W$3,Raw_Fund!$E$1:$AZ$1,0),
_xlpm.val,
INDEX(Raw_Fund!$E:$AZ,_xlpm.rowNo,_xlpm.colNo),
IF(ISNUMBER(_xlpm.val),_xlpm.val*$H64,""))</f>
        <v/>
      </c>
      <c r="X64" s="6" t="str">
        <f>_xlfn.LET(
_xlpm.rowNo, MATCH($C64&amp;"|"&amp;
($F64+X$4),Raw_Fund!$A:$A,0),
_xlpm.colNo,
MATCH(X$3,Raw_Fund!$E$1:$AZ$1,0),
_xlpm.val,
INDEX(Raw_Fund!$E:$AZ,_xlpm.rowNo,_xlpm.colNo),
IF(ISNUMBER(_xlpm.val),_xlpm.val*$H64,""))</f>
        <v/>
      </c>
      <c r="Y64" s="6" t="str">
        <f>_xlfn.LET(
_xlpm.rowNo, MATCH($C64&amp;"|"&amp;
($F64+Y$4),Raw_Fund!$A:$A,0),
_xlpm.colNo,
MATCH(Y$3,Raw_Fund!$E$1:$AZ$1,0),
_xlpm.val,
INDEX(Raw_Fund!$E:$AZ,_xlpm.rowNo,_xlpm.colNo),
IF(ISNUMBER(_xlpm.val),_xlpm.val*$H64,""))</f>
        <v/>
      </c>
      <c r="Z64" s="6" t="e">
        <f>IF($E64&lt;&gt;"Include","",_xlfn.XLOOKUP($C64,Raw_Mkt!$A:$A,Raw_Mkt!$B:$B))</f>
        <v>#N/A</v>
      </c>
    </row>
    <row r="65" spans="1:26" x14ac:dyDescent="0.4">
      <c r="A65" t="str">
        <f>IF(Universe!A65&lt;&gt;"",Universe!A65,"")</f>
        <v>EDIN</v>
      </c>
      <c r="B65" t="str">
        <f>IF(Universe!B65&lt;&gt;"",Universe!B65,"")</f>
        <v>Edinburgh Investment Trust</v>
      </c>
      <c r="C65" t="str">
        <f>IF(Universe!C65&lt;&gt;"",Universe!C65,"")</f>
        <v>GB0003052338</v>
      </c>
      <c r="D65" t="str">
        <f>IF(Universe!D65&lt;&gt;"",Universe!D65,"")</f>
        <v>Financials</v>
      </c>
      <c r="E65" t="str">
        <f>Universe!G65</f>
        <v>Exclude</v>
      </c>
      <c r="F65" t="str">
        <f>IF($E65&lt;&gt;"Include","",_xlfn.LET(_xlpm.latest,_xlfn.MAXIFS(Raw_Fund!$C:$C,Raw_Fund!$B:$B,Data!$C65),IF(_xlpm.latest=0,"",_xlpm.latest)))</f>
        <v/>
      </c>
      <c r="G65" t="str">
        <f>IF($F65="","",INDEX(Raw_Fund!$E:$AZ,MATCH($C65&amp;"|"&amp;$F65,Raw_Fund!$A:$A,0),MATCH(G$3,Raw_Fund!$E$1:$AZ$1,0)))</f>
        <v/>
      </c>
      <c r="H65" t="str">
        <f t="shared" si="0"/>
        <v/>
      </c>
      <c r="I65" s="6" t="str">
        <f>_xlfn.LET(
_xlpm.rowNo, MATCH($C65&amp;"|"&amp;
($F65+I$4),Raw_Fund!$A:$A,0),
_xlpm.colNo,
MATCH(I$3,Raw_Fund!$E$1:$AZ$1,0),
_xlpm.val,
INDEX(Raw_Fund!$E:$AZ,_xlpm.rowNo,_xlpm.colNo),
IF(ISNUMBER(_xlpm.val),_xlpm.val*$H65,""))</f>
        <v/>
      </c>
      <c r="J65" s="6" t="str">
        <f>_xlfn.LET(
_xlpm.rowNo, MATCH($C65&amp;"|"&amp;
($F65+J$4),Raw_Fund!$A:$A,0),
_xlpm.colNo,
MATCH(J$3,Raw_Fund!$E$1:$AZ$1,0),
_xlpm.val,
INDEX(Raw_Fund!$E:$AZ,_xlpm.rowNo,_xlpm.colNo),
IF(ISNUMBER(_xlpm.val),_xlpm.val*$H65,""))</f>
        <v/>
      </c>
      <c r="K65" s="6" t="str">
        <f>_xlfn.LET(
_xlpm.rowNo, MATCH($C65&amp;"|"&amp;
($F65+K$4),Raw_Fund!$A:$A,0),
_xlpm.colNo,
MATCH(K$3,Raw_Fund!$E$1:$AZ$1,0),
_xlpm.val,
INDEX(Raw_Fund!$E:$AZ,_xlpm.rowNo,_xlpm.colNo),
IF(ISNUMBER(_xlpm.val),_xlpm.val*$H65,""))</f>
        <v/>
      </c>
      <c r="L65" s="6" t="str">
        <f>_xlfn.LET(
_xlpm.rowNo, MATCH($C65&amp;"|"&amp;
($F65+L$4),Raw_Fund!$A:$A,0),
_xlpm.colNo,
MATCH(L$3,Raw_Fund!$E$1:$AZ$1,0),
_xlpm.val,
INDEX(Raw_Fund!$E:$AZ,_xlpm.rowNo,_xlpm.colNo),
IF(ISNUMBER(_xlpm.val),_xlpm.val*$H65,""))</f>
        <v/>
      </c>
      <c r="M65" s="6" t="str">
        <f>_xlfn.LET(
_xlpm.rowNo, MATCH($C65&amp;"|"&amp;
($F65+M$4),Raw_Fund!$A:$A,0),
_xlpm.colNo,
MATCH(M$3,Raw_Fund!$E$1:$AZ$1,0),
_xlpm.val,
INDEX(Raw_Fund!$E:$AZ,_xlpm.rowNo,_xlpm.colNo),
IF(ISNUMBER(_xlpm.val),_xlpm.val*$H65,""))</f>
        <v/>
      </c>
      <c r="N65" s="6" t="str">
        <f>_xlfn.LET(
_xlpm.rowNo, MATCH($C65&amp;"|"&amp;
($F65+N$4),Raw_Fund!$A:$A,0),
_xlpm.colNo,
MATCH(N$3,Raw_Fund!$E$1:$AZ$1,0),
_xlpm.val,
INDEX(Raw_Fund!$E:$AZ,_xlpm.rowNo,_xlpm.colNo),
IF(ISNUMBER(_xlpm.val),_xlpm.val*$H65,""))</f>
        <v/>
      </c>
      <c r="O65" s="6" t="str">
        <f>_xlfn.LET(
_xlpm.rowNo, MATCH($C65&amp;"|"&amp;
($F65+O$4),Raw_Fund!$A:$A,0),
_xlpm.colNo,
MATCH(O$3,Raw_Fund!$E$1:$AZ$1,0),
_xlpm.val,
INDEX(Raw_Fund!$E:$AZ,_xlpm.rowNo,_xlpm.colNo),
IF(ISNUMBER(_xlpm.val),_xlpm.val*$H65,""))</f>
        <v/>
      </c>
      <c r="P65" s="6" t="str">
        <f>_xlfn.LET(
_xlpm.rowNo, MATCH($C65&amp;"|"&amp;
($F65+P$4),Raw_Fund!$A:$A,0),
_xlpm.colNo,
MATCH(P$3,Raw_Fund!$E$1:$AZ$1,0),
_xlpm.val,
INDEX(Raw_Fund!$E:$AZ,_xlpm.rowNo,_xlpm.colNo),
IF(ISNUMBER(_xlpm.val),_xlpm.val*$H65,""))</f>
        <v/>
      </c>
      <c r="Q65" s="6" t="str">
        <f>_xlfn.LET(
_xlpm.rowNo, MATCH($C65&amp;"|"&amp;
($F65+Q$4),Raw_Fund!$A:$A,0),
_xlpm.colNo,
MATCH(Q$3,Raw_Fund!$E$1:$AZ$1,0),
_xlpm.val,
INDEX(Raw_Fund!$E:$AZ,_xlpm.rowNo,_xlpm.colNo),
IF(ISNUMBER(_xlpm.val),_xlpm.val*$H65,""))</f>
        <v/>
      </c>
      <c r="R65" s="6" t="str">
        <f>_xlfn.LET(
_xlpm.rowNo, MATCH($C65&amp;"|"&amp;
($F65+R$4),Raw_Fund!$A:$A,0),
_xlpm.colNo,
MATCH(R$3,Raw_Fund!$E$1:$AZ$1,0),
_xlpm.val,
INDEX(Raw_Fund!$E:$AZ,_xlpm.rowNo,_xlpm.colNo),
IF(ISNUMBER(_xlpm.val),_xlpm.val*$H65,""))</f>
        <v/>
      </c>
      <c r="S65" s="6" t="str">
        <f>_xlfn.LET(
_xlpm.rowNo, MATCH($C65&amp;"|"&amp;
($F65+S$4),Raw_Fund!$A:$A,0),
_xlpm.colNo,
MATCH(S$3,Raw_Fund!$E$1:$AZ$1,0),
_xlpm.val,
INDEX(Raw_Fund!$E:$AZ,_xlpm.rowNo,_xlpm.colNo),
IF(ISNUMBER(_xlpm.val),_xlpm.val*$H65,""))</f>
        <v/>
      </c>
      <c r="T65" s="6" t="str">
        <f>_xlfn.LET(
_xlpm.rowNo, MATCH($C65&amp;"|"&amp;
($F65+T$4),Raw_Fund!$A:$A,0),
_xlpm.colNo,
MATCH(T$3,Raw_Fund!$E$1:$AZ$1,0),
_xlpm.val,
INDEX(Raw_Fund!$E:$AZ,_xlpm.rowNo,_xlpm.colNo),
IF(ISNUMBER(_xlpm.val),_xlpm.val*$H65,""))</f>
        <v/>
      </c>
      <c r="U65" s="6" t="str">
        <f>_xlfn.LET(
_xlpm.rowNo, MATCH($C65&amp;"|"&amp;
($F65+U$4),Raw_Fund!$A:$A,0),
_xlpm.colNo,
MATCH(U$3,Raw_Fund!$E$1:$AZ$1,0),
_xlpm.val,
INDEX(Raw_Fund!$E:$AZ,_xlpm.rowNo,_xlpm.colNo),
IF(ISNUMBER(_xlpm.val),_xlpm.val*$H65,""))</f>
        <v/>
      </c>
      <c r="V65" s="6" t="str">
        <f>_xlfn.LET(
_xlpm.rowNo, MATCH($C65&amp;"|"&amp;
($F65+V$4),Raw_Fund!$A:$A,0),
_xlpm.colNo,
MATCH(V$3,Raw_Fund!$E$1:$AZ$1,0),
_xlpm.val,
INDEX(Raw_Fund!$E:$AZ,_xlpm.rowNo,_xlpm.colNo),
IF(ISNUMBER(_xlpm.val),_xlpm.val*$H65,""))</f>
        <v/>
      </c>
      <c r="W65" s="6" t="str">
        <f>_xlfn.LET(
_xlpm.rowNo, MATCH($C65&amp;"|"&amp;
($F65+W$4),Raw_Fund!$A:$A,0),
_xlpm.colNo,
MATCH(W$3,Raw_Fund!$E$1:$AZ$1,0),
_xlpm.val,
INDEX(Raw_Fund!$E:$AZ,_xlpm.rowNo,_xlpm.colNo),
IF(ISNUMBER(_xlpm.val),_xlpm.val*$H65,""))</f>
        <v/>
      </c>
      <c r="X65" s="6" t="str">
        <f>_xlfn.LET(
_xlpm.rowNo, MATCH($C65&amp;"|"&amp;
($F65+X$4),Raw_Fund!$A:$A,0),
_xlpm.colNo,
MATCH(X$3,Raw_Fund!$E$1:$AZ$1,0),
_xlpm.val,
INDEX(Raw_Fund!$E:$AZ,_xlpm.rowNo,_xlpm.colNo),
IF(ISNUMBER(_xlpm.val),_xlpm.val*$H65,""))</f>
        <v/>
      </c>
      <c r="Y65" s="6" t="str">
        <f>_xlfn.LET(
_xlpm.rowNo, MATCH($C65&amp;"|"&amp;
($F65+Y$4),Raw_Fund!$A:$A,0),
_xlpm.colNo,
MATCH(Y$3,Raw_Fund!$E$1:$AZ$1,0),
_xlpm.val,
INDEX(Raw_Fund!$E:$AZ,_xlpm.rowNo,_xlpm.colNo),
IF(ISNUMBER(_xlpm.val),_xlpm.val*$H65,""))</f>
        <v/>
      </c>
      <c r="Z65" s="6" t="str">
        <f>IF($E65&lt;&gt;"Include","",_xlfn.XLOOKUP($C65,Raw_Mkt!$A:$A,Raw_Mkt!$B:$B))</f>
        <v/>
      </c>
    </row>
    <row r="66" spans="1:26" x14ac:dyDescent="0.4">
      <c r="A66" t="str">
        <f>IF(Universe!A66&lt;&gt;"",Universe!A66,"")</f>
        <v>EWI</v>
      </c>
      <c r="B66" t="str">
        <f>IF(Universe!B66&lt;&gt;"",Universe!B66,"")</f>
        <v>Edinburgh Worldwide Investment Trust</v>
      </c>
      <c r="C66" t="str">
        <f>IF(Universe!C66&lt;&gt;"",Universe!C66,"")</f>
        <v>GB00BHSRZC82</v>
      </c>
      <c r="D66" t="str">
        <f>IF(Universe!D66&lt;&gt;"",Universe!D66,"")</f>
        <v>Financials</v>
      </c>
      <c r="E66" t="str">
        <f>Universe!G66</f>
        <v>Exclude</v>
      </c>
      <c r="F66" t="str">
        <f>IF($E66&lt;&gt;"Include","",_xlfn.LET(_xlpm.latest,_xlfn.MAXIFS(Raw_Fund!$C:$C,Raw_Fund!$B:$B,Data!$C66),IF(_xlpm.latest=0,"",_xlpm.latest)))</f>
        <v/>
      </c>
      <c r="G66" t="str">
        <f>IF($F66="","",INDEX(Raw_Fund!$E:$AZ,MATCH($C66&amp;"|"&amp;$F66,Raw_Fund!$A:$A,0),MATCH(G$3,Raw_Fund!$E$1:$AZ$1,0)))</f>
        <v/>
      </c>
      <c r="H66" t="str">
        <f t="shared" si="0"/>
        <v/>
      </c>
      <c r="I66" s="6" t="str">
        <f>_xlfn.LET(
_xlpm.rowNo, MATCH($C66&amp;"|"&amp;
($F66+I$4),Raw_Fund!$A:$A,0),
_xlpm.colNo,
MATCH(I$3,Raw_Fund!$E$1:$AZ$1,0),
_xlpm.val,
INDEX(Raw_Fund!$E:$AZ,_xlpm.rowNo,_xlpm.colNo),
IF(ISNUMBER(_xlpm.val),_xlpm.val*$H66,""))</f>
        <v/>
      </c>
      <c r="J66" s="6" t="str">
        <f>_xlfn.LET(
_xlpm.rowNo, MATCH($C66&amp;"|"&amp;
($F66+J$4),Raw_Fund!$A:$A,0),
_xlpm.colNo,
MATCH(J$3,Raw_Fund!$E$1:$AZ$1,0),
_xlpm.val,
INDEX(Raw_Fund!$E:$AZ,_xlpm.rowNo,_xlpm.colNo),
IF(ISNUMBER(_xlpm.val),_xlpm.val*$H66,""))</f>
        <v/>
      </c>
      <c r="K66" s="6" t="str">
        <f>_xlfn.LET(
_xlpm.rowNo, MATCH($C66&amp;"|"&amp;
($F66+K$4),Raw_Fund!$A:$A,0),
_xlpm.colNo,
MATCH(K$3,Raw_Fund!$E$1:$AZ$1,0),
_xlpm.val,
INDEX(Raw_Fund!$E:$AZ,_xlpm.rowNo,_xlpm.colNo),
IF(ISNUMBER(_xlpm.val),_xlpm.val*$H66,""))</f>
        <v/>
      </c>
      <c r="L66" s="6" t="str">
        <f>_xlfn.LET(
_xlpm.rowNo, MATCH($C66&amp;"|"&amp;
($F66+L$4),Raw_Fund!$A:$A,0),
_xlpm.colNo,
MATCH(L$3,Raw_Fund!$E$1:$AZ$1,0),
_xlpm.val,
INDEX(Raw_Fund!$E:$AZ,_xlpm.rowNo,_xlpm.colNo),
IF(ISNUMBER(_xlpm.val),_xlpm.val*$H66,""))</f>
        <v/>
      </c>
      <c r="M66" s="6" t="str">
        <f>_xlfn.LET(
_xlpm.rowNo, MATCH($C66&amp;"|"&amp;
($F66+M$4),Raw_Fund!$A:$A,0),
_xlpm.colNo,
MATCH(M$3,Raw_Fund!$E$1:$AZ$1,0),
_xlpm.val,
INDEX(Raw_Fund!$E:$AZ,_xlpm.rowNo,_xlpm.colNo),
IF(ISNUMBER(_xlpm.val),_xlpm.val*$H66,""))</f>
        <v/>
      </c>
      <c r="N66" s="6" t="str">
        <f>_xlfn.LET(
_xlpm.rowNo, MATCH($C66&amp;"|"&amp;
($F66+N$4),Raw_Fund!$A:$A,0),
_xlpm.colNo,
MATCH(N$3,Raw_Fund!$E$1:$AZ$1,0),
_xlpm.val,
INDEX(Raw_Fund!$E:$AZ,_xlpm.rowNo,_xlpm.colNo),
IF(ISNUMBER(_xlpm.val),_xlpm.val*$H66,""))</f>
        <v/>
      </c>
      <c r="O66" s="6" t="str">
        <f>_xlfn.LET(
_xlpm.rowNo, MATCH($C66&amp;"|"&amp;
($F66+O$4),Raw_Fund!$A:$A,0),
_xlpm.colNo,
MATCH(O$3,Raw_Fund!$E$1:$AZ$1,0),
_xlpm.val,
INDEX(Raw_Fund!$E:$AZ,_xlpm.rowNo,_xlpm.colNo),
IF(ISNUMBER(_xlpm.val),_xlpm.val*$H66,""))</f>
        <v/>
      </c>
      <c r="P66" s="6" t="str">
        <f>_xlfn.LET(
_xlpm.rowNo, MATCH($C66&amp;"|"&amp;
($F66+P$4),Raw_Fund!$A:$A,0),
_xlpm.colNo,
MATCH(P$3,Raw_Fund!$E$1:$AZ$1,0),
_xlpm.val,
INDEX(Raw_Fund!$E:$AZ,_xlpm.rowNo,_xlpm.colNo),
IF(ISNUMBER(_xlpm.val),_xlpm.val*$H66,""))</f>
        <v/>
      </c>
      <c r="Q66" s="6" t="str">
        <f>_xlfn.LET(
_xlpm.rowNo, MATCH($C66&amp;"|"&amp;
($F66+Q$4),Raw_Fund!$A:$A,0),
_xlpm.colNo,
MATCH(Q$3,Raw_Fund!$E$1:$AZ$1,0),
_xlpm.val,
INDEX(Raw_Fund!$E:$AZ,_xlpm.rowNo,_xlpm.colNo),
IF(ISNUMBER(_xlpm.val),_xlpm.val*$H66,""))</f>
        <v/>
      </c>
      <c r="R66" s="6" t="str">
        <f>_xlfn.LET(
_xlpm.rowNo, MATCH($C66&amp;"|"&amp;
($F66+R$4),Raw_Fund!$A:$A,0),
_xlpm.colNo,
MATCH(R$3,Raw_Fund!$E$1:$AZ$1,0),
_xlpm.val,
INDEX(Raw_Fund!$E:$AZ,_xlpm.rowNo,_xlpm.colNo),
IF(ISNUMBER(_xlpm.val),_xlpm.val*$H66,""))</f>
        <v/>
      </c>
      <c r="S66" s="6" t="str">
        <f>_xlfn.LET(
_xlpm.rowNo, MATCH($C66&amp;"|"&amp;
($F66+S$4),Raw_Fund!$A:$A,0),
_xlpm.colNo,
MATCH(S$3,Raw_Fund!$E$1:$AZ$1,0),
_xlpm.val,
INDEX(Raw_Fund!$E:$AZ,_xlpm.rowNo,_xlpm.colNo),
IF(ISNUMBER(_xlpm.val),_xlpm.val*$H66,""))</f>
        <v/>
      </c>
      <c r="T66" s="6" t="str">
        <f>_xlfn.LET(
_xlpm.rowNo, MATCH($C66&amp;"|"&amp;
($F66+T$4),Raw_Fund!$A:$A,0),
_xlpm.colNo,
MATCH(T$3,Raw_Fund!$E$1:$AZ$1,0),
_xlpm.val,
INDEX(Raw_Fund!$E:$AZ,_xlpm.rowNo,_xlpm.colNo),
IF(ISNUMBER(_xlpm.val),_xlpm.val*$H66,""))</f>
        <v/>
      </c>
      <c r="U66" s="6" t="str">
        <f>_xlfn.LET(
_xlpm.rowNo, MATCH($C66&amp;"|"&amp;
($F66+U$4),Raw_Fund!$A:$A,0),
_xlpm.colNo,
MATCH(U$3,Raw_Fund!$E$1:$AZ$1,0),
_xlpm.val,
INDEX(Raw_Fund!$E:$AZ,_xlpm.rowNo,_xlpm.colNo),
IF(ISNUMBER(_xlpm.val),_xlpm.val*$H66,""))</f>
        <v/>
      </c>
      <c r="V66" s="6" t="str">
        <f>_xlfn.LET(
_xlpm.rowNo, MATCH($C66&amp;"|"&amp;
($F66+V$4),Raw_Fund!$A:$A,0),
_xlpm.colNo,
MATCH(V$3,Raw_Fund!$E$1:$AZ$1,0),
_xlpm.val,
INDEX(Raw_Fund!$E:$AZ,_xlpm.rowNo,_xlpm.colNo),
IF(ISNUMBER(_xlpm.val),_xlpm.val*$H66,""))</f>
        <v/>
      </c>
      <c r="W66" s="6" t="str">
        <f>_xlfn.LET(
_xlpm.rowNo, MATCH($C66&amp;"|"&amp;
($F66+W$4),Raw_Fund!$A:$A,0),
_xlpm.colNo,
MATCH(W$3,Raw_Fund!$E$1:$AZ$1,0),
_xlpm.val,
INDEX(Raw_Fund!$E:$AZ,_xlpm.rowNo,_xlpm.colNo),
IF(ISNUMBER(_xlpm.val),_xlpm.val*$H66,""))</f>
        <v/>
      </c>
      <c r="X66" s="6" t="str">
        <f>_xlfn.LET(
_xlpm.rowNo, MATCH($C66&amp;"|"&amp;
($F66+X$4),Raw_Fund!$A:$A,0),
_xlpm.colNo,
MATCH(X$3,Raw_Fund!$E$1:$AZ$1,0),
_xlpm.val,
INDEX(Raw_Fund!$E:$AZ,_xlpm.rowNo,_xlpm.colNo),
IF(ISNUMBER(_xlpm.val),_xlpm.val*$H66,""))</f>
        <v/>
      </c>
      <c r="Y66" s="6" t="str">
        <f>_xlfn.LET(
_xlpm.rowNo, MATCH($C66&amp;"|"&amp;
($F66+Y$4),Raw_Fund!$A:$A,0),
_xlpm.colNo,
MATCH(Y$3,Raw_Fund!$E$1:$AZ$1,0),
_xlpm.val,
INDEX(Raw_Fund!$E:$AZ,_xlpm.rowNo,_xlpm.colNo),
IF(ISNUMBER(_xlpm.val),_xlpm.val*$H66,""))</f>
        <v/>
      </c>
      <c r="Z66" s="6" t="str">
        <f>IF($E66&lt;&gt;"Include","",_xlfn.XLOOKUP($C66,Raw_Mkt!$A:$A,Raw_Mkt!$B:$B))</f>
        <v/>
      </c>
    </row>
    <row r="67" spans="1:26" x14ac:dyDescent="0.4">
      <c r="A67" t="str">
        <f>IF(Universe!A67&lt;&gt;"",Universe!A67,"")</f>
        <v>ELM</v>
      </c>
      <c r="B67" t="str">
        <f>IF(Universe!B67&lt;&gt;"",Universe!B67,"")</f>
        <v>Elementis</v>
      </c>
      <c r="C67" t="str">
        <f>IF(Universe!C67&lt;&gt;"",Universe!C67,"")</f>
        <v>GB0002418548</v>
      </c>
      <c r="D67" t="str">
        <f>IF(Universe!D67&lt;&gt;"",Universe!D67,"")</f>
        <v>Basic Materials</v>
      </c>
      <c r="E67" t="str">
        <f>Universe!G67</f>
        <v>Include</v>
      </c>
      <c r="F67" t="str">
        <f>IF($E67&lt;&gt;"Include","",_xlfn.LET(_xlpm.latest,_xlfn.MAXIFS(Raw_Fund!$C:$C,Raw_Fund!$B:$B,Data!$C67),IF(_xlpm.latest=0,"",_xlpm.latest)))</f>
        <v/>
      </c>
      <c r="G67" t="str">
        <f>IF($F67="","",INDEX(Raw_Fund!$E:$AZ,MATCH($C67&amp;"|"&amp;$F67,Raw_Fund!$A:$A,0),MATCH(G$3,Raw_Fund!$E$1:$AZ$1,0)))</f>
        <v/>
      </c>
      <c r="H67" t="str">
        <f t="shared" si="0"/>
        <v/>
      </c>
      <c r="I67" s="6" t="str">
        <f>_xlfn.LET(
_xlpm.rowNo, MATCH($C67&amp;"|"&amp;
($F67+I$4),Raw_Fund!$A:$A,0),
_xlpm.colNo,
MATCH(I$3,Raw_Fund!$E$1:$AZ$1,0),
_xlpm.val,
INDEX(Raw_Fund!$E:$AZ,_xlpm.rowNo,_xlpm.colNo),
IF(ISNUMBER(_xlpm.val),_xlpm.val*$H67,""))</f>
        <v/>
      </c>
      <c r="J67" s="6" t="str">
        <f>_xlfn.LET(
_xlpm.rowNo, MATCH($C67&amp;"|"&amp;
($F67+J$4),Raw_Fund!$A:$A,0),
_xlpm.colNo,
MATCH(J$3,Raw_Fund!$E$1:$AZ$1,0),
_xlpm.val,
INDEX(Raw_Fund!$E:$AZ,_xlpm.rowNo,_xlpm.colNo),
IF(ISNUMBER(_xlpm.val),_xlpm.val*$H67,""))</f>
        <v/>
      </c>
      <c r="K67" s="6" t="str">
        <f>_xlfn.LET(
_xlpm.rowNo, MATCH($C67&amp;"|"&amp;
($F67+K$4),Raw_Fund!$A:$A,0),
_xlpm.colNo,
MATCH(K$3,Raw_Fund!$E$1:$AZ$1,0),
_xlpm.val,
INDEX(Raw_Fund!$E:$AZ,_xlpm.rowNo,_xlpm.colNo),
IF(ISNUMBER(_xlpm.val),_xlpm.val*$H67,""))</f>
        <v/>
      </c>
      <c r="L67" s="6" t="str">
        <f>_xlfn.LET(
_xlpm.rowNo, MATCH($C67&amp;"|"&amp;
($F67+L$4),Raw_Fund!$A:$A,0),
_xlpm.colNo,
MATCH(L$3,Raw_Fund!$E$1:$AZ$1,0),
_xlpm.val,
INDEX(Raw_Fund!$E:$AZ,_xlpm.rowNo,_xlpm.colNo),
IF(ISNUMBER(_xlpm.val),_xlpm.val*$H67,""))</f>
        <v/>
      </c>
      <c r="M67" s="6" t="str">
        <f>_xlfn.LET(
_xlpm.rowNo, MATCH($C67&amp;"|"&amp;
($F67+M$4),Raw_Fund!$A:$A,0),
_xlpm.colNo,
MATCH(M$3,Raw_Fund!$E$1:$AZ$1,0),
_xlpm.val,
INDEX(Raw_Fund!$E:$AZ,_xlpm.rowNo,_xlpm.colNo),
IF(ISNUMBER(_xlpm.val),_xlpm.val*$H67,""))</f>
        <v/>
      </c>
      <c r="N67" s="6" t="str">
        <f>_xlfn.LET(
_xlpm.rowNo, MATCH($C67&amp;"|"&amp;
($F67+N$4),Raw_Fund!$A:$A,0),
_xlpm.colNo,
MATCH(N$3,Raw_Fund!$E$1:$AZ$1,0),
_xlpm.val,
INDEX(Raw_Fund!$E:$AZ,_xlpm.rowNo,_xlpm.colNo),
IF(ISNUMBER(_xlpm.val),_xlpm.val*$H67,""))</f>
        <v/>
      </c>
      <c r="O67" s="6" t="str">
        <f>_xlfn.LET(
_xlpm.rowNo, MATCH($C67&amp;"|"&amp;
($F67+O$4),Raw_Fund!$A:$A,0),
_xlpm.colNo,
MATCH(O$3,Raw_Fund!$E$1:$AZ$1,0),
_xlpm.val,
INDEX(Raw_Fund!$E:$AZ,_xlpm.rowNo,_xlpm.colNo),
IF(ISNUMBER(_xlpm.val),_xlpm.val*$H67,""))</f>
        <v/>
      </c>
      <c r="P67" s="6" t="str">
        <f>_xlfn.LET(
_xlpm.rowNo, MATCH($C67&amp;"|"&amp;
($F67+P$4),Raw_Fund!$A:$A,0),
_xlpm.colNo,
MATCH(P$3,Raw_Fund!$E$1:$AZ$1,0),
_xlpm.val,
INDEX(Raw_Fund!$E:$AZ,_xlpm.rowNo,_xlpm.colNo),
IF(ISNUMBER(_xlpm.val),_xlpm.val*$H67,""))</f>
        <v/>
      </c>
      <c r="Q67" s="6" t="str">
        <f>_xlfn.LET(
_xlpm.rowNo, MATCH($C67&amp;"|"&amp;
($F67+Q$4),Raw_Fund!$A:$A,0),
_xlpm.colNo,
MATCH(Q$3,Raw_Fund!$E$1:$AZ$1,0),
_xlpm.val,
INDEX(Raw_Fund!$E:$AZ,_xlpm.rowNo,_xlpm.colNo),
IF(ISNUMBER(_xlpm.val),_xlpm.val*$H67,""))</f>
        <v/>
      </c>
      <c r="R67" s="6" t="str">
        <f>_xlfn.LET(
_xlpm.rowNo, MATCH($C67&amp;"|"&amp;
($F67+R$4),Raw_Fund!$A:$A,0),
_xlpm.colNo,
MATCH(R$3,Raw_Fund!$E$1:$AZ$1,0),
_xlpm.val,
INDEX(Raw_Fund!$E:$AZ,_xlpm.rowNo,_xlpm.colNo),
IF(ISNUMBER(_xlpm.val),_xlpm.val*$H67,""))</f>
        <v/>
      </c>
      <c r="S67" s="6" t="str">
        <f>_xlfn.LET(
_xlpm.rowNo, MATCH($C67&amp;"|"&amp;
($F67+S$4),Raw_Fund!$A:$A,0),
_xlpm.colNo,
MATCH(S$3,Raw_Fund!$E$1:$AZ$1,0),
_xlpm.val,
INDEX(Raw_Fund!$E:$AZ,_xlpm.rowNo,_xlpm.colNo),
IF(ISNUMBER(_xlpm.val),_xlpm.val*$H67,""))</f>
        <v/>
      </c>
      <c r="T67" s="6" t="str">
        <f>_xlfn.LET(
_xlpm.rowNo, MATCH($C67&amp;"|"&amp;
($F67+T$4),Raw_Fund!$A:$A,0),
_xlpm.colNo,
MATCH(T$3,Raw_Fund!$E$1:$AZ$1,0),
_xlpm.val,
INDEX(Raw_Fund!$E:$AZ,_xlpm.rowNo,_xlpm.colNo),
IF(ISNUMBER(_xlpm.val),_xlpm.val*$H67,""))</f>
        <v/>
      </c>
      <c r="U67" s="6" t="str">
        <f>_xlfn.LET(
_xlpm.rowNo, MATCH($C67&amp;"|"&amp;
($F67+U$4),Raw_Fund!$A:$A,0),
_xlpm.colNo,
MATCH(U$3,Raw_Fund!$E$1:$AZ$1,0),
_xlpm.val,
INDEX(Raw_Fund!$E:$AZ,_xlpm.rowNo,_xlpm.colNo),
IF(ISNUMBER(_xlpm.val),_xlpm.val*$H67,""))</f>
        <v/>
      </c>
      <c r="V67" s="6" t="str">
        <f>_xlfn.LET(
_xlpm.rowNo, MATCH($C67&amp;"|"&amp;
($F67+V$4),Raw_Fund!$A:$A,0),
_xlpm.colNo,
MATCH(V$3,Raw_Fund!$E$1:$AZ$1,0),
_xlpm.val,
INDEX(Raw_Fund!$E:$AZ,_xlpm.rowNo,_xlpm.colNo),
IF(ISNUMBER(_xlpm.val),_xlpm.val*$H67,""))</f>
        <v/>
      </c>
      <c r="W67" s="6" t="str">
        <f>_xlfn.LET(
_xlpm.rowNo, MATCH($C67&amp;"|"&amp;
($F67+W$4),Raw_Fund!$A:$A,0),
_xlpm.colNo,
MATCH(W$3,Raw_Fund!$E$1:$AZ$1,0),
_xlpm.val,
INDEX(Raw_Fund!$E:$AZ,_xlpm.rowNo,_xlpm.colNo),
IF(ISNUMBER(_xlpm.val),_xlpm.val*$H67,""))</f>
        <v/>
      </c>
      <c r="X67" s="6" t="str">
        <f>_xlfn.LET(
_xlpm.rowNo, MATCH($C67&amp;"|"&amp;
($F67+X$4),Raw_Fund!$A:$A,0),
_xlpm.colNo,
MATCH(X$3,Raw_Fund!$E$1:$AZ$1,0),
_xlpm.val,
INDEX(Raw_Fund!$E:$AZ,_xlpm.rowNo,_xlpm.colNo),
IF(ISNUMBER(_xlpm.val),_xlpm.val*$H67,""))</f>
        <v/>
      </c>
      <c r="Y67" s="6" t="str">
        <f>_xlfn.LET(
_xlpm.rowNo, MATCH($C67&amp;"|"&amp;
($F67+Y$4),Raw_Fund!$A:$A,0),
_xlpm.colNo,
MATCH(Y$3,Raw_Fund!$E$1:$AZ$1,0),
_xlpm.val,
INDEX(Raw_Fund!$E:$AZ,_xlpm.rowNo,_xlpm.colNo),
IF(ISNUMBER(_xlpm.val),_xlpm.val*$H67,""))</f>
        <v/>
      </c>
      <c r="Z67" s="6" t="e">
        <f>IF($E67&lt;&gt;"Include","",_xlfn.XLOOKUP($C67,Raw_Mkt!$A:$A,Raw_Mkt!$B:$B))</f>
        <v>#N/A</v>
      </c>
    </row>
    <row r="68" spans="1:26" x14ac:dyDescent="0.4">
      <c r="A68" t="str">
        <f>IF(Universe!A68&lt;&gt;"",Universe!A68,"")</f>
        <v>ENOG</v>
      </c>
      <c r="B68" t="str">
        <f>IF(Universe!B68&lt;&gt;"",Universe!B68,"")</f>
        <v>Energean</v>
      </c>
      <c r="C68" t="str">
        <f>IF(Universe!C68&lt;&gt;"",Universe!C68,"")</f>
        <v>GB00BG12Y042</v>
      </c>
      <c r="D68" t="str">
        <f>IF(Universe!D68&lt;&gt;"",Universe!D68,"")</f>
        <v>Energy</v>
      </c>
      <c r="E68" t="str">
        <f>Universe!G68</f>
        <v>Include</v>
      </c>
      <c r="F68" t="str">
        <f>IF($E68&lt;&gt;"Include","",_xlfn.LET(_xlpm.latest,_xlfn.MAXIFS(Raw_Fund!$C:$C,Raw_Fund!$B:$B,Data!$C68),IF(_xlpm.latest=0,"",_xlpm.latest)))</f>
        <v/>
      </c>
      <c r="G68" t="str">
        <f>IF($F68="","",INDEX(Raw_Fund!$E:$AZ,MATCH($C68&amp;"|"&amp;$F68,Raw_Fund!$A:$A,0),MATCH(G$3,Raw_Fund!$E$1:$AZ$1,0)))</f>
        <v/>
      </c>
      <c r="H68" t="str">
        <f t="shared" si="0"/>
        <v/>
      </c>
      <c r="I68" s="6" t="str">
        <f>_xlfn.LET(
_xlpm.rowNo, MATCH($C68&amp;"|"&amp;
($F68+I$4),Raw_Fund!$A:$A,0),
_xlpm.colNo,
MATCH(I$3,Raw_Fund!$E$1:$AZ$1,0),
_xlpm.val,
INDEX(Raw_Fund!$E:$AZ,_xlpm.rowNo,_xlpm.colNo),
IF(ISNUMBER(_xlpm.val),_xlpm.val*$H68,""))</f>
        <v/>
      </c>
      <c r="J68" s="6" t="str">
        <f>_xlfn.LET(
_xlpm.rowNo, MATCH($C68&amp;"|"&amp;
($F68+J$4),Raw_Fund!$A:$A,0),
_xlpm.colNo,
MATCH(J$3,Raw_Fund!$E$1:$AZ$1,0),
_xlpm.val,
INDEX(Raw_Fund!$E:$AZ,_xlpm.rowNo,_xlpm.colNo),
IF(ISNUMBER(_xlpm.val),_xlpm.val*$H68,""))</f>
        <v/>
      </c>
      <c r="K68" s="6" t="str">
        <f>_xlfn.LET(
_xlpm.rowNo, MATCH($C68&amp;"|"&amp;
($F68+K$4),Raw_Fund!$A:$A,0),
_xlpm.colNo,
MATCH(K$3,Raw_Fund!$E$1:$AZ$1,0),
_xlpm.val,
INDEX(Raw_Fund!$E:$AZ,_xlpm.rowNo,_xlpm.colNo),
IF(ISNUMBER(_xlpm.val),_xlpm.val*$H68,""))</f>
        <v/>
      </c>
      <c r="L68" s="6" t="str">
        <f>_xlfn.LET(
_xlpm.rowNo, MATCH($C68&amp;"|"&amp;
($F68+L$4),Raw_Fund!$A:$A,0),
_xlpm.colNo,
MATCH(L$3,Raw_Fund!$E$1:$AZ$1,0),
_xlpm.val,
INDEX(Raw_Fund!$E:$AZ,_xlpm.rowNo,_xlpm.colNo),
IF(ISNUMBER(_xlpm.val),_xlpm.val*$H68,""))</f>
        <v/>
      </c>
      <c r="M68" s="6" t="str">
        <f>_xlfn.LET(
_xlpm.rowNo, MATCH($C68&amp;"|"&amp;
($F68+M$4),Raw_Fund!$A:$A,0),
_xlpm.colNo,
MATCH(M$3,Raw_Fund!$E$1:$AZ$1,0),
_xlpm.val,
INDEX(Raw_Fund!$E:$AZ,_xlpm.rowNo,_xlpm.colNo),
IF(ISNUMBER(_xlpm.val),_xlpm.val*$H68,""))</f>
        <v/>
      </c>
      <c r="N68" s="6" t="str">
        <f>_xlfn.LET(
_xlpm.rowNo, MATCH($C68&amp;"|"&amp;
($F68+N$4),Raw_Fund!$A:$A,0),
_xlpm.colNo,
MATCH(N$3,Raw_Fund!$E$1:$AZ$1,0),
_xlpm.val,
INDEX(Raw_Fund!$E:$AZ,_xlpm.rowNo,_xlpm.colNo),
IF(ISNUMBER(_xlpm.val),_xlpm.val*$H68,""))</f>
        <v/>
      </c>
      <c r="O68" s="6" t="str">
        <f>_xlfn.LET(
_xlpm.rowNo, MATCH($C68&amp;"|"&amp;
($F68+O$4),Raw_Fund!$A:$A,0),
_xlpm.colNo,
MATCH(O$3,Raw_Fund!$E$1:$AZ$1,0),
_xlpm.val,
INDEX(Raw_Fund!$E:$AZ,_xlpm.rowNo,_xlpm.colNo),
IF(ISNUMBER(_xlpm.val),_xlpm.val*$H68,""))</f>
        <v/>
      </c>
      <c r="P68" s="6" t="str">
        <f>_xlfn.LET(
_xlpm.rowNo, MATCH($C68&amp;"|"&amp;
($F68+P$4),Raw_Fund!$A:$A,0),
_xlpm.colNo,
MATCH(P$3,Raw_Fund!$E$1:$AZ$1,0),
_xlpm.val,
INDEX(Raw_Fund!$E:$AZ,_xlpm.rowNo,_xlpm.colNo),
IF(ISNUMBER(_xlpm.val),_xlpm.val*$H68,""))</f>
        <v/>
      </c>
      <c r="Q68" s="6" t="str">
        <f>_xlfn.LET(
_xlpm.rowNo, MATCH($C68&amp;"|"&amp;
($F68+Q$4),Raw_Fund!$A:$A,0),
_xlpm.colNo,
MATCH(Q$3,Raw_Fund!$E$1:$AZ$1,0),
_xlpm.val,
INDEX(Raw_Fund!$E:$AZ,_xlpm.rowNo,_xlpm.colNo),
IF(ISNUMBER(_xlpm.val),_xlpm.val*$H68,""))</f>
        <v/>
      </c>
      <c r="R68" s="6" t="str">
        <f>_xlfn.LET(
_xlpm.rowNo, MATCH($C68&amp;"|"&amp;
($F68+R$4),Raw_Fund!$A:$A,0),
_xlpm.colNo,
MATCH(R$3,Raw_Fund!$E$1:$AZ$1,0),
_xlpm.val,
INDEX(Raw_Fund!$E:$AZ,_xlpm.rowNo,_xlpm.colNo),
IF(ISNUMBER(_xlpm.val),_xlpm.val*$H68,""))</f>
        <v/>
      </c>
      <c r="S68" s="6" t="str">
        <f>_xlfn.LET(
_xlpm.rowNo, MATCH($C68&amp;"|"&amp;
($F68+S$4),Raw_Fund!$A:$A,0),
_xlpm.colNo,
MATCH(S$3,Raw_Fund!$E$1:$AZ$1,0),
_xlpm.val,
INDEX(Raw_Fund!$E:$AZ,_xlpm.rowNo,_xlpm.colNo),
IF(ISNUMBER(_xlpm.val),_xlpm.val*$H68,""))</f>
        <v/>
      </c>
      <c r="T68" s="6" t="str">
        <f>_xlfn.LET(
_xlpm.rowNo, MATCH($C68&amp;"|"&amp;
($F68+T$4),Raw_Fund!$A:$A,0),
_xlpm.colNo,
MATCH(T$3,Raw_Fund!$E$1:$AZ$1,0),
_xlpm.val,
INDEX(Raw_Fund!$E:$AZ,_xlpm.rowNo,_xlpm.colNo),
IF(ISNUMBER(_xlpm.val),_xlpm.val*$H68,""))</f>
        <v/>
      </c>
      <c r="U68" s="6" t="str">
        <f>_xlfn.LET(
_xlpm.rowNo, MATCH($C68&amp;"|"&amp;
($F68+U$4),Raw_Fund!$A:$A,0),
_xlpm.colNo,
MATCH(U$3,Raw_Fund!$E$1:$AZ$1,0),
_xlpm.val,
INDEX(Raw_Fund!$E:$AZ,_xlpm.rowNo,_xlpm.colNo),
IF(ISNUMBER(_xlpm.val),_xlpm.val*$H68,""))</f>
        <v/>
      </c>
      <c r="V68" s="6" t="str">
        <f>_xlfn.LET(
_xlpm.rowNo, MATCH($C68&amp;"|"&amp;
($F68+V$4),Raw_Fund!$A:$A,0),
_xlpm.colNo,
MATCH(V$3,Raw_Fund!$E$1:$AZ$1,0),
_xlpm.val,
INDEX(Raw_Fund!$E:$AZ,_xlpm.rowNo,_xlpm.colNo),
IF(ISNUMBER(_xlpm.val),_xlpm.val*$H68,""))</f>
        <v/>
      </c>
      <c r="W68" s="6" t="str">
        <f>_xlfn.LET(
_xlpm.rowNo, MATCH($C68&amp;"|"&amp;
($F68+W$4),Raw_Fund!$A:$A,0),
_xlpm.colNo,
MATCH(W$3,Raw_Fund!$E$1:$AZ$1,0),
_xlpm.val,
INDEX(Raw_Fund!$E:$AZ,_xlpm.rowNo,_xlpm.colNo),
IF(ISNUMBER(_xlpm.val),_xlpm.val*$H68,""))</f>
        <v/>
      </c>
      <c r="X68" s="6" t="str">
        <f>_xlfn.LET(
_xlpm.rowNo, MATCH($C68&amp;"|"&amp;
($F68+X$4),Raw_Fund!$A:$A,0),
_xlpm.colNo,
MATCH(X$3,Raw_Fund!$E$1:$AZ$1,0),
_xlpm.val,
INDEX(Raw_Fund!$E:$AZ,_xlpm.rowNo,_xlpm.colNo),
IF(ISNUMBER(_xlpm.val),_xlpm.val*$H68,""))</f>
        <v/>
      </c>
      <c r="Y68" s="6" t="str">
        <f>_xlfn.LET(
_xlpm.rowNo, MATCH($C68&amp;"|"&amp;
($F68+Y$4),Raw_Fund!$A:$A,0),
_xlpm.colNo,
MATCH(Y$3,Raw_Fund!$E$1:$AZ$1,0),
_xlpm.val,
INDEX(Raw_Fund!$E:$AZ,_xlpm.rowNo,_xlpm.colNo),
IF(ISNUMBER(_xlpm.val),_xlpm.val*$H68,""))</f>
        <v/>
      </c>
      <c r="Z68" s="6" t="e">
        <f>IF($E68&lt;&gt;"Include","",_xlfn.XLOOKUP($C68,Raw_Mkt!$A:$A,Raw_Mkt!$B:$B))</f>
        <v>#N/A</v>
      </c>
    </row>
    <row r="69" spans="1:26" x14ac:dyDescent="0.4">
      <c r="A69" t="str">
        <f>IF(Universe!A69&lt;&gt;"",Universe!A69,"")</f>
        <v>ENT</v>
      </c>
      <c r="B69" t="str">
        <f>IF(Universe!B69&lt;&gt;"",Universe!B69,"")</f>
        <v>Entain</v>
      </c>
      <c r="C69" t="str">
        <f>IF(Universe!C69&lt;&gt;"",Universe!C69,"")</f>
        <v>IM00B5VQMV65</v>
      </c>
      <c r="D69" t="str">
        <f>IF(Universe!D69&lt;&gt;"",Universe!D69,"")</f>
        <v>Consumer Discretionary</v>
      </c>
      <c r="E69" t="str">
        <f>Universe!G69</f>
        <v>Include</v>
      </c>
      <c r="F69" t="str">
        <f>IF($E69&lt;&gt;"Include","",_xlfn.LET(_xlpm.latest,_xlfn.MAXIFS(Raw_Fund!$C:$C,Raw_Fund!$B:$B,Data!$C69),IF(_xlpm.latest=0,"",_xlpm.latest)))</f>
        <v/>
      </c>
      <c r="G69" t="str">
        <f>IF($F69="","",INDEX(Raw_Fund!$E:$AZ,MATCH($C69&amp;"|"&amp;$F69,Raw_Fund!$A:$A,0),MATCH(G$3,Raw_Fund!$E$1:$AZ$1,0)))</f>
        <v/>
      </c>
      <c r="H69" t="str">
        <f t="shared" si="0"/>
        <v/>
      </c>
      <c r="I69" s="6" t="str">
        <f>_xlfn.LET(
_xlpm.rowNo, MATCH($C69&amp;"|"&amp;
($F69+I$4),Raw_Fund!$A:$A,0),
_xlpm.colNo,
MATCH(I$3,Raw_Fund!$E$1:$AZ$1,0),
_xlpm.val,
INDEX(Raw_Fund!$E:$AZ,_xlpm.rowNo,_xlpm.colNo),
IF(ISNUMBER(_xlpm.val),_xlpm.val*$H69,""))</f>
        <v/>
      </c>
      <c r="J69" s="6" t="str">
        <f>_xlfn.LET(
_xlpm.rowNo, MATCH($C69&amp;"|"&amp;
($F69+J$4),Raw_Fund!$A:$A,0),
_xlpm.colNo,
MATCH(J$3,Raw_Fund!$E$1:$AZ$1,0),
_xlpm.val,
INDEX(Raw_Fund!$E:$AZ,_xlpm.rowNo,_xlpm.colNo),
IF(ISNUMBER(_xlpm.val),_xlpm.val*$H69,""))</f>
        <v/>
      </c>
      <c r="K69" s="6" t="str">
        <f>_xlfn.LET(
_xlpm.rowNo, MATCH($C69&amp;"|"&amp;
($F69+K$4),Raw_Fund!$A:$A,0),
_xlpm.colNo,
MATCH(K$3,Raw_Fund!$E$1:$AZ$1,0),
_xlpm.val,
INDEX(Raw_Fund!$E:$AZ,_xlpm.rowNo,_xlpm.colNo),
IF(ISNUMBER(_xlpm.val),_xlpm.val*$H69,""))</f>
        <v/>
      </c>
      <c r="L69" s="6" t="str">
        <f>_xlfn.LET(
_xlpm.rowNo, MATCH($C69&amp;"|"&amp;
($F69+L$4),Raw_Fund!$A:$A,0),
_xlpm.colNo,
MATCH(L$3,Raw_Fund!$E$1:$AZ$1,0),
_xlpm.val,
INDEX(Raw_Fund!$E:$AZ,_xlpm.rowNo,_xlpm.colNo),
IF(ISNUMBER(_xlpm.val),_xlpm.val*$H69,""))</f>
        <v/>
      </c>
      <c r="M69" s="6" t="str">
        <f>_xlfn.LET(
_xlpm.rowNo, MATCH($C69&amp;"|"&amp;
($F69+M$4),Raw_Fund!$A:$A,0),
_xlpm.colNo,
MATCH(M$3,Raw_Fund!$E$1:$AZ$1,0),
_xlpm.val,
INDEX(Raw_Fund!$E:$AZ,_xlpm.rowNo,_xlpm.colNo),
IF(ISNUMBER(_xlpm.val),_xlpm.val*$H69,""))</f>
        <v/>
      </c>
      <c r="N69" s="6" t="str">
        <f>_xlfn.LET(
_xlpm.rowNo, MATCH($C69&amp;"|"&amp;
($F69+N$4),Raw_Fund!$A:$A,0),
_xlpm.colNo,
MATCH(N$3,Raw_Fund!$E$1:$AZ$1,0),
_xlpm.val,
INDEX(Raw_Fund!$E:$AZ,_xlpm.rowNo,_xlpm.colNo),
IF(ISNUMBER(_xlpm.val),_xlpm.val*$H69,""))</f>
        <v/>
      </c>
      <c r="O69" s="6" t="str">
        <f>_xlfn.LET(
_xlpm.rowNo, MATCH($C69&amp;"|"&amp;
($F69+O$4),Raw_Fund!$A:$A,0),
_xlpm.colNo,
MATCH(O$3,Raw_Fund!$E$1:$AZ$1,0),
_xlpm.val,
INDEX(Raw_Fund!$E:$AZ,_xlpm.rowNo,_xlpm.colNo),
IF(ISNUMBER(_xlpm.val),_xlpm.val*$H69,""))</f>
        <v/>
      </c>
      <c r="P69" s="6" t="str">
        <f>_xlfn.LET(
_xlpm.rowNo, MATCH($C69&amp;"|"&amp;
($F69+P$4),Raw_Fund!$A:$A,0),
_xlpm.colNo,
MATCH(P$3,Raw_Fund!$E$1:$AZ$1,0),
_xlpm.val,
INDEX(Raw_Fund!$E:$AZ,_xlpm.rowNo,_xlpm.colNo),
IF(ISNUMBER(_xlpm.val),_xlpm.val*$H69,""))</f>
        <v/>
      </c>
      <c r="Q69" s="6" t="str">
        <f>_xlfn.LET(
_xlpm.rowNo, MATCH($C69&amp;"|"&amp;
($F69+Q$4),Raw_Fund!$A:$A,0),
_xlpm.colNo,
MATCH(Q$3,Raw_Fund!$E$1:$AZ$1,0),
_xlpm.val,
INDEX(Raw_Fund!$E:$AZ,_xlpm.rowNo,_xlpm.colNo),
IF(ISNUMBER(_xlpm.val),_xlpm.val*$H69,""))</f>
        <v/>
      </c>
      <c r="R69" s="6" t="str">
        <f>_xlfn.LET(
_xlpm.rowNo, MATCH($C69&amp;"|"&amp;
($F69+R$4),Raw_Fund!$A:$A,0),
_xlpm.colNo,
MATCH(R$3,Raw_Fund!$E$1:$AZ$1,0),
_xlpm.val,
INDEX(Raw_Fund!$E:$AZ,_xlpm.rowNo,_xlpm.colNo),
IF(ISNUMBER(_xlpm.val),_xlpm.val*$H69,""))</f>
        <v/>
      </c>
      <c r="S69" s="6" t="str">
        <f>_xlfn.LET(
_xlpm.rowNo, MATCH($C69&amp;"|"&amp;
($F69+S$4),Raw_Fund!$A:$A,0),
_xlpm.colNo,
MATCH(S$3,Raw_Fund!$E$1:$AZ$1,0),
_xlpm.val,
INDEX(Raw_Fund!$E:$AZ,_xlpm.rowNo,_xlpm.colNo),
IF(ISNUMBER(_xlpm.val),_xlpm.val*$H69,""))</f>
        <v/>
      </c>
      <c r="T69" s="6" t="str">
        <f>_xlfn.LET(
_xlpm.rowNo, MATCH($C69&amp;"|"&amp;
($F69+T$4),Raw_Fund!$A:$A,0),
_xlpm.colNo,
MATCH(T$3,Raw_Fund!$E$1:$AZ$1,0),
_xlpm.val,
INDEX(Raw_Fund!$E:$AZ,_xlpm.rowNo,_xlpm.colNo),
IF(ISNUMBER(_xlpm.val),_xlpm.val*$H69,""))</f>
        <v/>
      </c>
      <c r="U69" s="6" t="str">
        <f>_xlfn.LET(
_xlpm.rowNo, MATCH($C69&amp;"|"&amp;
($F69+U$4),Raw_Fund!$A:$A,0),
_xlpm.colNo,
MATCH(U$3,Raw_Fund!$E$1:$AZ$1,0),
_xlpm.val,
INDEX(Raw_Fund!$E:$AZ,_xlpm.rowNo,_xlpm.colNo),
IF(ISNUMBER(_xlpm.val),_xlpm.val*$H69,""))</f>
        <v/>
      </c>
      <c r="V69" s="6" t="str">
        <f>_xlfn.LET(
_xlpm.rowNo, MATCH($C69&amp;"|"&amp;
($F69+V$4),Raw_Fund!$A:$A,0),
_xlpm.colNo,
MATCH(V$3,Raw_Fund!$E$1:$AZ$1,0),
_xlpm.val,
INDEX(Raw_Fund!$E:$AZ,_xlpm.rowNo,_xlpm.colNo),
IF(ISNUMBER(_xlpm.val),_xlpm.val*$H69,""))</f>
        <v/>
      </c>
      <c r="W69" s="6" t="str">
        <f>_xlfn.LET(
_xlpm.rowNo, MATCH($C69&amp;"|"&amp;
($F69+W$4),Raw_Fund!$A:$A,0),
_xlpm.colNo,
MATCH(W$3,Raw_Fund!$E$1:$AZ$1,0),
_xlpm.val,
INDEX(Raw_Fund!$E:$AZ,_xlpm.rowNo,_xlpm.colNo),
IF(ISNUMBER(_xlpm.val),_xlpm.val*$H69,""))</f>
        <v/>
      </c>
      <c r="X69" s="6" t="str">
        <f>_xlfn.LET(
_xlpm.rowNo, MATCH($C69&amp;"|"&amp;
($F69+X$4),Raw_Fund!$A:$A,0),
_xlpm.colNo,
MATCH(X$3,Raw_Fund!$E$1:$AZ$1,0),
_xlpm.val,
INDEX(Raw_Fund!$E:$AZ,_xlpm.rowNo,_xlpm.colNo),
IF(ISNUMBER(_xlpm.val),_xlpm.val*$H69,""))</f>
        <v/>
      </c>
      <c r="Y69" s="6" t="str">
        <f>_xlfn.LET(
_xlpm.rowNo, MATCH($C69&amp;"|"&amp;
($F69+Y$4),Raw_Fund!$A:$A,0),
_xlpm.colNo,
MATCH(Y$3,Raw_Fund!$E$1:$AZ$1,0),
_xlpm.val,
INDEX(Raw_Fund!$E:$AZ,_xlpm.rowNo,_xlpm.colNo),
IF(ISNUMBER(_xlpm.val),_xlpm.val*$H69,""))</f>
        <v/>
      </c>
      <c r="Z69" s="6" t="e">
        <f>IF($E69&lt;&gt;"Include","",_xlfn.XLOOKUP($C69,Raw_Mkt!$A:$A,Raw_Mkt!$B:$B))</f>
        <v>#N/A</v>
      </c>
    </row>
    <row r="70" spans="1:26" x14ac:dyDescent="0.4">
      <c r="A70" t="str">
        <f>IF(Universe!A70&lt;&gt;"",Universe!A70,"")</f>
        <v>ESCT</v>
      </c>
      <c r="B70" t="str">
        <f>IF(Universe!B70&lt;&gt;"",Universe!B70,"")</f>
        <v>European Smaller Companies Trust</v>
      </c>
      <c r="C70" t="str">
        <f>IF(Universe!C70&lt;&gt;"",Universe!C70,"")</f>
        <v>GB00BMCF8689</v>
      </c>
      <c r="D70" t="str">
        <f>IF(Universe!D70&lt;&gt;"",Universe!D70,"")</f>
        <v>Financials</v>
      </c>
      <c r="E70" t="str">
        <f>Universe!G70</f>
        <v>Exclude</v>
      </c>
      <c r="F70" t="str">
        <f>IF($E70&lt;&gt;"Include","",_xlfn.LET(_xlpm.latest,_xlfn.MAXIFS(Raw_Fund!$C:$C,Raw_Fund!$B:$B,Data!$C70),IF(_xlpm.latest=0,"",_xlpm.latest)))</f>
        <v/>
      </c>
      <c r="G70" t="str">
        <f>IF($F70="","",INDEX(Raw_Fund!$E:$AZ,MATCH($C70&amp;"|"&amp;$F70,Raw_Fund!$A:$A,0),MATCH(G$3,Raw_Fund!$E$1:$AZ$1,0)))</f>
        <v/>
      </c>
      <c r="H70" t="str">
        <f t="shared" ref="H70:H133" si="1">IF($G70="","",_xlfn.XLOOKUP($G70,FX_Ccy,FX_Rate,"Missing FX"))</f>
        <v/>
      </c>
      <c r="I70" s="6" t="str">
        <f>_xlfn.LET(
_xlpm.rowNo, MATCH($C70&amp;"|"&amp;
($F70+I$4),Raw_Fund!$A:$A,0),
_xlpm.colNo,
MATCH(I$3,Raw_Fund!$E$1:$AZ$1,0),
_xlpm.val,
INDEX(Raw_Fund!$E:$AZ,_xlpm.rowNo,_xlpm.colNo),
IF(ISNUMBER(_xlpm.val),_xlpm.val*$H70,""))</f>
        <v/>
      </c>
      <c r="J70" s="6" t="str">
        <f>_xlfn.LET(
_xlpm.rowNo, MATCH($C70&amp;"|"&amp;
($F70+J$4),Raw_Fund!$A:$A,0),
_xlpm.colNo,
MATCH(J$3,Raw_Fund!$E$1:$AZ$1,0),
_xlpm.val,
INDEX(Raw_Fund!$E:$AZ,_xlpm.rowNo,_xlpm.colNo),
IF(ISNUMBER(_xlpm.val),_xlpm.val*$H70,""))</f>
        <v/>
      </c>
      <c r="K70" s="6" t="str">
        <f>_xlfn.LET(
_xlpm.rowNo, MATCH($C70&amp;"|"&amp;
($F70+K$4),Raw_Fund!$A:$A,0),
_xlpm.colNo,
MATCH(K$3,Raw_Fund!$E$1:$AZ$1,0),
_xlpm.val,
INDEX(Raw_Fund!$E:$AZ,_xlpm.rowNo,_xlpm.colNo),
IF(ISNUMBER(_xlpm.val),_xlpm.val*$H70,""))</f>
        <v/>
      </c>
      <c r="L70" s="6" t="str">
        <f>_xlfn.LET(
_xlpm.rowNo, MATCH($C70&amp;"|"&amp;
($F70+L$4),Raw_Fund!$A:$A,0),
_xlpm.colNo,
MATCH(L$3,Raw_Fund!$E$1:$AZ$1,0),
_xlpm.val,
INDEX(Raw_Fund!$E:$AZ,_xlpm.rowNo,_xlpm.colNo),
IF(ISNUMBER(_xlpm.val),_xlpm.val*$H70,""))</f>
        <v/>
      </c>
      <c r="M70" s="6" t="str">
        <f>_xlfn.LET(
_xlpm.rowNo, MATCH($C70&amp;"|"&amp;
($F70+M$4),Raw_Fund!$A:$A,0),
_xlpm.colNo,
MATCH(M$3,Raw_Fund!$E$1:$AZ$1,0),
_xlpm.val,
INDEX(Raw_Fund!$E:$AZ,_xlpm.rowNo,_xlpm.colNo),
IF(ISNUMBER(_xlpm.val),_xlpm.val*$H70,""))</f>
        <v/>
      </c>
      <c r="N70" s="6" t="str">
        <f>_xlfn.LET(
_xlpm.rowNo, MATCH($C70&amp;"|"&amp;
($F70+N$4),Raw_Fund!$A:$A,0),
_xlpm.colNo,
MATCH(N$3,Raw_Fund!$E$1:$AZ$1,0),
_xlpm.val,
INDEX(Raw_Fund!$E:$AZ,_xlpm.rowNo,_xlpm.colNo),
IF(ISNUMBER(_xlpm.val),_xlpm.val*$H70,""))</f>
        <v/>
      </c>
      <c r="O70" s="6" t="str">
        <f>_xlfn.LET(
_xlpm.rowNo, MATCH($C70&amp;"|"&amp;
($F70+O$4),Raw_Fund!$A:$A,0),
_xlpm.colNo,
MATCH(O$3,Raw_Fund!$E$1:$AZ$1,0),
_xlpm.val,
INDEX(Raw_Fund!$E:$AZ,_xlpm.rowNo,_xlpm.colNo),
IF(ISNUMBER(_xlpm.val),_xlpm.val*$H70,""))</f>
        <v/>
      </c>
      <c r="P70" s="6" t="str">
        <f>_xlfn.LET(
_xlpm.rowNo, MATCH($C70&amp;"|"&amp;
($F70+P$4),Raw_Fund!$A:$A,0),
_xlpm.colNo,
MATCH(P$3,Raw_Fund!$E$1:$AZ$1,0),
_xlpm.val,
INDEX(Raw_Fund!$E:$AZ,_xlpm.rowNo,_xlpm.colNo),
IF(ISNUMBER(_xlpm.val),_xlpm.val*$H70,""))</f>
        <v/>
      </c>
      <c r="Q70" s="6" t="str">
        <f>_xlfn.LET(
_xlpm.rowNo, MATCH($C70&amp;"|"&amp;
($F70+Q$4),Raw_Fund!$A:$A,0),
_xlpm.colNo,
MATCH(Q$3,Raw_Fund!$E$1:$AZ$1,0),
_xlpm.val,
INDEX(Raw_Fund!$E:$AZ,_xlpm.rowNo,_xlpm.colNo),
IF(ISNUMBER(_xlpm.val),_xlpm.val*$H70,""))</f>
        <v/>
      </c>
      <c r="R70" s="6" t="str">
        <f>_xlfn.LET(
_xlpm.rowNo, MATCH($C70&amp;"|"&amp;
($F70+R$4),Raw_Fund!$A:$A,0),
_xlpm.colNo,
MATCH(R$3,Raw_Fund!$E$1:$AZ$1,0),
_xlpm.val,
INDEX(Raw_Fund!$E:$AZ,_xlpm.rowNo,_xlpm.colNo),
IF(ISNUMBER(_xlpm.val),_xlpm.val*$H70,""))</f>
        <v/>
      </c>
      <c r="S70" s="6" t="str">
        <f>_xlfn.LET(
_xlpm.rowNo, MATCH($C70&amp;"|"&amp;
($F70+S$4),Raw_Fund!$A:$A,0),
_xlpm.colNo,
MATCH(S$3,Raw_Fund!$E$1:$AZ$1,0),
_xlpm.val,
INDEX(Raw_Fund!$E:$AZ,_xlpm.rowNo,_xlpm.colNo),
IF(ISNUMBER(_xlpm.val),_xlpm.val*$H70,""))</f>
        <v/>
      </c>
      <c r="T70" s="6" t="str">
        <f>_xlfn.LET(
_xlpm.rowNo, MATCH($C70&amp;"|"&amp;
($F70+T$4),Raw_Fund!$A:$A,0),
_xlpm.colNo,
MATCH(T$3,Raw_Fund!$E$1:$AZ$1,0),
_xlpm.val,
INDEX(Raw_Fund!$E:$AZ,_xlpm.rowNo,_xlpm.colNo),
IF(ISNUMBER(_xlpm.val),_xlpm.val*$H70,""))</f>
        <v/>
      </c>
      <c r="U70" s="6" t="str">
        <f>_xlfn.LET(
_xlpm.rowNo, MATCH($C70&amp;"|"&amp;
($F70+U$4),Raw_Fund!$A:$A,0),
_xlpm.colNo,
MATCH(U$3,Raw_Fund!$E$1:$AZ$1,0),
_xlpm.val,
INDEX(Raw_Fund!$E:$AZ,_xlpm.rowNo,_xlpm.colNo),
IF(ISNUMBER(_xlpm.val),_xlpm.val*$H70,""))</f>
        <v/>
      </c>
      <c r="V70" s="6" t="str">
        <f>_xlfn.LET(
_xlpm.rowNo, MATCH($C70&amp;"|"&amp;
($F70+V$4),Raw_Fund!$A:$A,0),
_xlpm.colNo,
MATCH(V$3,Raw_Fund!$E$1:$AZ$1,0),
_xlpm.val,
INDEX(Raw_Fund!$E:$AZ,_xlpm.rowNo,_xlpm.colNo),
IF(ISNUMBER(_xlpm.val),_xlpm.val*$H70,""))</f>
        <v/>
      </c>
      <c r="W70" s="6" t="str">
        <f>_xlfn.LET(
_xlpm.rowNo, MATCH($C70&amp;"|"&amp;
($F70+W$4),Raw_Fund!$A:$A,0),
_xlpm.colNo,
MATCH(W$3,Raw_Fund!$E$1:$AZ$1,0),
_xlpm.val,
INDEX(Raw_Fund!$E:$AZ,_xlpm.rowNo,_xlpm.colNo),
IF(ISNUMBER(_xlpm.val),_xlpm.val*$H70,""))</f>
        <v/>
      </c>
      <c r="X70" s="6" t="str">
        <f>_xlfn.LET(
_xlpm.rowNo, MATCH($C70&amp;"|"&amp;
($F70+X$4),Raw_Fund!$A:$A,0),
_xlpm.colNo,
MATCH(X$3,Raw_Fund!$E$1:$AZ$1,0),
_xlpm.val,
INDEX(Raw_Fund!$E:$AZ,_xlpm.rowNo,_xlpm.colNo),
IF(ISNUMBER(_xlpm.val),_xlpm.val*$H70,""))</f>
        <v/>
      </c>
      <c r="Y70" s="6" t="str">
        <f>_xlfn.LET(
_xlpm.rowNo, MATCH($C70&amp;"|"&amp;
($F70+Y$4),Raw_Fund!$A:$A,0),
_xlpm.colNo,
MATCH(Y$3,Raw_Fund!$E$1:$AZ$1,0),
_xlpm.val,
INDEX(Raw_Fund!$E:$AZ,_xlpm.rowNo,_xlpm.colNo),
IF(ISNUMBER(_xlpm.val),_xlpm.val*$H70,""))</f>
        <v/>
      </c>
      <c r="Z70" s="6" t="str">
        <f>IF($E70&lt;&gt;"Include","",_xlfn.XLOOKUP($C70,Raw_Mkt!$A:$A,Raw_Mkt!$B:$B))</f>
        <v/>
      </c>
    </row>
    <row r="71" spans="1:26" x14ac:dyDescent="0.4">
      <c r="A71" t="str">
        <f>IF(Universe!A71&lt;&gt;"",Universe!A71,"")</f>
        <v>EWG</v>
      </c>
      <c r="B71" t="str">
        <f>IF(Universe!B71&lt;&gt;"",Universe!B71,"")</f>
        <v>Eurowag</v>
      </c>
      <c r="C71" t="str">
        <f>IF(Universe!C71&lt;&gt;"",Universe!C71,"")</f>
        <v>GB00BLGXWY71</v>
      </c>
      <c r="D71" t="str">
        <f>IF(Universe!D71&lt;&gt;"",Universe!D71,"")</f>
        <v>Industrials</v>
      </c>
      <c r="E71" t="str">
        <f>Universe!G71</f>
        <v>Include</v>
      </c>
      <c r="F71" t="str">
        <f>IF($E71&lt;&gt;"Include","",_xlfn.LET(_xlpm.latest,_xlfn.MAXIFS(Raw_Fund!$C:$C,Raw_Fund!$B:$B,Data!$C71),IF(_xlpm.latest=0,"",_xlpm.latest)))</f>
        <v/>
      </c>
      <c r="G71" t="str">
        <f>IF($F71="","",INDEX(Raw_Fund!$E:$AZ,MATCH($C71&amp;"|"&amp;$F71,Raw_Fund!$A:$A,0),MATCH(G$3,Raw_Fund!$E$1:$AZ$1,0)))</f>
        <v/>
      </c>
      <c r="H71" t="str">
        <f t="shared" si="1"/>
        <v/>
      </c>
      <c r="I71" s="6" t="str">
        <f>_xlfn.LET(
_xlpm.rowNo, MATCH($C71&amp;"|"&amp;
($F71+I$4),Raw_Fund!$A:$A,0),
_xlpm.colNo,
MATCH(I$3,Raw_Fund!$E$1:$AZ$1,0),
_xlpm.val,
INDEX(Raw_Fund!$E:$AZ,_xlpm.rowNo,_xlpm.colNo),
IF(ISNUMBER(_xlpm.val),_xlpm.val*$H71,""))</f>
        <v/>
      </c>
      <c r="J71" s="6" t="str">
        <f>_xlfn.LET(
_xlpm.rowNo, MATCH($C71&amp;"|"&amp;
($F71+J$4),Raw_Fund!$A:$A,0),
_xlpm.colNo,
MATCH(J$3,Raw_Fund!$E$1:$AZ$1,0),
_xlpm.val,
INDEX(Raw_Fund!$E:$AZ,_xlpm.rowNo,_xlpm.colNo),
IF(ISNUMBER(_xlpm.val),_xlpm.val*$H71,""))</f>
        <v/>
      </c>
      <c r="K71" s="6" t="str">
        <f>_xlfn.LET(
_xlpm.rowNo, MATCH($C71&amp;"|"&amp;
($F71+K$4),Raw_Fund!$A:$A,0),
_xlpm.colNo,
MATCH(K$3,Raw_Fund!$E$1:$AZ$1,0),
_xlpm.val,
INDEX(Raw_Fund!$E:$AZ,_xlpm.rowNo,_xlpm.colNo),
IF(ISNUMBER(_xlpm.val),_xlpm.val*$H71,""))</f>
        <v/>
      </c>
      <c r="L71" s="6" t="str">
        <f>_xlfn.LET(
_xlpm.rowNo, MATCH($C71&amp;"|"&amp;
($F71+L$4),Raw_Fund!$A:$A,0),
_xlpm.colNo,
MATCH(L$3,Raw_Fund!$E$1:$AZ$1,0),
_xlpm.val,
INDEX(Raw_Fund!$E:$AZ,_xlpm.rowNo,_xlpm.colNo),
IF(ISNUMBER(_xlpm.val),_xlpm.val*$H71,""))</f>
        <v/>
      </c>
      <c r="M71" s="6" t="str">
        <f>_xlfn.LET(
_xlpm.rowNo, MATCH($C71&amp;"|"&amp;
($F71+M$4),Raw_Fund!$A:$A,0),
_xlpm.colNo,
MATCH(M$3,Raw_Fund!$E$1:$AZ$1,0),
_xlpm.val,
INDEX(Raw_Fund!$E:$AZ,_xlpm.rowNo,_xlpm.colNo),
IF(ISNUMBER(_xlpm.val),_xlpm.val*$H71,""))</f>
        <v/>
      </c>
      <c r="N71" s="6" t="str">
        <f>_xlfn.LET(
_xlpm.rowNo, MATCH($C71&amp;"|"&amp;
($F71+N$4),Raw_Fund!$A:$A,0),
_xlpm.colNo,
MATCH(N$3,Raw_Fund!$E$1:$AZ$1,0),
_xlpm.val,
INDEX(Raw_Fund!$E:$AZ,_xlpm.rowNo,_xlpm.colNo),
IF(ISNUMBER(_xlpm.val),_xlpm.val*$H71,""))</f>
        <v/>
      </c>
      <c r="O71" s="6" t="str">
        <f>_xlfn.LET(
_xlpm.rowNo, MATCH($C71&amp;"|"&amp;
($F71+O$4),Raw_Fund!$A:$A,0),
_xlpm.colNo,
MATCH(O$3,Raw_Fund!$E$1:$AZ$1,0),
_xlpm.val,
INDEX(Raw_Fund!$E:$AZ,_xlpm.rowNo,_xlpm.colNo),
IF(ISNUMBER(_xlpm.val),_xlpm.val*$H71,""))</f>
        <v/>
      </c>
      <c r="P71" s="6" t="str">
        <f>_xlfn.LET(
_xlpm.rowNo, MATCH($C71&amp;"|"&amp;
($F71+P$4),Raw_Fund!$A:$A,0),
_xlpm.colNo,
MATCH(P$3,Raw_Fund!$E$1:$AZ$1,0),
_xlpm.val,
INDEX(Raw_Fund!$E:$AZ,_xlpm.rowNo,_xlpm.colNo),
IF(ISNUMBER(_xlpm.val),_xlpm.val*$H71,""))</f>
        <v/>
      </c>
      <c r="Q71" s="6" t="str">
        <f>_xlfn.LET(
_xlpm.rowNo, MATCH($C71&amp;"|"&amp;
($F71+Q$4),Raw_Fund!$A:$A,0),
_xlpm.colNo,
MATCH(Q$3,Raw_Fund!$E$1:$AZ$1,0),
_xlpm.val,
INDEX(Raw_Fund!$E:$AZ,_xlpm.rowNo,_xlpm.colNo),
IF(ISNUMBER(_xlpm.val),_xlpm.val*$H71,""))</f>
        <v/>
      </c>
      <c r="R71" s="6" t="str">
        <f>_xlfn.LET(
_xlpm.rowNo, MATCH($C71&amp;"|"&amp;
($F71+R$4),Raw_Fund!$A:$A,0),
_xlpm.colNo,
MATCH(R$3,Raw_Fund!$E$1:$AZ$1,0),
_xlpm.val,
INDEX(Raw_Fund!$E:$AZ,_xlpm.rowNo,_xlpm.colNo),
IF(ISNUMBER(_xlpm.val),_xlpm.val*$H71,""))</f>
        <v/>
      </c>
      <c r="S71" s="6" t="str">
        <f>_xlfn.LET(
_xlpm.rowNo, MATCH($C71&amp;"|"&amp;
($F71+S$4),Raw_Fund!$A:$A,0),
_xlpm.colNo,
MATCH(S$3,Raw_Fund!$E$1:$AZ$1,0),
_xlpm.val,
INDEX(Raw_Fund!$E:$AZ,_xlpm.rowNo,_xlpm.colNo),
IF(ISNUMBER(_xlpm.val),_xlpm.val*$H71,""))</f>
        <v/>
      </c>
      <c r="T71" s="6" t="str">
        <f>_xlfn.LET(
_xlpm.rowNo, MATCH($C71&amp;"|"&amp;
($F71+T$4),Raw_Fund!$A:$A,0),
_xlpm.colNo,
MATCH(T$3,Raw_Fund!$E$1:$AZ$1,0),
_xlpm.val,
INDEX(Raw_Fund!$E:$AZ,_xlpm.rowNo,_xlpm.colNo),
IF(ISNUMBER(_xlpm.val),_xlpm.val*$H71,""))</f>
        <v/>
      </c>
      <c r="U71" s="6" t="str">
        <f>_xlfn.LET(
_xlpm.rowNo, MATCH($C71&amp;"|"&amp;
($F71+U$4),Raw_Fund!$A:$A,0),
_xlpm.colNo,
MATCH(U$3,Raw_Fund!$E$1:$AZ$1,0),
_xlpm.val,
INDEX(Raw_Fund!$E:$AZ,_xlpm.rowNo,_xlpm.colNo),
IF(ISNUMBER(_xlpm.val),_xlpm.val*$H71,""))</f>
        <v/>
      </c>
      <c r="V71" s="6" t="str">
        <f>_xlfn.LET(
_xlpm.rowNo, MATCH($C71&amp;"|"&amp;
($F71+V$4),Raw_Fund!$A:$A,0),
_xlpm.colNo,
MATCH(V$3,Raw_Fund!$E$1:$AZ$1,0),
_xlpm.val,
INDEX(Raw_Fund!$E:$AZ,_xlpm.rowNo,_xlpm.colNo),
IF(ISNUMBER(_xlpm.val),_xlpm.val*$H71,""))</f>
        <v/>
      </c>
      <c r="W71" s="6" t="str">
        <f>_xlfn.LET(
_xlpm.rowNo, MATCH($C71&amp;"|"&amp;
($F71+W$4),Raw_Fund!$A:$A,0),
_xlpm.colNo,
MATCH(W$3,Raw_Fund!$E$1:$AZ$1,0),
_xlpm.val,
INDEX(Raw_Fund!$E:$AZ,_xlpm.rowNo,_xlpm.colNo),
IF(ISNUMBER(_xlpm.val),_xlpm.val*$H71,""))</f>
        <v/>
      </c>
      <c r="X71" s="6" t="str">
        <f>_xlfn.LET(
_xlpm.rowNo, MATCH($C71&amp;"|"&amp;
($F71+X$4),Raw_Fund!$A:$A,0),
_xlpm.colNo,
MATCH(X$3,Raw_Fund!$E$1:$AZ$1,0),
_xlpm.val,
INDEX(Raw_Fund!$E:$AZ,_xlpm.rowNo,_xlpm.colNo),
IF(ISNUMBER(_xlpm.val),_xlpm.val*$H71,""))</f>
        <v/>
      </c>
      <c r="Y71" s="6" t="str">
        <f>_xlfn.LET(
_xlpm.rowNo, MATCH($C71&amp;"|"&amp;
($F71+Y$4),Raw_Fund!$A:$A,0),
_xlpm.colNo,
MATCH(Y$3,Raw_Fund!$E$1:$AZ$1,0),
_xlpm.val,
INDEX(Raw_Fund!$E:$AZ,_xlpm.rowNo,_xlpm.colNo),
IF(ISNUMBER(_xlpm.val),_xlpm.val*$H71,""))</f>
        <v/>
      </c>
      <c r="Z71" s="6" t="e">
        <f>IF($E71&lt;&gt;"Include","",_xlfn.XLOOKUP($C71,Raw_Mkt!$A:$A,Raw_Mkt!$B:$B))</f>
        <v>#N/A</v>
      </c>
    </row>
    <row r="72" spans="1:26" x14ac:dyDescent="0.4">
      <c r="A72" t="str">
        <f>IF(Universe!A72&lt;&gt;"",Universe!A72,"")</f>
        <v>FCSS</v>
      </c>
      <c r="B72" t="str">
        <f>IF(Universe!B72&lt;&gt;"",Universe!B72,"")</f>
        <v>Fidelity China Special Situations</v>
      </c>
      <c r="C72" t="str">
        <f>IF(Universe!C72&lt;&gt;"",Universe!C72,"")</f>
        <v>GB00B62Z3C74</v>
      </c>
      <c r="D72" t="str">
        <f>IF(Universe!D72&lt;&gt;"",Universe!D72,"")</f>
        <v>Financials</v>
      </c>
      <c r="E72" t="str">
        <f>Universe!G72</f>
        <v>Exclude</v>
      </c>
      <c r="F72" t="str">
        <f>IF($E72&lt;&gt;"Include","",_xlfn.LET(_xlpm.latest,_xlfn.MAXIFS(Raw_Fund!$C:$C,Raw_Fund!$B:$B,Data!$C72),IF(_xlpm.latest=0,"",_xlpm.latest)))</f>
        <v/>
      </c>
      <c r="G72" t="str">
        <f>IF($F72="","",INDEX(Raw_Fund!$E:$AZ,MATCH($C72&amp;"|"&amp;$F72,Raw_Fund!$A:$A,0),MATCH(G$3,Raw_Fund!$E$1:$AZ$1,0)))</f>
        <v/>
      </c>
      <c r="H72" t="str">
        <f t="shared" si="1"/>
        <v/>
      </c>
      <c r="I72" s="6" t="str">
        <f>_xlfn.LET(
_xlpm.rowNo, MATCH($C72&amp;"|"&amp;
($F72+I$4),Raw_Fund!$A:$A,0),
_xlpm.colNo,
MATCH(I$3,Raw_Fund!$E$1:$AZ$1,0),
_xlpm.val,
INDEX(Raw_Fund!$E:$AZ,_xlpm.rowNo,_xlpm.colNo),
IF(ISNUMBER(_xlpm.val),_xlpm.val*$H72,""))</f>
        <v/>
      </c>
      <c r="J72" s="6" t="str">
        <f>_xlfn.LET(
_xlpm.rowNo, MATCH($C72&amp;"|"&amp;
($F72+J$4),Raw_Fund!$A:$A,0),
_xlpm.colNo,
MATCH(J$3,Raw_Fund!$E$1:$AZ$1,0),
_xlpm.val,
INDEX(Raw_Fund!$E:$AZ,_xlpm.rowNo,_xlpm.colNo),
IF(ISNUMBER(_xlpm.val),_xlpm.val*$H72,""))</f>
        <v/>
      </c>
      <c r="K72" s="6" t="str">
        <f>_xlfn.LET(
_xlpm.rowNo, MATCH($C72&amp;"|"&amp;
($F72+K$4),Raw_Fund!$A:$A,0),
_xlpm.colNo,
MATCH(K$3,Raw_Fund!$E$1:$AZ$1,0),
_xlpm.val,
INDEX(Raw_Fund!$E:$AZ,_xlpm.rowNo,_xlpm.colNo),
IF(ISNUMBER(_xlpm.val),_xlpm.val*$H72,""))</f>
        <v/>
      </c>
      <c r="L72" s="6" t="str">
        <f>_xlfn.LET(
_xlpm.rowNo, MATCH($C72&amp;"|"&amp;
($F72+L$4),Raw_Fund!$A:$A,0),
_xlpm.colNo,
MATCH(L$3,Raw_Fund!$E$1:$AZ$1,0),
_xlpm.val,
INDEX(Raw_Fund!$E:$AZ,_xlpm.rowNo,_xlpm.colNo),
IF(ISNUMBER(_xlpm.val),_xlpm.val*$H72,""))</f>
        <v/>
      </c>
      <c r="M72" s="6" t="str">
        <f>_xlfn.LET(
_xlpm.rowNo, MATCH($C72&amp;"|"&amp;
($F72+M$4),Raw_Fund!$A:$A,0),
_xlpm.colNo,
MATCH(M$3,Raw_Fund!$E$1:$AZ$1,0),
_xlpm.val,
INDEX(Raw_Fund!$E:$AZ,_xlpm.rowNo,_xlpm.colNo),
IF(ISNUMBER(_xlpm.val),_xlpm.val*$H72,""))</f>
        <v/>
      </c>
      <c r="N72" s="6" t="str">
        <f>_xlfn.LET(
_xlpm.rowNo, MATCH($C72&amp;"|"&amp;
($F72+N$4),Raw_Fund!$A:$A,0),
_xlpm.colNo,
MATCH(N$3,Raw_Fund!$E$1:$AZ$1,0),
_xlpm.val,
INDEX(Raw_Fund!$E:$AZ,_xlpm.rowNo,_xlpm.colNo),
IF(ISNUMBER(_xlpm.val),_xlpm.val*$H72,""))</f>
        <v/>
      </c>
      <c r="O72" s="6" t="str">
        <f>_xlfn.LET(
_xlpm.rowNo, MATCH($C72&amp;"|"&amp;
($F72+O$4),Raw_Fund!$A:$A,0),
_xlpm.colNo,
MATCH(O$3,Raw_Fund!$E$1:$AZ$1,0),
_xlpm.val,
INDEX(Raw_Fund!$E:$AZ,_xlpm.rowNo,_xlpm.colNo),
IF(ISNUMBER(_xlpm.val),_xlpm.val*$H72,""))</f>
        <v/>
      </c>
      <c r="P72" s="6" t="str">
        <f>_xlfn.LET(
_xlpm.rowNo, MATCH($C72&amp;"|"&amp;
($F72+P$4),Raw_Fund!$A:$A,0),
_xlpm.colNo,
MATCH(P$3,Raw_Fund!$E$1:$AZ$1,0),
_xlpm.val,
INDEX(Raw_Fund!$E:$AZ,_xlpm.rowNo,_xlpm.colNo),
IF(ISNUMBER(_xlpm.val),_xlpm.val*$H72,""))</f>
        <v/>
      </c>
      <c r="Q72" s="6" t="str">
        <f>_xlfn.LET(
_xlpm.rowNo, MATCH($C72&amp;"|"&amp;
($F72+Q$4),Raw_Fund!$A:$A,0),
_xlpm.colNo,
MATCH(Q$3,Raw_Fund!$E$1:$AZ$1,0),
_xlpm.val,
INDEX(Raw_Fund!$E:$AZ,_xlpm.rowNo,_xlpm.colNo),
IF(ISNUMBER(_xlpm.val),_xlpm.val*$H72,""))</f>
        <v/>
      </c>
      <c r="R72" s="6" t="str">
        <f>_xlfn.LET(
_xlpm.rowNo, MATCH($C72&amp;"|"&amp;
($F72+R$4),Raw_Fund!$A:$A,0),
_xlpm.colNo,
MATCH(R$3,Raw_Fund!$E$1:$AZ$1,0),
_xlpm.val,
INDEX(Raw_Fund!$E:$AZ,_xlpm.rowNo,_xlpm.colNo),
IF(ISNUMBER(_xlpm.val),_xlpm.val*$H72,""))</f>
        <v/>
      </c>
      <c r="S72" s="6" t="str">
        <f>_xlfn.LET(
_xlpm.rowNo, MATCH($C72&amp;"|"&amp;
($F72+S$4),Raw_Fund!$A:$A,0),
_xlpm.colNo,
MATCH(S$3,Raw_Fund!$E$1:$AZ$1,0),
_xlpm.val,
INDEX(Raw_Fund!$E:$AZ,_xlpm.rowNo,_xlpm.colNo),
IF(ISNUMBER(_xlpm.val),_xlpm.val*$H72,""))</f>
        <v/>
      </c>
      <c r="T72" s="6" t="str">
        <f>_xlfn.LET(
_xlpm.rowNo, MATCH($C72&amp;"|"&amp;
($F72+T$4),Raw_Fund!$A:$A,0),
_xlpm.colNo,
MATCH(T$3,Raw_Fund!$E$1:$AZ$1,0),
_xlpm.val,
INDEX(Raw_Fund!$E:$AZ,_xlpm.rowNo,_xlpm.colNo),
IF(ISNUMBER(_xlpm.val),_xlpm.val*$H72,""))</f>
        <v/>
      </c>
      <c r="U72" s="6" t="str">
        <f>_xlfn.LET(
_xlpm.rowNo, MATCH($C72&amp;"|"&amp;
($F72+U$4),Raw_Fund!$A:$A,0),
_xlpm.colNo,
MATCH(U$3,Raw_Fund!$E$1:$AZ$1,0),
_xlpm.val,
INDEX(Raw_Fund!$E:$AZ,_xlpm.rowNo,_xlpm.colNo),
IF(ISNUMBER(_xlpm.val),_xlpm.val*$H72,""))</f>
        <v/>
      </c>
      <c r="V72" s="6" t="str">
        <f>_xlfn.LET(
_xlpm.rowNo, MATCH($C72&amp;"|"&amp;
($F72+V$4),Raw_Fund!$A:$A,0),
_xlpm.colNo,
MATCH(V$3,Raw_Fund!$E$1:$AZ$1,0),
_xlpm.val,
INDEX(Raw_Fund!$E:$AZ,_xlpm.rowNo,_xlpm.colNo),
IF(ISNUMBER(_xlpm.val),_xlpm.val*$H72,""))</f>
        <v/>
      </c>
      <c r="W72" s="6" t="str">
        <f>_xlfn.LET(
_xlpm.rowNo, MATCH($C72&amp;"|"&amp;
($F72+W$4),Raw_Fund!$A:$A,0),
_xlpm.colNo,
MATCH(W$3,Raw_Fund!$E$1:$AZ$1,0),
_xlpm.val,
INDEX(Raw_Fund!$E:$AZ,_xlpm.rowNo,_xlpm.colNo),
IF(ISNUMBER(_xlpm.val),_xlpm.val*$H72,""))</f>
        <v/>
      </c>
      <c r="X72" s="6" t="str">
        <f>_xlfn.LET(
_xlpm.rowNo, MATCH($C72&amp;"|"&amp;
($F72+X$4),Raw_Fund!$A:$A,0),
_xlpm.colNo,
MATCH(X$3,Raw_Fund!$E$1:$AZ$1,0),
_xlpm.val,
INDEX(Raw_Fund!$E:$AZ,_xlpm.rowNo,_xlpm.colNo),
IF(ISNUMBER(_xlpm.val),_xlpm.val*$H72,""))</f>
        <v/>
      </c>
      <c r="Y72" s="6" t="str">
        <f>_xlfn.LET(
_xlpm.rowNo, MATCH($C72&amp;"|"&amp;
($F72+Y$4),Raw_Fund!$A:$A,0),
_xlpm.colNo,
MATCH(Y$3,Raw_Fund!$E$1:$AZ$1,0),
_xlpm.val,
INDEX(Raw_Fund!$E:$AZ,_xlpm.rowNo,_xlpm.colNo),
IF(ISNUMBER(_xlpm.val),_xlpm.val*$H72,""))</f>
        <v/>
      </c>
      <c r="Z72" s="6" t="str">
        <f>IF($E72&lt;&gt;"Include","",_xlfn.XLOOKUP($C72,Raw_Mkt!$A:$A,Raw_Mkt!$B:$B))</f>
        <v/>
      </c>
    </row>
    <row r="73" spans="1:26" x14ac:dyDescent="0.4">
      <c r="A73" t="str">
        <f>IF(Universe!A73&lt;&gt;"",Universe!A73,"")</f>
        <v>FEML</v>
      </c>
      <c r="B73" t="str">
        <f>IF(Universe!B73&lt;&gt;"",Universe!B73,"")</f>
        <v>Fidelity Emerging Markets</v>
      </c>
      <c r="C73" t="str">
        <f>IF(Universe!C73&lt;&gt;"",Universe!C73,"")</f>
        <v>GG00B4L0PD47</v>
      </c>
      <c r="D73" t="str">
        <f>IF(Universe!D73&lt;&gt;"",Universe!D73,"")</f>
        <v>Financials</v>
      </c>
      <c r="E73" t="str">
        <f>Universe!G73</f>
        <v>Exclude</v>
      </c>
      <c r="F73" t="str">
        <f>IF($E73&lt;&gt;"Include","",_xlfn.LET(_xlpm.latest,_xlfn.MAXIFS(Raw_Fund!$C:$C,Raw_Fund!$B:$B,Data!$C73),IF(_xlpm.latest=0,"",_xlpm.latest)))</f>
        <v/>
      </c>
      <c r="G73" t="str">
        <f>IF($F73="","",INDEX(Raw_Fund!$E:$AZ,MATCH($C73&amp;"|"&amp;$F73,Raw_Fund!$A:$A,0),MATCH(G$3,Raw_Fund!$E$1:$AZ$1,0)))</f>
        <v/>
      </c>
      <c r="H73" t="str">
        <f t="shared" si="1"/>
        <v/>
      </c>
      <c r="I73" s="6" t="str">
        <f>_xlfn.LET(
_xlpm.rowNo, MATCH($C73&amp;"|"&amp;
($F73+I$4),Raw_Fund!$A:$A,0),
_xlpm.colNo,
MATCH(I$3,Raw_Fund!$E$1:$AZ$1,0),
_xlpm.val,
INDEX(Raw_Fund!$E:$AZ,_xlpm.rowNo,_xlpm.colNo),
IF(ISNUMBER(_xlpm.val),_xlpm.val*$H73,""))</f>
        <v/>
      </c>
      <c r="J73" s="6" t="str">
        <f>_xlfn.LET(
_xlpm.rowNo, MATCH($C73&amp;"|"&amp;
($F73+J$4),Raw_Fund!$A:$A,0),
_xlpm.colNo,
MATCH(J$3,Raw_Fund!$E$1:$AZ$1,0),
_xlpm.val,
INDEX(Raw_Fund!$E:$AZ,_xlpm.rowNo,_xlpm.colNo),
IF(ISNUMBER(_xlpm.val),_xlpm.val*$H73,""))</f>
        <v/>
      </c>
      <c r="K73" s="6" t="str">
        <f>_xlfn.LET(
_xlpm.rowNo, MATCH($C73&amp;"|"&amp;
($F73+K$4),Raw_Fund!$A:$A,0),
_xlpm.colNo,
MATCH(K$3,Raw_Fund!$E$1:$AZ$1,0),
_xlpm.val,
INDEX(Raw_Fund!$E:$AZ,_xlpm.rowNo,_xlpm.colNo),
IF(ISNUMBER(_xlpm.val),_xlpm.val*$H73,""))</f>
        <v/>
      </c>
      <c r="L73" s="6" t="str">
        <f>_xlfn.LET(
_xlpm.rowNo, MATCH($C73&amp;"|"&amp;
($F73+L$4),Raw_Fund!$A:$A,0),
_xlpm.colNo,
MATCH(L$3,Raw_Fund!$E$1:$AZ$1,0),
_xlpm.val,
INDEX(Raw_Fund!$E:$AZ,_xlpm.rowNo,_xlpm.colNo),
IF(ISNUMBER(_xlpm.val),_xlpm.val*$H73,""))</f>
        <v/>
      </c>
      <c r="M73" s="6" t="str">
        <f>_xlfn.LET(
_xlpm.rowNo, MATCH($C73&amp;"|"&amp;
($F73+M$4),Raw_Fund!$A:$A,0),
_xlpm.colNo,
MATCH(M$3,Raw_Fund!$E$1:$AZ$1,0),
_xlpm.val,
INDEX(Raw_Fund!$E:$AZ,_xlpm.rowNo,_xlpm.colNo),
IF(ISNUMBER(_xlpm.val),_xlpm.val*$H73,""))</f>
        <v/>
      </c>
      <c r="N73" s="6" t="str">
        <f>_xlfn.LET(
_xlpm.rowNo, MATCH($C73&amp;"|"&amp;
($F73+N$4),Raw_Fund!$A:$A,0),
_xlpm.colNo,
MATCH(N$3,Raw_Fund!$E$1:$AZ$1,0),
_xlpm.val,
INDEX(Raw_Fund!$E:$AZ,_xlpm.rowNo,_xlpm.colNo),
IF(ISNUMBER(_xlpm.val),_xlpm.val*$H73,""))</f>
        <v/>
      </c>
      <c r="O73" s="6" t="str">
        <f>_xlfn.LET(
_xlpm.rowNo, MATCH($C73&amp;"|"&amp;
($F73+O$4),Raw_Fund!$A:$A,0),
_xlpm.colNo,
MATCH(O$3,Raw_Fund!$E$1:$AZ$1,0),
_xlpm.val,
INDEX(Raw_Fund!$E:$AZ,_xlpm.rowNo,_xlpm.colNo),
IF(ISNUMBER(_xlpm.val),_xlpm.val*$H73,""))</f>
        <v/>
      </c>
      <c r="P73" s="6" t="str">
        <f>_xlfn.LET(
_xlpm.rowNo, MATCH($C73&amp;"|"&amp;
($F73+P$4),Raw_Fund!$A:$A,0),
_xlpm.colNo,
MATCH(P$3,Raw_Fund!$E$1:$AZ$1,0),
_xlpm.val,
INDEX(Raw_Fund!$E:$AZ,_xlpm.rowNo,_xlpm.colNo),
IF(ISNUMBER(_xlpm.val),_xlpm.val*$H73,""))</f>
        <v/>
      </c>
      <c r="Q73" s="6" t="str">
        <f>_xlfn.LET(
_xlpm.rowNo, MATCH($C73&amp;"|"&amp;
($F73+Q$4),Raw_Fund!$A:$A,0),
_xlpm.colNo,
MATCH(Q$3,Raw_Fund!$E$1:$AZ$1,0),
_xlpm.val,
INDEX(Raw_Fund!$E:$AZ,_xlpm.rowNo,_xlpm.colNo),
IF(ISNUMBER(_xlpm.val),_xlpm.val*$H73,""))</f>
        <v/>
      </c>
      <c r="R73" s="6" t="str">
        <f>_xlfn.LET(
_xlpm.rowNo, MATCH($C73&amp;"|"&amp;
($F73+R$4),Raw_Fund!$A:$A,0),
_xlpm.colNo,
MATCH(R$3,Raw_Fund!$E$1:$AZ$1,0),
_xlpm.val,
INDEX(Raw_Fund!$E:$AZ,_xlpm.rowNo,_xlpm.colNo),
IF(ISNUMBER(_xlpm.val),_xlpm.val*$H73,""))</f>
        <v/>
      </c>
      <c r="S73" s="6" t="str">
        <f>_xlfn.LET(
_xlpm.rowNo, MATCH($C73&amp;"|"&amp;
($F73+S$4),Raw_Fund!$A:$A,0),
_xlpm.colNo,
MATCH(S$3,Raw_Fund!$E$1:$AZ$1,0),
_xlpm.val,
INDEX(Raw_Fund!$E:$AZ,_xlpm.rowNo,_xlpm.colNo),
IF(ISNUMBER(_xlpm.val),_xlpm.val*$H73,""))</f>
        <v/>
      </c>
      <c r="T73" s="6" t="str">
        <f>_xlfn.LET(
_xlpm.rowNo, MATCH($C73&amp;"|"&amp;
($F73+T$4),Raw_Fund!$A:$A,0),
_xlpm.colNo,
MATCH(T$3,Raw_Fund!$E$1:$AZ$1,0),
_xlpm.val,
INDEX(Raw_Fund!$E:$AZ,_xlpm.rowNo,_xlpm.colNo),
IF(ISNUMBER(_xlpm.val),_xlpm.val*$H73,""))</f>
        <v/>
      </c>
      <c r="U73" s="6" t="str">
        <f>_xlfn.LET(
_xlpm.rowNo, MATCH($C73&amp;"|"&amp;
($F73+U$4),Raw_Fund!$A:$A,0),
_xlpm.colNo,
MATCH(U$3,Raw_Fund!$E$1:$AZ$1,0),
_xlpm.val,
INDEX(Raw_Fund!$E:$AZ,_xlpm.rowNo,_xlpm.colNo),
IF(ISNUMBER(_xlpm.val),_xlpm.val*$H73,""))</f>
        <v/>
      </c>
      <c r="V73" s="6" t="str">
        <f>_xlfn.LET(
_xlpm.rowNo, MATCH($C73&amp;"|"&amp;
($F73+V$4),Raw_Fund!$A:$A,0),
_xlpm.colNo,
MATCH(V$3,Raw_Fund!$E$1:$AZ$1,0),
_xlpm.val,
INDEX(Raw_Fund!$E:$AZ,_xlpm.rowNo,_xlpm.colNo),
IF(ISNUMBER(_xlpm.val),_xlpm.val*$H73,""))</f>
        <v/>
      </c>
      <c r="W73" s="6" t="str">
        <f>_xlfn.LET(
_xlpm.rowNo, MATCH($C73&amp;"|"&amp;
($F73+W$4),Raw_Fund!$A:$A,0),
_xlpm.colNo,
MATCH(W$3,Raw_Fund!$E$1:$AZ$1,0),
_xlpm.val,
INDEX(Raw_Fund!$E:$AZ,_xlpm.rowNo,_xlpm.colNo),
IF(ISNUMBER(_xlpm.val),_xlpm.val*$H73,""))</f>
        <v/>
      </c>
      <c r="X73" s="6" t="str">
        <f>_xlfn.LET(
_xlpm.rowNo, MATCH($C73&amp;"|"&amp;
($F73+X$4),Raw_Fund!$A:$A,0),
_xlpm.colNo,
MATCH(X$3,Raw_Fund!$E$1:$AZ$1,0),
_xlpm.val,
INDEX(Raw_Fund!$E:$AZ,_xlpm.rowNo,_xlpm.colNo),
IF(ISNUMBER(_xlpm.val),_xlpm.val*$H73,""))</f>
        <v/>
      </c>
      <c r="Y73" s="6" t="str">
        <f>_xlfn.LET(
_xlpm.rowNo, MATCH($C73&amp;"|"&amp;
($F73+Y$4),Raw_Fund!$A:$A,0),
_xlpm.colNo,
MATCH(Y$3,Raw_Fund!$E$1:$AZ$1,0),
_xlpm.val,
INDEX(Raw_Fund!$E:$AZ,_xlpm.rowNo,_xlpm.colNo),
IF(ISNUMBER(_xlpm.val),_xlpm.val*$H73,""))</f>
        <v/>
      </c>
      <c r="Z73" s="6" t="str">
        <f>IF($E73&lt;&gt;"Include","",_xlfn.XLOOKUP($C73,Raw_Mkt!$A:$A,Raw_Mkt!$B:$B))</f>
        <v/>
      </c>
    </row>
    <row r="74" spans="1:26" x14ac:dyDescent="0.4">
      <c r="A74" t="str">
        <f>IF(Universe!A74&lt;&gt;"",Universe!A74,"")</f>
        <v>FEV</v>
      </c>
      <c r="B74" t="str">
        <f>IF(Universe!B74&lt;&gt;"",Universe!B74,"")</f>
        <v>Fidelity European Trust</v>
      </c>
      <c r="C74" t="str">
        <f>IF(Universe!C74&lt;&gt;"",Universe!C74,"")</f>
        <v>GB00BK1PKQ95</v>
      </c>
      <c r="D74" t="str">
        <f>IF(Universe!D74&lt;&gt;"",Universe!D74,"")</f>
        <v>Financials</v>
      </c>
      <c r="E74" t="str">
        <f>Universe!G74</f>
        <v>Exclude</v>
      </c>
      <c r="F74" t="str">
        <f>IF($E74&lt;&gt;"Include","",_xlfn.LET(_xlpm.latest,_xlfn.MAXIFS(Raw_Fund!$C:$C,Raw_Fund!$B:$B,Data!$C74),IF(_xlpm.latest=0,"",_xlpm.latest)))</f>
        <v/>
      </c>
      <c r="G74" t="str">
        <f>IF($F74="","",INDEX(Raw_Fund!$E:$AZ,MATCH($C74&amp;"|"&amp;$F74,Raw_Fund!$A:$A,0),MATCH(G$3,Raw_Fund!$E$1:$AZ$1,0)))</f>
        <v/>
      </c>
      <c r="H74" t="str">
        <f t="shared" si="1"/>
        <v/>
      </c>
      <c r="I74" s="6" t="str">
        <f>_xlfn.LET(
_xlpm.rowNo, MATCH($C74&amp;"|"&amp;
($F74+I$4),Raw_Fund!$A:$A,0),
_xlpm.colNo,
MATCH(I$3,Raw_Fund!$E$1:$AZ$1,0),
_xlpm.val,
INDEX(Raw_Fund!$E:$AZ,_xlpm.rowNo,_xlpm.colNo),
IF(ISNUMBER(_xlpm.val),_xlpm.val*$H74,""))</f>
        <v/>
      </c>
      <c r="J74" s="6" t="str">
        <f>_xlfn.LET(
_xlpm.rowNo, MATCH($C74&amp;"|"&amp;
($F74+J$4),Raw_Fund!$A:$A,0),
_xlpm.colNo,
MATCH(J$3,Raw_Fund!$E$1:$AZ$1,0),
_xlpm.val,
INDEX(Raw_Fund!$E:$AZ,_xlpm.rowNo,_xlpm.colNo),
IF(ISNUMBER(_xlpm.val),_xlpm.val*$H74,""))</f>
        <v/>
      </c>
      <c r="K74" s="6" t="str">
        <f>_xlfn.LET(
_xlpm.rowNo, MATCH($C74&amp;"|"&amp;
($F74+K$4),Raw_Fund!$A:$A,0),
_xlpm.colNo,
MATCH(K$3,Raw_Fund!$E$1:$AZ$1,0),
_xlpm.val,
INDEX(Raw_Fund!$E:$AZ,_xlpm.rowNo,_xlpm.colNo),
IF(ISNUMBER(_xlpm.val),_xlpm.val*$H74,""))</f>
        <v/>
      </c>
      <c r="L74" s="6" t="str">
        <f>_xlfn.LET(
_xlpm.rowNo, MATCH($C74&amp;"|"&amp;
($F74+L$4),Raw_Fund!$A:$A,0),
_xlpm.colNo,
MATCH(L$3,Raw_Fund!$E$1:$AZ$1,0),
_xlpm.val,
INDEX(Raw_Fund!$E:$AZ,_xlpm.rowNo,_xlpm.colNo),
IF(ISNUMBER(_xlpm.val),_xlpm.val*$H74,""))</f>
        <v/>
      </c>
      <c r="M74" s="6" t="str">
        <f>_xlfn.LET(
_xlpm.rowNo, MATCH($C74&amp;"|"&amp;
($F74+M$4),Raw_Fund!$A:$A,0),
_xlpm.colNo,
MATCH(M$3,Raw_Fund!$E$1:$AZ$1,0),
_xlpm.val,
INDEX(Raw_Fund!$E:$AZ,_xlpm.rowNo,_xlpm.colNo),
IF(ISNUMBER(_xlpm.val),_xlpm.val*$H74,""))</f>
        <v/>
      </c>
      <c r="N74" s="6" t="str">
        <f>_xlfn.LET(
_xlpm.rowNo, MATCH($C74&amp;"|"&amp;
($F74+N$4),Raw_Fund!$A:$A,0),
_xlpm.colNo,
MATCH(N$3,Raw_Fund!$E$1:$AZ$1,0),
_xlpm.val,
INDEX(Raw_Fund!$E:$AZ,_xlpm.rowNo,_xlpm.colNo),
IF(ISNUMBER(_xlpm.val),_xlpm.val*$H74,""))</f>
        <v/>
      </c>
      <c r="O74" s="6" t="str">
        <f>_xlfn.LET(
_xlpm.rowNo, MATCH($C74&amp;"|"&amp;
($F74+O$4),Raw_Fund!$A:$A,0),
_xlpm.colNo,
MATCH(O$3,Raw_Fund!$E$1:$AZ$1,0),
_xlpm.val,
INDEX(Raw_Fund!$E:$AZ,_xlpm.rowNo,_xlpm.colNo),
IF(ISNUMBER(_xlpm.val),_xlpm.val*$H74,""))</f>
        <v/>
      </c>
      <c r="P74" s="6" t="str">
        <f>_xlfn.LET(
_xlpm.rowNo, MATCH($C74&amp;"|"&amp;
($F74+P$4),Raw_Fund!$A:$A,0),
_xlpm.colNo,
MATCH(P$3,Raw_Fund!$E$1:$AZ$1,0),
_xlpm.val,
INDEX(Raw_Fund!$E:$AZ,_xlpm.rowNo,_xlpm.colNo),
IF(ISNUMBER(_xlpm.val),_xlpm.val*$H74,""))</f>
        <v/>
      </c>
      <c r="Q74" s="6" t="str">
        <f>_xlfn.LET(
_xlpm.rowNo, MATCH($C74&amp;"|"&amp;
($F74+Q$4),Raw_Fund!$A:$A,0),
_xlpm.colNo,
MATCH(Q$3,Raw_Fund!$E$1:$AZ$1,0),
_xlpm.val,
INDEX(Raw_Fund!$E:$AZ,_xlpm.rowNo,_xlpm.colNo),
IF(ISNUMBER(_xlpm.val),_xlpm.val*$H74,""))</f>
        <v/>
      </c>
      <c r="R74" s="6" t="str">
        <f>_xlfn.LET(
_xlpm.rowNo, MATCH($C74&amp;"|"&amp;
($F74+R$4),Raw_Fund!$A:$A,0),
_xlpm.colNo,
MATCH(R$3,Raw_Fund!$E$1:$AZ$1,0),
_xlpm.val,
INDEX(Raw_Fund!$E:$AZ,_xlpm.rowNo,_xlpm.colNo),
IF(ISNUMBER(_xlpm.val),_xlpm.val*$H74,""))</f>
        <v/>
      </c>
      <c r="S74" s="6" t="str">
        <f>_xlfn.LET(
_xlpm.rowNo, MATCH($C74&amp;"|"&amp;
($F74+S$4),Raw_Fund!$A:$A,0),
_xlpm.colNo,
MATCH(S$3,Raw_Fund!$E$1:$AZ$1,0),
_xlpm.val,
INDEX(Raw_Fund!$E:$AZ,_xlpm.rowNo,_xlpm.colNo),
IF(ISNUMBER(_xlpm.val),_xlpm.val*$H74,""))</f>
        <v/>
      </c>
      <c r="T74" s="6" t="str">
        <f>_xlfn.LET(
_xlpm.rowNo, MATCH($C74&amp;"|"&amp;
($F74+T$4),Raw_Fund!$A:$A,0),
_xlpm.colNo,
MATCH(T$3,Raw_Fund!$E$1:$AZ$1,0),
_xlpm.val,
INDEX(Raw_Fund!$E:$AZ,_xlpm.rowNo,_xlpm.colNo),
IF(ISNUMBER(_xlpm.val),_xlpm.val*$H74,""))</f>
        <v/>
      </c>
      <c r="U74" s="6" t="str">
        <f>_xlfn.LET(
_xlpm.rowNo, MATCH($C74&amp;"|"&amp;
($F74+U$4),Raw_Fund!$A:$A,0),
_xlpm.colNo,
MATCH(U$3,Raw_Fund!$E$1:$AZ$1,0),
_xlpm.val,
INDEX(Raw_Fund!$E:$AZ,_xlpm.rowNo,_xlpm.colNo),
IF(ISNUMBER(_xlpm.val),_xlpm.val*$H74,""))</f>
        <v/>
      </c>
      <c r="V74" s="6" t="str">
        <f>_xlfn.LET(
_xlpm.rowNo, MATCH($C74&amp;"|"&amp;
($F74+V$4),Raw_Fund!$A:$A,0),
_xlpm.colNo,
MATCH(V$3,Raw_Fund!$E$1:$AZ$1,0),
_xlpm.val,
INDEX(Raw_Fund!$E:$AZ,_xlpm.rowNo,_xlpm.colNo),
IF(ISNUMBER(_xlpm.val),_xlpm.val*$H74,""))</f>
        <v/>
      </c>
      <c r="W74" s="6" t="str">
        <f>_xlfn.LET(
_xlpm.rowNo, MATCH($C74&amp;"|"&amp;
($F74+W$4),Raw_Fund!$A:$A,0),
_xlpm.colNo,
MATCH(W$3,Raw_Fund!$E$1:$AZ$1,0),
_xlpm.val,
INDEX(Raw_Fund!$E:$AZ,_xlpm.rowNo,_xlpm.colNo),
IF(ISNUMBER(_xlpm.val),_xlpm.val*$H74,""))</f>
        <v/>
      </c>
      <c r="X74" s="6" t="str">
        <f>_xlfn.LET(
_xlpm.rowNo, MATCH($C74&amp;"|"&amp;
($F74+X$4),Raw_Fund!$A:$A,0),
_xlpm.colNo,
MATCH(X$3,Raw_Fund!$E$1:$AZ$1,0),
_xlpm.val,
INDEX(Raw_Fund!$E:$AZ,_xlpm.rowNo,_xlpm.colNo),
IF(ISNUMBER(_xlpm.val),_xlpm.val*$H74,""))</f>
        <v/>
      </c>
      <c r="Y74" s="6" t="str">
        <f>_xlfn.LET(
_xlpm.rowNo, MATCH($C74&amp;"|"&amp;
($F74+Y$4),Raw_Fund!$A:$A,0),
_xlpm.colNo,
MATCH(Y$3,Raw_Fund!$E$1:$AZ$1,0),
_xlpm.val,
INDEX(Raw_Fund!$E:$AZ,_xlpm.rowNo,_xlpm.colNo),
IF(ISNUMBER(_xlpm.val),_xlpm.val*$H74,""))</f>
        <v/>
      </c>
      <c r="Z74" s="6" t="str">
        <f>IF($E74&lt;&gt;"Include","",_xlfn.XLOOKUP($C74,Raw_Mkt!$A:$A,Raw_Mkt!$B:$B))</f>
        <v/>
      </c>
    </row>
    <row r="75" spans="1:26" x14ac:dyDescent="0.4">
      <c r="A75" t="str">
        <f>IF(Universe!A75&lt;&gt;"",Universe!A75,"")</f>
        <v>FSV</v>
      </c>
      <c r="B75" t="str">
        <f>IF(Universe!B75&lt;&gt;"",Universe!B75,"")</f>
        <v>Fidelity Special Values</v>
      </c>
      <c r="C75" t="str">
        <f>IF(Universe!C75&lt;&gt;"",Universe!C75,"")</f>
        <v/>
      </c>
      <c r="D75" t="str">
        <f>IF(Universe!D75&lt;&gt;"",Universe!D75,"")</f>
        <v>Financials</v>
      </c>
      <c r="E75" t="str">
        <f>Universe!G75</f>
        <v>Exclude</v>
      </c>
      <c r="F75" t="str">
        <f>IF($E75&lt;&gt;"Include","",_xlfn.LET(_xlpm.latest,_xlfn.MAXIFS(Raw_Fund!$C:$C,Raw_Fund!$B:$B,Data!$C75),IF(_xlpm.latest=0,"",_xlpm.latest)))</f>
        <v/>
      </c>
      <c r="G75" t="str">
        <f>IF($F75="","",INDEX(Raw_Fund!$E:$AZ,MATCH($C75&amp;"|"&amp;$F75,Raw_Fund!$A:$A,0),MATCH(G$3,Raw_Fund!$E$1:$AZ$1,0)))</f>
        <v/>
      </c>
      <c r="H75" t="str">
        <f t="shared" si="1"/>
        <v/>
      </c>
      <c r="I75" s="6" t="str">
        <f>_xlfn.LET(
_xlpm.rowNo, MATCH($C75&amp;"|"&amp;
($F75+I$4),Raw_Fund!$A:$A,0),
_xlpm.colNo,
MATCH(I$3,Raw_Fund!$E$1:$AZ$1,0),
_xlpm.val,
INDEX(Raw_Fund!$E:$AZ,_xlpm.rowNo,_xlpm.colNo),
IF(ISNUMBER(_xlpm.val),_xlpm.val*$H75,""))</f>
        <v/>
      </c>
      <c r="J75" s="6" t="str">
        <f>_xlfn.LET(
_xlpm.rowNo, MATCH($C75&amp;"|"&amp;
($F75+J$4),Raw_Fund!$A:$A,0),
_xlpm.colNo,
MATCH(J$3,Raw_Fund!$E$1:$AZ$1,0),
_xlpm.val,
INDEX(Raw_Fund!$E:$AZ,_xlpm.rowNo,_xlpm.colNo),
IF(ISNUMBER(_xlpm.val),_xlpm.val*$H75,""))</f>
        <v/>
      </c>
      <c r="K75" s="6" t="str">
        <f>_xlfn.LET(
_xlpm.rowNo, MATCH($C75&amp;"|"&amp;
($F75+K$4),Raw_Fund!$A:$A,0),
_xlpm.colNo,
MATCH(K$3,Raw_Fund!$E$1:$AZ$1,0),
_xlpm.val,
INDEX(Raw_Fund!$E:$AZ,_xlpm.rowNo,_xlpm.colNo),
IF(ISNUMBER(_xlpm.val),_xlpm.val*$H75,""))</f>
        <v/>
      </c>
      <c r="L75" s="6" t="str">
        <f>_xlfn.LET(
_xlpm.rowNo, MATCH($C75&amp;"|"&amp;
($F75+L$4),Raw_Fund!$A:$A,0),
_xlpm.colNo,
MATCH(L$3,Raw_Fund!$E$1:$AZ$1,0),
_xlpm.val,
INDEX(Raw_Fund!$E:$AZ,_xlpm.rowNo,_xlpm.colNo),
IF(ISNUMBER(_xlpm.val),_xlpm.val*$H75,""))</f>
        <v/>
      </c>
      <c r="M75" s="6" t="str">
        <f>_xlfn.LET(
_xlpm.rowNo, MATCH($C75&amp;"|"&amp;
($F75+M$4),Raw_Fund!$A:$A,0),
_xlpm.colNo,
MATCH(M$3,Raw_Fund!$E$1:$AZ$1,0),
_xlpm.val,
INDEX(Raw_Fund!$E:$AZ,_xlpm.rowNo,_xlpm.colNo),
IF(ISNUMBER(_xlpm.val),_xlpm.val*$H75,""))</f>
        <v/>
      </c>
      <c r="N75" s="6" t="str">
        <f>_xlfn.LET(
_xlpm.rowNo, MATCH($C75&amp;"|"&amp;
($F75+N$4),Raw_Fund!$A:$A,0),
_xlpm.colNo,
MATCH(N$3,Raw_Fund!$E$1:$AZ$1,0),
_xlpm.val,
INDEX(Raw_Fund!$E:$AZ,_xlpm.rowNo,_xlpm.colNo),
IF(ISNUMBER(_xlpm.val),_xlpm.val*$H75,""))</f>
        <v/>
      </c>
      <c r="O75" s="6" t="str">
        <f>_xlfn.LET(
_xlpm.rowNo, MATCH($C75&amp;"|"&amp;
($F75+O$4),Raw_Fund!$A:$A,0),
_xlpm.colNo,
MATCH(O$3,Raw_Fund!$E$1:$AZ$1,0),
_xlpm.val,
INDEX(Raw_Fund!$E:$AZ,_xlpm.rowNo,_xlpm.colNo),
IF(ISNUMBER(_xlpm.val),_xlpm.val*$H75,""))</f>
        <v/>
      </c>
      <c r="P75" s="6" t="str">
        <f>_xlfn.LET(
_xlpm.rowNo, MATCH($C75&amp;"|"&amp;
($F75+P$4),Raw_Fund!$A:$A,0),
_xlpm.colNo,
MATCH(P$3,Raw_Fund!$E$1:$AZ$1,0),
_xlpm.val,
INDEX(Raw_Fund!$E:$AZ,_xlpm.rowNo,_xlpm.colNo),
IF(ISNUMBER(_xlpm.val),_xlpm.val*$H75,""))</f>
        <v/>
      </c>
      <c r="Q75" s="6" t="str">
        <f>_xlfn.LET(
_xlpm.rowNo, MATCH($C75&amp;"|"&amp;
($F75+Q$4),Raw_Fund!$A:$A,0),
_xlpm.colNo,
MATCH(Q$3,Raw_Fund!$E$1:$AZ$1,0),
_xlpm.val,
INDEX(Raw_Fund!$E:$AZ,_xlpm.rowNo,_xlpm.colNo),
IF(ISNUMBER(_xlpm.val),_xlpm.val*$H75,""))</f>
        <v/>
      </c>
      <c r="R75" s="6" t="str">
        <f>_xlfn.LET(
_xlpm.rowNo, MATCH($C75&amp;"|"&amp;
($F75+R$4),Raw_Fund!$A:$A,0),
_xlpm.colNo,
MATCH(R$3,Raw_Fund!$E$1:$AZ$1,0),
_xlpm.val,
INDEX(Raw_Fund!$E:$AZ,_xlpm.rowNo,_xlpm.colNo),
IF(ISNUMBER(_xlpm.val),_xlpm.val*$H75,""))</f>
        <v/>
      </c>
      <c r="S75" s="6" t="str">
        <f>_xlfn.LET(
_xlpm.rowNo, MATCH($C75&amp;"|"&amp;
($F75+S$4),Raw_Fund!$A:$A,0),
_xlpm.colNo,
MATCH(S$3,Raw_Fund!$E$1:$AZ$1,0),
_xlpm.val,
INDEX(Raw_Fund!$E:$AZ,_xlpm.rowNo,_xlpm.colNo),
IF(ISNUMBER(_xlpm.val),_xlpm.val*$H75,""))</f>
        <v/>
      </c>
      <c r="T75" s="6" t="str">
        <f>_xlfn.LET(
_xlpm.rowNo, MATCH($C75&amp;"|"&amp;
($F75+T$4),Raw_Fund!$A:$A,0),
_xlpm.colNo,
MATCH(T$3,Raw_Fund!$E$1:$AZ$1,0),
_xlpm.val,
INDEX(Raw_Fund!$E:$AZ,_xlpm.rowNo,_xlpm.colNo),
IF(ISNUMBER(_xlpm.val),_xlpm.val*$H75,""))</f>
        <v/>
      </c>
      <c r="U75" s="6" t="str">
        <f>_xlfn.LET(
_xlpm.rowNo, MATCH($C75&amp;"|"&amp;
($F75+U$4),Raw_Fund!$A:$A,0),
_xlpm.colNo,
MATCH(U$3,Raw_Fund!$E$1:$AZ$1,0),
_xlpm.val,
INDEX(Raw_Fund!$E:$AZ,_xlpm.rowNo,_xlpm.colNo),
IF(ISNUMBER(_xlpm.val),_xlpm.val*$H75,""))</f>
        <v/>
      </c>
      <c r="V75" s="6" t="str">
        <f>_xlfn.LET(
_xlpm.rowNo, MATCH($C75&amp;"|"&amp;
($F75+V$4),Raw_Fund!$A:$A,0),
_xlpm.colNo,
MATCH(V$3,Raw_Fund!$E$1:$AZ$1,0),
_xlpm.val,
INDEX(Raw_Fund!$E:$AZ,_xlpm.rowNo,_xlpm.colNo),
IF(ISNUMBER(_xlpm.val),_xlpm.val*$H75,""))</f>
        <v/>
      </c>
      <c r="W75" s="6" t="str">
        <f>_xlfn.LET(
_xlpm.rowNo, MATCH($C75&amp;"|"&amp;
($F75+W$4),Raw_Fund!$A:$A,0),
_xlpm.colNo,
MATCH(W$3,Raw_Fund!$E$1:$AZ$1,0),
_xlpm.val,
INDEX(Raw_Fund!$E:$AZ,_xlpm.rowNo,_xlpm.colNo),
IF(ISNUMBER(_xlpm.val),_xlpm.val*$H75,""))</f>
        <v/>
      </c>
      <c r="X75" s="6" t="str">
        <f>_xlfn.LET(
_xlpm.rowNo, MATCH($C75&amp;"|"&amp;
($F75+X$4),Raw_Fund!$A:$A,0),
_xlpm.colNo,
MATCH(X$3,Raw_Fund!$E$1:$AZ$1,0),
_xlpm.val,
INDEX(Raw_Fund!$E:$AZ,_xlpm.rowNo,_xlpm.colNo),
IF(ISNUMBER(_xlpm.val),_xlpm.val*$H75,""))</f>
        <v/>
      </c>
      <c r="Y75" s="6" t="str">
        <f>_xlfn.LET(
_xlpm.rowNo, MATCH($C75&amp;"|"&amp;
($F75+Y$4),Raw_Fund!$A:$A,0),
_xlpm.colNo,
MATCH(Y$3,Raw_Fund!$E$1:$AZ$1,0),
_xlpm.val,
INDEX(Raw_Fund!$E:$AZ,_xlpm.rowNo,_xlpm.colNo),
IF(ISNUMBER(_xlpm.val),_xlpm.val*$H75,""))</f>
        <v/>
      </c>
      <c r="Z75" s="6" t="str">
        <f>IF($E75&lt;&gt;"Include","",_xlfn.XLOOKUP($C75,Raw_Mkt!$A:$A,Raw_Mkt!$B:$B))</f>
        <v/>
      </c>
    </row>
    <row r="76" spans="1:26" x14ac:dyDescent="0.4">
      <c r="A76" t="str">
        <f>IF(Universe!A76&lt;&gt;"",Universe!A76,"")</f>
        <v>FGT</v>
      </c>
      <c r="B76" t="str">
        <f>IF(Universe!B76&lt;&gt;"",Universe!B76,"")</f>
        <v>Finsbury Growth &amp; Income Trust</v>
      </c>
      <c r="C76" t="str">
        <f>IF(Universe!C76&lt;&gt;"",Universe!C76,"")</f>
        <v>GB0007816068</v>
      </c>
      <c r="D76" t="str">
        <f>IF(Universe!D76&lt;&gt;"",Universe!D76,"")</f>
        <v>Financials</v>
      </c>
      <c r="E76" t="str">
        <f>Universe!G76</f>
        <v>Exclude</v>
      </c>
      <c r="F76" t="str">
        <f>IF($E76&lt;&gt;"Include","",_xlfn.LET(_xlpm.latest,_xlfn.MAXIFS(Raw_Fund!$C:$C,Raw_Fund!$B:$B,Data!$C76),IF(_xlpm.latest=0,"",_xlpm.latest)))</f>
        <v/>
      </c>
      <c r="G76" t="str">
        <f>IF($F76="","",INDEX(Raw_Fund!$E:$AZ,MATCH($C76&amp;"|"&amp;$F76,Raw_Fund!$A:$A,0),MATCH(G$3,Raw_Fund!$E$1:$AZ$1,0)))</f>
        <v/>
      </c>
      <c r="H76" t="str">
        <f t="shared" si="1"/>
        <v/>
      </c>
      <c r="I76" s="6" t="str">
        <f>_xlfn.LET(
_xlpm.rowNo, MATCH($C76&amp;"|"&amp;
($F76+I$4),Raw_Fund!$A:$A,0),
_xlpm.colNo,
MATCH(I$3,Raw_Fund!$E$1:$AZ$1,0),
_xlpm.val,
INDEX(Raw_Fund!$E:$AZ,_xlpm.rowNo,_xlpm.colNo),
IF(ISNUMBER(_xlpm.val),_xlpm.val*$H76,""))</f>
        <v/>
      </c>
      <c r="J76" s="6" t="str">
        <f>_xlfn.LET(
_xlpm.rowNo, MATCH($C76&amp;"|"&amp;
($F76+J$4),Raw_Fund!$A:$A,0),
_xlpm.colNo,
MATCH(J$3,Raw_Fund!$E$1:$AZ$1,0),
_xlpm.val,
INDEX(Raw_Fund!$E:$AZ,_xlpm.rowNo,_xlpm.colNo),
IF(ISNUMBER(_xlpm.val),_xlpm.val*$H76,""))</f>
        <v/>
      </c>
      <c r="K76" s="6" t="str">
        <f>_xlfn.LET(
_xlpm.rowNo, MATCH($C76&amp;"|"&amp;
($F76+K$4),Raw_Fund!$A:$A,0),
_xlpm.colNo,
MATCH(K$3,Raw_Fund!$E$1:$AZ$1,0),
_xlpm.val,
INDEX(Raw_Fund!$E:$AZ,_xlpm.rowNo,_xlpm.colNo),
IF(ISNUMBER(_xlpm.val),_xlpm.val*$H76,""))</f>
        <v/>
      </c>
      <c r="L76" s="6" t="str">
        <f>_xlfn.LET(
_xlpm.rowNo, MATCH($C76&amp;"|"&amp;
($F76+L$4),Raw_Fund!$A:$A,0),
_xlpm.colNo,
MATCH(L$3,Raw_Fund!$E$1:$AZ$1,0),
_xlpm.val,
INDEX(Raw_Fund!$E:$AZ,_xlpm.rowNo,_xlpm.colNo),
IF(ISNUMBER(_xlpm.val),_xlpm.val*$H76,""))</f>
        <v/>
      </c>
      <c r="M76" s="6" t="str">
        <f>_xlfn.LET(
_xlpm.rowNo, MATCH($C76&amp;"|"&amp;
($F76+M$4),Raw_Fund!$A:$A,0),
_xlpm.colNo,
MATCH(M$3,Raw_Fund!$E$1:$AZ$1,0),
_xlpm.val,
INDEX(Raw_Fund!$E:$AZ,_xlpm.rowNo,_xlpm.colNo),
IF(ISNUMBER(_xlpm.val),_xlpm.val*$H76,""))</f>
        <v/>
      </c>
      <c r="N76" s="6" t="str">
        <f>_xlfn.LET(
_xlpm.rowNo, MATCH($C76&amp;"|"&amp;
($F76+N$4),Raw_Fund!$A:$A,0),
_xlpm.colNo,
MATCH(N$3,Raw_Fund!$E$1:$AZ$1,0),
_xlpm.val,
INDEX(Raw_Fund!$E:$AZ,_xlpm.rowNo,_xlpm.colNo),
IF(ISNUMBER(_xlpm.val),_xlpm.val*$H76,""))</f>
        <v/>
      </c>
      <c r="O76" s="6" t="str">
        <f>_xlfn.LET(
_xlpm.rowNo, MATCH($C76&amp;"|"&amp;
($F76+O$4),Raw_Fund!$A:$A,0),
_xlpm.colNo,
MATCH(O$3,Raw_Fund!$E$1:$AZ$1,0),
_xlpm.val,
INDEX(Raw_Fund!$E:$AZ,_xlpm.rowNo,_xlpm.colNo),
IF(ISNUMBER(_xlpm.val),_xlpm.val*$H76,""))</f>
        <v/>
      </c>
      <c r="P76" s="6" t="str">
        <f>_xlfn.LET(
_xlpm.rowNo, MATCH($C76&amp;"|"&amp;
($F76+P$4),Raw_Fund!$A:$A,0),
_xlpm.colNo,
MATCH(P$3,Raw_Fund!$E$1:$AZ$1,0),
_xlpm.val,
INDEX(Raw_Fund!$E:$AZ,_xlpm.rowNo,_xlpm.colNo),
IF(ISNUMBER(_xlpm.val),_xlpm.val*$H76,""))</f>
        <v/>
      </c>
      <c r="Q76" s="6" t="str">
        <f>_xlfn.LET(
_xlpm.rowNo, MATCH($C76&amp;"|"&amp;
($F76+Q$4),Raw_Fund!$A:$A,0),
_xlpm.colNo,
MATCH(Q$3,Raw_Fund!$E$1:$AZ$1,0),
_xlpm.val,
INDEX(Raw_Fund!$E:$AZ,_xlpm.rowNo,_xlpm.colNo),
IF(ISNUMBER(_xlpm.val),_xlpm.val*$H76,""))</f>
        <v/>
      </c>
      <c r="R76" s="6" t="str">
        <f>_xlfn.LET(
_xlpm.rowNo, MATCH($C76&amp;"|"&amp;
($F76+R$4),Raw_Fund!$A:$A,0),
_xlpm.colNo,
MATCH(R$3,Raw_Fund!$E$1:$AZ$1,0),
_xlpm.val,
INDEX(Raw_Fund!$E:$AZ,_xlpm.rowNo,_xlpm.colNo),
IF(ISNUMBER(_xlpm.val),_xlpm.val*$H76,""))</f>
        <v/>
      </c>
      <c r="S76" s="6" t="str">
        <f>_xlfn.LET(
_xlpm.rowNo, MATCH($C76&amp;"|"&amp;
($F76+S$4),Raw_Fund!$A:$A,0),
_xlpm.colNo,
MATCH(S$3,Raw_Fund!$E$1:$AZ$1,0),
_xlpm.val,
INDEX(Raw_Fund!$E:$AZ,_xlpm.rowNo,_xlpm.colNo),
IF(ISNUMBER(_xlpm.val),_xlpm.val*$H76,""))</f>
        <v/>
      </c>
      <c r="T76" s="6" t="str">
        <f>_xlfn.LET(
_xlpm.rowNo, MATCH($C76&amp;"|"&amp;
($F76+T$4),Raw_Fund!$A:$A,0),
_xlpm.colNo,
MATCH(T$3,Raw_Fund!$E$1:$AZ$1,0),
_xlpm.val,
INDEX(Raw_Fund!$E:$AZ,_xlpm.rowNo,_xlpm.colNo),
IF(ISNUMBER(_xlpm.val),_xlpm.val*$H76,""))</f>
        <v/>
      </c>
      <c r="U76" s="6" t="str">
        <f>_xlfn.LET(
_xlpm.rowNo, MATCH($C76&amp;"|"&amp;
($F76+U$4),Raw_Fund!$A:$A,0),
_xlpm.colNo,
MATCH(U$3,Raw_Fund!$E$1:$AZ$1,0),
_xlpm.val,
INDEX(Raw_Fund!$E:$AZ,_xlpm.rowNo,_xlpm.colNo),
IF(ISNUMBER(_xlpm.val),_xlpm.val*$H76,""))</f>
        <v/>
      </c>
      <c r="V76" s="6" t="str">
        <f>_xlfn.LET(
_xlpm.rowNo, MATCH($C76&amp;"|"&amp;
($F76+V$4),Raw_Fund!$A:$A,0),
_xlpm.colNo,
MATCH(V$3,Raw_Fund!$E$1:$AZ$1,0),
_xlpm.val,
INDEX(Raw_Fund!$E:$AZ,_xlpm.rowNo,_xlpm.colNo),
IF(ISNUMBER(_xlpm.val),_xlpm.val*$H76,""))</f>
        <v/>
      </c>
      <c r="W76" s="6" t="str">
        <f>_xlfn.LET(
_xlpm.rowNo, MATCH($C76&amp;"|"&amp;
($F76+W$4),Raw_Fund!$A:$A,0),
_xlpm.colNo,
MATCH(W$3,Raw_Fund!$E$1:$AZ$1,0),
_xlpm.val,
INDEX(Raw_Fund!$E:$AZ,_xlpm.rowNo,_xlpm.colNo),
IF(ISNUMBER(_xlpm.val),_xlpm.val*$H76,""))</f>
        <v/>
      </c>
      <c r="X76" s="6" t="str">
        <f>_xlfn.LET(
_xlpm.rowNo, MATCH($C76&amp;"|"&amp;
($F76+X$4),Raw_Fund!$A:$A,0),
_xlpm.colNo,
MATCH(X$3,Raw_Fund!$E$1:$AZ$1,0),
_xlpm.val,
INDEX(Raw_Fund!$E:$AZ,_xlpm.rowNo,_xlpm.colNo),
IF(ISNUMBER(_xlpm.val),_xlpm.val*$H76,""))</f>
        <v/>
      </c>
      <c r="Y76" s="6" t="str">
        <f>_xlfn.LET(
_xlpm.rowNo, MATCH($C76&amp;"|"&amp;
($F76+Y$4),Raw_Fund!$A:$A,0),
_xlpm.colNo,
MATCH(Y$3,Raw_Fund!$E$1:$AZ$1,0),
_xlpm.val,
INDEX(Raw_Fund!$E:$AZ,_xlpm.rowNo,_xlpm.colNo),
IF(ISNUMBER(_xlpm.val),_xlpm.val*$H76,""))</f>
        <v/>
      </c>
      <c r="Z76" s="6" t="str">
        <f>IF($E76&lt;&gt;"Include","",_xlfn.XLOOKUP($C76,Raw_Mkt!$A:$A,Raw_Mkt!$B:$B))</f>
        <v/>
      </c>
    </row>
    <row r="77" spans="1:26" x14ac:dyDescent="0.4">
      <c r="A77" t="str">
        <f>IF(Universe!A77&lt;&gt;"",Universe!A77,"")</f>
        <v>FGP</v>
      </c>
      <c r="B77" t="str">
        <f>IF(Universe!B77&lt;&gt;"",Universe!B77,"")</f>
        <v>FirstGroup</v>
      </c>
      <c r="C77" t="str">
        <f>IF(Universe!C77&lt;&gt;"",Universe!C77,"")</f>
        <v>GB0003452173</v>
      </c>
      <c r="D77" t="str">
        <f>IF(Universe!D77&lt;&gt;"",Universe!D77,"")</f>
        <v>Consumer Discretionary</v>
      </c>
      <c r="E77" t="str">
        <f>Universe!G77</f>
        <v>Include</v>
      </c>
      <c r="F77" t="str">
        <f>IF($E77&lt;&gt;"Include","",_xlfn.LET(_xlpm.latest,_xlfn.MAXIFS(Raw_Fund!$C:$C,Raw_Fund!$B:$B,Data!$C77),IF(_xlpm.latest=0,"",_xlpm.latest)))</f>
        <v/>
      </c>
      <c r="G77" t="str">
        <f>IF($F77="","",INDEX(Raw_Fund!$E:$AZ,MATCH($C77&amp;"|"&amp;$F77,Raw_Fund!$A:$A,0),MATCH(G$3,Raw_Fund!$E$1:$AZ$1,0)))</f>
        <v/>
      </c>
      <c r="H77" t="str">
        <f t="shared" si="1"/>
        <v/>
      </c>
      <c r="I77" s="6" t="str">
        <f>_xlfn.LET(
_xlpm.rowNo, MATCH($C77&amp;"|"&amp;
($F77+I$4),Raw_Fund!$A:$A,0),
_xlpm.colNo,
MATCH(I$3,Raw_Fund!$E$1:$AZ$1,0),
_xlpm.val,
INDEX(Raw_Fund!$E:$AZ,_xlpm.rowNo,_xlpm.colNo),
IF(ISNUMBER(_xlpm.val),_xlpm.val*$H77,""))</f>
        <v/>
      </c>
      <c r="J77" s="6" t="str">
        <f>_xlfn.LET(
_xlpm.rowNo, MATCH($C77&amp;"|"&amp;
($F77+J$4),Raw_Fund!$A:$A,0),
_xlpm.colNo,
MATCH(J$3,Raw_Fund!$E$1:$AZ$1,0),
_xlpm.val,
INDEX(Raw_Fund!$E:$AZ,_xlpm.rowNo,_xlpm.colNo),
IF(ISNUMBER(_xlpm.val),_xlpm.val*$H77,""))</f>
        <v/>
      </c>
      <c r="K77" s="6" t="str">
        <f>_xlfn.LET(
_xlpm.rowNo, MATCH($C77&amp;"|"&amp;
($F77+K$4),Raw_Fund!$A:$A,0),
_xlpm.colNo,
MATCH(K$3,Raw_Fund!$E$1:$AZ$1,0),
_xlpm.val,
INDEX(Raw_Fund!$E:$AZ,_xlpm.rowNo,_xlpm.colNo),
IF(ISNUMBER(_xlpm.val),_xlpm.val*$H77,""))</f>
        <v/>
      </c>
      <c r="L77" s="6" t="str">
        <f>_xlfn.LET(
_xlpm.rowNo, MATCH($C77&amp;"|"&amp;
($F77+L$4),Raw_Fund!$A:$A,0),
_xlpm.colNo,
MATCH(L$3,Raw_Fund!$E$1:$AZ$1,0),
_xlpm.val,
INDEX(Raw_Fund!$E:$AZ,_xlpm.rowNo,_xlpm.colNo),
IF(ISNUMBER(_xlpm.val),_xlpm.val*$H77,""))</f>
        <v/>
      </c>
      <c r="M77" s="6" t="str">
        <f>_xlfn.LET(
_xlpm.rowNo, MATCH($C77&amp;"|"&amp;
($F77+M$4),Raw_Fund!$A:$A,0),
_xlpm.colNo,
MATCH(M$3,Raw_Fund!$E$1:$AZ$1,0),
_xlpm.val,
INDEX(Raw_Fund!$E:$AZ,_xlpm.rowNo,_xlpm.colNo),
IF(ISNUMBER(_xlpm.val),_xlpm.val*$H77,""))</f>
        <v/>
      </c>
      <c r="N77" s="6" t="str">
        <f>_xlfn.LET(
_xlpm.rowNo, MATCH($C77&amp;"|"&amp;
($F77+N$4),Raw_Fund!$A:$A,0),
_xlpm.colNo,
MATCH(N$3,Raw_Fund!$E$1:$AZ$1,0),
_xlpm.val,
INDEX(Raw_Fund!$E:$AZ,_xlpm.rowNo,_xlpm.colNo),
IF(ISNUMBER(_xlpm.val),_xlpm.val*$H77,""))</f>
        <v/>
      </c>
      <c r="O77" s="6" t="str">
        <f>_xlfn.LET(
_xlpm.rowNo, MATCH($C77&amp;"|"&amp;
($F77+O$4),Raw_Fund!$A:$A,0),
_xlpm.colNo,
MATCH(O$3,Raw_Fund!$E$1:$AZ$1,0),
_xlpm.val,
INDEX(Raw_Fund!$E:$AZ,_xlpm.rowNo,_xlpm.colNo),
IF(ISNUMBER(_xlpm.val),_xlpm.val*$H77,""))</f>
        <v/>
      </c>
      <c r="P77" s="6" t="str">
        <f>_xlfn.LET(
_xlpm.rowNo, MATCH($C77&amp;"|"&amp;
($F77+P$4),Raw_Fund!$A:$A,0),
_xlpm.colNo,
MATCH(P$3,Raw_Fund!$E$1:$AZ$1,0),
_xlpm.val,
INDEX(Raw_Fund!$E:$AZ,_xlpm.rowNo,_xlpm.colNo),
IF(ISNUMBER(_xlpm.val),_xlpm.val*$H77,""))</f>
        <v/>
      </c>
      <c r="Q77" s="6" t="str">
        <f>_xlfn.LET(
_xlpm.rowNo, MATCH($C77&amp;"|"&amp;
($F77+Q$4),Raw_Fund!$A:$A,0),
_xlpm.colNo,
MATCH(Q$3,Raw_Fund!$E$1:$AZ$1,0),
_xlpm.val,
INDEX(Raw_Fund!$E:$AZ,_xlpm.rowNo,_xlpm.colNo),
IF(ISNUMBER(_xlpm.val),_xlpm.val*$H77,""))</f>
        <v/>
      </c>
      <c r="R77" s="6" t="str">
        <f>_xlfn.LET(
_xlpm.rowNo, MATCH($C77&amp;"|"&amp;
($F77+R$4),Raw_Fund!$A:$A,0),
_xlpm.colNo,
MATCH(R$3,Raw_Fund!$E$1:$AZ$1,0),
_xlpm.val,
INDEX(Raw_Fund!$E:$AZ,_xlpm.rowNo,_xlpm.colNo),
IF(ISNUMBER(_xlpm.val),_xlpm.val*$H77,""))</f>
        <v/>
      </c>
      <c r="S77" s="6" t="str">
        <f>_xlfn.LET(
_xlpm.rowNo, MATCH($C77&amp;"|"&amp;
($F77+S$4),Raw_Fund!$A:$A,0),
_xlpm.colNo,
MATCH(S$3,Raw_Fund!$E$1:$AZ$1,0),
_xlpm.val,
INDEX(Raw_Fund!$E:$AZ,_xlpm.rowNo,_xlpm.colNo),
IF(ISNUMBER(_xlpm.val),_xlpm.val*$H77,""))</f>
        <v/>
      </c>
      <c r="T77" s="6" t="str">
        <f>_xlfn.LET(
_xlpm.rowNo, MATCH($C77&amp;"|"&amp;
($F77+T$4),Raw_Fund!$A:$A,0),
_xlpm.colNo,
MATCH(T$3,Raw_Fund!$E$1:$AZ$1,0),
_xlpm.val,
INDEX(Raw_Fund!$E:$AZ,_xlpm.rowNo,_xlpm.colNo),
IF(ISNUMBER(_xlpm.val),_xlpm.val*$H77,""))</f>
        <v/>
      </c>
      <c r="U77" s="6" t="str">
        <f>_xlfn.LET(
_xlpm.rowNo, MATCH($C77&amp;"|"&amp;
($F77+U$4),Raw_Fund!$A:$A,0),
_xlpm.colNo,
MATCH(U$3,Raw_Fund!$E$1:$AZ$1,0),
_xlpm.val,
INDEX(Raw_Fund!$E:$AZ,_xlpm.rowNo,_xlpm.colNo),
IF(ISNUMBER(_xlpm.val),_xlpm.val*$H77,""))</f>
        <v/>
      </c>
      <c r="V77" s="6" t="str">
        <f>_xlfn.LET(
_xlpm.rowNo, MATCH($C77&amp;"|"&amp;
($F77+V$4),Raw_Fund!$A:$A,0),
_xlpm.colNo,
MATCH(V$3,Raw_Fund!$E$1:$AZ$1,0),
_xlpm.val,
INDEX(Raw_Fund!$E:$AZ,_xlpm.rowNo,_xlpm.colNo),
IF(ISNUMBER(_xlpm.val),_xlpm.val*$H77,""))</f>
        <v/>
      </c>
      <c r="W77" s="6" t="str">
        <f>_xlfn.LET(
_xlpm.rowNo, MATCH($C77&amp;"|"&amp;
($F77+W$4),Raw_Fund!$A:$A,0),
_xlpm.colNo,
MATCH(W$3,Raw_Fund!$E$1:$AZ$1,0),
_xlpm.val,
INDEX(Raw_Fund!$E:$AZ,_xlpm.rowNo,_xlpm.colNo),
IF(ISNUMBER(_xlpm.val),_xlpm.val*$H77,""))</f>
        <v/>
      </c>
      <c r="X77" s="6" t="str">
        <f>_xlfn.LET(
_xlpm.rowNo, MATCH($C77&amp;"|"&amp;
($F77+X$4),Raw_Fund!$A:$A,0),
_xlpm.colNo,
MATCH(X$3,Raw_Fund!$E$1:$AZ$1,0),
_xlpm.val,
INDEX(Raw_Fund!$E:$AZ,_xlpm.rowNo,_xlpm.colNo),
IF(ISNUMBER(_xlpm.val),_xlpm.val*$H77,""))</f>
        <v/>
      </c>
      <c r="Y77" s="6" t="str">
        <f>_xlfn.LET(
_xlpm.rowNo, MATCH($C77&amp;"|"&amp;
($F77+Y$4),Raw_Fund!$A:$A,0),
_xlpm.colNo,
MATCH(Y$3,Raw_Fund!$E$1:$AZ$1,0),
_xlpm.val,
INDEX(Raw_Fund!$E:$AZ,_xlpm.rowNo,_xlpm.colNo),
IF(ISNUMBER(_xlpm.val),_xlpm.val*$H77,""))</f>
        <v/>
      </c>
      <c r="Z77" s="6" t="e">
        <f>IF($E77&lt;&gt;"Include","",_xlfn.XLOOKUP($C77,Raw_Mkt!$A:$A,Raw_Mkt!$B:$B))</f>
        <v>#N/A</v>
      </c>
    </row>
    <row r="78" spans="1:26" x14ac:dyDescent="0.4">
      <c r="A78" t="str">
        <f>IF(Universe!A78&lt;&gt;"",Universe!A78,"")</f>
        <v>FGEN</v>
      </c>
      <c r="B78" t="str">
        <f>IF(Universe!B78&lt;&gt;"",Universe!B78,"")</f>
        <v>Foresight Environmental Infrastructure</v>
      </c>
      <c r="C78" t="str">
        <f>IF(Universe!C78&lt;&gt;"",Universe!C78,"")</f>
        <v>GG00BJL5FH87</v>
      </c>
      <c r="D78" t="str">
        <f>IF(Universe!D78&lt;&gt;"",Universe!D78,"")</f>
        <v>Financials</v>
      </c>
      <c r="E78" t="str">
        <f>Universe!G78</f>
        <v>Exclude</v>
      </c>
      <c r="F78" t="str">
        <f>IF($E78&lt;&gt;"Include","",_xlfn.LET(_xlpm.latest,_xlfn.MAXIFS(Raw_Fund!$C:$C,Raw_Fund!$B:$B,Data!$C78),IF(_xlpm.latest=0,"",_xlpm.latest)))</f>
        <v/>
      </c>
      <c r="G78" t="str">
        <f>IF($F78="","",INDEX(Raw_Fund!$E:$AZ,MATCH($C78&amp;"|"&amp;$F78,Raw_Fund!$A:$A,0),MATCH(G$3,Raw_Fund!$E$1:$AZ$1,0)))</f>
        <v/>
      </c>
      <c r="H78" t="str">
        <f t="shared" si="1"/>
        <v/>
      </c>
      <c r="I78" s="6" t="str">
        <f>_xlfn.LET(
_xlpm.rowNo, MATCH($C78&amp;"|"&amp;
($F78+I$4),Raw_Fund!$A:$A,0),
_xlpm.colNo,
MATCH(I$3,Raw_Fund!$E$1:$AZ$1,0),
_xlpm.val,
INDEX(Raw_Fund!$E:$AZ,_xlpm.rowNo,_xlpm.colNo),
IF(ISNUMBER(_xlpm.val),_xlpm.val*$H78,""))</f>
        <v/>
      </c>
      <c r="J78" s="6" t="str">
        <f>_xlfn.LET(
_xlpm.rowNo, MATCH($C78&amp;"|"&amp;
($F78+J$4),Raw_Fund!$A:$A,0),
_xlpm.colNo,
MATCH(J$3,Raw_Fund!$E$1:$AZ$1,0),
_xlpm.val,
INDEX(Raw_Fund!$E:$AZ,_xlpm.rowNo,_xlpm.colNo),
IF(ISNUMBER(_xlpm.val),_xlpm.val*$H78,""))</f>
        <v/>
      </c>
      <c r="K78" s="6" t="str">
        <f>_xlfn.LET(
_xlpm.rowNo, MATCH($C78&amp;"|"&amp;
($F78+K$4),Raw_Fund!$A:$A,0),
_xlpm.colNo,
MATCH(K$3,Raw_Fund!$E$1:$AZ$1,0),
_xlpm.val,
INDEX(Raw_Fund!$E:$AZ,_xlpm.rowNo,_xlpm.colNo),
IF(ISNUMBER(_xlpm.val),_xlpm.val*$H78,""))</f>
        <v/>
      </c>
      <c r="L78" s="6" t="str">
        <f>_xlfn.LET(
_xlpm.rowNo, MATCH($C78&amp;"|"&amp;
($F78+L$4),Raw_Fund!$A:$A,0),
_xlpm.colNo,
MATCH(L$3,Raw_Fund!$E$1:$AZ$1,0),
_xlpm.val,
INDEX(Raw_Fund!$E:$AZ,_xlpm.rowNo,_xlpm.colNo),
IF(ISNUMBER(_xlpm.val),_xlpm.val*$H78,""))</f>
        <v/>
      </c>
      <c r="M78" s="6" t="str">
        <f>_xlfn.LET(
_xlpm.rowNo, MATCH($C78&amp;"|"&amp;
($F78+M$4),Raw_Fund!$A:$A,0),
_xlpm.colNo,
MATCH(M$3,Raw_Fund!$E$1:$AZ$1,0),
_xlpm.val,
INDEX(Raw_Fund!$E:$AZ,_xlpm.rowNo,_xlpm.colNo),
IF(ISNUMBER(_xlpm.val),_xlpm.val*$H78,""))</f>
        <v/>
      </c>
      <c r="N78" s="6" t="str">
        <f>_xlfn.LET(
_xlpm.rowNo, MATCH($C78&amp;"|"&amp;
($F78+N$4),Raw_Fund!$A:$A,0),
_xlpm.colNo,
MATCH(N$3,Raw_Fund!$E$1:$AZ$1,0),
_xlpm.val,
INDEX(Raw_Fund!$E:$AZ,_xlpm.rowNo,_xlpm.colNo),
IF(ISNUMBER(_xlpm.val),_xlpm.val*$H78,""))</f>
        <v/>
      </c>
      <c r="O78" s="6" t="str">
        <f>_xlfn.LET(
_xlpm.rowNo, MATCH($C78&amp;"|"&amp;
($F78+O$4),Raw_Fund!$A:$A,0),
_xlpm.colNo,
MATCH(O$3,Raw_Fund!$E$1:$AZ$1,0),
_xlpm.val,
INDEX(Raw_Fund!$E:$AZ,_xlpm.rowNo,_xlpm.colNo),
IF(ISNUMBER(_xlpm.val),_xlpm.val*$H78,""))</f>
        <v/>
      </c>
      <c r="P78" s="6" t="str">
        <f>_xlfn.LET(
_xlpm.rowNo, MATCH($C78&amp;"|"&amp;
($F78+P$4),Raw_Fund!$A:$A,0),
_xlpm.colNo,
MATCH(P$3,Raw_Fund!$E$1:$AZ$1,0),
_xlpm.val,
INDEX(Raw_Fund!$E:$AZ,_xlpm.rowNo,_xlpm.colNo),
IF(ISNUMBER(_xlpm.val),_xlpm.val*$H78,""))</f>
        <v/>
      </c>
      <c r="Q78" s="6" t="str">
        <f>_xlfn.LET(
_xlpm.rowNo, MATCH($C78&amp;"|"&amp;
($F78+Q$4),Raw_Fund!$A:$A,0),
_xlpm.colNo,
MATCH(Q$3,Raw_Fund!$E$1:$AZ$1,0),
_xlpm.val,
INDEX(Raw_Fund!$E:$AZ,_xlpm.rowNo,_xlpm.colNo),
IF(ISNUMBER(_xlpm.val),_xlpm.val*$H78,""))</f>
        <v/>
      </c>
      <c r="R78" s="6" t="str">
        <f>_xlfn.LET(
_xlpm.rowNo, MATCH($C78&amp;"|"&amp;
($F78+R$4),Raw_Fund!$A:$A,0),
_xlpm.colNo,
MATCH(R$3,Raw_Fund!$E$1:$AZ$1,0),
_xlpm.val,
INDEX(Raw_Fund!$E:$AZ,_xlpm.rowNo,_xlpm.colNo),
IF(ISNUMBER(_xlpm.val),_xlpm.val*$H78,""))</f>
        <v/>
      </c>
      <c r="S78" s="6" t="str">
        <f>_xlfn.LET(
_xlpm.rowNo, MATCH($C78&amp;"|"&amp;
($F78+S$4),Raw_Fund!$A:$A,0),
_xlpm.colNo,
MATCH(S$3,Raw_Fund!$E$1:$AZ$1,0),
_xlpm.val,
INDEX(Raw_Fund!$E:$AZ,_xlpm.rowNo,_xlpm.colNo),
IF(ISNUMBER(_xlpm.val),_xlpm.val*$H78,""))</f>
        <v/>
      </c>
      <c r="T78" s="6" t="str">
        <f>_xlfn.LET(
_xlpm.rowNo, MATCH($C78&amp;"|"&amp;
($F78+T$4),Raw_Fund!$A:$A,0),
_xlpm.colNo,
MATCH(T$3,Raw_Fund!$E$1:$AZ$1,0),
_xlpm.val,
INDEX(Raw_Fund!$E:$AZ,_xlpm.rowNo,_xlpm.colNo),
IF(ISNUMBER(_xlpm.val),_xlpm.val*$H78,""))</f>
        <v/>
      </c>
      <c r="U78" s="6" t="str">
        <f>_xlfn.LET(
_xlpm.rowNo, MATCH($C78&amp;"|"&amp;
($F78+U$4),Raw_Fund!$A:$A,0),
_xlpm.colNo,
MATCH(U$3,Raw_Fund!$E$1:$AZ$1,0),
_xlpm.val,
INDEX(Raw_Fund!$E:$AZ,_xlpm.rowNo,_xlpm.colNo),
IF(ISNUMBER(_xlpm.val),_xlpm.val*$H78,""))</f>
        <v/>
      </c>
      <c r="V78" s="6" t="str">
        <f>_xlfn.LET(
_xlpm.rowNo, MATCH($C78&amp;"|"&amp;
($F78+V$4),Raw_Fund!$A:$A,0),
_xlpm.colNo,
MATCH(V$3,Raw_Fund!$E$1:$AZ$1,0),
_xlpm.val,
INDEX(Raw_Fund!$E:$AZ,_xlpm.rowNo,_xlpm.colNo),
IF(ISNUMBER(_xlpm.val),_xlpm.val*$H78,""))</f>
        <v/>
      </c>
      <c r="W78" s="6" t="str">
        <f>_xlfn.LET(
_xlpm.rowNo, MATCH($C78&amp;"|"&amp;
($F78+W$4),Raw_Fund!$A:$A,0),
_xlpm.colNo,
MATCH(W$3,Raw_Fund!$E$1:$AZ$1,0),
_xlpm.val,
INDEX(Raw_Fund!$E:$AZ,_xlpm.rowNo,_xlpm.colNo),
IF(ISNUMBER(_xlpm.val),_xlpm.val*$H78,""))</f>
        <v/>
      </c>
      <c r="X78" s="6" t="str">
        <f>_xlfn.LET(
_xlpm.rowNo, MATCH($C78&amp;"|"&amp;
($F78+X$4),Raw_Fund!$A:$A,0),
_xlpm.colNo,
MATCH(X$3,Raw_Fund!$E$1:$AZ$1,0),
_xlpm.val,
INDEX(Raw_Fund!$E:$AZ,_xlpm.rowNo,_xlpm.colNo),
IF(ISNUMBER(_xlpm.val),_xlpm.val*$H78,""))</f>
        <v/>
      </c>
      <c r="Y78" s="6" t="str">
        <f>_xlfn.LET(
_xlpm.rowNo, MATCH($C78&amp;"|"&amp;
($F78+Y$4),Raw_Fund!$A:$A,0),
_xlpm.colNo,
MATCH(Y$3,Raw_Fund!$E$1:$AZ$1,0),
_xlpm.val,
INDEX(Raw_Fund!$E:$AZ,_xlpm.rowNo,_xlpm.colNo),
IF(ISNUMBER(_xlpm.val),_xlpm.val*$H78,""))</f>
        <v/>
      </c>
      <c r="Z78" s="6" t="str">
        <f>IF($E78&lt;&gt;"Include","",_xlfn.XLOOKUP($C78,Raw_Mkt!$A:$A,Raw_Mkt!$B:$B))</f>
        <v/>
      </c>
    </row>
    <row r="79" spans="1:26" x14ac:dyDescent="0.4">
      <c r="A79" t="str">
        <f>IF(Universe!A79&lt;&gt;"",Universe!A79,"")</f>
        <v>FSG</v>
      </c>
      <c r="B79" t="str">
        <f>IF(Universe!B79&lt;&gt;"",Universe!B79,"")</f>
        <v>Foresight Group</v>
      </c>
      <c r="C79" t="str">
        <f>IF(Universe!C79&lt;&gt;"",Universe!C79,"")</f>
        <v>GG00BMD8MJ76</v>
      </c>
      <c r="D79" t="str">
        <f>IF(Universe!D79&lt;&gt;"",Universe!D79,"")</f>
        <v>Financials</v>
      </c>
      <c r="E79" t="str">
        <f>Universe!G79</f>
        <v>Exclude</v>
      </c>
      <c r="F79" t="str">
        <f>IF($E79&lt;&gt;"Include","",_xlfn.LET(_xlpm.latest,_xlfn.MAXIFS(Raw_Fund!$C:$C,Raw_Fund!$B:$B,Data!$C79),IF(_xlpm.latest=0,"",_xlpm.latest)))</f>
        <v/>
      </c>
      <c r="G79" t="str">
        <f>IF($F79="","",INDEX(Raw_Fund!$E:$AZ,MATCH($C79&amp;"|"&amp;$F79,Raw_Fund!$A:$A,0),MATCH(G$3,Raw_Fund!$E$1:$AZ$1,0)))</f>
        <v/>
      </c>
      <c r="H79" t="str">
        <f t="shared" si="1"/>
        <v/>
      </c>
      <c r="I79" s="6" t="str">
        <f>_xlfn.LET(
_xlpm.rowNo, MATCH($C79&amp;"|"&amp;
($F79+I$4),Raw_Fund!$A:$A,0),
_xlpm.colNo,
MATCH(I$3,Raw_Fund!$E$1:$AZ$1,0),
_xlpm.val,
INDEX(Raw_Fund!$E:$AZ,_xlpm.rowNo,_xlpm.colNo),
IF(ISNUMBER(_xlpm.val),_xlpm.val*$H79,""))</f>
        <v/>
      </c>
      <c r="J79" s="6" t="str">
        <f>_xlfn.LET(
_xlpm.rowNo, MATCH($C79&amp;"|"&amp;
($F79+J$4),Raw_Fund!$A:$A,0),
_xlpm.colNo,
MATCH(J$3,Raw_Fund!$E$1:$AZ$1,0),
_xlpm.val,
INDEX(Raw_Fund!$E:$AZ,_xlpm.rowNo,_xlpm.colNo),
IF(ISNUMBER(_xlpm.val),_xlpm.val*$H79,""))</f>
        <v/>
      </c>
      <c r="K79" s="6" t="str">
        <f>_xlfn.LET(
_xlpm.rowNo, MATCH($C79&amp;"|"&amp;
($F79+K$4),Raw_Fund!$A:$A,0),
_xlpm.colNo,
MATCH(K$3,Raw_Fund!$E$1:$AZ$1,0),
_xlpm.val,
INDEX(Raw_Fund!$E:$AZ,_xlpm.rowNo,_xlpm.colNo),
IF(ISNUMBER(_xlpm.val),_xlpm.val*$H79,""))</f>
        <v/>
      </c>
      <c r="L79" s="6" t="str">
        <f>_xlfn.LET(
_xlpm.rowNo, MATCH($C79&amp;"|"&amp;
($F79+L$4),Raw_Fund!$A:$A,0),
_xlpm.colNo,
MATCH(L$3,Raw_Fund!$E$1:$AZ$1,0),
_xlpm.val,
INDEX(Raw_Fund!$E:$AZ,_xlpm.rowNo,_xlpm.colNo),
IF(ISNUMBER(_xlpm.val),_xlpm.val*$H79,""))</f>
        <v/>
      </c>
      <c r="M79" s="6" t="str">
        <f>_xlfn.LET(
_xlpm.rowNo, MATCH($C79&amp;"|"&amp;
($F79+M$4),Raw_Fund!$A:$A,0),
_xlpm.colNo,
MATCH(M$3,Raw_Fund!$E$1:$AZ$1,0),
_xlpm.val,
INDEX(Raw_Fund!$E:$AZ,_xlpm.rowNo,_xlpm.colNo),
IF(ISNUMBER(_xlpm.val),_xlpm.val*$H79,""))</f>
        <v/>
      </c>
      <c r="N79" s="6" t="str">
        <f>_xlfn.LET(
_xlpm.rowNo, MATCH($C79&amp;"|"&amp;
($F79+N$4),Raw_Fund!$A:$A,0),
_xlpm.colNo,
MATCH(N$3,Raw_Fund!$E$1:$AZ$1,0),
_xlpm.val,
INDEX(Raw_Fund!$E:$AZ,_xlpm.rowNo,_xlpm.colNo),
IF(ISNUMBER(_xlpm.val),_xlpm.val*$H79,""))</f>
        <v/>
      </c>
      <c r="O79" s="6" t="str">
        <f>_xlfn.LET(
_xlpm.rowNo, MATCH($C79&amp;"|"&amp;
($F79+O$4),Raw_Fund!$A:$A,0),
_xlpm.colNo,
MATCH(O$3,Raw_Fund!$E$1:$AZ$1,0),
_xlpm.val,
INDEX(Raw_Fund!$E:$AZ,_xlpm.rowNo,_xlpm.colNo),
IF(ISNUMBER(_xlpm.val),_xlpm.val*$H79,""))</f>
        <v/>
      </c>
      <c r="P79" s="6" t="str">
        <f>_xlfn.LET(
_xlpm.rowNo, MATCH($C79&amp;"|"&amp;
($F79+P$4),Raw_Fund!$A:$A,0),
_xlpm.colNo,
MATCH(P$3,Raw_Fund!$E$1:$AZ$1,0),
_xlpm.val,
INDEX(Raw_Fund!$E:$AZ,_xlpm.rowNo,_xlpm.colNo),
IF(ISNUMBER(_xlpm.val),_xlpm.val*$H79,""))</f>
        <v/>
      </c>
      <c r="Q79" s="6" t="str">
        <f>_xlfn.LET(
_xlpm.rowNo, MATCH($C79&amp;"|"&amp;
($F79+Q$4),Raw_Fund!$A:$A,0),
_xlpm.colNo,
MATCH(Q$3,Raw_Fund!$E$1:$AZ$1,0),
_xlpm.val,
INDEX(Raw_Fund!$E:$AZ,_xlpm.rowNo,_xlpm.colNo),
IF(ISNUMBER(_xlpm.val),_xlpm.val*$H79,""))</f>
        <v/>
      </c>
      <c r="R79" s="6" t="str">
        <f>_xlfn.LET(
_xlpm.rowNo, MATCH($C79&amp;"|"&amp;
($F79+R$4),Raw_Fund!$A:$A,0),
_xlpm.colNo,
MATCH(R$3,Raw_Fund!$E$1:$AZ$1,0),
_xlpm.val,
INDEX(Raw_Fund!$E:$AZ,_xlpm.rowNo,_xlpm.colNo),
IF(ISNUMBER(_xlpm.val),_xlpm.val*$H79,""))</f>
        <v/>
      </c>
      <c r="S79" s="6" t="str">
        <f>_xlfn.LET(
_xlpm.rowNo, MATCH($C79&amp;"|"&amp;
($F79+S$4),Raw_Fund!$A:$A,0),
_xlpm.colNo,
MATCH(S$3,Raw_Fund!$E$1:$AZ$1,0),
_xlpm.val,
INDEX(Raw_Fund!$E:$AZ,_xlpm.rowNo,_xlpm.colNo),
IF(ISNUMBER(_xlpm.val),_xlpm.val*$H79,""))</f>
        <v/>
      </c>
      <c r="T79" s="6" t="str">
        <f>_xlfn.LET(
_xlpm.rowNo, MATCH($C79&amp;"|"&amp;
($F79+T$4),Raw_Fund!$A:$A,0),
_xlpm.colNo,
MATCH(T$3,Raw_Fund!$E$1:$AZ$1,0),
_xlpm.val,
INDEX(Raw_Fund!$E:$AZ,_xlpm.rowNo,_xlpm.colNo),
IF(ISNUMBER(_xlpm.val),_xlpm.val*$H79,""))</f>
        <v/>
      </c>
      <c r="U79" s="6" t="str">
        <f>_xlfn.LET(
_xlpm.rowNo, MATCH($C79&amp;"|"&amp;
($F79+U$4),Raw_Fund!$A:$A,0),
_xlpm.colNo,
MATCH(U$3,Raw_Fund!$E$1:$AZ$1,0),
_xlpm.val,
INDEX(Raw_Fund!$E:$AZ,_xlpm.rowNo,_xlpm.colNo),
IF(ISNUMBER(_xlpm.val),_xlpm.val*$H79,""))</f>
        <v/>
      </c>
      <c r="V79" s="6" t="str">
        <f>_xlfn.LET(
_xlpm.rowNo, MATCH($C79&amp;"|"&amp;
($F79+V$4),Raw_Fund!$A:$A,0),
_xlpm.colNo,
MATCH(V$3,Raw_Fund!$E$1:$AZ$1,0),
_xlpm.val,
INDEX(Raw_Fund!$E:$AZ,_xlpm.rowNo,_xlpm.colNo),
IF(ISNUMBER(_xlpm.val),_xlpm.val*$H79,""))</f>
        <v/>
      </c>
      <c r="W79" s="6" t="str">
        <f>_xlfn.LET(
_xlpm.rowNo, MATCH($C79&amp;"|"&amp;
($F79+W$4),Raw_Fund!$A:$A,0),
_xlpm.colNo,
MATCH(W$3,Raw_Fund!$E$1:$AZ$1,0),
_xlpm.val,
INDEX(Raw_Fund!$E:$AZ,_xlpm.rowNo,_xlpm.colNo),
IF(ISNUMBER(_xlpm.val),_xlpm.val*$H79,""))</f>
        <v/>
      </c>
      <c r="X79" s="6" t="str">
        <f>_xlfn.LET(
_xlpm.rowNo, MATCH($C79&amp;"|"&amp;
($F79+X$4),Raw_Fund!$A:$A,0),
_xlpm.colNo,
MATCH(X$3,Raw_Fund!$E$1:$AZ$1,0),
_xlpm.val,
INDEX(Raw_Fund!$E:$AZ,_xlpm.rowNo,_xlpm.colNo),
IF(ISNUMBER(_xlpm.val),_xlpm.val*$H79,""))</f>
        <v/>
      </c>
      <c r="Y79" s="6" t="str">
        <f>_xlfn.LET(
_xlpm.rowNo, MATCH($C79&amp;"|"&amp;
($F79+Y$4),Raw_Fund!$A:$A,0),
_xlpm.colNo,
MATCH(Y$3,Raw_Fund!$E$1:$AZ$1,0),
_xlpm.val,
INDEX(Raw_Fund!$E:$AZ,_xlpm.rowNo,_xlpm.colNo),
IF(ISNUMBER(_xlpm.val),_xlpm.val*$H79,""))</f>
        <v/>
      </c>
      <c r="Z79" s="6" t="str">
        <f>IF($E79&lt;&gt;"Include","",_xlfn.XLOOKUP($C79,Raw_Mkt!$A:$A,Raw_Mkt!$B:$B))</f>
        <v/>
      </c>
    </row>
    <row r="80" spans="1:26" x14ac:dyDescent="0.4">
      <c r="A80" t="str">
        <f>IF(Universe!A80&lt;&gt;"",Universe!A80,"")</f>
        <v>FRAS</v>
      </c>
      <c r="B80" t="str">
        <f>IF(Universe!B80&lt;&gt;"",Universe!B80,"")</f>
        <v>Frasers Group</v>
      </c>
      <c r="C80" t="str">
        <f>IF(Universe!C80&lt;&gt;"",Universe!C80,"")</f>
        <v>GB00B1QH8P22</v>
      </c>
      <c r="D80" t="str">
        <f>IF(Universe!D80&lt;&gt;"",Universe!D80,"")</f>
        <v>Consumer Discretionary</v>
      </c>
      <c r="E80" t="str">
        <f>Universe!G80</f>
        <v>Include</v>
      </c>
      <c r="F80" t="str">
        <f>IF($E80&lt;&gt;"Include","",_xlfn.LET(_xlpm.latest,_xlfn.MAXIFS(Raw_Fund!$C:$C,Raw_Fund!$B:$B,Data!$C80),IF(_xlpm.latest=0,"",_xlpm.latest)))</f>
        <v/>
      </c>
      <c r="G80" t="str">
        <f>IF($F80="","",INDEX(Raw_Fund!$E:$AZ,MATCH($C80&amp;"|"&amp;$F80,Raw_Fund!$A:$A,0),MATCH(G$3,Raw_Fund!$E$1:$AZ$1,0)))</f>
        <v/>
      </c>
      <c r="H80" t="str">
        <f t="shared" si="1"/>
        <v/>
      </c>
      <c r="I80" s="6" t="str">
        <f>_xlfn.LET(
_xlpm.rowNo, MATCH($C80&amp;"|"&amp;
($F80+I$4),Raw_Fund!$A:$A,0),
_xlpm.colNo,
MATCH(I$3,Raw_Fund!$E$1:$AZ$1,0),
_xlpm.val,
INDEX(Raw_Fund!$E:$AZ,_xlpm.rowNo,_xlpm.colNo),
IF(ISNUMBER(_xlpm.val),_xlpm.val*$H80,""))</f>
        <v/>
      </c>
      <c r="J80" s="6" t="str">
        <f>_xlfn.LET(
_xlpm.rowNo, MATCH($C80&amp;"|"&amp;
($F80+J$4),Raw_Fund!$A:$A,0),
_xlpm.colNo,
MATCH(J$3,Raw_Fund!$E$1:$AZ$1,0),
_xlpm.val,
INDEX(Raw_Fund!$E:$AZ,_xlpm.rowNo,_xlpm.colNo),
IF(ISNUMBER(_xlpm.val),_xlpm.val*$H80,""))</f>
        <v/>
      </c>
      <c r="K80" s="6" t="str">
        <f>_xlfn.LET(
_xlpm.rowNo, MATCH($C80&amp;"|"&amp;
($F80+K$4),Raw_Fund!$A:$A,0),
_xlpm.colNo,
MATCH(K$3,Raw_Fund!$E$1:$AZ$1,0),
_xlpm.val,
INDEX(Raw_Fund!$E:$AZ,_xlpm.rowNo,_xlpm.colNo),
IF(ISNUMBER(_xlpm.val),_xlpm.val*$H80,""))</f>
        <v/>
      </c>
      <c r="L80" s="6" t="str">
        <f>_xlfn.LET(
_xlpm.rowNo, MATCH($C80&amp;"|"&amp;
($F80+L$4),Raw_Fund!$A:$A,0),
_xlpm.colNo,
MATCH(L$3,Raw_Fund!$E$1:$AZ$1,0),
_xlpm.val,
INDEX(Raw_Fund!$E:$AZ,_xlpm.rowNo,_xlpm.colNo),
IF(ISNUMBER(_xlpm.val),_xlpm.val*$H80,""))</f>
        <v/>
      </c>
      <c r="M80" s="6" t="str">
        <f>_xlfn.LET(
_xlpm.rowNo, MATCH($C80&amp;"|"&amp;
($F80+M$4),Raw_Fund!$A:$A,0),
_xlpm.colNo,
MATCH(M$3,Raw_Fund!$E$1:$AZ$1,0),
_xlpm.val,
INDEX(Raw_Fund!$E:$AZ,_xlpm.rowNo,_xlpm.colNo),
IF(ISNUMBER(_xlpm.val),_xlpm.val*$H80,""))</f>
        <v/>
      </c>
      <c r="N80" s="6" t="str">
        <f>_xlfn.LET(
_xlpm.rowNo, MATCH($C80&amp;"|"&amp;
($F80+N$4),Raw_Fund!$A:$A,0),
_xlpm.colNo,
MATCH(N$3,Raw_Fund!$E$1:$AZ$1,0),
_xlpm.val,
INDEX(Raw_Fund!$E:$AZ,_xlpm.rowNo,_xlpm.colNo),
IF(ISNUMBER(_xlpm.val),_xlpm.val*$H80,""))</f>
        <v/>
      </c>
      <c r="O80" s="6" t="str">
        <f>_xlfn.LET(
_xlpm.rowNo, MATCH($C80&amp;"|"&amp;
($F80+O$4),Raw_Fund!$A:$A,0),
_xlpm.colNo,
MATCH(O$3,Raw_Fund!$E$1:$AZ$1,0),
_xlpm.val,
INDEX(Raw_Fund!$E:$AZ,_xlpm.rowNo,_xlpm.colNo),
IF(ISNUMBER(_xlpm.val),_xlpm.val*$H80,""))</f>
        <v/>
      </c>
      <c r="P80" s="6" t="str">
        <f>_xlfn.LET(
_xlpm.rowNo, MATCH($C80&amp;"|"&amp;
($F80+P$4),Raw_Fund!$A:$A,0),
_xlpm.colNo,
MATCH(P$3,Raw_Fund!$E$1:$AZ$1,0),
_xlpm.val,
INDEX(Raw_Fund!$E:$AZ,_xlpm.rowNo,_xlpm.colNo),
IF(ISNUMBER(_xlpm.val),_xlpm.val*$H80,""))</f>
        <v/>
      </c>
      <c r="Q80" s="6" t="str">
        <f>_xlfn.LET(
_xlpm.rowNo, MATCH($C80&amp;"|"&amp;
($F80+Q$4),Raw_Fund!$A:$A,0),
_xlpm.colNo,
MATCH(Q$3,Raw_Fund!$E$1:$AZ$1,0),
_xlpm.val,
INDEX(Raw_Fund!$E:$AZ,_xlpm.rowNo,_xlpm.colNo),
IF(ISNUMBER(_xlpm.val),_xlpm.val*$H80,""))</f>
        <v/>
      </c>
      <c r="R80" s="6" t="str">
        <f>_xlfn.LET(
_xlpm.rowNo, MATCH($C80&amp;"|"&amp;
($F80+R$4),Raw_Fund!$A:$A,0),
_xlpm.colNo,
MATCH(R$3,Raw_Fund!$E$1:$AZ$1,0),
_xlpm.val,
INDEX(Raw_Fund!$E:$AZ,_xlpm.rowNo,_xlpm.colNo),
IF(ISNUMBER(_xlpm.val),_xlpm.val*$H80,""))</f>
        <v/>
      </c>
      <c r="S80" s="6" t="str">
        <f>_xlfn.LET(
_xlpm.rowNo, MATCH($C80&amp;"|"&amp;
($F80+S$4),Raw_Fund!$A:$A,0),
_xlpm.colNo,
MATCH(S$3,Raw_Fund!$E$1:$AZ$1,0),
_xlpm.val,
INDEX(Raw_Fund!$E:$AZ,_xlpm.rowNo,_xlpm.colNo),
IF(ISNUMBER(_xlpm.val),_xlpm.val*$H80,""))</f>
        <v/>
      </c>
      <c r="T80" s="6" t="str">
        <f>_xlfn.LET(
_xlpm.rowNo, MATCH($C80&amp;"|"&amp;
($F80+T$4),Raw_Fund!$A:$A,0),
_xlpm.colNo,
MATCH(T$3,Raw_Fund!$E$1:$AZ$1,0),
_xlpm.val,
INDEX(Raw_Fund!$E:$AZ,_xlpm.rowNo,_xlpm.colNo),
IF(ISNUMBER(_xlpm.val),_xlpm.val*$H80,""))</f>
        <v/>
      </c>
      <c r="U80" s="6" t="str">
        <f>_xlfn.LET(
_xlpm.rowNo, MATCH($C80&amp;"|"&amp;
($F80+U$4),Raw_Fund!$A:$A,0),
_xlpm.colNo,
MATCH(U$3,Raw_Fund!$E$1:$AZ$1,0),
_xlpm.val,
INDEX(Raw_Fund!$E:$AZ,_xlpm.rowNo,_xlpm.colNo),
IF(ISNUMBER(_xlpm.val),_xlpm.val*$H80,""))</f>
        <v/>
      </c>
      <c r="V80" s="6" t="str">
        <f>_xlfn.LET(
_xlpm.rowNo, MATCH($C80&amp;"|"&amp;
($F80+V$4),Raw_Fund!$A:$A,0),
_xlpm.colNo,
MATCH(V$3,Raw_Fund!$E$1:$AZ$1,0),
_xlpm.val,
INDEX(Raw_Fund!$E:$AZ,_xlpm.rowNo,_xlpm.colNo),
IF(ISNUMBER(_xlpm.val),_xlpm.val*$H80,""))</f>
        <v/>
      </c>
      <c r="W80" s="6" t="str">
        <f>_xlfn.LET(
_xlpm.rowNo, MATCH($C80&amp;"|"&amp;
($F80+W$4),Raw_Fund!$A:$A,0),
_xlpm.colNo,
MATCH(W$3,Raw_Fund!$E$1:$AZ$1,0),
_xlpm.val,
INDEX(Raw_Fund!$E:$AZ,_xlpm.rowNo,_xlpm.colNo),
IF(ISNUMBER(_xlpm.val),_xlpm.val*$H80,""))</f>
        <v/>
      </c>
      <c r="X80" s="6" t="str">
        <f>_xlfn.LET(
_xlpm.rowNo, MATCH($C80&amp;"|"&amp;
($F80+X$4),Raw_Fund!$A:$A,0),
_xlpm.colNo,
MATCH(X$3,Raw_Fund!$E$1:$AZ$1,0),
_xlpm.val,
INDEX(Raw_Fund!$E:$AZ,_xlpm.rowNo,_xlpm.colNo),
IF(ISNUMBER(_xlpm.val),_xlpm.val*$H80,""))</f>
        <v/>
      </c>
      <c r="Y80" s="6" t="str">
        <f>_xlfn.LET(
_xlpm.rowNo, MATCH($C80&amp;"|"&amp;
($F80+Y$4),Raw_Fund!$A:$A,0),
_xlpm.colNo,
MATCH(Y$3,Raw_Fund!$E$1:$AZ$1,0),
_xlpm.val,
INDEX(Raw_Fund!$E:$AZ,_xlpm.rowNo,_xlpm.colNo),
IF(ISNUMBER(_xlpm.val),_xlpm.val*$H80,""))</f>
        <v/>
      </c>
      <c r="Z80" s="6" t="e">
        <f>IF($E80&lt;&gt;"Include","",_xlfn.XLOOKUP($C80,Raw_Mkt!$A:$A,Raw_Mkt!$B:$B))</f>
        <v>#N/A</v>
      </c>
    </row>
    <row r="81" spans="1:26" x14ac:dyDescent="0.4">
      <c r="A81" t="str">
        <f>IF(Universe!A81&lt;&gt;"",Universe!A81,"")</f>
        <v>FCH</v>
      </c>
      <c r="B81" t="str">
        <f>IF(Universe!B81&lt;&gt;"",Universe!B81,"")</f>
        <v>Funding Circle</v>
      </c>
      <c r="C81" t="str">
        <f>IF(Universe!C81&lt;&gt;"",Universe!C81,"")</f>
        <v>GB00BG0TPX62</v>
      </c>
      <c r="D81" t="str">
        <f>IF(Universe!D81&lt;&gt;"",Universe!D81,"")</f>
        <v>Financials</v>
      </c>
      <c r="E81" t="str">
        <f>Universe!G81</f>
        <v>Exclude</v>
      </c>
      <c r="F81" t="str">
        <f>IF($E81&lt;&gt;"Include","",_xlfn.LET(_xlpm.latest,_xlfn.MAXIFS(Raw_Fund!$C:$C,Raw_Fund!$B:$B,Data!$C81),IF(_xlpm.latest=0,"",_xlpm.latest)))</f>
        <v/>
      </c>
      <c r="G81" t="str">
        <f>IF($F81="","",INDEX(Raw_Fund!$E:$AZ,MATCH($C81&amp;"|"&amp;$F81,Raw_Fund!$A:$A,0),MATCH(G$3,Raw_Fund!$E$1:$AZ$1,0)))</f>
        <v/>
      </c>
      <c r="H81" t="str">
        <f t="shared" si="1"/>
        <v/>
      </c>
      <c r="I81" s="6" t="str">
        <f>_xlfn.LET(
_xlpm.rowNo, MATCH($C81&amp;"|"&amp;
($F81+I$4),Raw_Fund!$A:$A,0),
_xlpm.colNo,
MATCH(I$3,Raw_Fund!$E$1:$AZ$1,0),
_xlpm.val,
INDEX(Raw_Fund!$E:$AZ,_xlpm.rowNo,_xlpm.colNo),
IF(ISNUMBER(_xlpm.val),_xlpm.val*$H81,""))</f>
        <v/>
      </c>
      <c r="J81" s="6" t="str">
        <f>_xlfn.LET(
_xlpm.rowNo, MATCH($C81&amp;"|"&amp;
($F81+J$4),Raw_Fund!$A:$A,0),
_xlpm.colNo,
MATCH(J$3,Raw_Fund!$E$1:$AZ$1,0),
_xlpm.val,
INDEX(Raw_Fund!$E:$AZ,_xlpm.rowNo,_xlpm.colNo),
IF(ISNUMBER(_xlpm.val),_xlpm.val*$H81,""))</f>
        <v/>
      </c>
      <c r="K81" s="6" t="str">
        <f>_xlfn.LET(
_xlpm.rowNo, MATCH($C81&amp;"|"&amp;
($F81+K$4),Raw_Fund!$A:$A,0),
_xlpm.colNo,
MATCH(K$3,Raw_Fund!$E$1:$AZ$1,0),
_xlpm.val,
INDEX(Raw_Fund!$E:$AZ,_xlpm.rowNo,_xlpm.colNo),
IF(ISNUMBER(_xlpm.val),_xlpm.val*$H81,""))</f>
        <v/>
      </c>
      <c r="L81" s="6" t="str">
        <f>_xlfn.LET(
_xlpm.rowNo, MATCH($C81&amp;"|"&amp;
($F81+L$4),Raw_Fund!$A:$A,0),
_xlpm.colNo,
MATCH(L$3,Raw_Fund!$E$1:$AZ$1,0),
_xlpm.val,
INDEX(Raw_Fund!$E:$AZ,_xlpm.rowNo,_xlpm.colNo),
IF(ISNUMBER(_xlpm.val),_xlpm.val*$H81,""))</f>
        <v/>
      </c>
      <c r="M81" s="6" t="str">
        <f>_xlfn.LET(
_xlpm.rowNo, MATCH($C81&amp;"|"&amp;
($F81+M$4),Raw_Fund!$A:$A,0),
_xlpm.colNo,
MATCH(M$3,Raw_Fund!$E$1:$AZ$1,0),
_xlpm.val,
INDEX(Raw_Fund!$E:$AZ,_xlpm.rowNo,_xlpm.colNo),
IF(ISNUMBER(_xlpm.val),_xlpm.val*$H81,""))</f>
        <v/>
      </c>
      <c r="N81" s="6" t="str">
        <f>_xlfn.LET(
_xlpm.rowNo, MATCH($C81&amp;"|"&amp;
($F81+N$4),Raw_Fund!$A:$A,0),
_xlpm.colNo,
MATCH(N$3,Raw_Fund!$E$1:$AZ$1,0),
_xlpm.val,
INDEX(Raw_Fund!$E:$AZ,_xlpm.rowNo,_xlpm.colNo),
IF(ISNUMBER(_xlpm.val),_xlpm.val*$H81,""))</f>
        <v/>
      </c>
      <c r="O81" s="6" t="str">
        <f>_xlfn.LET(
_xlpm.rowNo, MATCH($C81&amp;"|"&amp;
($F81+O$4),Raw_Fund!$A:$A,0),
_xlpm.colNo,
MATCH(O$3,Raw_Fund!$E$1:$AZ$1,0),
_xlpm.val,
INDEX(Raw_Fund!$E:$AZ,_xlpm.rowNo,_xlpm.colNo),
IF(ISNUMBER(_xlpm.val),_xlpm.val*$H81,""))</f>
        <v/>
      </c>
      <c r="P81" s="6" t="str">
        <f>_xlfn.LET(
_xlpm.rowNo, MATCH($C81&amp;"|"&amp;
($F81+P$4),Raw_Fund!$A:$A,0),
_xlpm.colNo,
MATCH(P$3,Raw_Fund!$E$1:$AZ$1,0),
_xlpm.val,
INDEX(Raw_Fund!$E:$AZ,_xlpm.rowNo,_xlpm.colNo),
IF(ISNUMBER(_xlpm.val),_xlpm.val*$H81,""))</f>
        <v/>
      </c>
      <c r="Q81" s="6" t="str">
        <f>_xlfn.LET(
_xlpm.rowNo, MATCH($C81&amp;"|"&amp;
($F81+Q$4),Raw_Fund!$A:$A,0),
_xlpm.colNo,
MATCH(Q$3,Raw_Fund!$E$1:$AZ$1,0),
_xlpm.val,
INDEX(Raw_Fund!$E:$AZ,_xlpm.rowNo,_xlpm.colNo),
IF(ISNUMBER(_xlpm.val),_xlpm.val*$H81,""))</f>
        <v/>
      </c>
      <c r="R81" s="6" t="str">
        <f>_xlfn.LET(
_xlpm.rowNo, MATCH($C81&amp;"|"&amp;
($F81+R$4),Raw_Fund!$A:$A,0),
_xlpm.colNo,
MATCH(R$3,Raw_Fund!$E$1:$AZ$1,0),
_xlpm.val,
INDEX(Raw_Fund!$E:$AZ,_xlpm.rowNo,_xlpm.colNo),
IF(ISNUMBER(_xlpm.val),_xlpm.val*$H81,""))</f>
        <v/>
      </c>
      <c r="S81" s="6" t="str">
        <f>_xlfn.LET(
_xlpm.rowNo, MATCH($C81&amp;"|"&amp;
($F81+S$4),Raw_Fund!$A:$A,0),
_xlpm.colNo,
MATCH(S$3,Raw_Fund!$E$1:$AZ$1,0),
_xlpm.val,
INDEX(Raw_Fund!$E:$AZ,_xlpm.rowNo,_xlpm.colNo),
IF(ISNUMBER(_xlpm.val),_xlpm.val*$H81,""))</f>
        <v/>
      </c>
      <c r="T81" s="6" t="str">
        <f>_xlfn.LET(
_xlpm.rowNo, MATCH($C81&amp;"|"&amp;
($F81+T$4),Raw_Fund!$A:$A,0),
_xlpm.colNo,
MATCH(T$3,Raw_Fund!$E$1:$AZ$1,0),
_xlpm.val,
INDEX(Raw_Fund!$E:$AZ,_xlpm.rowNo,_xlpm.colNo),
IF(ISNUMBER(_xlpm.val),_xlpm.val*$H81,""))</f>
        <v/>
      </c>
      <c r="U81" s="6" t="str">
        <f>_xlfn.LET(
_xlpm.rowNo, MATCH($C81&amp;"|"&amp;
($F81+U$4),Raw_Fund!$A:$A,0),
_xlpm.colNo,
MATCH(U$3,Raw_Fund!$E$1:$AZ$1,0),
_xlpm.val,
INDEX(Raw_Fund!$E:$AZ,_xlpm.rowNo,_xlpm.colNo),
IF(ISNUMBER(_xlpm.val),_xlpm.val*$H81,""))</f>
        <v/>
      </c>
      <c r="V81" s="6" t="str">
        <f>_xlfn.LET(
_xlpm.rowNo, MATCH($C81&amp;"|"&amp;
($F81+V$4),Raw_Fund!$A:$A,0),
_xlpm.colNo,
MATCH(V$3,Raw_Fund!$E$1:$AZ$1,0),
_xlpm.val,
INDEX(Raw_Fund!$E:$AZ,_xlpm.rowNo,_xlpm.colNo),
IF(ISNUMBER(_xlpm.val),_xlpm.val*$H81,""))</f>
        <v/>
      </c>
      <c r="W81" s="6" t="str">
        <f>_xlfn.LET(
_xlpm.rowNo, MATCH($C81&amp;"|"&amp;
($F81+W$4),Raw_Fund!$A:$A,0),
_xlpm.colNo,
MATCH(W$3,Raw_Fund!$E$1:$AZ$1,0),
_xlpm.val,
INDEX(Raw_Fund!$E:$AZ,_xlpm.rowNo,_xlpm.colNo),
IF(ISNUMBER(_xlpm.val),_xlpm.val*$H81,""))</f>
        <v/>
      </c>
      <c r="X81" s="6" t="str">
        <f>_xlfn.LET(
_xlpm.rowNo, MATCH($C81&amp;"|"&amp;
($F81+X$4),Raw_Fund!$A:$A,0),
_xlpm.colNo,
MATCH(X$3,Raw_Fund!$E$1:$AZ$1,0),
_xlpm.val,
INDEX(Raw_Fund!$E:$AZ,_xlpm.rowNo,_xlpm.colNo),
IF(ISNUMBER(_xlpm.val),_xlpm.val*$H81,""))</f>
        <v/>
      </c>
      <c r="Y81" s="6" t="str">
        <f>_xlfn.LET(
_xlpm.rowNo, MATCH($C81&amp;"|"&amp;
($F81+Y$4),Raw_Fund!$A:$A,0),
_xlpm.colNo,
MATCH(Y$3,Raw_Fund!$E$1:$AZ$1,0),
_xlpm.val,
INDEX(Raw_Fund!$E:$AZ,_xlpm.rowNo,_xlpm.colNo),
IF(ISNUMBER(_xlpm.val),_xlpm.val*$H81,""))</f>
        <v/>
      </c>
      <c r="Z81" s="6" t="str">
        <f>IF($E81&lt;&gt;"Include","",_xlfn.XLOOKUP($C81,Raw_Mkt!$A:$A,Raw_Mkt!$B:$B))</f>
        <v/>
      </c>
    </row>
    <row r="82" spans="1:26" x14ac:dyDescent="0.4">
      <c r="A82" t="str">
        <f>IF(Universe!A82&lt;&gt;"",Universe!A82,"")</f>
        <v>GFRD</v>
      </c>
      <c r="B82" t="str">
        <f>IF(Universe!B82&lt;&gt;"",Universe!B82,"")</f>
        <v>Galliford Try</v>
      </c>
      <c r="C82" t="str">
        <f>IF(Universe!C82&lt;&gt;"",Universe!C82,"")</f>
        <v>GB00BKY40Q38</v>
      </c>
      <c r="D82" t="str">
        <f>IF(Universe!D82&lt;&gt;"",Universe!D82,"")</f>
        <v>Industrials</v>
      </c>
      <c r="E82" t="str">
        <f>Universe!G82</f>
        <v>Include</v>
      </c>
      <c r="F82" t="str">
        <f>IF($E82&lt;&gt;"Include","",_xlfn.LET(_xlpm.latest,_xlfn.MAXIFS(Raw_Fund!$C:$C,Raw_Fund!$B:$B,Data!$C82),IF(_xlpm.latest=0,"",_xlpm.latest)))</f>
        <v/>
      </c>
      <c r="G82" t="str">
        <f>IF($F82="","",INDEX(Raw_Fund!$E:$AZ,MATCH($C82&amp;"|"&amp;$F82,Raw_Fund!$A:$A,0),MATCH(G$3,Raw_Fund!$E$1:$AZ$1,0)))</f>
        <v/>
      </c>
      <c r="H82" t="str">
        <f t="shared" si="1"/>
        <v/>
      </c>
      <c r="I82" s="6" t="str">
        <f>_xlfn.LET(
_xlpm.rowNo, MATCH($C82&amp;"|"&amp;
($F82+I$4),Raw_Fund!$A:$A,0),
_xlpm.colNo,
MATCH(I$3,Raw_Fund!$E$1:$AZ$1,0),
_xlpm.val,
INDEX(Raw_Fund!$E:$AZ,_xlpm.rowNo,_xlpm.colNo),
IF(ISNUMBER(_xlpm.val),_xlpm.val*$H82,""))</f>
        <v/>
      </c>
      <c r="J82" s="6" t="str">
        <f>_xlfn.LET(
_xlpm.rowNo, MATCH($C82&amp;"|"&amp;
($F82+J$4),Raw_Fund!$A:$A,0),
_xlpm.colNo,
MATCH(J$3,Raw_Fund!$E$1:$AZ$1,0),
_xlpm.val,
INDEX(Raw_Fund!$E:$AZ,_xlpm.rowNo,_xlpm.colNo),
IF(ISNUMBER(_xlpm.val),_xlpm.val*$H82,""))</f>
        <v/>
      </c>
      <c r="K82" s="6" t="str">
        <f>_xlfn.LET(
_xlpm.rowNo, MATCH($C82&amp;"|"&amp;
($F82+K$4),Raw_Fund!$A:$A,0),
_xlpm.colNo,
MATCH(K$3,Raw_Fund!$E$1:$AZ$1,0),
_xlpm.val,
INDEX(Raw_Fund!$E:$AZ,_xlpm.rowNo,_xlpm.colNo),
IF(ISNUMBER(_xlpm.val),_xlpm.val*$H82,""))</f>
        <v/>
      </c>
      <c r="L82" s="6" t="str">
        <f>_xlfn.LET(
_xlpm.rowNo, MATCH($C82&amp;"|"&amp;
($F82+L$4),Raw_Fund!$A:$A,0),
_xlpm.colNo,
MATCH(L$3,Raw_Fund!$E$1:$AZ$1,0),
_xlpm.val,
INDEX(Raw_Fund!$E:$AZ,_xlpm.rowNo,_xlpm.colNo),
IF(ISNUMBER(_xlpm.val),_xlpm.val*$H82,""))</f>
        <v/>
      </c>
      <c r="M82" s="6" t="str">
        <f>_xlfn.LET(
_xlpm.rowNo, MATCH($C82&amp;"|"&amp;
($F82+M$4),Raw_Fund!$A:$A,0),
_xlpm.colNo,
MATCH(M$3,Raw_Fund!$E$1:$AZ$1,0),
_xlpm.val,
INDEX(Raw_Fund!$E:$AZ,_xlpm.rowNo,_xlpm.colNo),
IF(ISNUMBER(_xlpm.val),_xlpm.val*$H82,""))</f>
        <v/>
      </c>
      <c r="N82" s="6" t="str">
        <f>_xlfn.LET(
_xlpm.rowNo, MATCH($C82&amp;"|"&amp;
($F82+N$4),Raw_Fund!$A:$A,0),
_xlpm.colNo,
MATCH(N$3,Raw_Fund!$E$1:$AZ$1,0),
_xlpm.val,
INDEX(Raw_Fund!$E:$AZ,_xlpm.rowNo,_xlpm.colNo),
IF(ISNUMBER(_xlpm.val),_xlpm.val*$H82,""))</f>
        <v/>
      </c>
      <c r="O82" s="6" t="str">
        <f>_xlfn.LET(
_xlpm.rowNo, MATCH($C82&amp;"|"&amp;
($F82+O$4),Raw_Fund!$A:$A,0),
_xlpm.colNo,
MATCH(O$3,Raw_Fund!$E$1:$AZ$1,0),
_xlpm.val,
INDEX(Raw_Fund!$E:$AZ,_xlpm.rowNo,_xlpm.colNo),
IF(ISNUMBER(_xlpm.val),_xlpm.val*$H82,""))</f>
        <v/>
      </c>
      <c r="P82" s="6" t="str">
        <f>_xlfn.LET(
_xlpm.rowNo, MATCH($C82&amp;"|"&amp;
($F82+P$4),Raw_Fund!$A:$A,0),
_xlpm.colNo,
MATCH(P$3,Raw_Fund!$E$1:$AZ$1,0),
_xlpm.val,
INDEX(Raw_Fund!$E:$AZ,_xlpm.rowNo,_xlpm.colNo),
IF(ISNUMBER(_xlpm.val),_xlpm.val*$H82,""))</f>
        <v/>
      </c>
      <c r="Q82" s="6" t="str">
        <f>_xlfn.LET(
_xlpm.rowNo, MATCH($C82&amp;"|"&amp;
($F82+Q$4),Raw_Fund!$A:$A,0),
_xlpm.colNo,
MATCH(Q$3,Raw_Fund!$E$1:$AZ$1,0),
_xlpm.val,
INDEX(Raw_Fund!$E:$AZ,_xlpm.rowNo,_xlpm.colNo),
IF(ISNUMBER(_xlpm.val),_xlpm.val*$H82,""))</f>
        <v/>
      </c>
      <c r="R82" s="6" t="str">
        <f>_xlfn.LET(
_xlpm.rowNo, MATCH($C82&amp;"|"&amp;
($F82+R$4),Raw_Fund!$A:$A,0),
_xlpm.colNo,
MATCH(R$3,Raw_Fund!$E$1:$AZ$1,0),
_xlpm.val,
INDEX(Raw_Fund!$E:$AZ,_xlpm.rowNo,_xlpm.colNo),
IF(ISNUMBER(_xlpm.val),_xlpm.val*$H82,""))</f>
        <v/>
      </c>
      <c r="S82" s="6" t="str">
        <f>_xlfn.LET(
_xlpm.rowNo, MATCH($C82&amp;"|"&amp;
($F82+S$4),Raw_Fund!$A:$A,0),
_xlpm.colNo,
MATCH(S$3,Raw_Fund!$E$1:$AZ$1,0),
_xlpm.val,
INDEX(Raw_Fund!$E:$AZ,_xlpm.rowNo,_xlpm.colNo),
IF(ISNUMBER(_xlpm.val),_xlpm.val*$H82,""))</f>
        <v/>
      </c>
      <c r="T82" s="6" t="str">
        <f>_xlfn.LET(
_xlpm.rowNo, MATCH($C82&amp;"|"&amp;
($F82+T$4),Raw_Fund!$A:$A,0),
_xlpm.colNo,
MATCH(T$3,Raw_Fund!$E$1:$AZ$1,0),
_xlpm.val,
INDEX(Raw_Fund!$E:$AZ,_xlpm.rowNo,_xlpm.colNo),
IF(ISNUMBER(_xlpm.val),_xlpm.val*$H82,""))</f>
        <v/>
      </c>
      <c r="U82" s="6" t="str">
        <f>_xlfn.LET(
_xlpm.rowNo, MATCH($C82&amp;"|"&amp;
($F82+U$4),Raw_Fund!$A:$A,0),
_xlpm.colNo,
MATCH(U$3,Raw_Fund!$E$1:$AZ$1,0),
_xlpm.val,
INDEX(Raw_Fund!$E:$AZ,_xlpm.rowNo,_xlpm.colNo),
IF(ISNUMBER(_xlpm.val),_xlpm.val*$H82,""))</f>
        <v/>
      </c>
      <c r="V82" s="6" t="str">
        <f>_xlfn.LET(
_xlpm.rowNo, MATCH($C82&amp;"|"&amp;
($F82+V$4),Raw_Fund!$A:$A,0),
_xlpm.colNo,
MATCH(V$3,Raw_Fund!$E$1:$AZ$1,0),
_xlpm.val,
INDEX(Raw_Fund!$E:$AZ,_xlpm.rowNo,_xlpm.colNo),
IF(ISNUMBER(_xlpm.val),_xlpm.val*$H82,""))</f>
        <v/>
      </c>
      <c r="W82" s="6" t="str">
        <f>_xlfn.LET(
_xlpm.rowNo, MATCH($C82&amp;"|"&amp;
($F82+W$4),Raw_Fund!$A:$A,0),
_xlpm.colNo,
MATCH(W$3,Raw_Fund!$E$1:$AZ$1,0),
_xlpm.val,
INDEX(Raw_Fund!$E:$AZ,_xlpm.rowNo,_xlpm.colNo),
IF(ISNUMBER(_xlpm.val),_xlpm.val*$H82,""))</f>
        <v/>
      </c>
      <c r="X82" s="6" t="str">
        <f>_xlfn.LET(
_xlpm.rowNo, MATCH($C82&amp;"|"&amp;
($F82+X$4),Raw_Fund!$A:$A,0),
_xlpm.colNo,
MATCH(X$3,Raw_Fund!$E$1:$AZ$1,0),
_xlpm.val,
INDEX(Raw_Fund!$E:$AZ,_xlpm.rowNo,_xlpm.colNo),
IF(ISNUMBER(_xlpm.val),_xlpm.val*$H82,""))</f>
        <v/>
      </c>
      <c r="Y82" s="6" t="str">
        <f>_xlfn.LET(
_xlpm.rowNo, MATCH($C82&amp;"|"&amp;
($F82+Y$4),Raw_Fund!$A:$A,0),
_xlpm.colNo,
MATCH(Y$3,Raw_Fund!$E$1:$AZ$1,0),
_xlpm.val,
INDEX(Raw_Fund!$E:$AZ,_xlpm.rowNo,_xlpm.colNo),
IF(ISNUMBER(_xlpm.val),_xlpm.val*$H82,""))</f>
        <v/>
      </c>
      <c r="Z82" s="6" t="e">
        <f>IF($E82&lt;&gt;"Include","",_xlfn.XLOOKUP($C82,Raw_Mkt!$A:$A,Raw_Mkt!$B:$B))</f>
        <v>#N/A</v>
      </c>
    </row>
    <row r="83" spans="1:26" x14ac:dyDescent="0.4">
      <c r="A83" t="str">
        <f>IF(Universe!A83&lt;&gt;"",Universe!A83,"")</f>
        <v>GAMA</v>
      </c>
      <c r="B83" t="str">
        <f>IF(Universe!B83&lt;&gt;"",Universe!B83,"")</f>
        <v>Gamma Communications</v>
      </c>
      <c r="C83" t="str">
        <f>IF(Universe!C83&lt;&gt;"",Universe!C83,"")</f>
        <v>GB00BQS10J50</v>
      </c>
      <c r="D83" t="str">
        <f>IF(Universe!D83&lt;&gt;"",Universe!D83,"")</f>
        <v>Telecommunications</v>
      </c>
      <c r="E83" t="str">
        <f>Universe!G83</f>
        <v>Include</v>
      </c>
      <c r="F83" t="str">
        <f>IF($E83&lt;&gt;"Include","",_xlfn.LET(_xlpm.latest,_xlfn.MAXIFS(Raw_Fund!$C:$C,Raw_Fund!$B:$B,Data!$C83),IF(_xlpm.latest=0,"",_xlpm.latest)))</f>
        <v/>
      </c>
      <c r="G83" t="str">
        <f>IF($F83="","",INDEX(Raw_Fund!$E:$AZ,MATCH($C83&amp;"|"&amp;$F83,Raw_Fund!$A:$A,0),MATCH(G$3,Raw_Fund!$E$1:$AZ$1,0)))</f>
        <v/>
      </c>
      <c r="H83" t="str">
        <f t="shared" si="1"/>
        <v/>
      </c>
      <c r="I83" s="6" t="str">
        <f>_xlfn.LET(
_xlpm.rowNo, MATCH($C83&amp;"|"&amp;
($F83+I$4),Raw_Fund!$A:$A,0),
_xlpm.colNo,
MATCH(I$3,Raw_Fund!$E$1:$AZ$1,0),
_xlpm.val,
INDEX(Raw_Fund!$E:$AZ,_xlpm.rowNo,_xlpm.colNo),
IF(ISNUMBER(_xlpm.val),_xlpm.val*$H83,""))</f>
        <v/>
      </c>
      <c r="J83" s="6" t="str">
        <f>_xlfn.LET(
_xlpm.rowNo, MATCH($C83&amp;"|"&amp;
($F83+J$4),Raw_Fund!$A:$A,0),
_xlpm.colNo,
MATCH(J$3,Raw_Fund!$E$1:$AZ$1,0),
_xlpm.val,
INDEX(Raw_Fund!$E:$AZ,_xlpm.rowNo,_xlpm.colNo),
IF(ISNUMBER(_xlpm.val),_xlpm.val*$H83,""))</f>
        <v/>
      </c>
      <c r="K83" s="6" t="str">
        <f>_xlfn.LET(
_xlpm.rowNo, MATCH($C83&amp;"|"&amp;
($F83+K$4),Raw_Fund!$A:$A,0),
_xlpm.colNo,
MATCH(K$3,Raw_Fund!$E$1:$AZ$1,0),
_xlpm.val,
INDEX(Raw_Fund!$E:$AZ,_xlpm.rowNo,_xlpm.colNo),
IF(ISNUMBER(_xlpm.val),_xlpm.val*$H83,""))</f>
        <v/>
      </c>
      <c r="L83" s="6" t="str">
        <f>_xlfn.LET(
_xlpm.rowNo, MATCH($C83&amp;"|"&amp;
($F83+L$4),Raw_Fund!$A:$A,0),
_xlpm.colNo,
MATCH(L$3,Raw_Fund!$E$1:$AZ$1,0),
_xlpm.val,
INDEX(Raw_Fund!$E:$AZ,_xlpm.rowNo,_xlpm.colNo),
IF(ISNUMBER(_xlpm.val),_xlpm.val*$H83,""))</f>
        <v/>
      </c>
      <c r="M83" s="6" t="str">
        <f>_xlfn.LET(
_xlpm.rowNo, MATCH($C83&amp;"|"&amp;
($F83+M$4),Raw_Fund!$A:$A,0),
_xlpm.colNo,
MATCH(M$3,Raw_Fund!$E$1:$AZ$1,0),
_xlpm.val,
INDEX(Raw_Fund!$E:$AZ,_xlpm.rowNo,_xlpm.colNo),
IF(ISNUMBER(_xlpm.val),_xlpm.val*$H83,""))</f>
        <v/>
      </c>
      <c r="N83" s="6" t="str">
        <f>_xlfn.LET(
_xlpm.rowNo, MATCH($C83&amp;"|"&amp;
($F83+N$4),Raw_Fund!$A:$A,0),
_xlpm.colNo,
MATCH(N$3,Raw_Fund!$E$1:$AZ$1,0),
_xlpm.val,
INDEX(Raw_Fund!$E:$AZ,_xlpm.rowNo,_xlpm.colNo),
IF(ISNUMBER(_xlpm.val),_xlpm.val*$H83,""))</f>
        <v/>
      </c>
      <c r="O83" s="6" t="str">
        <f>_xlfn.LET(
_xlpm.rowNo, MATCH($C83&amp;"|"&amp;
($F83+O$4),Raw_Fund!$A:$A,0),
_xlpm.colNo,
MATCH(O$3,Raw_Fund!$E$1:$AZ$1,0),
_xlpm.val,
INDEX(Raw_Fund!$E:$AZ,_xlpm.rowNo,_xlpm.colNo),
IF(ISNUMBER(_xlpm.val),_xlpm.val*$H83,""))</f>
        <v/>
      </c>
      <c r="P83" s="6" t="str">
        <f>_xlfn.LET(
_xlpm.rowNo, MATCH($C83&amp;"|"&amp;
($F83+P$4),Raw_Fund!$A:$A,0),
_xlpm.colNo,
MATCH(P$3,Raw_Fund!$E$1:$AZ$1,0),
_xlpm.val,
INDEX(Raw_Fund!$E:$AZ,_xlpm.rowNo,_xlpm.colNo),
IF(ISNUMBER(_xlpm.val),_xlpm.val*$H83,""))</f>
        <v/>
      </c>
      <c r="Q83" s="6" t="str">
        <f>_xlfn.LET(
_xlpm.rowNo, MATCH($C83&amp;"|"&amp;
($F83+Q$4),Raw_Fund!$A:$A,0),
_xlpm.colNo,
MATCH(Q$3,Raw_Fund!$E$1:$AZ$1,0),
_xlpm.val,
INDEX(Raw_Fund!$E:$AZ,_xlpm.rowNo,_xlpm.colNo),
IF(ISNUMBER(_xlpm.val),_xlpm.val*$H83,""))</f>
        <v/>
      </c>
      <c r="R83" s="6" t="str">
        <f>_xlfn.LET(
_xlpm.rowNo, MATCH($C83&amp;"|"&amp;
($F83+R$4),Raw_Fund!$A:$A,0),
_xlpm.colNo,
MATCH(R$3,Raw_Fund!$E$1:$AZ$1,0),
_xlpm.val,
INDEX(Raw_Fund!$E:$AZ,_xlpm.rowNo,_xlpm.colNo),
IF(ISNUMBER(_xlpm.val),_xlpm.val*$H83,""))</f>
        <v/>
      </c>
      <c r="S83" s="6" t="str">
        <f>_xlfn.LET(
_xlpm.rowNo, MATCH($C83&amp;"|"&amp;
($F83+S$4),Raw_Fund!$A:$A,0),
_xlpm.colNo,
MATCH(S$3,Raw_Fund!$E$1:$AZ$1,0),
_xlpm.val,
INDEX(Raw_Fund!$E:$AZ,_xlpm.rowNo,_xlpm.colNo),
IF(ISNUMBER(_xlpm.val),_xlpm.val*$H83,""))</f>
        <v/>
      </c>
      <c r="T83" s="6" t="str">
        <f>_xlfn.LET(
_xlpm.rowNo, MATCH($C83&amp;"|"&amp;
($F83+T$4),Raw_Fund!$A:$A,0),
_xlpm.colNo,
MATCH(T$3,Raw_Fund!$E$1:$AZ$1,0),
_xlpm.val,
INDEX(Raw_Fund!$E:$AZ,_xlpm.rowNo,_xlpm.colNo),
IF(ISNUMBER(_xlpm.val),_xlpm.val*$H83,""))</f>
        <v/>
      </c>
      <c r="U83" s="6" t="str">
        <f>_xlfn.LET(
_xlpm.rowNo, MATCH($C83&amp;"|"&amp;
($F83+U$4),Raw_Fund!$A:$A,0),
_xlpm.colNo,
MATCH(U$3,Raw_Fund!$E$1:$AZ$1,0),
_xlpm.val,
INDEX(Raw_Fund!$E:$AZ,_xlpm.rowNo,_xlpm.colNo),
IF(ISNUMBER(_xlpm.val),_xlpm.val*$H83,""))</f>
        <v/>
      </c>
      <c r="V83" s="6" t="str">
        <f>_xlfn.LET(
_xlpm.rowNo, MATCH($C83&amp;"|"&amp;
($F83+V$4),Raw_Fund!$A:$A,0),
_xlpm.colNo,
MATCH(V$3,Raw_Fund!$E$1:$AZ$1,0),
_xlpm.val,
INDEX(Raw_Fund!$E:$AZ,_xlpm.rowNo,_xlpm.colNo),
IF(ISNUMBER(_xlpm.val),_xlpm.val*$H83,""))</f>
        <v/>
      </c>
      <c r="W83" s="6" t="str">
        <f>_xlfn.LET(
_xlpm.rowNo, MATCH($C83&amp;"|"&amp;
($F83+W$4),Raw_Fund!$A:$A,0),
_xlpm.colNo,
MATCH(W$3,Raw_Fund!$E$1:$AZ$1,0),
_xlpm.val,
INDEX(Raw_Fund!$E:$AZ,_xlpm.rowNo,_xlpm.colNo),
IF(ISNUMBER(_xlpm.val),_xlpm.val*$H83,""))</f>
        <v/>
      </c>
      <c r="X83" s="6" t="str">
        <f>_xlfn.LET(
_xlpm.rowNo, MATCH($C83&amp;"|"&amp;
($F83+X$4),Raw_Fund!$A:$A,0),
_xlpm.colNo,
MATCH(X$3,Raw_Fund!$E$1:$AZ$1,0),
_xlpm.val,
INDEX(Raw_Fund!$E:$AZ,_xlpm.rowNo,_xlpm.colNo),
IF(ISNUMBER(_xlpm.val),_xlpm.val*$H83,""))</f>
        <v/>
      </c>
      <c r="Y83" s="6" t="str">
        <f>_xlfn.LET(
_xlpm.rowNo, MATCH($C83&amp;"|"&amp;
($F83+Y$4),Raw_Fund!$A:$A,0),
_xlpm.colNo,
MATCH(Y$3,Raw_Fund!$E$1:$AZ$1,0),
_xlpm.val,
INDEX(Raw_Fund!$E:$AZ,_xlpm.rowNo,_xlpm.colNo),
IF(ISNUMBER(_xlpm.val),_xlpm.val*$H83,""))</f>
        <v/>
      </c>
      <c r="Z83" s="6" t="e">
        <f>IF($E83&lt;&gt;"Include","",_xlfn.XLOOKUP($C83,Raw_Mkt!$A:$A,Raw_Mkt!$B:$B))</f>
        <v>#N/A</v>
      </c>
    </row>
    <row r="84" spans="1:26" x14ac:dyDescent="0.4">
      <c r="A84" t="str">
        <f>IF(Universe!A84&lt;&gt;"",Universe!A84,"")</f>
        <v>GCP</v>
      </c>
      <c r="B84" t="str">
        <f>IF(Universe!B84&lt;&gt;"",Universe!B84,"")</f>
        <v>GCP Infrastructure Investments</v>
      </c>
      <c r="C84" t="str">
        <f>IF(Universe!C84&lt;&gt;"",Universe!C84,"")</f>
        <v>JE00B6173J15</v>
      </c>
      <c r="D84" t="str">
        <f>IF(Universe!D84&lt;&gt;"",Universe!D84,"")</f>
        <v>Financials</v>
      </c>
      <c r="E84" t="str">
        <f>Universe!G84</f>
        <v>Exclude</v>
      </c>
      <c r="F84" t="str">
        <f>IF($E84&lt;&gt;"Include","",_xlfn.LET(_xlpm.latest,_xlfn.MAXIFS(Raw_Fund!$C:$C,Raw_Fund!$B:$B,Data!$C84),IF(_xlpm.latest=0,"",_xlpm.latest)))</f>
        <v/>
      </c>
      <c r="G84" t="str">
        <f>IF($F84="","",INDEX(Raw_Fund!$E:$AZ,MATCH($C84&amp;"|"&amp;$F84,Raw_Fund!$A:$A,0),MATCH(G$3,Raw_Fund!$E$1:$AZ$1,0)))</f>
        <v/>
      </c>
      <c r="H84" t="str">
        <f t="shared" si="1"/>
        <v/>
      </c>
      <c r="I84" s="6" t="str">
        <f>_xlfn.LET(
_xlpm.rowNo, MATCH($C84&amp;"|"&amp;
($F84+I$4),Raw_Fund!$A:$A,0),
_xlpm.colNo,
MATCH(I$3,Raw_Fund!$E$1:$AZ$1,0),
_xlpm.val,
INDEX(Raw_Fund!$E:$AZ,_xlpm.rowNo,_xlpm.colNo),
IF(ISNUMBER(_xlpm.val),_xlpm.val*$H84,""))</f>
        <v/>
      </c>
      <c r="J84" s="6" t="str">
        <f>_xlfn.LET(
_xlpm.rowNo, MATCH($C84&amp;"|"&amp;
($F84+J$4),Raw_Fund!$A:$A,0),
_xlpm.colNo,
MATCH(J$3,Raw_Fund!$E$1:$AZ$1,0),
_xlpm.val,
INDEX(Raw_Fund!$E:$AZ,_xlpm.rowNo,_xlpm.colNo),
IF(ISNUMBER(_xlpm.val),_xlpm.val*$H84,""))</f>
        <v/>
      </c>
      <c r="K84" s="6" t="str">
        <f>_xlfn.LET(
_xlpm.rowNo, MATCH($C84&amp;"|"&amp;
($F84+K$4),Raw_Fund!$A:$A,0),
_xlpm.colNo,
MATCH(K$3,Raw_Fund!$E$1:$AZ$1,0),
_xlpm.val,
INDEX(Raw_Fund!$E:$AZ,_xlpm.rowNo,_xlpm.colNo),
IF(ISNUMBER(_xlpm.val),_xlpm.val*$H84,""))</f>
        <v/>
      </c>
      <c r="L84" s="6" t="str">
        <f>_xlfn.LET(
_xlpm.rowNo, MATCH($C84&amp;"|"&amp;
($F84+L$4),Raw_Fund!$A:$A,0),
_xlpm.colNo,
MATCH(L$3,Raw_Fund!$E$1:$AZ$1,0),
_xlpm.val,
INDEX(Raw_Fund!$E:$AZ,_xlpm.rowNo,_xlpm.colNo),
IF(ISNUMBER(_xlpm.val),_xlpm.val*$H84,""))</f>
        <v/>
      </c>
      <c r="M84" s="6" t="str">
        <f>_xlfn.LET(
_xlpm.rowNo, MATCH($C84&amp;"|"&amp;
($F84+M$4),Raw_Fund!$A:$A,0),
_xlpm.colNo,
MATCH(M$3,Raw_Fund!$E$1:$AZ$1,0),
_xlpm.val,
INDEX(Raw_Fund!$E:$AZ,_xlpm.rowNo,_xlpm.colNo),
IF(ISNUMBER(_xlpm.val),_xlpm.val*$H84,""))</f>
        <v/>
      </c>
      <c r="N84" s="6" t="str">
        <f>_xlfn.LET(
_xlpm.rowNo, MATCH($C84&amp;"|"&amp;
($F84+N$4),Raw_Fund!$A:$A,0),
_xlpm.colNo,
MATCH(N$3,Raw_Fund!$E$1:$AZ$1,0),
_xlpm.val,
INDEX(Raw_Fund!$E:$AZ,_xlpm.rowNo,_xlpm.colNo),
IF(ISNUMBER(_xlpm.val),_xlpm.val*$H84,""))</f>
        <v/>
      </c>
      <c r="O84" s="6" t="str">
        <f>_xlfn.LET(
_xlpm.rowNo, MATCH($C84&amp;"|"&amp;
($F84+O$4),Raw_Fund!$A:$A,0),
_xlpm.colNo,
MATCH(O$3,Raw_Fund!$E$1:$AZ$1,0),
_xlpm.val,
INDEX(Raw_Fund!$E:$AZ,_xlpm.rowNo,_xlpm.colNo),
IF(ISNUMBER(_xlpm.val),_xlpm.val*$H84,""))</f>
        <v/>
      </c>
      <c r="P84" s="6" t="str">
        <f>_xlfn.LET(
_xlpm.rowNo, MATCH($C84&amp;"|"&amp;
($F84+P$4),Raw_Fund!$A:$A,0),
_xlpm.colNo,
MATCH(P$3,Raw_Fund!$E$1:$AZ$1,0),
_xlpm.val,
INDEX(Raw_Fund!$E:$AZ,_xlpm.rowNo,_xlpm.colNo),
IF(ISNUMBER(_xlpm.val),_xlpm.val*$H84,""))</f>
        <v/>
      </c>
      <c r="Q84" s="6" t="str">
        <f>_xlfn.LET(
_xlpm.rowNo, MATCH($C84&amp;"|"&amp;
($F84+Q$4),Raw_Fund!$A:$A,0),
_xlpm.colNo,
MATCH(Q$3,Raw_Fund!$E$1:$AZ$1,0),
_xlpm.val,
INDEX(Raw_Fund!$E:$AZ,_xlpm.rowNo,_xlpm.colNo),
IF(ISNUMBER(_xlpm.val),_xlpm.val*$H84,""))</f>
        <v/>
      </c>
      <c r="R84" s="6" t="str">
        <f>_xlfn.LET(
_xlpm.rowNo, MATCH($C84&amp;"|"&amp;
($F84+R$4),Raw_Fund!$A:$A,0),
_xlpm.colNo,
MATCH(R$3,Raw_Fund!$E$1:$AZ$1,0),
_xlpm.val,
INDEX(Raw_Fund!$E:$AZ,_xlpm.rowNo,_xlpm.colNo),
IF(ISNUMBER(_xlpm.val),_xlpm.val*$H84,""))</f>
        <v/>
      </c>
      <c r="S84" s="6" t="str">
        <f>_xlfn.LET(
_xlpm.rowNo, MATCH($C84&amp;"|"&amp;
($F84+S$4),Raw_Fund!$A:$A,0),
_xlpm.colNo,
MATCH(S$3,Raw_Fund!$E$1:$AZ$1,0),
_xlpm.val,
INDEX(Raw_Fund!$E:$AZ,_xlpm.rowNo,_xlpm.colNo),
IF(ISNUMBER(_xlpm.val),_xlpm.val*$H84,""))</f>
        <v/>
      </c>
      <c r="T84" s="6" t="str">
        <f>_xlfn.LET(
_xlpm.rowNo, MATCH($C84&amp;"|"&amp;
($F84+T$4),Raw_Fund!$A:$A,0),
_xlpm.colNo,
MATCH(T$3,Raw_Fund!$E$1:$AZ$1,0),
_xlpm.val,
INDEX(Raw_Fund!$E:$AZ,_xlpm.rowNo,_xlpm.colNo),
IF(ISNUMBER(_xlpm.val),_xlpm.val*$H84,""))</f>
        <v/>
      </c>
      <c r="U84" s="6" t="str">
        <f>_xlfn.LET(
_xlpm.rowNo, MATCH($C84&amp;"|"&amp;
($F84+U$4),Raw_Fund!$A:$A,0),
_xlpm.colNo,
MATCH(U$3,Raw_Fund!$E$1:$AZ$1,0),
_xlpm.val,
INDEX(Raw_Fund!$E:$AZ,_xlpm.rowNo,_xlpm.colNo),
IF(ISNUMBER(_xlpm.val),_xlpm.val*$H84,""))</f>
        <v/>
      </c>
      <c r="V84" s="6" t="str">
        <f>_xlfn.LET(
_xlpm.rowNo, MATCH($C84&amp;"|"&amp;
($F84+V$4),Raw_Fund!$A:$A,0),
_xlpm.colNo,
MATCH(V$3,Raw_Fund!$E$1:$AZ$1,0),
_xlpm.val,
INDEX(Raw_Fund!$E:$AZ,_xlpm.rowNo,_xlpm.colNo),
IF(ISNUMBER(_xlpm.val),_xlpm.val*$H84,""))</f>
        <v/>
      </c>
      <c r="W84" s="6" t="str">
        <f>_xlfn.LET(
_xlpm.rowNo, MATCH($C84&amp;"|"&amp;
($F84+W$4),Raw_Fund!$A:$A,0),
_xlpm.colNo,
MATCH(W$3,Raw_Fund!$E$1:$AZ$1,0),
_xlpm.val,
INDEX(Raw_Fund!$E:$AZ,_xlpm.rowNo,_xlpm.colNo),
IF(ISNUMBER(_xlpm.val),_xlpm.val*$H84,""))</f>
        <v/>
      </c>
      <c r="X84" s="6" t="str">
        <f>_xlfn.LET(
_xlpm.rowNo, MATCH($C84&amp;"|"&amp;
($F84+X$4),Raw_Fund!$A:$A,0),
_xlpm.colNo,
MATCH(X$3,Raw_Fund!$E$1:$AZ$1,0),
_xlpm.val,
INDEX(Raw_Fund!$E:$AZ,_xlpm.rowNo,_xlpm.colNo),
IF(ISNUMBER(_xlpm.val),_xlpm.val*$H84,""))</f>
        <v/>
      </c>
      <c r="Y84" s="6" t="str">
        <f>_xlfn.LET(
_xlpm.rowNo, MATCH($C84&amp;"|"&amp;
($F84+Y$4),Raw_Fund!$A:$A,0),
_xlpm.colNo,
MATCH(Y$3,Raw_Fund!$E$1:$AZ$1,0),
_xlpm.val,
INDEX(Raw_Fund!$E:$AZ,_xlpm.rowNo,_xlpm.colNo),
IF(ISNUMBER(_xlpm.val),_xlpm.val*$H84,""))</f>
        <v/>
      </c>
      <c r="Z84" s="6" t="str">
        <f>IF($E84&lt;&gt;"Include","",_xlfn.XLOOKUP($C84,Raw_Mkt!$A:$A,Raw_Mkt!$B:$B))</f>
        <v/>
      </c>
    </row>
    <row r="85" spans="1:26" x14ac:dyDescent="0.4">
      <c r="A85" t="str">
        <f>IF(Universe!A85&lt;&gt;"",Universe!A85,"")</f>
        <v>GEN</v>
      </c>
      <c r="B85" t="str">
        <f>IF(Universe!B85&lt;&gt;"",Universe!B85,"")</f>
        <v>Genuit Group</v>
      </c>
      <c r="C85" t="str">
        <f>IF(Universe!C85&lt;&gt;"",Universe!C85,"")</f>
        <v>GB00BKRC5K31</v>
      </c>
      <c r="D85" t="str">
        <f>IF(Universe!D85&lt;&gt;"",Universe!D85,"")</f>
        <v>Industrials</v>
      </c>
      <c r="E85" t="str">
        <f>Universe!G85</f>
        <v>Include</v>
      </c>
      <c r="F85" t="str">
        <f>IF($E85&lt;&gt;"Include","",_xlfn.LET(_xlpm.latest,_xlfn.MAXIFS(Raw_Fund!$C:$C,Raw_Fund!$B:$B,Data!$C85),IF(_xlpm.latest=0,"",_xlpm.latest)))</f>
        <v/>
      </c>
      <c r="G85" t="str">
        <f>IF($F85="","",INDEX(Raw_Fund!$E:$AZ,MATCH($C85&amp;"|"&amp;$F85,Raw_Fund!$A:$A,0),MATCH(G$3,Raw_Fund!$E$1:$AZ$1,0)))</f>
        <v/>
      </c>
      <c r="H85" t="str">
        <f t="shared" si="1"/>
        <v/>
      </c>
      <c r="I85" s="6" t="str">
        <f>_xlfn.LET(
_xlpm.rowNo, MATCH($C85&amp;"|"&amp;
($F85+I$4),Raw_Fund!$A:$A,0),
_xlpm.colNo,
MATCH(I$3,Raw_Fund!$E$1:$AZ$1,0),
_xlpm.val,
INDEX(Raw_Fund!$E:$AZ,_xlpm.rowNo,_xlpm.colNo),
IF(ISNUMBER(_xlpm.val),_xlpm.val*$H85,""))</f>
        <v/>
      </c>
      <c r="J85" s="6" t="str">
        <f>_xlfn.LET(
_xlpm.rowNo, MATCH($C85&amp;"|"&amp;
($F85+J$4),Raw_Fund!$A:$A,0),
_xlpm.colNo,
MATCH(J$3,Raw_Fund!$E$1:$AZ$1,0),
_xlpm.val,
INDEX(Raw_Fund!$E:$AZ,_xlpm.rowNo,_xlpm.colNo),
IF(ISNUMBER(_xlpm.val),_xlpm.val*$H85,""))</f>
        <v/>
      </c>
      <c r="K85" s="6" t="str">
        <f>_xlfn.LET(
_xlpm.rowNo, MATCH($C85&amp;"|"&amp;
($F85+K$4),Raw_Fund!$A:$A,0),
_xlpm.colNo,
MATCH(K$3,Raw_Fund!$E$1:$AZ$1,0),
_xlpm.val,
INDEX(Raw_Fund!$E:$AZ,_xlpm.rowNo,_xlpm.colNo),
IF(ISNUMBER(_xlpm.val),_xlpm.val*$H85,""))</f>
        <v/>
      </c>
      <c r="L85" s="6" t="str">
        <f>_xlfn.LET(
_xlpm.rowNo, MATCH($C85&amp;"|"&amp;
($F85+L$4),Raw_Fund!$A:$A,0),
_xlpm.colNo,
MATCH(L$3,Raw_Fund!$E$1:$AZ$1,0),
_xlpm.val,
INDEX(Raw_Fund!$E:$AZ,_xlpm.rowNo,_xlpm.colNo),
IF(ISNUMBER(_xlpm.val),_xlpm.val*$H85,""))</f>
        <v/>
      </c>
      <c r="M85" s="6" t="str">
        <f>_xlfn.LET(
_xlpm.rowNo, MATCH($C85&amp;"|"&amp;
($F85+M$4),Raw_Fund!$A:$A,0),
_xlpm.colNo,
MATCH(M$3,Raw_Fund!$E$1:$AZ$1,0),
_xlpm.val,
INDEX(Raw_Fund!$E:$AZ,_xlpm.rowNo,_xlpm.colNo),
IF(ISNUMBER(_xlpm.val),_xlpm.val*$H85,""))</f>
        <v/>
      </c>
      <c r="N85" s="6" t="str">
        <f>_xlfn.LET(
_xlpm.rowNo, MATCH($C85&amp;"|"&amp;
($F85+N$4),Raw_Fund!$A:$A,0),
_xlpm.colNo,
MATCH(N$3,Raw_Fund!$E$1:$AZ$1,0),
_xlpm.val,
INDEX(Raw_Fund!$E:$AZ,_xlpm.rowNo,_xlpm.colNo),
IF(ISNUMBER(_xlpm.val),_xlpm.val*$H85,""))</f>
        <v/>
      </c>
      <c r="O85" s="6" t="str">
        <f>_xlfn.LET(
_xlpm.rowNo, MATCH($C85&amp;"|"&amp;
($F85+O$4),Raw_Fund!$A:$A,0),
_xlpm.colNo,
MATCH(O$3,Raw_Fund!$E$1:$AZ$1,0),
_xlpm.val,
INDEX(Raw_Fund!$E:$AZ,_xlpm.rowNo,_xlpm.colNo),
IF(ISNUMBER(_xlpm.val),_xlpm.val*$H85,""))</f>
        <v/>
      </c>
      <c r="P85" s="6" t="str">
        <f>_xlfn.LET(
_xlpm.rowNo, MATCH($C85&amp;"|"&amp;
($F85+P$4),Raw_Fund!$A:$A,0),
_xlpm.colNo,
MATCH(P$3,Raw_Fund!$E$1:$AZ$1,0),
_xlpm.val,
INDEX(Raw_Fund!$E:$AZ,_xlpm.rowNo,_xlpm.colNo),
IF(ISNUMBER(_xlpm.val),_xlpm.val*$H85,""))</f>
        <v/>
      </c>
      <c r="Q85" s="6" t="str">
        <f>_xlfn.LET(
_xlpm.rowNo, MATCH($C85&amp;"|"&amp;
($F85+Q$4),Raw_Fund!$A:$A,0),
_xlpm.colNo,
MATCH(Q$3,Raw_Fund!$E$1:$AZ$1,0),
_xlpm.val,
INDEX(Raw_Fund!$E:$AZ,_xlpm.rowNo,_xlpm.colNo),
IF(ISNUMBER(_xlpm.val),_xlpm.val*$H85,""))</f>
        <v/>
      </c>
      <c r="R85" s="6" t="str">
        <f>_xlfn.LET(
_xlpm.rowNo, MATCH($C85&amp;"|"&amp;
($F85+R$4),Raw_Fund!$A:$A,0),
_xlpm.colNo,
MATCH(R$3,Raw_Fund!$E$1:$AZ$1,0),
_xlpm.val,
INDEX(Raw_Fund!$E:$AZ,_xlpm.rowNo,_xlpm.colNo),
IF(ISNUMBER(_xlpm.val),_xlpm.val*$H85,""))</f>
        <v/>
      </c>
      <c r="S85" s="6" t="str">
        <f>_xlfn.LET(
_xlpm.rowNo, MATCH($C85&amp;"|"&amp;
($F85+S$4),Raw_Fund!$A:$A,0),
_xlpm.colNo,
MATCH(S$3,Raw_Fund!$E$1:$AZ$1,0),
_xlpm.val,
INDEX(Raw_Fund!$E:$AZ,_xlpm.rowNo,_xlpm.colNo),
IF(ISNUMBER(_xlpm.val),_xlpm.val*$H85,""))</f>
        <v/>
      </c>
      <c r="T85" s="6" t="str">
        <f>_xlfn.LET(
_xlpm.rowNo, MATCH($C85&amp;"|"&amp;
($F85+T$4),Raw_Fund!$A:$A,0),
_xlpm.colNo,
MATCH(T$3,Raw_Fund!$E$1:$AZ$1,0),
_xlpm.val,
INDEX(Raw_Fund!$E:$AZ,_xlpm.rowNo,_xlpm.colNo),
IF(ISNUMBER(_xlpm.val),_xlpm.val*$H85,""))</f>
        <v/>
      </c>
      <c r="U85" s="6" t="str">
        <f>_xlfn.LET(
_xlpm.rowNo, MATCH($C85&amp;"|"&amp;
($F85+U$4),Raw_Fund!$A:$A,0),
_xlpm.colNo,
MATCH(U$3,Raw_Fund!$E$1:$AZ$1,0),
_xlpm.val,
INDEX(Raw_Fund!$E:$AZ,_xlpm.rowNo,_xlpm.colNo),
IF(ISNUMBER(_xlpm.val),_xlpm.val*$H85,""))</f>
        <v/>
      </c>
      <c r="V85" s="6" t="str">
        <f>_xlfn.LET(
_xlpm.rowNo, MATCH($C85&amp;"|"&amp;
($F85+V$4),Raw_Fund!$A:$A,0),
_xlpm.colNo,
MATCH(V$3,Raw_Fund!$E$1:$AZ$1,0),
_xlpm.val,
INDEX(Raw_Fund!$E:$AZ,_xlpm.rowNo,_xlpm.colNo),
IF(ISNUMBER(_xlpm.val),_xlpm.val*$H85,""))</f>
        <v/>
      </c>
      <c r="W85" s="6" t="str">
        <f>_xlfn.LET(
_xlpm.rowNo, MATCH($C85&amp;"|"&amp;
($F85+W$4),Raw_Fund!$A:$A,0),
_xlpm.colNo,
MATCH(W$3,Raw_Fund!$E$1:$AZ$1,0),
_xlpm.val,
INDEX(Raw_Fund!$E:$AZ,_xlpm.rowNo,_xlpm.colNo),
IF(ISNUMBER(_xlpm.val),_xlpm.val*$H85,""))</f>
        <v/>
      </c>
      <c r="X85" s="6" t="str">
        <f>_xlfn.LET(
_xlpm.rowNo, MATCH($C85&amp;"|"&amp;
($F85+X$4),Raw_Fund!$A:$A,0),
_xlpm.colNo,
MATCH(X$3,Raw_Fund!$E$1:$AZ$1,0),
_xlpm.val,
INDEX(Raw_Fund!$E:$AZ,_xlpm.rowNo,_xlpm.colNo),
IF(ISNUMBER(_xlpm.val),_xlpm.val*$H85,""))</f>
        <v/>
      </c>
      <c r="Y85" s="6" t="str">
        <f>_xlfn.LET(
_xlpm.rowNo, MATCH($C85&amp;"|"&amp;
($F85+Y$4),Raw_Fund!$A:$A,0),
_xlpm.colNo,
MATCH(Y$3,Raw_Fund!$E$1:$AZ$1,0),
_xlpm.val,
INDEX(Raw_Fund!$E:$AZ,_xlpm.rowNo,_xlpm.colNo),
IF(ISNUMBER(_xlpm.val),_xlpm.val*$H85,""))</f>
        <v/>
      </c>
      <c r="Z85" s="6" t="e">
        <f>IF($E85&lt;&gt;"Include","",_xlfn.XLOOKUP($C85,Raw_Mkt!$A:$A,Raw_Mkt!$B:$B))</f>
        <v>#N/A</v>
      </c>
    </row>
    <row r="86" spans="1:26" x14ac:dyDescent="0.4">
      <c r="A86" t="str">
        <f>IF(Universe!A86&lt;&gt;"",Universe!A86,"")</f>
        <v>GNS</v>
      </c>
      <c r="B86" t="str">
        <f>IF(Universe!B86&lt;&gt;"",Universe!B86,"")</f>
        <v>Genus</v>
      </c>
      <c r="C86" t="str">
        <f>IF(Universe!C86&lt;&gt;"",Universe!C86,"")</f>
        <v>GB0002074580</v>
      </c>
      <c r="D86" t="str">
        <f>IF(Universe!D86&lt;&gt;"",Universe!D86,"")</f>
        <v>Health Care</v>
      </c>
      <c r="E86" t="str">
        <f>Universe!G86</f>
        <v>Include</v>
      </c>
      <c r="F86" t="str">
        <f>IF($E86&lt;&gt;"Include","",_xlfn.LET(_xlpm.latest,_xlfn.MAXIFS(Raw_Fund!$C:$C,Raw_Fund!$B:$B,Data!$C86),IF(_xlpm.latest=0,"",_xlpm.latest)))</f>
        <v/>
      </c>
      <c r="G86" t="str">
        <f>IF($F86="","",INDEX(Raw_Fund!$E:$AZ,MATCH($C86&amp;"|"&amp;$F86,Raw_Fund!$A:$A,0),MATCH(G$3,Raw_Fund!$E$1:$AZ$1,0)))</f>
        <v/>
      </c>
      <c r="H86" t="str">
        <f t="shared" si="1"/>
        <v/>
      </c>
      <c r="I86" s="6" t="str">
        <f>_xlfn.LET(
_xlpm.rowNo, MATCH($C86&amp;"|"&amp;
($F86+I$4),Raw_Fund!$A:$A,0),
_xlpm.colNo,
MATCH(I$3,Raw_Fund!$E$1:$AZ$1,0),
_xlpm.val,
INDEX(Raw_Fund!$E:$AZ,_xlpm.rowNo,_xlpm.colNo),
IF(ISNUMBER(_xlpm.val),_xlpm.val*$H86,""))</f>
        <v/>
      </c>
      <c r="J86" s="6" t="str">
        <f>_xlfn.LET(
_xlpm.rowNo, MATCH($C86&amp;"|"&amp;
($F86+J$4),Raw_Fund!$A:$A,0),
_xlpm.colNo,
MATCH(J$3,Raw_Fund!$E$1:$AZ$1,0),
_xlpm.val,
INDEX(Raw_Fund!$E:$AZ,_xlpm.rowNo,_xlpm.colNo),
IF(ISNUMBER(_xlpm.val),_xlpm.val*$H86,""))</f>
        <v/>
      </c>
      <c r="K86" s="6" t="str">
        <f>_xlfn.LET(
_xlpm.rowNo, MATCH($C86&amp;"|"&amp;
($F86+K$4),Raw_Fund!$A:$A,0),
_xlpm.colNo,
MATCH(K$3,Raw_Fund!$E$1:$AZ$1,0),
_xlpm.val,
INDEX(Raw_Fund!$E:$AZ,_xlpm.rowNo,_xlpm.colNo),
IF(ISNUMBER(_xlpm.val),_xlpm.val*$H86,""))</f>
        <v/>
      </c>
      <c r="L86" s="6" t="str">
        <f>_xlfn.LET(
_xlpm.rowNo, MATCH($C86&amp;"|"&amp;
($F86+L$4),Raw_Fund!$A:$A,0),
_xlpm.colNo,
MATCH(L$3,Raw_Fund!$E$1:$AZ$1,0),
_xlpm.val,
INDEX(Raw_Fund!$E:$AZ,_xlpm.rowNo,_xlpm.colNo),
IF(ISNUMBER(_xlpm.val),_xlpm.val*$H86,""))</f>
        <v/>
      </c>
      <c r="M86" s="6" t="str">
        <f>_xlfn.LET(
_xlpm.rowNo, MATCH($C86&amp;"|"&amp;
($F86+M$4),Raw_Fund!$A:$A,0),
_xlpm.colNo,
MATCH(M$3,Raw_Fund!$E$1:$AZ$1,0),
_xlpm.val,
INDEX(Raw_Fund!$E:$AZ,_xlpm.rowNo,_xlpm.colNo),
IF(ISNUMBER(_xlpm.val),_xlpm.val*$H86,""))</f>
        <v/>
      </c>
      <c r="N86" s="6" t="str">
        <f>_xlfn.LET(
_xlpm.rowNo, MATCH($C86&amp;"|"&amp;
($F86+N$4),Raw_Fund!$A:$A,0),
_xlpm.colNo,
MATCH(N$3,Raw_Fund!$E$1:$AZ$1,0),
_xlpm.val,
INDEX(Raw_Fund!$E:$AZ,_xlpm.rowNo,_xlpm.colNo),
IF(ISNUMBER(_xlpm.val),_xlpm.val*$H86,""))</f>
        <v/>
      </c>
      <c r="O86" s="6" t="str">
        <f>_xlfn.LET(
_xlpm.rowNo, MATCH($C86&amp;"|"&amp;
($F86+O$4),Raw_Fund!$A:$A,0),
_xlpm.colNo,
MATCH(O$3,Raw_Fund!$E$1:$AZ$1,0),
_xlpm.val,
INDEX(Raw_Fund!$E:$AZ,_xlpm.rowNo,_xlpm.colNo),
IF(ISNUMBER(_xlpm.val),_xlpm.val*$H86,""))</f>
        <v/>
      </c>
      <c r="P86" s="6" t="str">
        <f>_xlfn.LET(
_xlpm.rowNo, MATCH($C86&amp;"|"&amp;
($F86+P$4),Raw_Fund!$A:$A,0),
_xlpm.colNo,
MATCH(P$3,Raw_Fund!$E$1:$AZ$1,0),
_xlpm.val,
INDEX(Raw_Fund!$E:$AZ,_xlpm.rowNo,_xlpm.colNo),
IF(ISNUMBER(_xlpm.val),_xlpm.val*$H86,""))</f>
        <v/>
      </c>
      <c r="Q86" s="6" t="str">
        <f>_xlfn.LET(
_xlpm.rowNo, MATCH($C86&amp;"|"&amp;
($F86+Q$4),Raw_Fund!$A:$A,0),
_xlpm.colNo,
MATCH(Q$3,Raw_Fund!$E$1:$AZ$1,0),
_xlpm.val,
INDEX(Raw_Fund!$E:$AZ,_xlpm.rowNo,_xlpm.colNo),
IF(ISNUMBER(_xlpm.val),_xlpm.val*$H86,""))</f>
        <v/>
      </c>
      <c r="R86" s="6" t="str">
        <f>_xlfn.LET(
_xlpm.rowNo, MATCH($C86&amp;"|"&amp;
($F86+R$4),Raw_Fund!$A:$A,0),
_xlpm.colNo,
MATCH(R$3,Raw_Fund!$E$1:$AZ$1,0),
_xlpm.val,
INDEX(Raw_Fund!$E:$AZ,_xlpm.rowNo,_xlpm.colNo),
IF(ISNUMBER(_xlpm.val),_xlpm.val*$H86,""))</f>
        <v/>
      </c>
      <c r="S86" s="6" t="str">
        <f>_xlfn.LET(
_xlpm.rowNo, MATCH($C86&amp;"|"&amp;
($F86+S$4),Raw_Fund!$A:$A,0),
_xlpm.colNo,
MATCH(S$3,Raw_Fund!$E$1:$AZ$1,0),
_xlpm.val,
INDEX(Raw_Fund!$E:$AZ,_xlpm.rowNo,_xlpm.colNo),
IF(ISNUMBER(_xlpm.val),_xlpm.val*$H86,""))</f>
        <v/>
      </c>
      <c r="T86" s="6" t="str">
        <f>_xlfn.LET(
_xlpm.rowNo, MATCH($C86&amp;"|"&amp;
($F86+T$4),Raw_Fund!$A:$A,0),
_xlpm.colNo,
MATCH(T$3,Raw_Fund!$E$1:$AZ$1,0),
_xlpm.val,
INDEX(Raw_Fund!$E:$AZ,_xlpm.rowNo,_xlpm.colNo),
IF(ISNUMBER(_xlpm.val),_xlpm.val*$H86,""))</f>
        <v/>
      </c>
      <c r="U86" s="6" t="str">
        <f>_xlfn.LET(
_xlpm.rowNo, MATCH($C86&amp;"|"&amp;
($F86+U$4),Raw_Fund!$A:$A,0),
_xlpm.colNo,
MATCH(U$3,Raw_Fund!$E$1:$AZ$1,0),
_xlpm.val,
INDEX(Raw_Fund!$E:$AZ,_xlpm.rowNo,_xlpm.colNo),
IF(ISNUMBER(_xlpm.val),_xlpm.val*$H86,""))</f>
        <v/>
      </c>
      <c r="V86" s="6" t="str">
        <f>_xlfn.LET(
_xlpm.rowNo, MATCH($C86&amp;"|"&amp;
($F86+V$4),Raw_Fund!$A:$A,0),
_xlpm.colNo,
MATCH(V$3,Raw_Fund!$E$1:$AZ$1,0),
_xlpm.val,
INDEX(Raw_Fund!$E:$AZ,_xlpm.rowNo,_xlpm.colNo),
IF(ISNUMBER(_xlpm.val),_xlpm.val*$H86,""))</f>
        <v/>
      </c>
      <c r="W86" s="6" t="str">
        <f>_xlfn.LET(
_xlpm.rowNo, MATCH($C86&amp;"|"&amp;
($F86+W$4),Raw_Fund!$A:$A,0),
_xlpm.colNo,
MATCH(W$3,Raw_Fund!$E$1:$AZ$1,0),
_xlpm.val,
INDEX(Raw_Fund!$E:$AZ,_xlpm.rowNo,_xlpm.colNo),
IF(ISNUMBER(_xlpm.val),_xlpm.val*$H86,""))</f>
        <v/>
      </c>
      <c r="X86" s="6" t="str">
        <f>_xlfn.LET(
_xlpm.rowNo, MATCH($C86&amp;"|"&amp;
($F86+X$4),Raw_Fund!$A:$A,0),
_xlpm.colNo,
MATCH(X$3,Raw_Fund!$E$1:$AZ$1,0),
_xlpm.val,
INDEX(Raw_Fund!$E:$AZ,_xlpm.rowNo,_xlpm.colNo),
IF(ISNUMBER(_xlpm.val),_xlpm.val*$H86,""))</f>
        <v/>
      </c>
      <c r="Y86" s="6" t="str">
        <f>_xlfn.LET(
_xlpm.rowNo, MATCH($C86&amp;"|"&amp;
($F86+Y$4),Raw_Fund!$A:$A,0),
_xlpm.colNo,
MATCH(Y$3,Raw_Fund!$E$1:$AZ$1,0),
_xlpm.val,
INDEX(Raw_Fund!$E:$AZ,_xlpm.rowNo,_xlpm.colNo),
IF(ISNUMBER(_xlpm.val),_xlpm.val*$H86,""))</f>
        <v/>
      </c>
      <c r="Z86" s="6" t="e">
        <f>IF($E86&lt;&gt;"Include","",_xlfn.XLOOKUP($C86,Raw_Mkt!$A:$A,Raw_Mkt!$B:$B))</f>
        <v>#N/A</v>
      </c>
    </row>
    <row r="87" spans="1:26" x14ac:dyDescent="0.4">
      <c r="A87" t="str">
        <f>IF(Universe!A87&lt;&gt;"",Universe!A87,"")</f>
        <v>DATA</v>
      </c>
      <c r="B87" t="str">
        <f>IF(Universe!B87&lt;&gt;"",Universe!B87,"")</f>
        <v>GlobalData</v>
      </c>
      <c r="C87" t="str">
        <f>IF(Universe!C87&lt;&gt;"",Universe!C87,"")</f>
        <v>GB00BR3VDF43</v>
      </c>
      <c r="D87" t="str">
        <f>IF(Universe!D87&lt;&gt;"",Universe!D87,"")</f>
        <v>Industrials</v>
      </c>
      <c r="E87" t="str">
        <f>Universe!G87</f>
        <v>Include</v>
      </c>
      <c r="F87" t="str">
        <f>IF($E87&lt;&gt;"Include","",_xlfn.LET(_xlpm.latest,_xlfn.MAXIFS(Raw_Fund!$C:$C,Raw_Fund!$B:$B,Data!$C87),IF(_xlpm.latest=0,"",_xlpm.latest)))</f>
        <v/>
      </c>
      <c r="G87" t="str">
        <f>IF($F87="","",INDEX(Raw_Fund!$E:$AZ,MATCH($C87&amp;"|"&amp;$F87,Raw_Fund!$A:$A,0),MATCH(G$3,Raw_Fund!$E$1:$AZ$1,0)))</f>
        <v/>
      </c>
      <c r="H87" t="str">
        <f t="shared" si="1"/>
        <v/>
      </c>
      <c r="I87" s="6" t="str">
        <f>_xlfn.LET(
_xlpm.rowNo, MATCH($C87&amp;"|"&amp;
($F87+I$4),Raw_Fund!$A:$A,0),
_xlpm.colNo,
MATCH(I$3,Raw_Fund!$E$1:$AZ$1,0),
_xlpm.val,
INDEX(Raw_Fund!$E:$AZ,_xlpm.rowNo,_xlpm.colNo),
IF(ISNUMBER(_xlpm.val),_xlpm.val*$H87,""))</f>
        <v/>
      </c>
      <c r="J87" s="6" t="str">
        <f>_xlfn.LET(
_xlpm.rowNo, MATCH($C87&amp;"|"&amp;
($F87+J$4),Raw_Fund!$A:$A,0),
_xlpm.colNo,
MATCH(J$3,Raw_Fund!$E$1:$AZ$1,0),
_xlpm.val,
INDEX(Raw_Fund!$E:$AZ,_xlpm.rowNo,_xlpm.colNo),
IF(ISNUMBER(_xlpm.val),_xlpm.val*$H87,""))</f>
        <v/>
      </c>
      <c r="K87" s="6" t="str">
        <f>_xlfn.LET(
_xlpm.rowNo, MATCH($C87&amp;"|"&amp;
($F87+K$4),Raw_Fund!$A:$A,0),
_xlpm.colNo,
MATCH(K$3,Raw_Fund!$E$1:$AZ$1,0),
_xlpm.val,
INDEX(Raw_Fund!$E:$AZ,_xlpm.rowNo,_xlpm.colNo),
IF(ISNUMBER(_xlpm.val),_xlpm.val*$H87,""))</f>
        <v/>
      </c>
      <c r="L87" s="6" t="str">
        <f>_xlfn.LET(
_xlpm.rowNo, MATCH($C87&amp;"|"&amp;
($F87+L$4),Raw_Fund!$A:$A,0),
_xlpm.colNo,
MATCH(L$3,Raw_Fund!$E$1:$AZ$1,0),
_xlpm.val,
INDEX(Raw_Fund!$E:$AZ,_xlpm.rowNo,_xlpm.colNo),
IF(ISNUMBER(_xlpm.val),_xlpm.val*$H87,""))</f>
        <v/>
      </c>
      <c r="M87" s="6" t="str">
        <f>_xlfn.LET(
_xlpm.rowNo, MATCH($C87&amp;"|"&amp;
($F87+M$4),Raw_Fund!$A:$A,0),
_xlpm.colNo,
MATCH(M$3,Raw_Fund!$E$1:$AZ$1,0),
_xlpm.val,
INDEX(Raw_Fund!$E:$AZ,_xlpm.rowNo,_xlpm.colNo),
IF(ISNUMBER(_xlpm.val),_xlpm.val*$H87,""))</f>
        <v/>
      </c>
      <c r="N87" s="6" t="str">
        <f>_xlfn.LET(
_xlpm.rowNo, MATCH($C87&amp;"|"&amp;
($F87+N$4),Raw_Fund!$A:$A,0),
_xlpm.colNo,
MATCH(N$3,Raw_Fund!$E$1:$AZ$1,0),
_xlpm.val,
INDEX(Raw_Fund!$E:$AZ,_xlpm.rowNo,_xlpm.colNo),
IF(ISNUMBER(_xlpm.val),_xlpm.val*$H87,""))</f>
        <v/>
      </c>
      <c r="O87" s="6" t="str">
        <f>_xlfn.LET(
_xlpm.rowNo, MATCH($C87&amp;"|"&amp;
($F87+O$4),Raw_Fund!$A:$A,0),
_xlpm.colNo,
MATCH(O$3,Raw_Fund!$E$1:$AZ$1,0),
_xlpm.val,
INDEX(Raw_Fund!$E:$AZ,_xlpm.rowNo,_xlpm.colNo),
IF(ISNUMBER(_xlpm.val),_xlpm.val*$H87,""))</f>
        <v/>
      </c>
      <c r="P87" s="6" t="str">
        <f>_xlfn.LET(
_xlpm.rowNo, MATCH($C87&amp;"|"&amp;
($F87+P$4),Raw_Fund!$A:$A,0),
_xlpm.colNo,
MATCH(P$3,Raw_Fund!$E$1:$AZ$1,0),
_xlpm.val,
INDEX(Raw_Fund!$E:$AZ,_xlpm.rowNo,_xlpm.colNo),
IF(ISNUMBER(_xlpm.val),_xlpm.val*$H87,""))</f>
        <v/>
      </c>
      <c r="Q87" s="6" t="str">
        <f>_xlfn.LET(
_xlpm.rowNo, MATCH($C87&amp;"|"&amp;
($F87+Q$4),Raw_Fund!$A:$A,0),
_xlpm.colNo,
MATCH(Q$3,Raw_Fund!$E$1:$AZ$1,0),
_xlpm.val,
INDEX(Raw_Fund!$E:$AZ,_xlpm.rowNo,_xlpm.colNo),
IF(ISNUMBER(_xlpm.val),_xlpm.val*$H87,""))</f>
        <v/>
      </c>
      <c r="R87" s="6" t="str">
        <f>_xlfn.LET(
_xlpm.rowNo, MATCH($C87&amp;"|"&amp;
($F87+R$4),Raw_Fund!$A:$A,0),
_xlpm.colNo,
MATCH(R$3,Raw_Fund!$E$1:$AZ$1,0),
_xlpm.val,
INDEX(Raw_Fund!$E:$AZ,_xlpm.rowNo,_xlpm.colNo),
IF(ISNUMBER(_xlpm.val),_xlpm.val*$H87,""))</f>
        <v/>
      </c>
      <c r="S87" s="6" t="str">
        <f>_xlfn.LET(
_xlpm.rowNo, MATCH($C87&amp;"|"&amp;
($F87+S$4),Raw_Fund!$A:$A,0),
_xlpm.colNo,
MATCH(S$3,Raw_Fund!$E$1:$AZ$1,0),
_xlpm.val,
INDEX(Raw_Fund!$E:$AZ,_xlpm.rowNo,_xlpm.colNo),
IF(ISNUMBER(_xlpm.val),_xlpm.val*$H87,""))</f>
        <v/>
      </c>
      <c r="T87" s="6" t="str">
        <f>_xlfn.LET(
_xlpm.rowNo, MATCH($C87&amp;"|"&amp;
($F87+T$4),Raw_Fund!$A:$A,0),
_xlpm.colNo,
MATCH(T$3,Raw_Fund!$E$1:$AZ$1,0),
_xlpm.val,
INDEX(Raw_Fund!$E:$AZ,_xlpm.rowNo,_xlpm.colNo),
IF(ISNUMBER(_xlpm.val),_xlpm.val*$H87,""))</f>
        <v/>
      </c>
      <c r="U87" s="6" t="str">
        <f>_xlfn.LET(
_xlpm.rowNo, MATCH($C87&amp;"|"&amp;
($F87+U$4),Raw_Fund!$A:$A,0),
_xlpm.colNo,
MATCH(U$3,Raw_Fund!$E$1:$AZ$1,0),
_xlpm.val,
INDEX(Raw_Fund!$E:$AZ,_xlpm.rowNo,_xlpm.colNo),
IF(ISNUMBER(_xlpm.val),_xlpm.val*$H87,""))</f>
        <v/>
      </c>
      <c r="V87" s="6" t="str">
        <f>_xlfn.LET(
_xlpm.rowNo, MATCH($C87&amp;"|"&amp;
($F87+V$4),Raw_Fund!$A:$A,0),
_xlpm.colNo,
MATCH(V$3,Raw_Fund!$E$1:$AZ$1,0),
_xlpm.val,
INDEX(Raw_Fund!$E:$AZ,_xlpm.rowNo,_xlpm.colNo),
IF(ISNUMBER(_xlpm.val),_xlpm.val*$H87,""))</f>
        <v/>
      </c>
      <c r="W87" s="6" t="str">
        <f>_xlfn.LET(
_xlpm.rowNo, MATCH($C87&amp;"|"&amp;
($F87+W$4),Raw_Fund!$A:$A,0),
_xlpm.colNo,
MATCH(W$3,Raw_Fund!$E$1:$AZ$1,0),
_xlpm.val,
INDEX(Raw_Fund!$E:$AZ,_xlpm.rowNo,_xlpm.colNo),
IF(ISNUMBER(_xlpm.val),_xlpm.val*$H87,""))</f>
        <v/>
      </c>
      <c r="X87" s="6" t="str">
        <f>_xlfn.LET(
_xlpm.rowNo, MATCH($C87&amp;"|"&amp;
($F87+X$4),Raw_Fund!$A:$A,0),
_xlpm.colNo,
MATCH(X$3,Raw_Fund!$E$1:$AZ$1,0),
_xlpm.val,
INDEX(Raw_Fund!$E:$AZ,_xlpm.rowNo,_xlpm.colNo),
IF(ISNUMBER(_xlpm.val),_xlpm.val*$H87,""))</f>
        <v/>
      </c>
      <c r="Y87" s="6" t="str">
        <f>_xlfn.LET(
_xlpm.rowNo, MATCH($C87&amp;"|"&amp;
($F87+Y$4),Raw_Fund!$A:$A,0),
_xlpm.colNo,
MATCH(Y$3,Raw_Fund!$E$1:$AZ$1,0),
_xlpm.val,
INDEX(Raw_Fund!$E:$AZ,_xlpm.rowNo,_xlpm.colNo),
IF(ISNUMBER(_xlpm.val),_xlpm.val*$H87,""))</f>
        <v/>
      </c>
      <c r="Z87" s="6" t="e">
        <f>IF($E87&lt;&gt;"Include","",_xlfn.XLOOKUP($C87,Raw_Mkt!$A:$A,Raw_Mkt!$B:$B))</f>
        <v>#N/A</v>
      </c>
    </row>
    <row r="88" spans="1:26" x14ac:dyDescent="0.4">
      <c r="A88" t="str">
        <f>IF(Universe!A88&lt;&gt;"",Universe!A88,"")</f>
        <v>GSCT</v>
      </c>
      <c r="B88" t="str">
        <f>IF(Universe!B88&lt;&gt;"",Universe!B88,"")</f>
        <v>Global Smaller Companies Trust</v>
      </c>
      <c r="C88" t="str">
        <f>IF(Universe!C88&lt;&gt;"",Universe!C88,"")</f>
        <v>GB00BKLXD974</v>
      </c>
      <c r="D88" t="str">
        <f>IF(Universe!D88&lt;&gt;"",Universe!D88,"")</f>
        <v>Financials</v>
      </c>
      <c r="E88" t="str">
        <f>Universe!G88</f>
        <v>Exclude</v>
      </c>
      <c r="F88" t="str">
        <f>IF($E88&lt;&gt;"Include","",_xlfn.LET(_xlpm.latest,_xlfn.MAXIFS(Raw_Fund!$C:$C,Raw_Fund!$B:$B,Data!$C88),IF(_xlpm.latest=0,"",_xlpm.latest)))</f>
        <v/>
      </c>
      <c r="G88" t="str">
        <f>IF($F88="","",INDEX(Raw_Fund!$E:$AZ,MATCH($C88&amp;"|"&amp;$F88,Raw_Fund!$A:$A,0),MATCH(G$3,Raw_Fund!$E$1:$AZ$1,0)))</f>
        <v/>
      </c>
      <c r="H88" t="str">
        <f t="shared" si="1"/>
        <v/>
      </c>
      <c r="I88" s="6" t="str">
        <f>_xlfn.LET(
_xlpm.rowNo, MATCH($C88&amp;"|"&amp;
($F88+I$4),Raw_Fund!$A:$A,0),
_xlpm.colNo,
MATCH(I$3,Raw_Fund!$E$1:$AZ$1,0),
_xlpm.val,
INDEX(Raw_Fund!$E:$AZ,_xlpm.rowNo,_xlpm.colNo),
IF(ISNUMBER(_xlpm.val),_xlpm.val*$H88,""))</f>
        <v/>
      </c>
      <c r="J88" s="6" t="str">
        <f>_xlfn.LET(
_xlpm.rowNo, MATCH($C88&amp;"|"&amp;
($F88+J$4),Raw_Fund!$A:$A,0),
_xlpm.colNo,
MATCH(J$3,Raw_Fund!$E$1:$AZ$1,0),
_xlpm.val,
INDEX(Raw_Fund!$E:$AZ,_xlpm.rowNo,_xlpm.colNo),
IF(ISNUMBER(_xlpm.val),_xlpm.val*$H88,""))</f>
        <v/>
      </c>
      <c r="K88" s="6" t="str">
        <f>_xlfn.LET(
_xlpm.rowNo, MATCH($C88&amp;"|"&amp;
($F88+K$4),Raw_Fund!$A:$A,0),
_xlpm.colNo,
MATCH(K$3,Raw_Fund!$E$1:$AZ$1,0),
_xlpm.val,
INDEX(Raw_Fund!$E:$AZ,_xlpm.rowNo,_xlpm.colNo),
IF(ISNUMBER(_xlpm.val),_xlpm.val*$H88,""))</f>
        <v/>
      </c>
      <c r="L88" s="6" t="str">
        <f>_xlfn.LET(
_xlpm.rowNo, MATCH($C88&amp;"|"&amp;
($F88+L$4),Raw_Fund!$A:$A,0),
_xlpm.colNo,
MATCH(L$3,Raw_Fund!$E$1:$AZ$1,0),
_xlpm.val,
INDEX(Raw_Fund!$E:$AZ,_xlpm.rowNo,_xlpm.colNo),
IF(ISNUMBER(_xlpm.val),_xlpm.val*$H88,""))</f>
        <v/>
      </c>
      <c r="M88" s="6" t="str">
        <f>_xlfn.LET(
_xlpm.rowNo, MATCH($C88&amp;"|"&amp;
($F88+M$4),Raw_Fund!$A:$A,0),
_xlpm.colNo,
MATCH(M$3,Raw_Fund!$E$1:$AZ$1,0),
_xlpm.val,
INDEX(Raw_Fund!$E:$AZ,_xlpm.rowNo,_xlpm.colNo),
IF(ISNUMBER(_xlpm.val),_xlpm.val*$H88,""))</f>
        <v/>
      </c>
      <c r="N88" s="6" t="str">
        <f>_xlfn.LET(
_xlpm.rowNo, MATCH($C88&amp;"|"&amp;
($F88+N$4),Raw_Fund!$A:$A,0),
_xlpm.colNo,
MATCH(N$3,Raw_Fund!$E$1:$AZ$1,0),
_xlpm.val,
INDEX(Raw_Fund!$E:$AZ,_xlpm.rowNo,_xlpm.colNo),
IF(ISNUMBER(_xlpm.val),_xlpm.val*$H88,""))</f>
        <v/>
      </c>
      <c r="O88" s="6" t="str">
        <f>_xlfn.LET(
_xlpm.rowNo, MATCH($C88&amp;"|"&amp;
($F88+O$4),Raw_Fund!$A:$A,0),
_xlpm.colNo,
MATCH(O$3,Raw_Fund!$E$1:$AZ$1,0),
_xlpm.val,
INDEX(Raw_Fund!$E:$AZ,_xlpm.rowNo,_xlpm.colNo),
IF(ISNUMBER(_xlpm.val),_xlpm.val*$H88,""))</f>
        <v/>
      </c>
      <c r="P88" s="6" t="str">
        <f>_xlfn.LET(
_xlpm.rowNo, MATCH($C88&amp;"|"&amp;
($F88+P$4),Raw_Fund!$A:$A,0),
_xlpm.colNo,
MATCH(P$3,Raw_Fund!$E$1:$AZ$1,0),
_xlpm.val,
INDEX(Raw_Fund!$E:$AZ,_xlpm.rowNo,_xlpm.colNo),
IF(ISNUMBER(_xlpm.val),_xlpm.val*$H88,""))</f>
        <v/>
      </c>
      <c r="Q88" s="6" t="str">
        <f>_xlfn.LET(
_xlpm.rowNo, MATCH($C88&amp;"|"&amp;
($F88+Q$4),Raw_Fund!$A:$A,0),
_xlpm.colNo,
MATCH(Q$3,Raw_Fund!$E$1:$AZ$1,0),
_xlpm.val,
INDEX(Raw_Fund!$E:$AZ,_xlpm.rowNo,_xlpm.colNo),
IF(ISNUMBER(_xlpm.val),_xlpm.val*$H88,""))</f>
        <v/>
      </c>
      <c r="R88" s="6" t="str">
        <f>_xlfn.LET(
_xlpm.rowNo, MATCH($C88&amp;"|"&amp;
($F88+R$4),Raw_Fund!$A:$A,0),
_xlpm.colNo,
MATCH(R$3,Raw_Fund!$E$1:$AZ$1,0),
_xlpm.val,
INDEX(Raw_Fund!$E:$AZ,_xlpm.rowNo,_xlpm.colNo),
IF(ISNUMBER(_xlpm.val),_xlpm.val*$H88,""))</f>
        <v/>
      </c>
      <c r="S88" s="6" t="str">
        <f>_xlfn.LET(
_xlpm.rowNo, MATCH($C88&amp;"|"&amp;
($F88+S$4),Raw_Fund!$A:$A,0),
_xlpm.colNo,
MATCH(S$3,Raw_Fund!$E$1:$AZ$1,0),
_xlpm.val,
INDEX(Raw_Fund!$E:$AZ,_xlpm.rowNo,_xlpm.colNo),
IF(ISNUMBER(_xlpm.val),_xlpm.val*$H88,""))</f>
        <v/>
      </c>
      <c r="T88" s="6" t="str">
        <f>_xlfn.LET(
_xlpm.rowNo, MATCH($C88&amp;"|"&amp;
($F88+T$4),Raw_Fund!$A:$A,0),
_xlpm.colNo,
MATCH(T$3,Raw_Fund!$E$1:$AZ$1,0),
_xlpm.val,
INDEX(Raw_Fund!$E:$AZ,_xlpm.rowNo,_xlpm.colNo),
IF(ISNUMBER(_xlpm.val),_xlpm.val*$H88,""))</f>
        <v/>
      </c>
      <c r="U88" s="6" t="str">
        <f>_xlfn.LET(
_xlpm.rowNo, MATCH($C88&amp;"|"&amp;
($F88+U$4),Raw_Fund!$A:$A,0),
_xlpm.colNo,
MATCH(U$3,Raw_Fund!$E$1:$AZ$1,0),
_xlpm.val,
INDEX(Raw_Fund!$E:$AZ,_xlpm.rowNo,_xlpm.colNo),
IF(ISNUMBER(_xlpm.val),_xlpm.val*$H88,""))</f>
        <v/>
      </c>
      <c r="V88" s="6" t="str">
        <f>_xlfn.LET(
_xlpm.rowNo, MATCH($C88&amp;"|"&amp;
($F88+V$4),Raw_Fund!$A:$A,0),
_xlpm.colNo,
MATCH(V$3,Raw_Fund!$E$1:$AZ$1,0),
_xlpm.val,
INDEX(Raw_Fund!$E:$AZ,_xlpm.rowNo,_xlpm.colNo),
IF(ISNUMBER(_xlpm.val),_xlpm.val*$H88,""))</f>
        <v/>
      </c>
      <c r="W88" s="6" t="str">
        <f>_xlfn.LET(
_xlpm.rowNo, MATCH($C88&amp;"|"&amp;
($F88+W$4),Raw_Fund!$A:$A,0),
_xlpm.colNo,
MATCH(W$3,Raw_Fund!$E$1:$AZ$1,0),
_xlpm.val,
INDEX(Raw_Fund!$E:$AZ,_xlpm.rowNo,_xlpm.colNo),
IF(ISNUMBER(_xlpm.val),_xlpm.val*$H88,""))</f>
        <v/>
      </c>
      <c r="X88" s="6" t="str">
        <f>_xlfn.LET(
_xlpm.rowNo, MATCH($C88&amp;"|"&amp;
($F88+X$4),Raw_Fund!$A:$A,0),
_xlpm.colNo,
MATCH(X$3,Raw_Fund!$E$1:$AZ$1,0),
_xlpm.val,
INDEX(Raw_Fund!$E:$AZ,_xlpm.rowNo,_xlpm.colNo),
IF(ISNUMBER(_xlpm.val),_xlpm.val*$H88,""))</f>
        <v/>
      </c>
      <c r="Y88" s="6" t="str">
        <f>_xlfn.LET(
_xlpm.rowNo, MATCH($C88&amp;"|"&amp;
($F88+Y$4),Raw_Fund!$A:$A,0),
_xlpm.colNo,
MATCH(Y$3,Raw_Fund!$E$1:$AZ$1,0),
_xlpm.val,
INDEX(Raw_Fund!$E:$AZ,_xlpm.rowNo,_xlpm.colNo),
IF(ISNUMBER(_xlpm.val),_xlpm.val*$H88,""))</f>
        <v/>
      </c>
      <c r="Z88" s="6" t="str">
        <f>IF($E88&lt;&gt;"Include","",_xlfn.XLOOKUP($C88,Raw_Mkt!$A:$A,Raw_Mkt!$B:$B))</f>
        <v/>
      </c>
    </row>
    <row r="89" spans="1:26" x14ac:dyDescent="0.4">
      <c r="A89" t="str">
        <f>IF(Universe!A89&lt;&gt;"",Universe!A89,"")</f>
        <v>GDWN</v>
      </c>
      <c r="B89" t="str">
        <f>IF(Universe!B89&lt;&gt;"",Universe!B89,"")</f>
        <v>Goodwin</v>
      </c>
      <c r="C89" t="str">
        <f>IF(Universe!C89&lt;&gt;"",Universe!C89,"")</f>
        <v>GB0003781050</v>
      </c>
      <c r="D89" t="str">
        <f>IF(Universe!D89&lt;&gt;"",Universe!D89,"")</f>
        <v>Industrials</v>
      </c>
      <c r="E89" t="str">
        <f>Universe!G89</f>
        <v>Include</v>
      </c>
      <c r="F89" t="str">
        <f>IF($E89&lt;&gt;"Include","",_xlfn.LET(_xlpm.latest,_xlfn.MAXIFS(Raw_Fund!$C:$C,Raw_Fund!$B:$B,Data!$C89),IF(_xlpm.latest=0,"",_xlpm.latest)))</f>
        <v/>
      </c>
      <c r="G89" t="str">
        <f>IF($F89="","",INDEX(Raw_Fund!$E:$AZ,MATCH($C89&amp;"|"&amp;$F89,Raw_Fund!$A:$A,0),MATCH(G$3,Raw_Fund!$E$1:$AZ$1,0)))</f>
        <v/>
      </c>
      <c r="H89" t="str">
        <f t="shared" si="1"/>
        <v/>
      </c>
      <c r="I89" s="6" t="str">
        <f>_xlfn.LET(
_xlpm.rowNo, MATCH($C89&amp;"|"&amp;
($F89+I$4),Raw_Fund!$A:$A,0),
_xlpm.colNo,
MATCH(I$3,Raw_Fund!$E$1:$AZ$1,0),
_xlpm.val,
INDEX(Raw_Fund!$E:$AZ,_xlpm.rowNo,_xlpm.colNo),
IF(ISNUMBER(_xlpm.val),_xlpm.val*$H89,""))</f>
        <v/>
      </c>
      <c r="J89" s="6" t="str">
        <f>_xlfn.LET(
_xlpm.rowNo, MATCH($C89&amp;"|"&amp;
($F89+J$4),Raw_Fund!$A:$A,0),
_xlpm.colNo,
MATCH(J$3,Raw_Fund!$E$1:$AZ$1,0),
_xlpm.val,
INDEX(Raw_Fund!$E:$AZ,_xlpm.rowNo,_xlpm.colNo),
IF(ISNUMBER(_xlpm.val),_xlpm.val*$H89,""))</f>
        <v/>
      </c>
      <c r="K89" s="6" t="str">
        <f>_xlfn.LET(
_xlpm.rowNo, MATCH($C89&amp;"|"&amp;
($F89+K$4),Raw_Fund!$A:$A,0),
_xlpm.colNo,
MATCH(K$3,Raw_Fund!$E$1:$AZ$1,0),
_xlpm.val,
INDEX(Raw_Fund!$E:$AZ,_xlpm.rowNo,_xlpm.colNo),
IF(ISNUMBER(_xlpm.val),_xlpm.val*$H89,""))</f>
        <v/>
      </c>
      <c r="L89" s="6" t="str">
        <f>_xlfn.LET(
_xlpm.rowNo, MATCH($C89&amp;"|"&amp;
($F89+L$4),Raw_Fund!$A:$A,0),
_xlpm.colNo,
MATCH(L$3,Raw_Fund!$E$1:$AZ$1,0),
_xlpm.val,
INDEX(Raw_Fund!$E:$AZ,_xlpm.rowNo,_xlpm.colNo),
IF(ISNUMBER(_xlpm.val),_xlpm.val*$H89,""))</f>
        <v/>
      </c>
      <c r="M89" s="6" t="str">
        <f>_xlfn.LET(
_xlpm.rowNo, MATCH($C89&amp;"|"&amp;
($F89+M$4),Raw_Fund!$A:$A,0),
_xlpm.colNo,
MATCH(M$3,Raw_Fund!$E$1:$AZ$1,0),
_xlpm.val,
INDEX(Raw_Fund!$E:$AZ,_xlpm.rowNo,_xlpm.colNo),
IF(ISNUMBER(_xlpm.val),_xlpm.val*$H89,""))</f>
        <v/>
      </c>
      <c r="N89" s="6" t="str">
        <f>_xlfn.LET(
_xlpm.rowNo, MATCH($C89&amp;"|"&amp;
($F89+N$4),Raw_Fund!$A:$A,0),
_xlpm.colNo,
MATCH(N$3,Raw_Fund!$E$1:$AZ$1,0),
_xlpm.val,
INDEX(Raw_Fund!$E:$AZ,_xlpm.rowNo,_xlpm.colNo),
IF(ISNUMBER(_xlpm.val),_xlpm.val*$H89,""))</f>
        <v/>
      </c>
      <c r="O89" s="6" t="str">
        <f>_xlfn.LET(
_xlpm.rowNo, MATCH($C89&amp;"|"&amp;
($F89+O$4),Raw_Fund!$A:$A,0),
_xlpm.colNo,
MATCH(O$3,Raw_Fund!$E$1:$AZ$1,0),
_xlpm.val,
INDEX(Raw_Fund!$E:$AZ,_xlpm.rowNo,_xlpm.colNo),
IF(ISNUMBER(_xlpm.val),_xlpm.val*$H89,""))</f>
        <v/>
      </c>
      <c r="P89" s="6" t="str">
        <f>_xlfn.LET(
_xlpm.rowNo, MATCH($C89&amp;"|"&amp;
($F89+P$4),Raw_Fund!$A:$A,0),
_xlpm.colNo,
MATCH(P$3,Raw_Fund!$E$1:$AZ$1,0),
_xlpm.val,
INDEX(Raw_Fund!$E:$AZ,_xlpm.rowNo,_xlpm.colNo),
IF(ISNUMBER(_xlpm.val),_xlpm.val*$H89,""))</f>
        <v/>
      </c>
      <c r="Q89" s="6" t="str">
        <f>_xlfn.LET(
_xlpm.rowNo, MATCH($C89&amp;"|"&amp;
($F89+Q$4),Raw_Fund!$A:$A,0),
_xlpm.colNo,
MATCH(Q$3,Raw_Fund!$E$1:$AZ$1,0),
_xlpm.val,
INDEX(Raw_Fund!$E:$AZ,_xlpm.rowNo,_xlpm.colNo),
IF(ISNUMBER(_xlpm.val),_xlpm.val*$H89,""))</f>
        <v/>
      </c>
      <c r="R89" s="6" t="str">
        <f>_xlfn.LET(
_xlpm.rowNo, MATCH($C89&amp;"|"&amp;
($F89+R$4),Raw_Fund!$A:$A,0),
_xlpm.colNo,
MATCH(R$3,Raw_Fund!$E$1:$AZ$1,0),
_xlpm.val,
INDEX(Raw_Fund!$E:$AZ,_xlpm.rowNo,_xlpm.colNo),
IF(ISNUMBER(_xlpm.val),_xlpm.val*$H89,""))</f>
        <v/>
      </c>
      <c r="S89" s="6" t="str">
        <f>_xlfn.LET(
_xlpm.rowNo, MATCH($C89&amp;"|"&amp;
($F89+S$4),Raw_Fund!$A:$A,0),
_xlpm.colNo,
MATCH(S$3,Raw_Fund!$E$1:$AZ$1,0),
_xlpm.val,
INDEX(Raw_Fund!$E:$AZ,_xlpm.rowNo,_xlpm.colNo),
IF(ISNUMBER(_xlpm.val),_xlpm.val*$H89,""))</f>
        <v/>
      </c>
      <c r="T89" s="6" t="str">
        <f>_xlfn.LET(
_xlpm.rowNo, MATCH($C89&amp;"|"&amp;
($F89+T$4),Raw_Fund!$A:$A,0),
_xlpm.colNo,
MATCH(T$3,Raw_Fund!$E$1:$AZ$1,0),
_xlpm.val,
INDEX(Raw_Fund!$E:$AZ,_xlpm.rowNo,_xlpm.colNo),
IF(ISNUMBER(_xlpm.val),_xlpm.val*$H89,""))</f>
        <v/>
      </c>
      <c r="U89" s="6" t="str">
        <f>_xlfn.LET(
_xlpm.rowNo, MATCH($C89&amp;"|"&amp;
($F89+U$4),Raw_Fund!$A:$A,0),
_xlpm.colNo,
MATCH(U$3,Raw_Fund!$E$1:$AZ$1,0),
_xlpm.val,
INDEX(Raw_Fund!$E:$AZ,_xlpm.rowNo,_xlpm.colNo),
IF(ISNUMBER(_xlpm.val),_xlpm.val*$H89,""))</f>
        <v/>
      </c>
      <c r="V89" s="6" t="str">
        <f>_xlfn.LET(
_xlpm.rowNo, MATCH($C89&amp;"|"&amp;
($F89+V$4),Raw_Fund!$A:$A,0),
_xlpm.colNo,
MATCH(V$3,Raw_Fund!$E$1:$AZ$1,0),
_xlpm.val,
INDEX(Raw_Fund!$E:$AZ,_xlpm.rowNo,_xlpm.colNo),
IF(ISNUMBER(_xlpm.val),_xlpm.val*$H89,""))</f>
        <v/>
      </c>
      <c r="W89" s="6" t="str">
        <f>_xlfn.LET(
_xlpm.rowNo, MATCH($C89&amp;"|"&amp;
($F89+W$4),Raw_Fund!$A:$A,0),
_xlpm.colNo,
MATCH(W$3,Raw_Fund!$E$1:$AZ$1,0),
_xlpm.val,
INDEX(Raw_Fund!$E:$AZ,_xlpm.rowNo,_xlpm.colNo),
IF(ISNUMBER(_xlpm.val),_xlpm.val*$H89,""))</f>
        <v/>
      </c>
      <c r="X89" s="6" t="str">
        <f>_xlfn.LET(
_xlpm.rowNo, MATCH($C89&amp;"|"&amp;
($F89+X$4),Raw_Fund!$A:$A,0),
_xlpm.colNo,
MATCH(X$3,Raw_Fund!$E$1:$AZ$1,0),
_xlpm.val,
INDEX(Raw_Fund!$E:$AZ,_xlpm.rowNo,_xlpm.colNo),
IF(ISNUMBER(_xlpm.val),_xlpm.val*$H89,""))</f>
        <v/>
      </c>
      <c r="Y89" s="6" t="str">
        <f>_xlfn.LET(
_xlpm.rowNo, MATCH($C89&amp;"|"&amp;
($F89+Y$4),Raw_Fund!$A:$A,0),
_xlpm.colNo,
MATCH(Y$3,Raw_Fund!$E$1:$AZ$1,0),
_xlpm.val,
INDEX(Raw_Fund!$E:$AZ,_xlpm.rowNo,_xlpm.colNo),
IF(ISNUMBER(_xlpm.val),_xlpm.val*$H89,""))</f>
        <v/>
      </c>
      <c r="Z89" s="6" t="e">
        <f>IF($E89&lt;&gt;"Include","",_xlfn.XLOOKUP($C89,Raw_Mkt!$A:$A,Raw_Mkt!$B:$B))</f>
        <v>#N/A</v>
      </c>
    </row>
    <row r="90" spans="1:26" x14ac:dyDescent="0.4">
      <c r="A90" t="str">
        <f>IF(Universe!A90&lt;&gt;"",Universe!A90,"")</f>
        <v>GFTU</v>
      </c>
      <c r="B90" t="str">
        <f>IF(Universe!B90&lt;&gt;"",Universe!B90,"")</f>
        <v>Grafton Group</v>
      </c>
      <c r="C90" t="str">
        <f>IF(Universe!C90&lt;&gt;"",Universe!C90,"")</f>
        <v>IE00B00MZ448</v>
      </c>
      <c r="D90" t="str">
        <f>IF(Universe!D90&lt;&gt;"",Universe!D90,"")</f>
        <v>Industrials</v>
      </c>
      <c r="E90" t="str">
        <f>Universe!G90</f>
        <v>Include</v>
      </c>
      <c r="F90" t="str">
        <f>IF($E90&lt;&gt;"Include","",_xlfn.LET(_xlpm.latest,_xlfn.MAXIFS(Raw_Fund!$C:$C,Raw_Fund!$B:$B,Data!$C90),IF(_xlpm.latest=0,"",_xlpm.latest)))</f>
        <v/>
      </c>
      <c r="G90" t="str">
        <f>IF($F90="","",INDEX(Raw_Fund!$E:$AZ,MATCH($C90&amp;"|"&amp;$F90,Raw_Fund!$A:$A,0),MATCH(G$3,Raw_Fund!$E$1:$AZ$1,0)))</f>
        <v/>
      </c>
      <c r="H90" t="str">
        <f t="shared" si="1"/>
        <v/>
      </c>
      <c r="I90" s="6" t="str">
        <f>_xlfn.LET(
_xlpm.rowNo, MATCH($C90&amp;"|"&amp;
($F90+I$4),Raw_Fund!$A:$A,0),
_xlpm.colNo,
MATCH(I$3,Raw_Fund!$E$1:$AZ$1,0),
_xlpm.val,
INDEX(Raw_Fund!$E:$AZ,_xlpm.rowNo,_xlpm.colNo),
IF(ISNUMBER(_xlpm.val),_xlpm.val*$H90,""))</f>
        <v/>
      </c>
      <c r="J90" s="6" t="str">
        <f>_xlfn.LET(
_xlpm.rowNo, MATCH($C90&amp;"|"&amp;
($F90+J$4),Raw_Fund!$A:$A,0),
_xlpm.colNo,
MATCH(J$3,Raw_Fund!$E$1:$AZ$1,0),
_xlpm.val,
INDEX(Raw_Fund!$E:$AZ,_xlpm.rowNo,_xlpm.colNo),
IF(ISNUMBER(_xlpm.val),_xlpm.val*$H90,""))</f>
        <v/>
      </c>
      <c r="K90" s="6" t="str">
        <f>_xlfn.LET(
_xlpm.rowNo, MATCH($C90&amp;"|"&amp;
($F90+K$4),Raw_Fund!$A:$A,0),
_xlpm.colNo,
MATCH(K$3,Raw_Fund!$E$1:$AZ$1,0),
_xlpm.val,
INDEX(Raw_Fund!$E:$AZ,_xlpm.rowNo,_xlpm.colNo),
IF(ISNUMBER(_xlpm.val),_xlpm.val*$H90,""))</f>
        <v/>
      </c>
      <c r="L90" s="6" t="str">
        <f>_xlfn.LET(
_xlpm.rowNo, MATCH($C90&amp;"|"&amp;
($F90+L$4),Raw_Fund!$A:$A,0),
_xlpm.colNo,
MATCH(L$3,Raw_Fund!$E$1:$AZ$1,0),
_xlpm.val,
INDEX(Raw_Fund!$E:$AZ,_xlpm.rowNo,_xlpm.colNo),
IF(ISNUMBER(_xlpm.val),_xlpm.val*$H90,""))</f>
        <v/>
      </c>
      <c r="M90" s="6" t="str">
        <f>_xlfn.LET(
_xlpm.rowNo, MATCH($C90&amp;"|"&amp;
($F90+M$4),Raw_Fund!$A:$A,0),
_xlpm.colNo,
MATCH(M$3,Raw_Fund!$E$1:$AZ$1,0),
_xlpm.val,
INDEX(Raw_Fund!$E:$AZ,_xlpm.rowNo,_xlpm.colNo),
IF(ISNUMBER(_xlpm.val),_xlpm.val*$H90,""))</f>
        <v/>
      </c>
      <c r="N90" s="6" t="str">
        <f>_xlfn.LET(
_xlpm.rowNo, MATCH($C90&amp;"|"&amp;
($F90+N$4),Raw_Fund!$A:$A,0),
_xlpm.colNo,
MATCH(N$3,Raw_Fund!$E$1:$AZ$1,0),
_xlpm.val,
INDEX(Raw_Fund!$E:$AZ,_xlpm.rowNo,_xlpm.colNo),
IF(ISNUMBER(_xlpm.val),_xlpm.val*$H90,""))</f>
        <v/>
      </c>
      <c r="O90" s="6" t="str">
        <f>_xlfn.LET(
_xlpm.rowNo, MATCH($C90&amp;"|"&amp;
($F90+O$4),Raw_Fund!$A:$A,0),
_xlpm.colNo,
MATCH(O$3,Raw_Fund!$E$1:$AZ$1,0),
_xlpm.val,
INDEX(Raw_Fund!$E:$AZ,_xlpm.rowNo,_xlpm.colNo),
IF(ISNUMBER(_xlpm.val),_xlpm.val*$H90,""))</f>
        <v/>
      </c>
      <c r="P90" s="6" t="str">
        <f>_xlfn.LET(
_xlpm.rowNo, MATCH($C90&amp;"|"&amp;
($F90+P$4),Raw_Fund!$A:$A,0),
_xlpm.colNo,
MATCH(P$3,Raw_Fund!$E$1:$AZ$1,0),
_xlpm.val,
INDEX(Raw_Fund!$E:$AZ,_xlpm.rowNo,_xlpm.colNo),
IF(ISNUMBER(_xlpm.val),_xlpm.val*$H90,""))</f>
        <v/>
      </c>
      <c r="Q90" s="6" t="str">
        <f>_xlfn.LET(
_xlpm.rowNo, MATCH($C90&amp;"|"&amp;
($F90+Q$4),Raw_Fund!$A:$A,0),
_xlpm.colNo,
MATCH(Q$3,Raw_Fund!$E$1:$AZ$1,0),
_xlpm.val,
INDEX(Raw_Fund!$E:$AZ,_xlpm.rowNo,_xlpm.colNo),
IF(ISNUMBER(_xlpm.val),_xlpm.val*$H90,""))</f>
        <v/>
      </c>
      <c r="R90" s="6" t="str">
        <f>_xlfn.LET(
_xlpm.rowNo, MATCH($C90&amp;"|"&amp;
($F90+R$4),Raw_Fund!$A:$A,0),
_xlpm.colNo,
MATCH(R$3,Raw_Fund!$E$1:$AZ$1,0),
_xlpm.val,
INDEX(Raw_Fund!$E:$AZ,_xlpm.rowNo,_xlpm.colNo),
IF(ISNUMBER(_xlpm.val),_xlpm.val*$H90,""))</f>
        <v/>
      </c>
      <c r="S90" s="6" t="str">
        <f>_xlfn.LET(
_xlpm.rowNo, MATCH($C90&amp;"|"&amp;
($F90+S$4),Raw_Fund!$A:$A,0),
_xlpm.colNo,
MATCH(S$3,Raw_Fund!$E$1:$AZ$1,0),
_xlpm.val,
INDEX(Raw_Fund!$E:$AZ,_xlpm.rowNo,_xlpm.colNo),
IF(ISNUMBER(_xlpm.val),_xlpm.val*$H90,""))</f>
        <v/>
      </c>
      <c r="T90" s="6" t="str">
        <f>_xlfn.LET(
_xlpm.rowNo, MATCH($C90&amp;"|"&amp;
($F90+T$4),Raw_Fund!$A:$A,0),
_xlpm.colNo,
MATCH(T$3,Raw_Fund!$E$1:$AZ$1,0),
_xlpm.val,
INDEX(Raw_Fund!$E:$AZ,_xlpm.rowNo,_xlpm.colNo),
IF(ISNUMBER(_xlpm.val),_xlpm.val*$H90,""))</f>
        <v/>
      </c>
      <c r="U90" s="6" t="str">
        <f>_xlfn.LET(
_xlpm.rowNo, MATCH($C90&amp;"|"&amp;
($F90+U$4),Raw_Fund!$A:$A,0),
_xlpm.colNo,
MATCH(U$3,Raw_Fund!$E$1:$AZ$1,0),
_xlpm.val,
INDEX(Raw_Fund!$E:$AZ,_xlpm.rowNo,_xlpm.colNo),
IF(ISNUMBER(_xlpm.val),_xlpm.val*$H90,""))</f>
        <v/>
      </c>
      <c r="V90" s="6" t="str">
        <f>_xlfn.LET(
_xlpm.rowNo, MATCH($C90&amp;"|"&amp;
($F90+V$4),Raw_Fund!$A:$A,0),
_xlpm.colNo,
MATCH(V$3,Raw_Fund!$E$1:$AZ$1,0),
_xlpm.val,
INDEX(Raw_Fund!$E:$AZ,_xlpm.rowNo,_xlpm.colNo),
IF(ISNUMBER(_xlpm.val),_xlpm.val*$H90,""))</f>
        <v/>
      </c>
      <c r="W90" s="6" t="str">
        <f>_xlfn.LET(
_xlpm.rowNo, MATCH($C90&amp;"|"&amp;
($F90+W$4),Raw_Fund!$A:$A,0),
_xlpm.colNo,
MATCH(W$3,Raw_Fund!$E$1:$AZ$1,0),
_xlpm.val,
INDEX(Raw_Fund!$E:$AZ,_xlpm.rowNo,_xlpm.colNo),
IF(ISNUMBER(_xlpm.val),_xlpm.val*$H90,""))</f>
        <v/>
      </c>
      <c r="X90" s="6" t="str">
        <f>_xlfn.LET(
_xlpm.rowNo, MATCH($C90&amp;"|"&amp;
($F90+X$4),Raw_Fund!$A:$A,0),
_xlpm.colNo,
MATCH(X$3,Raw_Fund!$E$1:$AZ$1,0),
_xlpm.val,
INDEX(Raw_Fund!$E:$AZ,_xlpm.rowNo,_xlpm.colNo),
IF(ISNUMBER(_xlpm.val),_xlpm.val*$H90,""))</f>
        <v/>
      </c>
      <c r="Y90" s="6" t="str">
        <f>_xlfn.LET(
_xlpm.rowNo, MATCH($C90&amp;"|"&amp;
($F90+Y$4),Raw_Fund!$A:$A,0),
_xlpm.colNo,
MATCH(Y$3,Raw_Fund!$E$1:$AZ$1,0),
_xlpm.val,
INDEX(Raw_Fund!$E:$AZ,_xlpm.rowNo,_xlpm.colNo),
IF(ISNUMBER(_xlpm.val),_xlpm.val*$H90,""))</f>
        <v/>
      </c>
      <c r="Z90" s="6" t="e">
        <f>IF($E90&lt;&gt;"Include","",_xlfn.XLOOKUP($C90,Raw_Mkt!$A:$A,Raw_Mkt!$B:$B))</f>
        <v>#N/A</v>
      </c>
    </row>
    <row r="91" spans="1:26" x14ac:dyDescent="0.4">
      <c r="A91" t="str">
        <f>IF(Universe!A91&lt;&gt;"",Universe!A91,"")</f>
        <v>GRI</v>
      </c>
      <c r="B91" t="str">
        <f>IF(Universe!B91&lt;&gt;"",Universe!B91,"")</f>
        <v>Grainger</v>
      </c>
      <c r="C91" t="str">
        <f>IF(Universe!C91&lt;&gt;"",Universe!C91,"")</f>
        <v>GB00B04V1276</v>
      </c>
      <c r="D91" t="str">
        <f>IF(Universe!D91&lt;&gt;"",Universe!D91,"")</f>
        <v>Real Estate</v>
      </c>
      <c r="E91" t="str">
        <f>Universe!G91</f>
        <v>Exclude</v>
      </c>
      <c r="F91" t="str">
        <f>IF($E91&lt;&gt;"Include","",_xlfn.LET(_xlpm.latest,_xlfn.MAXIFS(Raw_Fund!$C:$C,Raw_Fund!$B:$B,Data!$C91),IF(_xlpm.latest=0,"",_xlpm.latest)))</f>
        <v/>
      </c>
      <c r="G91" t="str">
        <f>IF($F91="","",INDEX(Raw_Fund!$E:$AZ,MATCH($C91&amp;"|"&amp;$F91,Raw_Fund!$A:$A,0),MATCH(G$3,Raw_Fund!$E$1:$AZ$1,0)))</f>
        <v/>
      </c>
      <c r="H91" t="str">
        <f t="shared" si="1"/>
        <v/>
      </c>
      <c r="I91" s="6" t="str">
        <f>_xlfn.LET(
_xlpm.rowNo, MATCH($C91&amp;"|"&amp;
($F91+I$4),Raw_Fund!$A:$A,0),
_xlpm.colNo,
MATCH(I$3,Raw_Fund!$E$1:$AZ$1,0),
_xlpm.val,
INDEX(Raw_Fund!$E:$AZ,_xlpm.rowNo,_xlpm.colNo),
IF(ISNUMBER(_xlpm.val),_xlpm.val*$H91,""))</f>
        <v/>
      </c>
      <c r="J91" s="6" t="str">
        <f>_xlfn.LET(
_xlpm.rowNo, MATCH($C91&amp;"|"&amp;
($F91+J$4),Raw_Fund!$A:$A,0),
_xlpm.colNo,
MATCH(J$3,Raw_Fund!$E$1:$AZ$1,0),
_xlpm.val,
INDEX(Raw_Fund!$E:$AZ,_xlpm.rowNo,_xlpm.colNo),
IF(ISNUMBER(_xlpm.val),_xlpm.val*$H91,""))</f>
        <v/>
      </c>
      <c r="K91" s="6" t="str">
        <f>_xlfn.LET(
_xlpm.rowNo, MATCH($C91&amp;"|"&amp;
($F91+K$4),Raw_Fund!$A:$A,0),
_xlpm.colNo,
MATCH(K$3,Raw_Fund!$E$1:$AZ$1,0),
_xlpm.val,
INDEX(Raw_Fund!$E:$AZ,_xlpm.rowNo,_xlpm.colNo),
IF(ISNUMBER(_xlpm.val),_xlpm.val*$H91,""))</f>
        <v/>
      </c>
      <c r="L91" s="6" t="str">
        <f>_xlfn.LET(
_xlpm.rowNo, MATCH($C91&amp;"|"&amp;
($F91+L$4),Raw_Fund!$A:$A,0),
_xlpm.colNo,
MATCH(L$3,Raw_Fund!$E$1:$AZ$1,0),
_xlpm.val,
INDEX(Raw_Fund!$E:$AZ,_xlpm.rowNo,_xlpm.colNo),
IF(ISNUMBER(_xlpm.val),_xlpm.val*$H91,""))</f>
        <v/>
      </c>
      <c r="M91" s="6" t="str">
        <f>_xlfn.LET(
_xlpm.rowNo, MATCH($C91&amp;"|"&amp;
($F91+M$4),Raw_Fund!$A:$A,0),
_xlpm.colNo,
MATCH(M$3,Raw_Fund!$E$1:$AZ$1,0),
_xlpm.val,
INDEX(Raw_Fund!$E:$AZ,_xlpm.rowNo,_xlpm.colNo),
IF(ISNUMBER(_xlpm.val),_xlpm.val*$H91,""))</f>
        <v/>
      </c>
      <c r="N91" s="6" t="str">
        <f>_xlfn.LET(
_xlpm.rowNo, MATCH($C91&amp;"|"&amp;
($F91+N$4),Raw_Fund!$A:$A,0),
_xlpm.colNo,
MATCH(N$3,Raw_Fund!$E$1:$AZ$1,0),
_xlpm.val,
INDEX(Raw_Fund!$E:$AZ,_xlpm.rowNo,_xlpm.colNo),
IF(ISNUMBER(_xlpm.val),_xlpm.val*$H91,""))</f>
        <v/>
      </c>
      <c r="O91" s="6" t="str">
        <f>_xlfn.LET(
_xlpm.rowNo, MATCH($C91&amp;"|"&amp;
($F91+O$4),Raw_Fund!$A:$A,0),
_xlpm.colNo,
MATCH(O$3,Raw_Fund!$E$1:$AZ$1,0),
_xlpm.val,
INDEX(Raw_Fund!$E:$AZ,_xlpm.rowNo,_xlpm.colNo),
IF(ISNUMBER(_xlpm.val),_xlpm.val*$H91,""))</f>
        <v/>
      </c>
      <c r="P91" s="6" t="str">
        <f>_xlfn.LET(
_xlpm.rowNo, MATCH($C91&amp;"|"&amp;
($F91+P$4),Raw_Fund!$A:$A,0),
_xlpm.colNo,
MATCH(P$3,Raw_Fund!$E$1:$AZ$1,0),
_xlpm.val,
INDEX(Raw_Fund!$E:$AZ,_xlpm.rowNo,_xlpm.colNo),
IF(ISNUMBER(_xlpm.val),_xlpm.val*$H91,""))</f>
        <v/>
      </c>
      <c r="Q91" s="6" t="str">
        <f>_xlfn.LET(
_xlpm.rowNo, MATCH($C91&amp;"|"&amp;
($F91+Q$4),Raw_Fund!$A:$A,0),
_xlpm.colNo,
MATCH(Q$3,Raw_Fund!$E$1:$AZ$1,0),
_xlpm.val,
INDEX(Raw_Fund!$E:$AZ,_xlpm.rowNo,_xlpm.colNo),
IF(ISNUMBER(_xlpm.val),_xlpm.val*$H91,""))</f>
        <v/>
      </c>
      <c r="R91" s="6" t="str">
        <f>_xlfn.LET(
_xlpm.rowNo, MATCH($C91&amp;"|"&amp;
($F91+R$4),Raw_Fund!$A:$A,0),
_xlpm.colNo,
MATCH(R$3,Raw_Fund!$E$1:$AZ$1,0),
_xlpm.val,
INDEX(Raw_Fund!$E:$AZ,_xlpm.rowNo,_xlpm.colNo),
IF(ISNUMBER(_xlpm.val),_xlpm.val*$H91,""))</f>
        <v/>
      </c>
      <c r="S91" s="6" t="str">
        <f>_xlfn.LET(
_xlpm.rowNo, MATCH($C91&amp;"|"&amp;
($F91+S$4),Raw_Fund!$A:$A,0),
_xlpm.colNo,
MATCH(S$3,Raw_Fund!$E$1:$AZ$1,0),
_xlpm.val,
INDEX(Raw_Fund!$E:$AZ,_xlpm.rowNo,_xlpm.colNo),
IF(ISNUMBER(_xlpm.val),_xlpm.val*$H91,""))</f>
        <v/>
      </c>
      <c r="T91" s="6" t="str">
        <f>_xlfn.LET(
_xlpm.rowNo, MATCH($C91&amp;"|"&amp;
($F91+T$4),Raw_Fund!$A:$A,0),
_xlpm.colNo,
MATCH(T$3,Raw_Fund!$E$1:$AZ$1,0),
_xlpm.val,
INDEX(Raw_Fund!$E:$AZ,_xlpm.rowNo,_xlpm.colNo),
IF(ISNUMBER(_xlpm.val),_xlpm.val*$H91,""))</f>
        <v/>
      </c>
      <c r="U91" s="6" t="str">
        <f>_xlfn.LET(
_xlpm.rowNo, MATCH($C91&amp;"|"&amp;
($F91+U$4),Raw_Fund!$A:$A,0),
_xlpm.colNo,
MATCH(U$3,Raw_Fund!$E$1:$AZ$1,0),
_xlpm.val,
INDEX(Raw_Fund!$E:$AZ,_xlpm.rowNo,_xlpm.colNo),
IF(ISNUMBER(_xlpm.val),_xlpm.val*$H91,""))</f>
        <v/>
      </c>
      <c r="V91" s="6" t="str">
        <f>_xlfn.LET(
_xlpm.rowNo, MATCH($C91&amp;"|"&amp;
($F91+V$4),Raw_Fund!$A:$A,0),
_xlpm.colNo,
MATCH(V$3,Raw_Fund!$E$1:$AZ$1,0),
_xlpm.val,
INDEX(Raw_Fund!$E:$AZ,_xlpm.rowNo,_xlpm.colNo),
IF(ISNUMBER(_xlpm.val),_xlpm.val*$H91,""))</f>
        <v/>
      </c>
      <c r="W91" s="6" t="str">
        <f>_xlfn.LET(
_xlpm.rowNo, MATCH($C91&amp;"|"&amp;
($F91+W$4),Raw_Fund!$A:$A,0),
_xlpm.colNo,
MATCH(W$3,Raw_Fund!$E$1:$AZ$1,0),
_xlpm.val,
INDEX(Raw_Fund!$E:$AZ,_xlpm.rowNo,_xlpm.colNo),
IF(ISNUMBER(_xlpm.val),_xlpm.val*$H91,""))</f>
        <v/>
      </c>
      <c r="X91" s="6" t="str">
        <f>_xlfn.LET(
_xlpm.rowNo, MATCH($C91&amp;"|"&amp;
($F91+X$4),Raw_Fund!$A:$A,0),
_xlpm.colNo,
MATCH(X$3,Raw_Fund!$E$1:$AZ$1,0),
_xlpm.val,
INDEX(Raw_Fund!$E:$AZ,_xlpm.rowNo,_xlpm.colNo),
IF(ISNUMBER(_xlpm.val),_xlpm.val*$H91,""))</f>
        <v/>
      </c>
      <c r="Y91" s="6" t="str">
        <f>_xlfn.LET(
_xlpm.rowNo, MATCH($C91&amp;"|"&amp;
($F91+Y$4),Raw_Fund!$A:$A,0),
_xlpm.colNo,
MATCH(Y$3,Raw_Fund!$E$1:$AZ$1,0),
_xlpm.val,
INDEX(Raw_Fund!$E:$AZ,_xlpm.rowNo,_xlpm.colNo),
IF(ISNUMBER(_xlpm.val),_xlpm.val*$H91,""))</f>
        <v/>
      </c>
      <c r="Z91" s="6" t="str">
        <f>IF($E91&lt;&gt;"Include","",_xlfn.XLOOKUP($C91,Raw_Mkt!$A:$A,Raw_Mkt!$B:$B))</f>
        <v/>
      </c>
    </row>
    <row r="92" spans="1:26" x14ac:dyDescent="0.4">
      <c r="A92" t="str">
        <f>IF(Universe!A92&lt;&gt;"",Universe!A92,"")</f>
        <v>GPE</v>
      </c>
      <c r="B92" t="str">
        <f>IF(Universe!B92&lt;&gt;"",Universe!B92,"")</f>
        <v>Great Portland Estates</v>
      </c>
      <c r="C92" t="str">
        <f>IF(Universe!C92&lt;&gt;"",Universe!C92,"")</f>
        <v>GB00BF5H9P87</v>
      </c>
      <c r="D92" t="str">
        <f>IF(Universe!D92&lt;&gt;"",Universe!D92,"")</f>
        <v>Real Estate</v>
      </c>
      <c r="E92" t="str">
        <f>Universe!G92</f>
        <v>Exclude</v>
      </c>
      <c r="F92" t="str">
        <f>IF($E92&lt;&gt;"Include","",_xlfn.LET(_xlpm.latest,_xlfn.MAXIFS(Raw_Fund!$C:$C,Raw_Fund!$B:$B,Data!$C92),IF(_xlpm.latest=0,"",_xlpm.latest)))</f>
        <v/>
      </c>
      <c r="G92" t="str">
        <f>IF($F92="","",INDEX(Raw_Fund!$E:$AZ,MATCH($C92&amp;"|"&amp;$F92,Raw_Fund!$A:$A,0),MATCH(G$3,Raw_Fund!$E$1:$AZ$1,0)))</f>
        <v/>
      </c>
      <c r="H92" t="str">
        <f t="shared" si="1"/>
        <v/>
      </c>
      <c r="I92" s="6" t="str">
        <f>_xlfn.LET(
_xlpm.rowNo, MATCH($C92&amp;"|"&amp;
($F92+I$4),Raw_Fund!$A:$A,0),
_xlpm.colNo,
MATCH(I$3,Raw_Fund!$E$1:$AZ$1,0),
_xlpm.val,
INDEX(Raw_Fund!$E:$AZ,_xlpm.rowNo,_xlpm.colNo),
IF(ISNUMBER(_xlpm.val),_xlpm.val*$H92,""))</f>
        <v/>
      </c>
      <c r="J92" s="6" t="str">
        <f>_xlfn.LET(
_xlpm.rowNo, MATCH($C92&amp;"|"&amp;
($F92+J$4),Raw_Fund!$A:$A,0),
_xlpm.colNo,
MATCH(J$3,Raw_Fund!$E$1:$AZ$1,0),
_xlpm.val,
INDEX(Raw_Fund!$E:$AZ,_xlpm.rowNo,_xlpm.colNo),
IF(ISNUMBER(_xlpm.val),_xlpm.val*$H92,""))</f>
        <v/>
      </c>
      <c r="K92" s="6" t="str">
        <f>_xlfn.LET(
_xlpm.rowNo, MATCH($C92&amp;"|"&amp;
($F92+K$4),Raw_Fund!$A:$A,0),
_xlpm.colNo,
MATCH(K$3,Raw_Fund!$E$1:$AZ$1,0),
_xlpm.val,
INDEX(Raw_Fund!$E:$AZ,_xlpm.rowNo,_xlpm.colNo),
IF(ISNUMBER(_xlpm.val),_xlpm.val*$H92,""))</f>
        <v/>
      </c>
      <c r="L92" s="6" t="str">
        <f>_xlfn.LET(
_xlpm.rowNo, MATCH($C92&amp;"|"&amp;
($F92+L$4),Raw_Fund!$A:$A,0),
_xlpm.colNo,
MATCH(L$3,Raw_Fund!$E$1:$AZ$1,0),
_xlpm.val,
INDEX(Raw_Fund!$E:$AZ,_xlpm.rowNo,_xlpm.colNo),
IF(ISNUMBER(_xlpm.val),_xlpm.val*$H92,""))</f>
        <v/>
      </c>
      <c r="M92" s="6" t="str">
        <f>_xlfn.LET(
_xlpm.rowNo, MATCH($C92&amp;"|"&amp;
($F92+M$4),Raw_Fund!$A:$A,0),
_xlpm.colNo,
MATCH(M$3,Raw_Fund!$E$1:$AZ$1,0),
_xlpm.val,
INDEX(Raw_Fund!$E:$AZ,_xlpm.rowNo,_xlpm.colNo),
IF(ISNUMBER(_xlpm.val),_xlpm.val*$H92,""))</f>
        <v/>
      </c>
      <c r="N92" s="6" t="str">
        <f>_xlfn.LET(
_xlpm.rowNo, MATCH($C92&amp;"|"&amp;
($F92+N$4),Raw_Fund!$A:$A,0),
_xlpm.colNo,
MATCH(N$3,Raw_Fund!$E$1:$AZ$1,0),
_xlpm.val,
INDEX(Raw_Fund!$E:$AZ,_xlpm.rowNo,_xlpm.colNo),
IF(ISNUMBER(_xlpm.val),_xlpm.val*$H92,""))</f>
        <v/>
      </c>
      <c r="O92" s="6" t="str">
        <f>_xlfn.LET(
_xlpm.rowNo, MATCH($C92&amp;"|"&amp;
($F92+O$4),Raw_Fund!$A:$A,0),
_xlpm.colNo,
MATCH(O$3,Raw_Fund!$E$1:$AZ$1,0),
_xlpm.val,
INDEX(Raw_Fund!$E:$AZ,_xlpm.rowNo,_xlpm.colNo),
IF(ISNUMBER(_xlpm.val),_xlpm.val*$H92,""))</f>
        <v/>
      </c>
      <c r="P92" s="6" t="str">
        <f>_xlfn.LET(
_xlpm.rowNo, MATCH($C92&amp;"|"&amp;
($F92+P$4),Raw_Fund!$A:$A,0),
_xlpm.colNo,
MATCH(P$3,Raw_Fund!$E$1:$AZ$1,0),
_xlpm.val,
INDEX(Raw_Fund!$E:$AZ,_xlpm.rowNo,_xlpm.colNo),
IF(ISNUMBER(_xlpm.val),_xlpm.val*$H92,""))</f>
        <v/>
      </c>
      <c r="Q92" s="6" t="str">
        <f>_xlfn.LET(
_xlpm.rowNo, MATCH($C92&amp;"|"&amp;
($F92+Q$4),Raw_Fund!$A:$A,0),
_xlpm.colNo,
MATCH(Q$3,Raw_Fund!$E$1:$AZ$1,0),
_xlpm.val,
INDEX(Raw_Fund!$E:$AZ,_xlpm.rowNo,_xlpm.colNo),
IF(ISNUMBER(_xlpm.val),_xlpm.val*$H92,""))</f>
        <v/>
      </c>
      <c r="R92" s="6" t="str">
        <f>_xlfn.LET(
_xlpm.rowNo, MATCH($C92&amp;"|"&amp;
($F92+R$4),Raw_Fund!$A:$A,0),
_xlpm.colNo,
MATCH(R$3,Raw_Fund!$E$1:$AZ$1,0),
_xlpm.val,
INDEX(Raw_Fund!$E:$AZ,_xlpm.rowNo,_xlpm.colNo),
IF(ISNUMBER(_xlpm.val),_xlpm.val*$H92,""))</f>
        <v/>
      </c>
      <c r="S92" s="6" t="str">
        <f>_xlfn.LET(
_xlpm.rowNo, MATCH($C92&amp;"|"&amp;
($F92+S$4),Raw_Fund!$A:$A,0),
_xlpm.colNo,
MATCH(S$3,Raw_Fund!$E$1:$AZ$1,0),
_xlpm.val,
INDEX(Raw_Fund!$E:$AZ,_xlpm.rowNo,_xlpm.colNo),
IF(ISNUMBER(_xlpm.val),_xlpm.val*$H92,""))</f>
        <v/>
      </c>
      <c r="T92" s="6" t="str">
        <f>_xlfn.LET(
_xlpm.rowNo, MATCH($C92&amp;"|"&amp;
($F92+T$4),Raw_Fund!$A:$A,0),
_xlpm.colNo,
MATCH(T$3,Raw_Fund!$E$1:$AZ$1,0),
_xlpm.val,
INDEX(Raw_Fund!$E:$AZ,_xlpm.rowNo,_xlpm.colNo),
IF(ISNUMBER(_xlpm.val),_xlpm.val*$H92,""))</f>
        <v/>
      </c>
      <c r="U92" s="6" t="str">
        <f>_xlfn.LET(
_xlpm.rowNo, MATCH($C92&amp;"|"&amp;
($F92+U$4),Raw_Fund!$A:$A,0),
_xlpm.colNo,
MATCH(U$3,Raw_Fund!$E$1:$AZ$1,0),
_xlpm.val,
INDEX(Raw_Fund!$E:$AZ,_xlpm.rowNo,_xlpm.colNo),
IF(ISNUMBER(_xlpm.val),_xlpm.val*$H92,""))</f>
        <v/>
      </c>
      <c r="V92" s="6" t="str">
        <f>_xlfn.LET(
_xlpm.rowNo, MATCH($C92&amp;"|"&amp;
($F92+V$4),Raw_Fund!$A:$A,0),
_xlpm.colNo,
MATCH(V$3,Raw_Fund!$E$1:$AZ$1,0),
_xlpm.val,
INDEX(Raw_Fund!$E:$AZ,_xlpm.rowNo,_xlpm.colNo),
IF(ISNUMBER(_xlpm.val),_xlpm.val*$H92,""))</f>
        <v/>
      </c>
      <c r="W92" s="6" t="str">
        <f>_xlfn.LET(
_xlpm.rowNo, MATCH($C92&amp;"|"&amp;
($F92+W$4),Raw_Fund!$A:$A,0),
_xlpm.colNo,
MATCH(W$3,Raw_Fund!$E$1:$AZ$1,0),
_xlpm.val,
INDEX(Raw_Fund!$E:$AZ,_xlpm.rowNo,_xlpm.colNo),
IF(ISNUMBER(_xlpm.val),_xlpm.val*$H92,""))</f>
        <v/>
      </c>
      <c r="X92" s="6" t="str">
        <f>_xlfn.LET(
_xlpm.rowNo, MATCH($C92&amp;"|"&amp;
($F92+X$4),Raw_Fund!$A:$A,0),
_xlpm.colNo,
MATCH(X$3,Raw_Fund!$E$1:$AZ$1,0),
_xlpm.val,
INDEX(Raw_Fund!$E:$AZ,_xlpm.rowNo,_xlpm.colNo),
IF(ISNUMBER(_xlpm.val),_xlpm.val*$H92,""))</f>
        <v/>
      </c>
      <c r="Y92" s="6" t="str">
        <f>_xlfn.LET(
_xlpm.rowNo, MATCH($C92&amp;"|"&amp;
($F92+Y$4),Raw_Fund!$A:$A,0),
_xlpm.colNo,
MATCH(Y$3,Raw_Fund!$E$1:$AZ$1,0),
_xlpm.val,
INDEX(Raw_Fund!$E:$AZ,_xlpm.rowNo,_xlpm.colNo),
IF(ISNUMBER(_xlpm.val),_xlpm.val*$H92,""))</f>
        <v/>
      </c>
      <c r="Z92" s="6" t="str">
        <f>IF($E92&lt;&gt;"Include","",_xlfn.XLOOKUP($C92,Raw_Mkt!$A:$A,Raw_Mkt!$B:$B))</f>
        <v/>
      </c>
    </row>
    <row r="93" spans="1:26" x14ac:dyDescent="0.4">
      <c r="A93" t="str">
        <f>IF(Universe!A93&lt;&gt;"",Universe!A93,"")</f>
        <v>UKW</v>
      </c>
      <c r="B93" t="str">
        <f>IF(Universe!B93&lt;&gt;"",Universe!B93,"")</f>
        <v>Greencoat UK Wind</v>
      </c>
      <c r="C93" t="str">
        <f>IF(Universe!C93&lt;&gt;"",Universe!C93,"")</f>
        <v>GB00B8SC6K54</v>
      </c>
      <c r="D93" t="str">
        <f>IF(Universe!D93&lt;&gt;"",Universe!D93,"")</f>
        <v>Financials</v>
      </c>
      <c r="E93" t="str">
        <f>Universe!G93</f>
        <v>Exclude</v>
      </c>
      <c r="F93" t="str">
        <f>IF($E93&lt;&gt;"Include","",_xlfn.LET(_xlpm.latest,_xlfn.MAXIFS(Raw_Fund!$C:$C,Raw_Fund!$B:$B,Data!$C93),IF(_xlpm.latest=0,"",_xlpm.latest)))</f>
        <v/>
      </c>
      <c r="G93" t="str">
        <f>IF($F93="","",INDEX(Raw_Fund!$E:$AZ,MATCH($C93&amp;"|"&amp;$F93,Raw_Fund!$A:$A,0),MATCH(G$3,Raw_Fund!$E$1:$AZ$1,0)))</f>
        <v/>
      </c>
      <c r="H93" t="str">
        <f t="shared" si="1"/>
        <v/>
      </c>
      <c r="I93" s="6" t="str">
        <f>_xlfn.LET(
_xlpm.rowNo, MATCH($C93&amp;"|"&amp;
($F93+I$4),Raw_Fund!$A:$A,0),
_xlpm.colNo,
MATCH(I$3,Raw_Fund!$E$1:$AZ$1,0),
_xlpm.val,
INDEX(Raw_Fund!$E:$AZ,_xlpm.rowNo,_xlpm.colNo),
IF(ISNUMBER(_xlpm.val),_xlpm.val*$H93,""))</f>
        <v/>
      </c>
      <c r="J93" s="6" t="str">
        <f>_xlfn.LET(
_xlpm.rowNo, MATCH($C93&amp;"|"&amp;
($F93+J$4),Raw_Fund!$A:$A,0),
_xlpm.colNo,
MATCH(J$3,Raw_Fund!$E$1:$AZ$1,0),
_xlpm.val,
INDEX(Raw_Fund!$E:$AZ,_xlpm.rowNo,_xlpm.colNo),
IF(ISNUMBER(_xlpm.val),_xlpm.val*$H93,""))</f>
        <v/>
      </c>
      <c r="K93" s="6" t="str">
        <f>_xlfn.LET(
_xlpm.rowNo, MATCH($C93&amp;"|"&amp;
($F93+K$4),Raw_Fund!$A:$A,0),
_xlpm.colNo,
MATCH(K$3,Raw_Fund!$E$1:$AZ$1,0),
_xlpm.val,
INDEX(Raw_Fund!$E:$AZ,_xlpm.rowNo,_xlpm.colNo),
IF(ISNUMBER(_xlpm.val),_xlpm.val*$H93,""))</f>
        <v/>
      </c>
      <c r="L93" s="6" t="str">
        <f>_xlfn.LET(
_xlpm.rowNo, MATCH($C93&amp;"|"&amp;
($F93+L$4),Raw_Fund!$A:$A,0),
_xlpm.colNo,
MATCH(L$3,Raw_Fund!$E$1:$AZ$1,0),
_xlpm.val,
INDEX(Raw_Fund!$E:$AZ,_xlpm.rowNo,_xlpm.colNo),
IF(ISNUMBER(_xlpm.val),_xlpm.val*$H93,""))</f>
        <v/>
      </c>
      <c r="M93" s="6" t="str">
        <f>_xlfn.LET(
_xlpm.rowNo, MATCH($C93&amp;"|"&amp;
($F93+M$4),Raw_Fund!$A:$A,0),
_xlpm.colNo,
MATCH(M$3,Raw_Fund!$E$1:$AZ$1,0),
_xlpm.val,
INDEX(Raw_Fund!$E:$AZ,_xlpm.rowNo,_xlpm.colNo),
IF(ISNUMBER(_xlpm.val),_xlpm.val*$H93,""))</f>
        <v/>
      </c>
      <c r="N93" s="6" t="str">
        <f>_xlfn.LET(
_xlpm.rowNo, MATCH($C93&amp;"|"&amp;
($F93+N$4),Raw_Fund!$A:$A,0),
_xlpm.colNo,
MATCH(N$3,Raw_Fund!$E$1:$AZ$1,0),
_xlpm.val,
INDEX(Raw_Fund!$E:$AZ,_xlpm.rowNo,_xlpm.colNo),
IF(ISNUMBER(_xlpm.val),_xlpm.val*$H93,""))</f>
        <v/>
      </c>
      <c r="O93" s="6" t="str">
        <f>_xlfn.LET(
_xlpm.rowNo, MATCH($C93&amp;"|"&amp;
($F93+O$4),Raw_Fund!$A:$A,0),
_xlpm.colNo,
MATCH(O$3,Raw_Fund!$E$1:$AZ$1,0),
_xlpm.val,
INDEX(Raw_Fund!$E:$AZ,_xlpm.rowNo,_xlpm.colNo),
IF(ISNUMBER(_xlpm.val),_xlpm.val*$H93,""))</f>
        <v/>
      </c>
      <c r="P93" s="6" t="str">
        <f>_xlfn.LET(
_xlpm.rowNo, MATCH($C93&amp;"|"&amp;
($F93+P$4),Raw_Fund!$A:$A,0),
_xlpm.colNo,
MATCH(P$3,Raw_Fund!$E$1:$AZ$1,0),
_xlpm.val,
INDEX(Raw_Fund!$E:$AZ,_xlpm.rowNo,_xlpm.colNo),
IF(ISNUMBER(_xlpm.val),_xlpm.val*$H93,""))</f>
        <v/>
      </c>
      <c r="Q93" s="6" t="str">
        <f>_xlfn.LET(
_xlpm.rowNo, MATCH($C93&amp;"|"&amp;
($F93+Q$4),Raw_Fund!$A:$A,0),
_xlpm.colNo,
MATCH(Q$3,Raw_Fund!$E$1:$AZ$1,0),
_xlpm.val,
INDEX(Raw_Fund!$E:$AZ,_xlpm.rowNo,_xlpm.colNo),
IF(ISNUMBER(_xlpm.val),_xlpm.val*$H93,""))</f>
        <v/>
      </c>
      <c r="R93" s="6" t="str">
        <f>_xlfn.LET(
_xlpm.rowNo, MATCH($C93&amp;"|"&amp;
($F93+R$4),Raw_Fund!$A:$A,0),
_xlpm.colNo,
MATCH(R$3,Raw_Fund!$E$1:$AZ$1,0),
_xlpm.val,
INDEX(Raw_Fund!$E:$AZ,_xlpm.rowNo,_xlpm.colNo),
IF(ISNUMBER(_xlpm.val),_xlpm.val*$H93,""))</f>
        <v/>
      </c>
      <c r="S93" s="6" t="str">
        <f>_xlfn.LET(
_xlpm.rowNo, MATCH($C93&amp;"|"&amp;
($F93+S$4),Raw_Fund!$A:$A,0),
_xlpm.colNo,
MATCH(S$3,Raw_Fund!$E$1:$AZ$1,0),
_xlpm.val,
INDEX(Raw_Fund!$E:$AZ,_xlpm.rowNo,_xlpm.colNo),
IF(ISNUMBER(_xlpm.val),_xlpm.val*$H93,""))</f>
        <v/>
      </c>
      <c r="T93" s="6" t="str">
        <f>_xlfn.LET(
_xlpm.rowNo, MATCH($C93&amp;"|"&amp;
($F93+T$4),Raw_Fund!$A:$A,0),
_xlpm.colNo,
MATCH(T$3,Raw_Fund!$E$1:$AZ$1,0),
_xlpm.val,
INDEX(Raw_Fund!$E:$AZ,_xlpm.rowNo,_xlpm.colNo),
IF(ISNUMBER(_xlpm.val),_xlpm.val*$H93,""))</f>
        <v/>
      </c>
      <c r="U93" s="6" t="str">
        <f>_xlfn.LET(
_xlpm.rowNo, MATCH($C93&amp;"|"&amp;
($F93+U$4),Raw_Fund!$A:$A,0),
_xlpm.colNo,
MATCH(U$3,Raw_Fund!$E$1:$AZ$1,0),
_xlpm.val,
INDEX(Raw_Fund!$E:$AZ,_xlpm.rowNo,_xlpm.colNo),
IF(ISNUMBER(_xlpm.val),_xlpm.val*$H93,""))</f>
        <v/>
      </c>
      <c r="V93" s="6" t="str">
        <f>_xlfn.LET(
_xlpm.rowNo, MATCH($C93&amp;"|"&amp;
($F93+V$4),Raw_Fund!$A:$A,0),
_xlpm.colNo,
MATCH(V$3,Raw_Fund!$E$1:$AZ$1,0),
_xlpm.val,
INDEX(Raw_Fund!$E:$AZ,_xlpm.rowNo,_xlpm.colNo),
IF(ISNUMBER(_xlpm.val),_xlpm.val*$H93,""))</f>
        <v/>
      </c>
      <c r="W93" s="6" t="str">
        <f>_xlfn.LET(
_xlpm.rowNo, MATCH($C93&amp;"|"&amp;
($F93+W$4),Raw_Fund!$A:$A,0),
_xlpm.colNo,
MATCH(W$3,Raw_Fund!$E$1:$AZ$1,0),
_xlpm.val,
INDEX(Raw_Fund!$E:$AZ,_xlpm.rowNo,_xlpm.colNo),
IF(ISNUMBER(_xlpm.val),_xlpm.val*$H93,""))</f>
        <v/>
      </c>
      <c r="X93" s="6" t="str">
        <f>_xlfn.LET(
_xlpm.rowNo, MATCH($C93&amp;"|"&amp;
($F93+X$4),Raw_Fund!$A:$A,0),
_xlpm.colNo,
MATCH(X$3,Raw_Fund!$E$1:$AZ$1,0),
_xlpm.val,
INDEX(Raw_Fund!$E:$AZ,_xlpm.rowNo,_xlpm.colNo),
IF(ISNUMBER(_xlpm.val),_xlpm.val*$H93,""))</f>
        <v/>
      </c>
      <c r="Y93" s="6" t="str">
        <f>_xlfn.LET(
_xlpm.rowNo, MATCH($C93&amp;"|"&amp;
($F93+Y$4),Raw_Fund!$A:$A,0),
_xlpm.colNo,
MATCH(Y$3,Raw_Fund!$E$1:$AZ$1,0),
_xlpm.val,
INDEX(Raw_Fund!$E:$AZ,_xlpm.rowNo,_xlpm.colNo),
IF(ISNUMBER(_xlpm.val),_xlpm.val*$H93,""))</f>
        <v/>
      </c>
      <c r="Z93" s="6" t="str">
        <f>IF($E93&lt;&gt;"Include","",_xlfn.XLOOKUP($C93,Raw_Mkt!$A:$A,Raw_Mkt!$B:$B))</f>
        <v/>
      </c>
    </row>
    <row r="94" spans="1:26" x14ac:dyDescent="0.4">
      <c r="A94" t="str">
        <f>IF(Universe!A94&lt;&gt;"",Universe!A94,"")</f>
        <v>GNC</v>
      </c>
      <c r="B94" t="str">
        <f>IF(Universe!B94&lt;&gt;"",Universe!B94,"")</f>
        <v>Greencore</v>
      </c>
      <c r="C94" t="str">
        <f>IF(Universe!C94&lt;&gt;"",Universe!C94,"")</f>
        <v>IE0003864109</v>
      </c>
      <c r="D94" t="str">
        <f>IF(Universe!D94&lt;&gt;"",Universe!D94,"")</f>
        <v>Consumer Staples</v>
      </c>
      <c r="E94" t="str">
        <f>Universe!G94</f>
        <v>Include</v>
      </c>
      <c r="F94" t="str">
        <f>IF($E94&lt;&gt;"Include","",_xlfn.LET(_xlpm.latest,_xlfn.MAXIFS(Raw_Fund!$C:$C,Raw_Fund!$B:$B,Data!$C94),IF(_xlpm.latest=0,"",_xlpm.latest)))</f>
        <v/>
      </c>
      <c r="G94" t="str">
        <f>IF($F94="","",INDEX(Raw_Fund!$E:$AZ,MATCH($C94&amp;"|"&amp;$F94,Raw_Fund!$A:$A,0),MATCH(G$3,Raw_Fund!$E$1:$AZ$1,0)))</f>
        <v/>
      </c>
      <c r="H94" t="str">
        <f t="shared" si="1"/>
        <v/>
      </c>
      <c r="I94" s="6" t="str">
        <f>_xlfn.LET(
_xlpm.rowNo, MATCH($C94&amp;"|"&amp;
($F94+I$4),Raw_Fund!$A:$A,0),
_xlpm.colNo,
MATCH(I$3,Raw_Fund!$E$1:$AZ$1,0),
_xlpm.val,
INDEX(Raw_Fund!$E:$AZ,_xlpm.rowNo,_xlpm.colNo),
IF(ISNUMBER(_xlpm.val),_xlpm.val*$H94,""))</f>
        <v/>
      </c>
      <c r="J94" s="6" t="str">
        <f>_xlfn.LET(
_xlpm.rowNo, MATCH($C94&amp;"|"&amp;
($F94+J$4),Raw_Fund!$A:$A,0),
_xlpm.colNo,
MATCH(J$3,Raw_Fund!$E$1:$AZ$1,0),
_xlpm.val,
INDEX(Raw_Fund!$E:$AZ,_xlpm.rowNo,_xlpm.colNo),
IF(ISNUMBER(_xlpm.val),_xlpm.val*$H94,""))</f>
        <v/>
      </c>
      <c r="K94" s="6" t="str">
        <f>_xlfn.LET(
_xlpm.rowNo, MATCH($C94&amp;"|"&amp;
($F94+K$4),Raw_Fund!$A:$A,0),
_xlpm.colNo,
MATCH(K$3,Raw_Fund!$E$1:$AZ$1,0),
_xlpm.val,
INDEX(Raw_Fund!$E:$AZ,_xlpm.rowNo,_xlpm.colNo),
IF(ISNUMBER(_xlpm.val),_xlpm.val*$H94,""))</f>
        <v/>
      </c>
      <c r="L94" s="6" t="str">
        <f>_xlfn.LET(
_xlpm.rowNo, MATCH($C94&amp;"|"&amp;
($F94+L$4),Raw_Fund!$A:$A,0),
_xlpm.colNo,
MATCH(L$3,Raw_Fund!$E$1:$AZ$1,0),
_xlpm.val,
INDEX(Raw_Fund!$E:$AZ,_xlpm.rowNo,_xlpm.colNo),
IF(ISNUMBER(_xlpm.val),_xlpm.val*$H94,""))</f>
        <v/>
      </c>
      <c r="M94" s="6" t="str">
        <f>_xlfn.LET(
_xlpm.rowNo, MATCH($C94&amp;"|"&amp;
($F94+M$4),Raw_Fund!$A:$A,0),
_xlpm.colNo,
MATCH(M$3,Raw_Fund!$E$1:$AZ$1,0),
_xlpm.val,
INDEX(Raw_Fund!$E:$AZ,_xlpm.rowNo,_xlpm.colNo),
IF(ISNUMBER(_xlpm.val),_xlpm.val*$H94,""))</f>
        <v/>
      </c>
      <c r="N94" s="6" t="str">
        <f>_xlfn.LET(
_xlpm.rowNo, MATCH($C94&amp;"|"&amp;
($F94+N$4),Raw_Fund!$A:$A,0),
_xlpm.colNo,
MATCH(N$3,Raw_Fund!$E$1:$AZ$1,0),
_xlpm.val,
INDEX(Raw_Fund!$E:$AZ,_xlpm.rowNo,_xlpm.colNo),
IF(ISNUMBER(_xlpm.val),_xlpm.val*$H94,""))</f>
        <v/>
      </c>
      <c r="O94" s="6" t="str">
        <f>_xlfn.LET(
_xlpm.rowNo, MATCH($C94&amp;"|"&amp;
($F94+O$4),Raw_Fund!$A:$A,0),
_xlpm.colNo,
MATCH(O$3,Raw_Fund!$E$1:$AZ$1,0),
_xlpm.val,
INDEX(Raw_Fund!$E:$AZ,_xlpm.rowNo,_xlpm.colNo),
IF(ISNUMBER(_xlpm.val),_xlpm.val*$H94,""))</f>
        <v/>
      </c>
      <c r="P94" s="6" t="str">
        <f>_xlfn.LET(
_xlpm.rowNo, MATCH($C94&amp;"|"&amp;
($F94+P$4),Raw_Fund!$A:$A,0),
_xlpm.colNo,
MATCH(P$3,Raw_Fund!$E$1:$AZ$1,0),
_xlpm.val,
INDEX(Raw_Fund!$E:$AZ,_xlpm.rowNo,_xlpm.colNo),
IF(ISNUMBER(_xlpm.val),_xlpm.val*$H94,""))</f>
        <v/>
      </c>
      <c r="Q94" s="6" t="str">
        <f>_xlfn.LET(
_xlpm.rowNo, MATCH($C94&amp;"|"&amp;
($F94+Q$4),Raw_Fund!$A:$A,0),
_xlpm.colNo,
MATCH(Q$3,Raw_Fund!$E$1:$AZ$1,0),
_xlpm.val,
INDEX(Raw_Fund!$E:$AZ,_xlpm.rowNo,_xlpm.colNo),
IF(ISNUMBER(_xlpm.val),_xlpm.val*$H94,""))</f>
        <v/>
      </c>
      <c r="R94" s="6" t="str">
        <f>_xlfn.LET(
_xlpm.rowNo, MATCH($C94&amp;"|"&amp;
($F94+R$4),Raw_Fund!$A:$A,0),
_xlpm.colNo,
MATCH(R$3,Raw_Fund!$E$1:$AZ$1,0),
_xlpm.val,
INDEX(Raw_Fund!$E:$AZ,_xlpm.rowNo,_xlpm.colNo),
IF(ISNUMBER(_xlpm.val),_xlpm.val*$H94,""))</f>
        <v/>
      </c>
      <c r="S94" s="6" t="str">
        <f>_xlfn.LET(
_xlpm.rowNo, MATCH($C94&amp;"|"&amp;
($F94+S$4),Raw_Fund!$A:$A,0),
_xlpm.colNo,
MATCH(S$3,Raw_Fund!$E$1:$AZ$1,0),
_xlpm.val,
INDEX(Raw_Fund!$E:$AZ,_xlpm.rowNo,_xlpm.colNo),
IF(ISNUMBER(_xlpm.val),_xlpm.val*$H94,""))</f>
        <v/>
      </c>
      <c r="T94" s="6" t="str">
        <f>_xlfn.LET(
_xlpm.rowNo, MATCH($C94&amp;"|"&amp;
($F94+T$4),Raw_Fund!$A:$A,0),
_xlpm.colNo,
MATCH(T$3,Raw_Fund!$E$1:$AZ$1,0),
_xlpm.val,
INDEX(Raw_Fund!$E:$AZ,_xlpm.rowNo,_xlpm.colNo),
IF(ISNUMBER(_xlpm.val),_xlpm.val*$H94,""))</f>
        <v/>
      </c>
      <c r="U94" s="6" t="str">
        <f>_xlfn.LET(
_xlpm.rowNo, MATCH($C94&amp;"|"&amp;
($F94+U$4),Raw_Fund!$A:$A,0),
_xlpm.colNo,
MATCH(U$3,Raw_Fund!$E$1:$AZ$1,0),
_xlpm.val,
INDEX(Raw_Fund!$E:$AZ,_xlpm.rowNo,_xlpm.colNo),
IF(ISNUMBER(_xlpm.val),_xlpm.val*$H94,""))</f>
        <v/>
      </c>
      <c r="V94" s="6" t="str">
        <f>_xlfn.LET(
_xlpm.rowNo, MATCH($C94&amp;"|"&amp;
($F94+V$4),Raw_Fund!$A:$A,0),
_xlpm.colNo,
MATCH(V$3,Raw_Fund!$E$1:$AZ$1,0),
_xlpm.val,
INDEX(Raw_Fund!$E:$AZ,_xlpm.rowNo,_xlpm.colNo),
IF(ISNUMBER(_xlpm.val),_xlpm.val*$H94,""))</f>
        <v/>
      </c>
      <c r="W94" s="6" t="str">
        <f>_xlfn.LET(
_xlpm.rowNo, MATCH($C94&amp;"|"&amp;
($F94+W$4),Raw_Fund!$A:$A,0),
_xlpm.colNo,
MATCH(W$3,Raw_Fund!$E$1:$AZ$1,0),
_xlpm.val,
INDEX(Raw_Fund!$E:$AZ,_xlpm.rowNo,_xlpm.colNo),
IF(ISNUMBER(_xlpm.val),_xlpm.val*$H94,""))</f>
        <v/>
      </c>
      <c r="X94" s="6" t="str">
        <f>_xlfn.LET(
_xlpm.rowNo, MATCH($C94&amp;"|"&amp;
($F94+X$4),Raw_Fund!$A:$A,0),
_xlpm.colNo,
MATCH(X$3,Raw_Fund!$E$1:$AZ$1,0),
_xlpm.val,
INDEX(Raw_Fund!$E:$AZ,_xlpm.rowNo,_xlpm.colNo),
IF(ISNUMBER(_xlpm.val),_xlpm.val*$H94,""))</f>
        <v/>
      </c>
      <c r="Y94" s="6" t="str">
        <f>_xlfn.LET(
_xlpm.rowNo, MATCH($C94&amp;"|"&amp;
($F94+Y$4),Raw_Fund!$A:$A,0),
_xlpm.colNo,
MATCH(Y$3,Raw_Fund!$E$1:$AZ$1,0),
_xlpm.val,
INDEX(Raw_Fund!$E:$AZ,_xlpm.rowNo,_xlpm.colNo),
IF(ISNUMBER(_xlpm.val),_xlpm.val*$H94,""))</f>
        <v/>
      </c>
      <c r="Z94" s="6" t="e">
        <f>IF($E94&lt;&gt;"Include","",_xlfn.XLOOKUP($C94,Raw_Mkt!$A:$A,Raw_Mkt!$B:$B))</f>
        <v>#N/A</v>
      </c>
    </row>
    <row r="95" spans="1:26" x14ac:dyDescent="0.4">
      <c r="A95" t="str">
        <f>IF(Universe!A95&lt;&gt;"",Universe!A95,"")</f>
        <v>GRG</v>
      </c>
      <c r="B95" t="str">
        <f>IF(Universe!B95&lt;&gt;"",Universe!B95,"")</f>
        <v>Greggs</v>
      </c>
      <c r="C95" t="str">
        <f>IF(Universe!C95&lt;&gt;"",Universe!C95,"")</f>
        <v>GB00B63QSB39</v>
      </c>
      <c r="D95" t="str">
        <f>IF(Universe!D95&lt;&gt;"",Universe!D95,"")</f>
        <v>Consumer Discretionary</v>
      </c>
      <c r="E95" t="str">
        <f>Universe!G95</f>
        <v>Include</v>
      </c>
      <c r="F95" t="str">
        <f>IF($E95&lt;&gt;"Include","",_xlfn.LET(_xlpm.latest,_xlfn.MAXIFS(Raw_Fund!$C:$C,Raw_Fund!$B:$B,Data!$C95),IF(_xlpm.latest=0,"",_xlpm.latest)))</f>
        <v/>
      </c>
      <c r="G95" t="str">
        <f>IF($F95="","",INDEX(Raw_Fund!$E:$AZ,MATCH($C95&amp;"|"&amp;$F95,Raw_Fund!$A:$A,0),MATCH(G$3,Raw_Fund!$E$1:$AZ$1,0)))</f>
        <v/>
      </c>
      <c r="H95" t="str">
        <f t="shared" si="1"/>
        <v/>
      </c>
      <c r="I95" s="6" t="str">
        <f>_xlfn.LET(
_xlpm.rowNo, MATCH($C95&amp;"|"&amp;
($F95+I$4),Raw_Fund!$A:$A,0),
_xlpm.colNo,
MATCH(I$3,Raw_Fund!$E$1:$AZ$1,0),
_xlpm.val,
INDEX(Raw_Fund!$E:$AZ,_xlpm.rowNo,_xlpm.colNo),
IF(ISNUMBER(_xlpm.val),_xlpm.val*$H95,""))</f>
        <v/>
      </c>
      <c r="J95" s="6" t="str">
        <f>_xlfn.LET(
_xlpm.rowNo, MATCH($C95&amp;"|"&amp;
($F95+J$4),Raw_Fund!$A:$A,0),
_xlpm.colNo,
MATCH(J$3,Raw_Fund!$E$1:$AZ$1,0),
_xlpm.val,
INDEX(Raw_Fund!$E:$AZ,_xlpm.rowNo,_xlpm.colNo),
IF(ISNUMBER(_xlpm.val),_xlpm.val*$H95,""))</f>
        <v/>
      </c>
      <c r="K95" s="6" t="str">
        <f>_xlfn.LET(
_xlpm.rowNo, MATCH($C95&amp;"|"&amp;
($F95+K$4),Raw_Fund!$A:$A,0),
_xlpm.colNo,
MATCH(K$3,Raw_Fund!$E$1:$AZ$1,0),
_xlpm.val,
INDEX(Raw_Fund!$E:$AZ,_xlpm.rowNo,_xlpm.colNo),
IF(ISNUMBER(_xlpm.val),_xlpm.val*$H95,""))</f>
        <v/>
      </c>
      <c r="L95" s="6" t="str">
        <f>_xlfn.LET(
_xlpm.rowNo, MATCH($C95&amp;"|"&amp;
($F95+L$4),Raw_Fund!$A:$A,0),
_xlpm.colNo,
MATCH(L$3,Raw_Fund!$E$1:$AZ$1,0),
_xlpm.val,
INDEX(Raw_Fund!$E:$AZ,_xlpm.rowNo,_xlpm.colNo),
IF(ISNUMBER(_xlpm.val),_xlpm.val*$H95,""))</f>
        <v/>
      </c>
      <c r="M95" s="6" t="str">
        <f>_xlfn.LET(
_xlpm.rowNo, MATCH($C95&amp;"|"&amp;
($F95+M$4),Raw_Fund!$A:$A,0),
_xlpm.colNo,
MATCH(M$3,Raw_Fund!$E$1:$AZ$1,0),
_xlpm.val,
INDEX(Raw_Fund!$E:$AZ,_xlpm.rowNo,_xlpm.colNo),
IF(ISNUMBER(_xlpm.val),_xlpm.val*$H95,""))</f>
        <v/>
      </c>
      <c r="N95" s="6" t="str">
        <f>_xlfn.LET(
_xlpm.rowNo, MATCH($C95&amp;"|"&amp;
($F95+N$4),Raw_Fund!$A:$A,0),
_xlpm.colNo,
MATCH(N$3,Raw_Fund!$E$1:$AZ$1,0),
_xlpm.val,
INDEX(Raw_Fund!$E:$AZ,_xlpm.rowNo,_xlpm.colNo),
IF(ISNUMBER(_xlpm.val),_xlpm.val*$H95,""))</f>
        <v/>
      </c>
      <c r="O95" s="6" t="str">
        <f>_xlfn.LET(
_xlpm.rowNo, MATCH($C95&amp;"|"&amp;
($F95+O$4),Raw_Fund!$A:$A,0),
_xlpm.colNo,
MATCH(O$3,Raw_Fund!$E$1:$AZ$1,0),
_xlpm.val,
INDEX(Raw_Fund!$E:$AZ,_xlpm.rowNo,_xlpm.colNo),
IF(ISNUMBER(_xlpm.val),_xlpm.val*$H95,""))</f>
        <v/>
      </c>
      <c r="P95" s="6" t="str">
        <f>_xlfn.LET(
_xlpm.rowNo, MATCH($C95&amp;"|"&amp;
($F95+P$4),Raw_Fund!$A:$A,0),
_xlpm.colNo,
MATCH(P$3,Raw_Fund!$E$1:$AZ$1,0),
_xlpm.val,
INDEX(Raw_Fund!$E:$AZ,_xlpm.rowNo,_xlpm.colNo),
IF(ISNUMBER(_xlpm.val),_xlpm.val*$H95,""))</f>
        <v/>
      </c>
      <c r="Q95" s="6" t="str">
        <f>_xlfn.LET(
_xlpm.rowNo, MATCH($C95&amp;"|"&amp;
($F95+Q$4),Raw_Fund!$A:$A,0),
_xlpm.colNo,
MATCH(Q$3,Raw_Fund!$E$1:$AZ$1,0),
_xlpm.val,
INDEX(Raw_Fund!$E:$AZ,_xlpm.rowNo,_xlpm.colNo),
IF(ISNUMBER(_xlpm.val),_xlpm.val*$H95,""))</f>
        <v/>
      </c>
      <c r="R95" s="6" t="str">
        <f>_xlfn.LET(
_xlpm.rowNo, MATCH($C95&amp;"|"&amp;
($F95+R$4),Raw_Fund!$A:$A,0),
_xlpm.colNo,
MATCH(R$3,Raw_Fund!$E$1:$AZ$1,0),
_xlpm.val,
INDEX(Raw_Fund!$E:$AZ,_xlpm.rowNo,_xlpm.colNo),
IF(ISNUMBER(_xlpm.val),_xlpm.val*$H95,""))</f>
        <v/>
      </c>
      <c r="S95" s="6" t="str">
        <f>_xlfn.LET(
_xlpm.rowNo, MATCH($C95&amp;"|"&amp;
($F95+S$4),Raw_Fund!$A:$A,0),
_xlpm.colNo,
MATCH(S$3,Raw_Fund!$E$1:$AZ$1,0),
_xlpm.val,
INDEX(Raw_Fund!$E:$AZ,_xlpm.rowNo,_xlpm.colNo),
IF(ISNUMBER(_xlpm.val),_xlpm.val*$H95,""))</f>
        <v/>
      </c>
      <c r="T95" s="6" t="str">
        <f>_xlfn.LET(
_xlpm.rowNo, MATCH($C95&amp;"|"&amp;
($F95+T$4),Raw_Fund!$A:$A,0),
_xlpm.colNo,
MATCH(T$3,Raw_Fund!$E$1:$AZ$1,0),
_xlpm.val,
INDEX(Raw_Fund!$E:$AZ,_xlpm.rowNo,_xlpm.colNo),
IF(ISNUMBER(_xlpm.val),_xlpm.val*$H95,""))</f>
        <v/>
      </c>
      <c r="U95" s="6" t="str">
        <f>_xlfn.LET(
_xlpm.rowNo, MATCH($C95&amp;"|"&amp;
($F95+U$4),Raw_Fund!$A:$A,0),
_xlpm.colNo,
MATCH(U$3,Raw_Fund!$E$1:$AZ$1,0),
_xlpm.val,
INDEX(Raw_Fund!$E:$AZ,_xlpm.rowNo,_xlpm.colNo),
IF(ISNUMBER(_xlpm.val),_xlpm.val*$H95,""))</f>
        <v/>
      </c>
      <c r="V95" s="6" t="str">
        <f>_xlfn.LET(
_xlpm.rowNo, MATCH($C95&amp;"|"&amp;
($F95+V$4),Raw_Fund!$A:$A,0),
_xlpm.colNo,
MATCH(V$3,Raw_Fund!$E$1:$AZ$1,0),
_xlpm.val,
INDEX(Raw_Fund!$E:$AZ,_xlpm.rowNo,_xlpm.colNo),
IF(ISNUMBER(_xlpm.val),_xlpm.val*$H95,""))</f>
        <v/>
      </c>
      <c r="W95" s="6" t="str">
        <f>_xlfn.LET(
_xlpm.rowNo, MATCH($C95&amp;"|"&amp;
($F95+W$4),Raw_Fund!$A:$A,0),
_xlpm.colNo,
MATCH(W$3,Raw_Fund!$E$1:$AZ$1,0),
_xlpm.val,
INDEX(Raw_Fund!$E:$AZ,_xlpm.rowNo,_xlpm.colNo),
IF(ISNUMBER(_xlpm.val),_xlpm.val*$H95,""))</f>
        <v/>
      </c>
      <c r="X95" s="6" t="str">
        <f>_xlfn.LET(
_xlpm.rowNo, MATCH($C95&amp;"|"&amp;
($F95+X$4),Raw_Fund!$A:$A,0),
_xlpm.colNo,
MATCH(X$3,Raw_Fund!$E$1:$AZ$1,0),
_xlpm.val,
INDEX(Raw_Fund!$E:$AZ,_xlpm.rowNo,_xlpm.colNo),
IF(ISNUMBER(_xlpm.val),_xlpm.val*$H95,""))</f>
        <v/>
      </c>
      <c r="Y95" s="6" t="str">
        <f>_xlfn.LET(
_xlpm.rowNo, MATCH($C95&amp;"|"&amp;
($F95+Y$4),Raw_Fund!$A:$A,0),
_xlpm.colNo,
MATCH(Y$3,Raw_Fund!$E$1:$AZ$1,0),
_xlpm.val,
INDEX(Raw_Fund!$E:$AZ,_xlpm.rowNo,_xlpm.colNo),
IF(ISNUMBER(_xlpm.val),_xlpm.val*$H95,""))</f>
        <v/>
      </c>
      <c r="Z95" s="6" t="e">
        <f>IF($E95&lt;&gt;"Include","",_xlfn.XLOOKUP($C95,Raw_Mkt!$A:$A,Raw_Mkt!$B:$B))</f>
        <v>#N/A</v>
      </c>
    </row>
    <row r="96" spans="1:26" x14ac:dyDescent="0.4">
      <c r="A96" t="str">
        <f>IF(Universe!A96&lt;&gt;"",Universe!A96,"")</f>
        <v>HFD</v>
      </c>
      <c r="B96" t="str">
        <f>IF(Universe!B96&lt;&gt;"",Universe!B96,"")</f>
        <v>Halfords</v>
      </c>
      <c r="C96" t="str">
        <f>IF(Universe!C96&lt;&gt;"",Universe!C96,"")</f>
        <v>GB00B012TP20</v>
      </c>
      <c r="D96" t="str">
        <f>IF(Universe!D96&lt;&gt;"",Universe!D96,"")</f>
        <v>Consumer Discretionary</v>
      </c>
      <c r="E96" t="str">
        <f>Universe!G96</f>
        <v>Include</v>
      </c>
      <c r="F96" t="str">
        <f>IF($E96&lt;&gt;"Include","",_xlfn.LET(_xlpm.latest,_xlfn.MAXIFS(Raw_Fund!$C:$C,Raw_Fund!$B:$B,Data!$C96),IF(_xlpm.latest=0,"",_xlpm.latest)))</f>
        <v/>
      </c>
      <c r="G96" t="str">
        <f>IF($F96="","",INDEX(Raw_Fund!$E:$AZ,MATCH($C96&amp;"|"&amp;$F96,Raw_Fund!$A:$A,0),MATCH(G$3,Raw_Fund!$E$1:$AZ$1,0)))</f>
        <v/>
      </c>
      <c r="H96" t="str">
        <f t="shared" si="1"/>
        <v/>
      </c>
      <c r="I96" s="6" t="str">
        <f>_xlfn.LET(
_xlpm.rowNo, MATCH($C96&amp;"|"&amp;
($F96+I$4),Raw_Fund!$A:$A,0),
_xlpm.colNo,
MATCH(I$3,Raw_Fund!$E$1:$AZ$1,0),
_xlpm.val,
INDEX(Raw_Fund!$E:$AZ,_xlpm.rowNo,_xlpm.colNo),
IF(ISNUMBER(_xlpm.val),_xlpm.val*$H96,""))</f>
        <v/>
      </c>
      <c r="J96" s="6" t="str">
        <f>_xlfn.LET(
_xlpm.rowNo, MATCH($C96&amp;"|"&amp;
($F96+J$4),Raw_Fund!$A:$A,0),
_xlpm.colNo,
MATCH(J$3,Raw_Fund!$E$1:$AZ$1,0),
_xlpm.val,
INDEX(Raw_Fund!$E:$AZ,_xlpm.rowNo,_xlpm.colNo),
IF(ISNUMBER(_xlpm.val),_xlpm.val*$H96,""))</f>
        <v/>
      </c>
      <c r="K96" s="6" t="str">
        <f>_xlfn.LET(
_xlpm.rowNo, MATCH($C96&amp;"|"&amp;
($F96+K$4),Raw_Fund!$A:$A,0),
_xlpm.colNo,
MATCH(K$3,Raw_Fund!$E$1:$AZ$1,0),
_xlpm.val,
INDEX(Raw_Fund!$E:$AZ,_xlpm.rowNo,_xlpm.colNo),
IF(ISNUMBER(_xlpm.val),_xlpm.val*$H96,""))</f>
        <v/>
      </c>
      <c r="L96" s="6" t="str">
        <f>_xlfn.LET(
_xlpm.rowNo, MATCH($C96&amp;"|"&amp;
($F96+L$4),Raw_Fund!$A:$A,0),
_xlpm.colNo,
MATCH(L$3,Raw_Fund!$E$1:$AZ$1,0),
_xlpm.val,
INDEX(Raw_Fund!$E:$AZ,_xlpm.rowNo,_xlpm.colNo),
IF(ISNUMBER(_xlpm.val),_xlpm.val*$H96,""))</f>
        <v/>
      </c>
      <c r="M96" s="6" t="str">
        <f>_xlfn.LET(
_xlpm.rowNo, MATCH($C96&amp;"|"&amp;
($F96+M$4),Raw_Fund!$A:$A,0),
_xlpm.colNo,
MATCH(M$3,Raw_Fund!$E$1:$AZ$1,0),
_xlpm.val,
INDEX(Raw_Fund!$E:$AZ,_xlpm.rowNo,_xlpm.colNo),
IF(ISNUMBER(_xlpm.val),_xlpm.val*$H96,""))</f>
        <v/>
      </c>
      <c r="N96" s="6" t="str">
        <f>_xlfn.LET(
_xlpm.rowNo, MATCH($C96&amp;"|"&amp;
($F96+N$4),Raw_Fund!$A:$A,0),
_xlpm.colNo,
MATCH(N$3,Raw_Fund!$E$1:$AZ$1,0),
_xlpm.val,
INDEX(Raw_Fund!$E:$AZ,_xlpm.rowNo,_xlpm.colNo),
IF(ISNUMBER(_xlpm.val),_xlpm.val*$H96,""))</f>
        <v/>
      </c>
      <c r="O96" s="6" t="str">
        <f>_xlfn.LET(
_xlpm.rowNo, MATCH($C96&amp;"|"&amp;
($F96+O$4),Raw_Fund!$A:$A,0),
_xlpm.colNo,
MATCH(O$3,Raw_Fund!$E$1:$AZ$1,0),
_xlpm.val,
INDEX(Raw_Fund!$E:$AZ,_xlpm.rowNo,_xlpm.colNo),
IF(ISNUMBER(_xlpm.val),_xlpm.val*$H96,""))</f>
        <v/>
      </c>
      <c r="P96" s="6" t="str">
        <f>_xlfn.LET(
_xlpm.rowNo, MATCH($C96&amp;"|"&amp;
($F96+P$4),Raw_Fund!$A:$A,0),
_xlpm.colNo,
MATCH(P$3,Raw_Fund!$E$1:$AZ$1,0),
_xlpm.val,
INDEX(Raw_Fund!$E:$AZ,_xlpm.rowNo,_xlpm.colNo),
IF(ISNUMBER(_xlpm.val),_xlpm.val*$H96,""))</f>
        <v/>
      </c>
      <c r="Q96" s="6" t="str">
        <f>_xlfn.LET(
_xlpm.rowNo, MATCH($C96&amp;"|"&amp;
($F96+Q$4),Raw_Fund!$A:$A,0),
_xlpm.colNo,
MATCH(Q$3,Raw_Fund!$E$1:$AZ$1,0),
_xlpm.val,
INDEX(Raw_Fund!$E:$AZ,_xlpm.rowNo,_xlpm.colNo),
IF(ISNUMBER(_xlpm.val),_xlpm.val*$H96,""))</f>
        <v/>
      </c>
      <c r="R96" s="6" t="str">
        <f>_xlfn.LET(
_xlpm.rowNo, MATCH($C96&amp;"|"&amp;
($F96+R$4),Raw_Fund!$A:$A,0),
_xlpm.colNo,
MATCH(R$3,Raw_Fund!$E$1:$AZ$1,0),
_xlpm.val,
INDEX(Raw_Fund!$E:$AZ,_xlpm.rowNo,_xlpm.colNo),
IF(ISNUMBER(_xlpm.val),_xlpm.val*$H96,""))</f>
        <v/>
      </c>
      <c r="S96" s="6" t="str">
        <f>_xlfn.LET(
_xlpm.rowNo, MATCH($C96&amp;"|"&amp;
($F96+S$4),Raw_Fund!$A:$A,0),
_xlpm.colNo,
MATCH(S$3,Raw_Fund!$E$1:$AZ$1,0),
_xlpm.val,
INDEX(Raw_Fund!$E:$AZ,_xlpm.rowNo,_xlpm.colNo),
IF(ISNUMBER(_xlpm.val),_xlpm.val*$H96,""))</f>
        <v/>
      </c>
      <c r="T96" s="6" t="str">
        <f>_xlfn.LET(
_xlpm.rowNo, MATCH($C96&amp;"|"&amp;
($F96+T$4),Raw_Fund!$A:$A,0),
_xlpm.colNo,
MATCH(T$3,Raw_Fund!$E$1:$AZ$1,0),
_xlpm.val,
INDEX(Raw_Fund!$E:$AZ,_xlpm.rowNo,_xlpm.colNo),
IF(ISNUMBER(_xlpm.val),_xlpm.val*$H96,""))</f>
        <v/>
      </c>
      <c r="U96" s="6" t="str">
        <f>_xlfn.LET(
_xlpm.rowNo, MATCH($C96&amp;"|"&amp;
($F96+U$4),Raw_Fund!$A:$A,0),
_xlpm.colNo,
MATCH(U$3,Raw_Fund!$E$1:$AZ$1,0),
_xlpm.val,
INDEX(Raw_Fund!$E:$AZ,_xlpm.rowNo,_xlpm.colNo),
IF(ISNUMBER(_xlpm.val),_xlpm.val*$H96,""))</f>
        <v/>
      </c>
      <c r="V96" s="6" t="str">
        <f>_xlfn.LET(
_xlpm.rowNo, MATCH($C96&amp;"|"&amp;
($F96+V$4),Raw_Fund!$A:$A,0),
_xlpm.colNo,
MATCH(V$3,Raw_Fund!$E$1:$AZ$1,0),
_xlpm.val,
INDEX(Raw_Fund!$E:$AZ,_xlpm.rowNo,_xlpm.colNo),
IF(ISNUMBER(_xlpm.val),_xlpm.val*$H96,""))</f>
        <v/>
      </c>
      <c r="W96" s="6" t="str">
        <f>_xlfn.LET(
_xlpm.rowNo, MATCH($C96&amp;"|"&amp;
($F96+W$4),Raw_Fund!$A:$A,0),
_xlpm.colNo,
MATCH(W$3,Raw_Fund!$E$1:$AZ$1,0),
_xlpm.val,
INDEX(Raw_Fund!$E:$AZ,_xlpm.rowNo,_xlpm.colNo),
IF(ISNUMBER(_xlpm.val),_xlpm.val*$H96,""))</f>
        <v/>
      </c>
      <c r="X96" s="6" t="str">
        <f>_xlfn.LET(
_xlpm.rowNo, MATCH($C96&amp;"|"&amp;
($F96+X$4),Raw_Fund!$A:$A,0),
_xlpm.colNo,
MATCH(X$3,Raw_Fund!$E$1:$AZ$1,0),
_xlpm.val,
INDEX(Raw_Fund!$E:$AZ,_xlpm.rowNo,_xlpm.colNo),
IF(ISNUMBER(_xlpm.val),_xlpm.val*$H96,""))</f>
        <v/>
      </c>
      <c r="Y96" s="6" t="str">
        <f>_xlfn.LET(
_xlpm.rowNo, MATCH($C96&amp;"|"&amp;
($F96+Y$4),Raw_Fund!$A:$A,0),
_xlpm.colNo,
MATCH(Y$3,Raw_Fund!$E$1:$AZ$1,0),
_xlpm.val,
INDEX(Raw_Fund!$E:$AZ,_xlpm.rowNo,_xlpm.colNo),
IF(ISNUMBER(_xlpm.val),_xlpm.val*$H96,""))</f>
        <v/>
      </c>
      <c r="Z96" s="6" t="e">
        <f>IF($E96&lt;&gt;"Include","",_xlfn.XLOOKUP($C96,Raw_Mkt!$A:$A,Raw_Mkt!$B:$B))</f>
        <v>#N/A</v>
      </c>
    </row>
    <row r="97" spans="1:26" x14ac:dyDescent="0.4">
      <c r="A97" t="str">
        <f>IF(Universe!A97&lt;&gt;"",Universe!A97,"")</f>
        <v>HMSO</v>
      </c>
      <c r="B97" t="str">
        <f>IF(Universe!B97&lt;&gt;"",Universe!B97,"")</f>
        <v>Hammerson</v>
      </c>
      <c r="C97" t="str">
        <f>IF(Universe!C97&lt;&gt;"",Universe!C97,"")</f>
        <v>GB00BRJQ8J25</v>
      </c>
      <c r="D97" t="str">
        <f>IF(Universe!D97&lt;&gt;"",Universe!D97,"")</f>
        <v>Real Estate</v>
      </c>
      <c r="E97" t="str">
        <f>Universe!G97</f>
        <v>Exclude</v>
      </c>
      <c r="F97" t="str">
        <f>IF($E97&lt;&gt;"Include","",_xlfn.LET(_xlpm.latest,_xlfn.MAXIFS(Raw_Fund!$C:$C,Raw_Fund!$B:$B,Data!$C97),IF(_xlpm.latest=0,"",_xlpm.latest)))</f>
        <v/>
      </c>
      <c r="G97" t="str">
        <f>IF($F97="","",INDEX(Raw_Fund!$E:$AZ,MATCH($C97&amp;"|"&amp;$F97,Raw_Fund!$A:$A,0),MATCH(G$3,Raw_Fund!$E$1:$AZ$1,0)))</f>
        <v/>
      </c>
      <c r="H97" t="str">
        <f t="shared" si="1"/>
        <v/>
      </c>
      <c r="I97" s="6" t="str">
        <f>_xlfn.LET(
_xlpm.rowNo, MATCH($C97&amp;"|"&amp;
($F97+I$4),Raw_Fund!$A:$A,0),
_xlpm.colNo,
MATCH(I$3,Raw_Fund!$E$1:$AZ$1,0),
_xlpm.val,
INDEX(Raw_Fund!$E:$AZ,_xlpm.rowNo,_xlpm.colNo),
IF(ISNUMBER(_xlpm.val),_xlpm.val*$H97,""))</f>
        <v/>
      </c>
      <c r="J97" s="6" t="str">
        <f>_xlfn.LET(
_xlpm.rowNo, MATCH($C97&amp;"|"&amp;
($F97+J$4),Raw_Fund!$A:$A,0),
_xlpm.colNo,
MATCH(J$3,Raw_Fund!$E$1:$AZ$1,0),
_xlpm.val,
INDEX(Raw_Fund!$E:$AZ,_xlpm.rowNo,_xlpm.colNo),
IF(ISNUMBER(_xlpm.val),_xlpm.val*$H97,""))</f>
        <v/>
      </c>
      <c r="K97" s="6" t="str">
        <f>_xlfn.LET(
_xlpm.rowNo, MATCH($C97&amp;"|"&amp;
($F97+K$4),Raw_Fund!$A:$A,0),
_xlpm.colNo,
MATCH(K$3,Raw_Fund!$E$1:$AZ$1,0),
_xlpm.val,
INDEX(Raw_Fund!$E:$AZ,_xlpm.rowNo,_xlpm.colNo),
IF(ISNUMBER(_xlpm.val),_xlpm.val*$H97,""))</f>
        <v/>
      </c>
      <c r="L97" s="6" t="str">
        <f>_xlfn.LET(
_xlpm.rowNo, MATCH($C97&amp;"|"&amp;
($F97+L$4),Raw_Fund!$A:$A,0),
_xlpm.colNo,
MATCH(L$3,Raw_Fund!$E$1:$AZ$1,0),
_xlpm.val,
INDEX(Raw_Fund!$E:$AZ,_xlpm.rowNo,_xlpm.colNo),
IF(ISNUMBER(_xlpm.val),_xlpm.val*$H97,""))</f>
        <v/>
      </c>
      <c r="M97" s="6" t="str">
        <f>_xlfn.LET(
_xlpm.rowNo, MATCH($C97&amp;"|"&amp;
($F97+M$4),Raw_Fund!$A:$A,0),
_xlpm.colNo,
MATCH(M$3,Raw_Fund!$E$1:$AZ$1,0),
_xlpm.val,
INDEX(Raw_Fund!$E:$AZ,_xlpm.rowNo,_xlpm.colNo),
IF(ISNUMBER(_xlpm.val),_xlpm.val*$H97,""))</f>
        <v/>
      </c>
      <c r="N97" s="6" t="str">
        <f>_xlfn.LET(
_xlpm.rowNo, MATCH($C97&amp;"|"&amp;
($F97+N$4),Raw_Fund!$A:$A,0),
_xlpm.colNo,
MATCH(N$3,Raw_Fund!$E$1:$AZ$1,0),
_xlpm.val,
INDEX(Raw_Fund!$E:$AZ,_xlpm.rowNo,_xlpm.colNo),
IF(ISNUMBER(_xlpm.val),_xlpm.val*$H97,""))</f>
        <v/>
      </c>
      <c r="O97" s="6" t="str">
        <f>_xlfn.LET(
_xlpm.rowNo, MATCH($C97&amp;"|"&amp;
($F97+O$4),Raw_Fund!$A:$A,0),
_xlpm.colNo,
MATCH(O$3,Raw_Fund!$E$1:$AZ$1,0),
_xlpm.val,
INDEX(Raw_Fund!$E:$AZ,_xlpm.rowNo,_xlpm.colNo),
IF(ISNUMBER(_xlpm.val),_xlpm.val*$H97,""))</f>
        <v/>
      </c>
      <c r="P97" s="6" t="str">
        <f>_xlfn.LET(
_xlpm.rowNo, MATCH($C97&amp;"|"&amp;
($F97+P$4),Raw_Fund!$A:$A,0),
_xlpm.colNo,
MATCH(P$3,Raw_Fund!$E$1:$AZ$1,0),
_xlpm.val,
INDEX(Raw_Fund!$E:$AZ,_xlpm.rowNo,_xlpm.colNo),
IF(ISNUMBER(_xlpm.val),_xlpm.val*$H97,""))</f>
        <v/>
      </c>
      <c r="Q97" s="6" t="str">
        <f>_xlfn.LET(
_xlpm.rowNo, MATCH($C97&amp;"|"&amp;
($F97+Q$4),Raw_Fund!$A:$A,0),
_xlpm.colNo,
MATCH(Q$3,Raw_Fund!$E$1:$AZ$1,0),
_xlpm.val,
INDEX(Raw_Fund!$E:$AZ,_xlpm.rowNo,_xlpm.colNo),
IF(ISNUMBER(_xlpm.val),_xlpm.val*$H97,""))</f>
        <v/>
      </c>
      <c r="R97" s="6" t="str">
        <f>_xlfn.LET(
_xlpm.rowNo, MATCH($C97&amp;"|"&amp;
($F97+R$4),Raw_Fund!$A:$A,0),
_xlpm.colNo,
MATCH(R$3,Raw_Fund!$E$1:$AZ$1,0),
_xlpm.val,
INDEX(Raw_Fund!$E:$AZ,_xlpm.rowNo,_xlpm.colNo),
IF(ISNUMBER(_xlpm.val),_xlpm.val*$H97,""))</f>
        <v/>
      </c>
      <c r="S97" s="6" t="str">
        <f>_xlfn.LET(
_xlpm.rowNo, MATCH($C97&amp;"|"&amp;
($F97+S$4),Raw_Fund!$A:$A,0),
_xlpm.colNo,
MATCH(S$3,Raw_Fund!$E$1:$AZ$1,0),
_xlpm.val,
INDEX(Raw_Fund!$E:$AZ,_xlpm.rowNo,_xlpm.colNo),
IF(ISNUMBER(_xlpm.val),_xlpm.val*$H97,""))</f>
        <v/>
      </c>
      <c r="T97" s="6" t="str">
        <f>_xlfn.LET(
_xlpm.rowNo, MATCH($C97&amp;"|"&amp;
($F97+T$4),Raw_Fund!$A:$A,0),
_xlpm.colNo,
MATCH(T$3,Raw_Fund!$E$1:$AZ$1,0),
_xlpm.val,
INDEX(Raw_Fund!$E:$AZ,_xlpm.rowNo,_xlpm.colNo),
IF(ISNUMBER(_xlpm.val),_xlpm.val*$H97,""))</f>
        <v/>
      </c>
      <c r="U97" s="6" t="str">
        <f>_xlfn.LET(
_xlpm.rowNo, MATCH($C97&amp;"|"&amp;
($F97+U$4),Raw_Fund!$A:$A,0),
_xlpm.colNo,
MATCH(U$3,Raw_Fund!$E$1:$AZ$1,0),
_xlpm.val,
INDEX(Raw_Fund!$E:$AZ,_xlpm.rowNo,_xlpm.colNo),
IF(ISNUMBER(_xlpm.val),_xlpm.val*$H97,""))</f>
        <v/>
      </c>
      <c r="V97" s="6" t="str">
        <f>_xlfn.LET(
_xlpm.rowNo, MATCH($C97&amp;"|"&amp;
($F97+V$4),Raw_Fund!$A:$A,0),
_xlpm.colNo,
MATCH(V$3,Raw_Fund!$E$1:$AZ$1,0),
_xlpm.val,
INDEX(Raw_Fund!$E:$AZ,_xlpm.rowNo,_xlpm.colNo),
IF(ISNUMBER(_xlpm.val),_xlpm.val*$H97,""))</f>
        <v/>
      </c>
      <c r="W97" s="6" t="str">
        <f>_xlfn.LET(
_xlpm.rowNo, MATCH($C97&amp;"|"&amp;
($F97+W$4),Raw_Fund!$A:$A,0),
_xlpm.colNo,
MATCH(W$3,Raw_Fund!$E$1:$AZ$1,0),
_xlpm.val,
INDEX(Raw_Fund!$E:$AZ,_xlpm.rowNo,_xlpm.colNo),
IF(ISNUMBER(_xlpm.val),_xlpm.val*$H97,""))</f>
        <v/>
      </c>
      <c r="X97" s="6" t="str">
        <f>_xlfn.LET(
_xlpm.rowNo, MATCH($C97&amp;"|"&amp;
($F97+X$4),Raw_Fund!$A:$A,0),
_xlpm.colNo,
MATCH(X$3,Raw_Fund!$E$1:$AZ$1,0),
_xlpm.val,
INDEX(Raw_Fund!$E:$AZ,_xlpm.rowNo,_xlpm.colNo),
IF(ISNUMBER(_xlpm.val),_xlpm.val*$H97,""))</f>
        <v/>
      </c>
      <c r="Y97" s="6" t="str">
        <f>_xlfn.LET(
_xlpm.rowNo, MATCH($C97&amp;"|"&amp;
($F97+Y$4),Raw_Fund!$A:$A,0),
_xlpm.colNo,
MATCH(Y$3,Raw_Fund!$E$1:$AZ$1,0),
_xlpm.val,
INDEX(Raw_Fund!$E:$AZ,_xlpm.rowNo,_xlpm.colNo),
IF(ISNUMBER(_xlpm.val),_xlpm.val*$H97,""))</f>
        <v/>
      </c>
      <c r="Z97" s="6" t="str">
        <f>IF($E97&lt;&gt;"Include","",_xlfn.XLOOKUP($C97,Raw_Mkt!$A:$A,Raw_Mkt!$B:$B))</f>
        <v/>
      </c>
    </row>
    <row r="98" spans="1:26" x14ac:dyDescent="0.4">
      <c r="A98" t="str">
        <f>IF(Universe!A98&lt;&gt;"",Universe!A98,"")</f>
        <v>HANA</v>
      </c>
      <c r="B98" t="str">
        <f>IF(Universe!B98&lt;&gt;"",Universe!B98,"")</f>
        <v>Hansa Investment Company</v>
      </c>
      <c r="C98" t="str">
        <f>IF(Universe!C98&lt;&gt;"",Universe!C98,"")</f>
        <v>BMG428941162</v>
      </c>
      <c r="D98" t="str">
        <f>IF(Universe!D98&lt;&gt;"",Universe!D98,"")</f>
        <v>Financials</v>
      </c>
      <c r="E98" t="str">
        <f>Universe!G98</f>
        <v>Exclude</v>
      </c>
      <c r="F98" t="str">
        <f>IF($E98&lt;&gt;"Include","",_xlfn.LET(_xlpm.latest,_xlfn.MAXIFS(Raw_Fund!$C:$C,Raw_Fund!$B:$B,Data!$C98),IF(_xlpm.latest=0,"",_xlpm.latest)))</f>
        <v/>
      </c>
      <c r="G98" t="str">
        <f>IF($F98="","",INDEX(Raw_Fund!$E:$AZ,MATCH($C98&amp;"|"&amp;$F98,Raw_Fund!$A:$A,0),MATCH(G$3,Raw_Fund!$E$1:$AZ$1,0)))</f>
        <v/>
      </c>
      <c r="H98" t="str">
        <f t="shared" si="1"/>
        <v/>
      </c>
      <c r="I98" s="6" t="str">
        <f>_xlfn.LET(
_xlpm.rowNo, MATCH($C98&amp;"|"&amp;
($F98+I$4),Raw_Fund!$A:$A,0),
_xlpm.colNo,
MATCH(I$3,Raw_Fund!$E$1:$AZ$1,0),
_xlpm.val,
INDEX(Raw_Fund!$E:$AZ,_xlpm.rowNo,_xlpm.colNo),
IF(ISNUMBER(_xlpm.val),_xlpm.val*$H98,""))</f>
        <v/>
      </c>
      <c r="J98" s="6" t="str">
        <f>_xlfn.LET(
_xlpm.rowNo, MATCH($C98&amp;"|"&amp;
($F98+J$4),Raw_Fund!$A:$A,0),
_xlpm.colNo,
MATCH(J$3,Raw_Fund!$E$1:$AZ$1,0),
_xlpm.val,
INDEX(Raw_Fund!$E:$AZ,_xlpm.rowNo,_xlpm.colNo),
IF(ISNUMBER(_xlpm.val),_xlpm.val*$H98,""))</f>
        <v/>
      </c>
      <c r="K98" s="6" t="str">
        <f>_xlfn.LET(
_xlpm.rowNo, MATCH($C98&amp;"|"&amp;
($F98+K$4),Raw_Fund!$A:$A,0),
_xlpm.colNo,
MATCH(K$3,Raw_Fund!$E$1:$AZ$1,0),
_xlpm.val,
INDEX(Raw_Fund!$E:$AZ,_xlpm.rowNo,_xlpm.colNo),
IF(ISNUMBER(_xlpm.val),_xlpm.val*$H98,""))</f>
        <v/>
      </c>
      <c r="L98" s="6" t="str">
        <f>_xlfn.LET(
_xlpm.rowNo, MATCH($C98&amp;"|"&amp;
($F98+L$4),Raw_Fund!$A:$A,0),
_xlpm.colNo,
MATCH(L$3,Raw_Fund!$E$1:$AZ$1,0),
_xlpm.val,
INDEX(Raw_Fund!$E:$AZ,_xlpm.rowNo,_xlpm.colNo),
IF(ISNUMBER(_xlpm.val),_xlpm.val*$H98,""))</f>
        <v/>
      </c>
      <c r="M98" s="6" t="str">
        <f>_xlfn.LET(
_xlpm.rowNo, MATCH($C98&amp;"|"&amp;
($F98+M$4),Raw_Fund!$A:$A,0),
_xlpm.colNo,
MATCH(M$3,Raw_Fund!$E$1:$AZ$1,0),
_xlpm.val,
INDEX(Raw_Fund!$E:$AZ,_xlpm.rowNo,_xlpm.colNo),
IF(ISNUMBER(_xlpm.val),_xlpm.val*$H98,""))</f>
        <v/>
      </c>
      <c r="N98" s="6" t="str">
        <f>_xlfn.LET(
_xlpm.rowNo, MATCH($C98&amp;"|"&amp;
($F98+N$4),Raw_Fund!$A:$A,0),
_xlpm.colNo,
MATCH(N$3,Raw_Fund!$E$1:$AZ$1,0),
_xlpm.val,
INDEX(Raw_Fund!$E:$AZ,_xlpm.rowNo,_xlpm.colNo),
IF(ISNUMBER(_xlpm.val),_xlpm.val*$H98,""))</f>
        <v/>
      </c>
      <c r="O98" s="6" t="str">
        <f>_xlfn.LET(
_xlpm.rowNo, MATCH($C98&amp;"|"&amp;
($F98+O$4),Raw_Fund!$A:$A,0),
_xlpm.colNo,
MATCH(O$3,Raw_Fund!$E$1:$AZ$1,0),
_xlpm.val,
INDEX(Raw_Fund!$E:$AZ,_xlpm.rowNo,_xlpm.colNo),
IF(ISNUMBER(_xlpm.val),_xlpm.val*$H98,""))</f>
        <v/>
      </c>
      <c r="P98" s="6" t="str">
        <f>_xlfn.LET(
_xlpm.rowNo, MATCH($C98&amp;"|"&amp;
($F98+P$4),Raw_Fund!$A:$A,0),
_xlpm.colNo,
MATCH(P$3,Raw_Fund!$E$1:$AZ$1,0),
_xlpm.val,
INDEX(Raw_Fund!$E:$AZ,_xlpm.rowNo,_xlpm.colNo),
IF(ISNUMBER(_xlpm.val),_xlpm.val*$H98,""))</f>
        <v/>
      </c>
      <c r="Q98" s="6" t="str">
        <f>_xlfn.LET(
_xlpm.rowNo, MATCH($C98&amp;"|"&amp;
($F98+Q$4),Raw_Fund!$A:$A,0),
_xlpm.colNo,
MATCH(Q$3,Raw_Fund!$E$1:$AZ$1,0),
_xlpm.val,
INDEX(Raw_Fund!$E:$AZ,_xlpm.rowNo,_xlpm.colNo),
IF(ISNUMBER(_xlpm.val),_xlpm.val*$H98,""))</f>
        <v/>
      </c>
      <c r="R98" s="6" t="str">
        <f>_xlfn.LET(
_xlpm.rowNo, MATCH($C98&amp;"|"&amp;
($F98+R$4),Raw_Fund!$A:$A,0),
_xlpm.colNo,
MATCH(R$3,Raw_Fund!$E$1:$AZ$1,0),
_xlpm.val,
INDEX(Raw_Fund!$E:$AZ,_xlpm.rowNo,_xlpm.colNo),
IF(ISNUMBER(_xlpm.val),_xlpm.val*$H98,""))</f>
        <v/>
      </c>
      <c r="S98" s="6" t="str">
        <f>_xlfn.LET(
_xlpm.rowNo, MATCH($C98&amp;"|"&amp;
($F98+S$4),Raw_Fund!$A:$A,0),
_xlpm.colNo,
MATCH(S$3,Raw_Fund!$E$1:$AZ$1,0),
_xlpm.val,
INDEX(Raw_Fund!$E:$AZ,_xlpm.rowNo,_xlpm.colNo),
IF(ISNUMBER(_xlpm.val),_xlpm.val*$H98,""))</f>
        <v/>
      </c>
      <c r="T98" s="6" t="str">
        <f>_xlfn.LET(
_xlpm.rowNo, MATCH($C98&amp;"|"&amp;
($F98+T$4),Raw_Fund!$A:$A,0),
_xlpm.colNo,
MATCH(T$3,Raw_Fund!$E$1:$AZ$1,0),
_xlpm.val,
INDEX(Raw_Fund!$E:$AZ,_xlpm.rowNo,_xlpm.colNo),
IF(ISNUMBER(_xlpm.val),_xlpm.val*$H98,""))</f>
        <v/>
      </c>
      <c r="U98" s="6" t="str">
        <f>_xlfn.LET(
_xlpm.rowNo, MATCH($C98&amp;"|"&amp;
($F98+U$4),Raw_Fund!$A:$A,0),
_xlpm.colNo,
MATCH(U$3,Raw_Fund!$E$1:$AZ$1,0),
_xlpm.val,
INDEX(Raw_Fund!$E:$AZ,_xlpm.rowNo,_xlpm.colNo),
IF(ISNUMBER(_xlpm.val),_xlpm.val*$H98,""))</f>
        <v/>
      </c>
      <c r="V98" s="6" t="str">
        <f>_xlfn.LET(
_xlpm.rowNo, MATCH($C98&amp;"|"&amp;
($F98+V$4),Raw_Fund!$A:$A,0),
_xlpm.colNo,
MATCH(V$3,Raw_Fund!$E$1:$AZ$1,0),
_xlpm.val,
INDEX(Raw_Fund!$E:$AZ,_xlpm.rowNo,_xlpm.colNo),
IF(ISNUMBER(_xlpm.val),_xlpm.val*$H98,""))</f>
        <v/>
      </c>
      <c r="W98" s="6" t="str">
        <f>_xlfn.LET(
_xlpm.rowNo, MATCH($C98&amp;"|"&amp;
($F98+W$4),Raw_Fund!$A:$A,0),
_xlpm.colNo,
MATCH(W$3,Raw_Fund!$E$1:$AZ$1,0),
_xlpm.val,
INDEX(Raw_Fund!$E:$AZ,_xlpm.rowNo,_xlpm.colNo),
IF(ISNUMBER(_xlpm.val),_xlpm.val*$H98,""))</f>
        <v/>
      </c>
      <c r="X98" s="6" t="str">
        <f>_xlfn.LET(
_xlpm.rowNo, MATCH($C98&amp;"|"&amp;
($F98+X$4),Raw_Fund!$A:$A,0),
_xlpm.colNo,
MATCH(X$3,Raw_Fund!$E$1:$AZ$1,0),
_xlpm.val,
INDEX(Raw_Fund!$E:$AZ,_xlpm.rowNo,_xlpm.colNo),
IF(ISNUMBER(_xlpm.val),_xlpm.val*$H98,""))</f>
        <v/>
      </c>
      <c r="Y98" s="6" t="str">
        <f>_xlfn.LET(
_xlpm.rowNo, MATCH($C98&amp;"|"&amp;
($F98+Y$4),Raw_Fund!$A:$A,0),
_xlpm.colNo,
MATCH(Y$3,Raw_Fund!$E$1:$AZ$1,0),
_xlpm.val,
INDEX(Raw_Fund!$E:$AZ,_xlpm.rowNo,_xlpm.colNo),
IF(ISNUMBER(_xlpm.val),_xlpm.val*$H98,""))</f>
        <v/>
      </c>
      <c r="Z98" s="6" t="str">
        <f>IF($E98&lt;&gt;"Include","",_xlfn.XLOOKUP($C98,Raw_Mkt!$A:$A,Raw_Mkt!$B:$B))</f>
        <v/>
      </c>
    </row>
    <row r="99" spans="1:26" x14ac:dyDescent="0.4">
      <c r="A99" t="str">
        <f>IF(Universe!A99&lt;&gt;"",Universe!A99,"")</f>
        <v>HBR</v>
      </c>
      <c r="B99" t="str">
        <f>IF(Universe!B99&lt;&gt;"",Universe!B99,"")</f>
        <v>Harbour Energy</v>
      </c>
      <c r="C99" t="str">
        <f>IF(Universe!C99&lt;&gt;"",Universe!C99,"")</f>
        <v>GB00BMBVGQ36</v>
      </c>
      <c r="D99" t="str">
        <f>IF(Universe!D99&lt;&gt;"",Universe!D99,"")</f>
        <v>Energy</v>
      </c>
      <c r="E99" t="str">
        <f>Universe!G99</f>
        <v>Include</v>
      </c>
      <c r="F99" t="str">
        <f>IF($E99&lt;&gt;"Include","",_xlfn.LET(_xlpm.latest,_xlfn.MAXIFS(Raw_Fund!$C:$C,Raw_Fund!$B:$B,Data!$C99),IF(_xlpm.latest=0,"",_xlpm.latest)))</f>
        <v/>
      </c>
      <c r="G99" t="str">
        <f>IF($F99="","",INDEX(Raw_Fund!$E:$AZ,MATCH($C99&amp;"|"&amp;$F99,Raw_Fund!$A:$A,0),MATCH(G$3,Raw_Fund!$E$1:$AZ$1,0)))</f>
        <v/>
      </c>
      <c r="H99" t="str">
        <f t="shared" si="1"/>
        <v/>
      </c>
      <c r="I99" s="6" t="str">
        <f>_xlfn.LET(
_xlpm.rowNo, MATCH($C99&amp;"|"&amp;
($F99+I$4),Raw_Fund!$A:$A,0),
_xlpm.colNo,
MATCH(I$3,Raw_Fund!$E$1:$AZ$1,0),
_xlpm.val,
INDEX(Raw_Fund!$E:$AZ,_xlpm.rowNo,_xlpm.colNo),
IF(ISNUMBER(_xlpm.val),_xlpm.val*$H99,""))</f>
        <v/>
      </c>
      <c r="J99" s="6" t="str">
        <f>_xlfn.LET(
_xlpm.rowNo, MATCH($C99&amp;"|"&amp;
($F99+J$4),Raw_Fund!$A:$A,0),
_xlpm.colNo,
MATCH(J$3,Raw_Fund!$E$1:$AZ$1,0),
_xlpm.val,
INDEX(Raw_Fund!$E:$AZ,_xlpm.rowNo,_xlpm.colNo),
IF(ISNUMBER(_xlpm.val),_xlpm.val*$H99,""))</f>
        <v/>
      </c>
      <c r="K99" s="6" t="str">
        <f>_xlfn.LET(
_xlpm.rowNo, MATCH($C99&amp;"|"&amp;
($F99+K$4),Raw_Fund!$A:$A,0),
_xlpm.colNo,
MATCH(K$3,Raw_Fund!$E$1:$AZ$1,0),
_xlpm.val,
INDEX(Raw_Fund!$E:$AZ,_xlpm.rowNo,_xlpm.colNo),
IF(ISNUMBER(_xlpm.val),_xlpm.val*$H99,""))</f>
        <v/>
      </c>
      <c r="L99" s="6" t="str">
        <f>_xlfn.LET(
_xlpm.rowNo, MATCH($C99&amp;"|"&amp;
($F99+L$4),Raw_Fund!$A:$A,0),
_xlpm.colNo,
MATCH(L$3,Raw_Fund!$E$1:$AZ$1,0),
_xlpm.val,
INDEX(Raw_Fund!$E:$AZ,_xlpm.rowNo,_xlpm.colNo),
IF(ISNUMBER(_xlpm.val),_xlpm.val*$H99,""))</f>
        <v/>
      </c>
      <c r="M99" s="6" t="str">
        <f>_xlfn.LET(
_xlpm.rowNo, MATCH($C99&amp;"|"&amp;
($F99+M$4),Raw_Fund!$A:$A,0),
_xlpm.colNo,
MATCH(M$3,Raw_Fund!$E$1:$AZ$1,0),
_xlpm.val,
INDEX(Raw_Fund!$E:$AZ,_xlpm.rowNo,_xlpm.colNo),
IF(ISNUMBER(_xlpm.val),_xlpm.val*$H99,""))</f>
        <v/>
      </c>
      <c r="N99" s="6" t="str">
        <f>_xlfn.LET(
_xlpm.rowNo, MATCH($C99&amp;"|"&amp;
($F99+N$4),Raw_Fund!$A:$A,0),
_xlpm.colNo,
MATCH(N$3,Raw_Fund!$E$1:$AZ$1,0),
_xlpm.val,
INDEX(Raw_Fund!$E:$AZ,_xlpm.rowNo,_xlpm.colNo),
IF(ISNUMBER(_xlpm.val),_xlpm.val*$H99,""))</f>
        <v/>
      </c>
      <c r="O99" s="6" t="str">
        <f>_xlfn.LET(
_xlpm.rowNo, MATCH($C99&amp;"|"&amp;
($F99+O$4),Raw_Fund!$A:$A,0),
_xlpm.colNo,
MATCH(O$3,Raw_Fund!$E$1:$AZ$1,0),
_xlpm.val,
INDEX(Raw_Fund!$E:$AZ,_xlpm.rowNo,_xlpm.colNo),
IF(ISNUMBER(_xlpm.val),_xlpm.val*$H99,""))</f>
        <v/>
      </c>
      <c r="P99" s="6" t="str">
        <f>_xlfn.LET(
_xlpm.rowNo, MATCH($C99&amp;"|"&amp;
($F99+P$4),Raw_Fund!$A:$A,0),
_xlpm.colNo,
MATCH(P$3,Raw_Fund!$E$1:$AZ$1,0),
_xlpm.val,
INDEX(Raw_Fund!$E:$AZ,_xlpm.rowNo,_xlpm.colNo),
IF(ISNUMBER(_xlpm.val),_xlpm.val*$H99,""))</f>
        <v/>
      </c>
      <c r="Q99" s="6" t="str">
        <f>_xlfn.LET(
_xlpm.rowNo, MATCH($C99&amp;"|"&amp;
($F99+Q$4),Raw_Fund!$A:$A,0),
_xlpm.colNo,
MATCH(Q$3,Raw_Fund!$E$1:$AZ$1,0),
_xlpm.val,
INDEX(Raw_Fund!$E:$AZ,_xlpm.rowNo,_xlpm.colNo),
IF(ISNUMBER(_xlpm.val),_xlpm.val*$H99,""))</f>
        <v/>
      </c>
      <c r="R99" s="6" t="str">
        <f>_xlfn.LET(
_xlpm.rowNo, MATCH($C99&amp;"|"&amp;
($F99+R$4),Raw_Fund!$A:$A,0),
_xlpm.colNo,
MATCH(R$3,Raw_Fund!$E$1:$AZ$1,0),
_xlpm.val,
INDEX(Raw_Fund!$E:$AZ,_xlpm.rowNo,_xlpm.colNo),
IF(ISNUMBER(_xlpm.val),_xlpm.val*$H99,""))</f>
        <v/>
      </c>
      <c r="S99" s="6" t="str">
        <f>_xlfn.LET(
_xlpm.rowNo, MATCH($C99&amp;"|"&amp;
($F99+S$4),Raw_Fund!$A:$A,0),
_xlpm.colNo,
MATCH(S$3,Raw_Fund!$E$1:$AZ$1,0),
_xlpm.val,
INDEX(Raw_Fund!$E:$AZ,_xlpm.rowNo,_xlpm.colNo),
IF(ISNUMBER(_xlpm.val),_xlpm.val*$H99,""))</f>
        <v/>
      </c>
      <c r="T99" s="6" t="str">
        <f>_xlfn.LET(
_xlpm.rowNo, MATCH($C99&amp;"|"&amp;
($F99+T$4),Raw_Fund!$A:$A,0),
_xlpm.colNo,
MATCH(T$3,Raw_Fund!$E$1:$AZ$1,0),
_xlpm.val,
INDEX(Raw_Fund!$E:$AZ,_xlpm.rowNo,_xlpm.colNo),
IF(ISNUMBER(_xlpm.val),_xlpm.val*$H99,""))</f>
        <v/>
      </c>
      <c r="U99" s="6" t="str">
        <f>_xlfn.LET(
_xlpm.rowNo, MATCH($C99&amp;"|"&amp;
($F99+U$4),Raw_Fund!$A:$A,0),
_xlpm.colNo,
MATCH(U$3,Raw_Fund!$E$1:$AZ$1,0),
_xlpm.val,
INDEX(Raw_Fund!$E:$AZ,_xlpm.rowNo,_xlpm.colNo),
IF(ISNUMBER(_xlpm.val),_xlpm.val*$H99,""))</f>
        <v/>
      </c>
      <c r="V99" s="6" t="str">
        <f>_xlfn.LET(
_xlpm.rowNo, MATCH($C99&amp;"|"&amp;
($F99+V$4),Raw_Fund!$A:$A,0),
_xlpm.colNo,
MATCH(V$3,Raw_Fund!$E$1:$AZ$1,0),
_xlpm.val,
INDEX(Raw_Fund!$E:$AZ,_xlpm.rowNo,_xlpm.colNo),
IF(ISNUMBER(_xlpm.val),_xlpm.val*$H99,""))</f>
        <v/>
      </c>
      <c r="W99" s="6" t="str">
        <f>_xlfn.LET(
_xlpm.rowNo, MATCH($C99&amp;"|"&amp;
($F99+W$4),Raw_Fund!$A:$A,0),
_xlpm.colNo,
MATCH(W$3,Raw_Fund!$E$1:$AZ$1,0),
_xlpm.val,
INDEX(Raw_Fund!$E:$AZ,_xlpm.rowNo,_xlpm.colNo),
IF(ISNUMBER(_xlpm.val),_xlpm.val*$H99,""))</f>
        <v/>
      </c>
      <c r="X99" s="6" t="str">
        <f>_xlfn.LET(
_xlpm.rowNo, MATCH($C99&amp;"|"&amp;
($F99+X$4),Raw_Fund!$A:$A,0),
_xlpm.colNo,
MATCH(X$3,Raw_Fund!$E$1:$AZ$1,0),
_xlpm.val,
INDEX(Raw_Fund!$E:$AZ,_xlpm.rowNo,_xlpm.colNo),
IF(ISNUMBER(_xlpm.val),_xlpm.val*$H99,""))</f>
        <v/>
      </c>
      <c r="Y99" s="6" t="str">
        <f>_xlfn.LET(
_xlpm.rowNo, MATCH($C99&amp;"|"&amp;
($F99+Y$4),Raw_Fund!$A:$A,0),
_xlpm.colNo,
MATCH(Y$3,Raw_Fund!$E$1:$AZ$1,0),
_xlpm.val,
INDEX(Raw_Fund!$E:$AZ,_xlpm.rowNo,_xlpm.colNo),
IF(ISNUMBER(_xlpm.val),_xlpm.val*$H99,""))</f>
        <v/>
      </c>
      <c r="Z99" s="6" t="e">
        <f>IF($E99&lt;&gt;"Include","",_xlfn.XLOOKUP($C99,Raw_Mkt!$A:$A,Raw_Mkt!$B:$B))</f>
        <v>#N/A</v>
      </c>
    </row>
    <row r="100" spans="1:26" x14ac:dyDescent="0.4">
      <c r="A100" t="str">
        <f>IF(Universe!A100&lt;&gt;"",Universe!A100,"")</f>
        <v>HVPE</v>
      </c>
      <c r="B100" t="str">
        <f>IF(Universe!B100&lt;&gt;"",Universe!B100,"")</f>
        <v>HarbourVest Global Private Equity</v>
      </c>
      <c r="C100" t="str">
        <f>IF(Universe!C100&lt;&gt;"",Universe!C100,"")</f>
        <v>GG00BR30MJ80</v>
      </c>
      <c r="D100" t="str">
        <f>IF(Universe!D100&lt;&gt;"",Universe!D100,"")</f>
        <v>Financials</v>
      </c>
      <c r="E100" t="str">
        <f>Universe!G100</f>
        <v>Exclude</v>
      </c>
      <c r="F100" t="str">
        <f>IF($E100&lt;&gt;"Include","",_xlfn.LET(_xlpm.latest,_xlfn.MAXIFS(Raw_Fund!$C:$C,Raw_Fund!$B:$B,Data!$C100),IF(_xlpm.latest=0,"",_xlpm.latest)))</f>
        <v/>
      </c>
      <c r="G100" t="str">
        <f>IF($F100="","",INDEX(Raw_Fund!$E:$AZ,MATCH($C100&amp;"|"&amp;$F100,Raw_Fund!$A:$A,0),MATCH(G$3,Raw_Fund!$E$1:$AZ$1,0)))</f>
        <v/>
      </c>
      <c r="H100" t="str">
        <f t="shared" si="1"/>
        <v/>
      </c>
      <c r="I100" s="6" t="str">
        <f>_xlfn.LET(
_xlpm.rowNo, MATCH($C100&amp;"|"&amp;
($F100+I$4),Raw_Fund!$A:$A,0),
_xlpm.colNo,
MATCH(I$3,Raw_Fund!$E$1:$AZ$1,0),
_xlpm.val,
INDEX(Raw_Fund!$E:$AZ,_xlpm.rowNo,_xlpm.colNo),
IF(ISNUMBER(_xlpm.val),_xlpm.val*$H100,""))</f>
        <v/>
      </c>
      <c r="J100" s="6" t="str">
        <f>_xlfn.LET(
_xlpm.rowNo, MATCH($C100&amp;"|"&amp;
($F100+J$4),Raw_Fund!$A:$A,0),
_xlpm.colNo,
MATCH(J$3,Raw_Fund!$E$1:$AZ$1,0),
_xlpm.val,
INDEX(Raw_Fund!$E:$AZ,_xlpm.rowNo,_xlpm.colNo),
IF(ISNUMBER(_xlpm.val),_xlpm.val*$H100,""))</f>
        <v/>
      </c>
      <c r="K100" s="6" t="str">
        <f>_xlfn.LET(
_xlpm.rowNo, MATCH($C100&amp;"|"&amp;
($F100+K$4),Raw_Fund!$A:$A,0),
_xlpm.colNo,
MATCH(K$3,Raw_Fund!$E$1:$AZ$1,0),
_xlpm.val,
INDEX(Raw_Fund!$E:$AZ,_xlpm.rowNo,_xlpm.colNo),
IF(ISNUMBER(_xlpm.val),_xlpm.val*$H100,""))</f>
        <v/>
      </c>
      <c r="L100" s="6" t="str">
        <f>_xlfn.LET(
_xlpm.rowNo, MATCH($C100&amp;"|"&amp;
($F100+L$4),Raw_Fund!$A:$A,0),
_xlpm.colNo,
MATCH(L$3,Raw_Fund!$E$1:$AZ$1,0),
_xlpm.val,
INDEX(Raw_Fund!$E:$AZ,_xlpm.rowNo,_xlpm.colNo),
IF(ISNUMBER(_xlpm.val),_xlpm.val*$H100,""))</f>
        <v/>
      </c>
      <c r="M100" s="6" t="str">
        <f>_xlfn.LET(
_xlpm.rowNo, MATCH($C100&amp;"|"&amp;
($F100+M$4),Raw_Fund!$A:$A,0),
_xlpm.colNo,
MATCH(M$3,Raw_Fund!$E$1:$AZ$1,0),
_xlpm.val,
INDEX(Raw_Fund!$E:$AZ,_xlpm.rowNo,_xlpm.colNo),
IF(ISNUMBER(_xlpm.val),_xlpm.val*$H100,""))</f>
        <v/>
      </c>
      <c r="N100" s="6" t="str">
        <f>_xlfn.LET(
_xlpm.rowNo, MATCH($C100&amp;"|"&amp;
($F100+N$4),Raw_Fund!$A:$A,0),
_xlpm.colNo,
MATCH(N$3,Raw_Fund!$E$1:$AZ$1,0),
_xlpm.val,
INDEX(Raw_Fund!$E:$AZ,_xlpm.rowNo,_xlpm.colNo),
IF(ISNUMBER(_xlpm.val),_xlpm.val*$H100,""))</f>
        <v/>
      </c>
      <c r="O100" s="6" t="str">
        <f>_xlfn.LET(
_xlpm.rowNo, MATCH($C100&amp;"|"&amp;
($F100+O$4),Raw_Fund!$A:$A,0),
_xlpm.colNo,
MATCH(O$3,Raw_Fund!$E$1:$AZ$1,0),
_xlpm.val,
INDEX(Raw_Fund!$E:$AZ,_xlpm.rowNo,_xlpm.colNo),
IF(ISNUMBER(_xlpm.val),_xlpm.val*$H100,""))</f>
        <v/>
      </c>
      <c r="P100" s="6" t="str">
        <f>_xlfn.LET(
_xlpm.rowNo, MATCH($C100&amp;"|"&amp;
($F100+P$4),Raw_Fund!$A:$A,0),
_xlpm.colNo,
MATCH(P$3,Raw_Fund!$E$1:$AZ$1,0),
_xlpm.val,
INDEX(Raw_Fund!$E:$AZ,_xlpm.rowNo,_xlpm.colNo),
IF(ISNUMBER(_xlpm.val),_xlpm.val*$H100,""))</f>
        <v/>
      </c>
      <c r="Q100" s="6" t="str">
        <f>_xlfn.LET(
_xlpm.rowNo, MATCH($C100&amp;"|"&amp;
($F100+Q$4),Raw_Fund!$A:$A,0),
_xlpm.colNo,
MATCH(Q$3,Raw_Fund!$E$1:$AZ$1,0),
_xlpm.val,
INDEX(Raw_Fund!$E:$AZ,_xlpm.rowNo,_xlpm.colNo),
IF(ISNUMBER(_xlpm.val),_xlpm.val*$H100,""))</f>
        <v/>
      </c>
      <c r="R100" s="6" t="str">
        <f>_xlfn.LET(
_xlpm.rowNo, MATCH($C100&amp;"|"&amp;
($F100+R$4),Raw_Fund!$A:$A,0),
_xlpm.colNo,
MATCH(R$3,Raw_Fund!$E$1:$AZ$1,0),
_xlpm.val,
INDEX(Raw_Fund!$E:$AZ,_xlpm.rowNo,_xlpm.colNo),
IF(ISNUMBER(_xlpm.val),_xlpm.val*$H100,""))</f>
        <v/>
      </c>
      <c r="S100" s="6" t="str">
        <f>_xlfn.LET(
_xlpm.rowNo, MATCH($C100&amp;"|"&amp;
($F100+S$4),Raw_Fund!$A:$A,0),
_xlpm.colNo,
MATCH(S$3,Raw_Fund!$E$1:$AZ$1,0),
_xlpm.val,
INDEX(Raw_Fund!$E:$AZ,_xlpm.rowNo,_xlpm.colNo),
IF(ISNUMBER(_xlpm.val),_xlpm.val*$H100,""))</f>
        <v/>
      </c>
      <c r="T100" s="6" t="str">
        <f>_xlfn.LET(
_xlpm.rowNo, MATCH($C100&amp;"|"&amp;
($F100+T$4),Raw_Fund!$A:$A,0),
_xlpm.colNo,
MATCH(T$3,Raw_Fund!$E$1:$AZ$1,0),
_xlpm.val,
INDEX(Raw_Fund!$E:$AZ,_xlpm.rowNo,_xlpm.colNo),
IF(ISNUMBER(_xlpm.val),_xlpm.val*$H100,""))</f>
        <v/>
      </c>
      <c r="U100" s="6" t="str">
        <f>_xlfn.LET(
_xlpm.rowNo, MATCH($C100&amp;"|"&amp;
($F100+U$4),Raw_Fund!$A:$A,0),
_xlpm.colNo,
MATCH(U$3,Raw_Fund!$E$1:$AZ$1,0),
_xlpm.val,
INDEX(Raw_Fund!$E:$AZ,_xlpm.rowNo,_xlpm.colNo),
IF(ISNUMBER(_xlpm.val),_xlpm.val*$H100,""))</f>
        <v/>
      </c>
      <c r="V100" s="6" t="str">
        <f>_xlfn.LET(
_xlpm.rowNo, MATCH($C100&amp;"|"&amp;
($F100+V$4),Raw_Fund!$A:$A,0),
_xlpm.colNo,
MATCH(V$3,Raw_Fund!$E$1:$AZ$1,0),
_xlpm.val,
INDEX(Raw_Fund!$E:$AZ,_xlpm.rowNo,_xlpm.colNo),
IF(ISNUMBER(_xlpm.val),_xlpm.val*$H100,""))</f>
        <v/>
      </c>
      <c r="W100" s="6" t="str">
        <f>_xlfn.LET(
_xlpm.rowNo, MATCH($C100&amp;"|"&amp;
($F100+W$4),Raw_Fund!$A:$A,0),
_xlpm.colNo,
MATCH(W$3,Raw_Fund!$E$1:$AZ$1,0),
_xlpm.val,
INDEX(Raw_Fund!$E:$AZ,_xlpm.rowNo,_xlpm.colNo),
IF(ISNUMBER(_xlpm.val),_xlpm.val*$H100,""))</f>
        <v/>
      </c>
      <c r="X100" s="6" t="str">
        <f>_xlfn.LET(
_xlpm.rowNo, MATCH($C100&amp;"|"&amp;
($F100+X$4),Raw_Fund!$A:$A,0),
_xlpm.colNo,
MATCH(X$3,Raw_Fund!$E$1:$AZ$1,0),
_xlpm.val,
INDEX(Raw_Fund!$E:$AZ,_xlpm.rowNo,_xlpm.colNo),
IF(ISNUMBER(_xlpm.val),_xlpm.val*$H100,""))</f>
        <v/>
      </c>
      <c r="Y100" s="6" t="str">
        <f>_xlfn.LET(
_xlpm.rowNo, MATCH($C100&amp;"|"&amp;
($F100+Y$4),Raw_Fund!$A:$A,0),
_xlpm.colNo,
MATCH(Y$3,Raw_Fund!$E$1:$AZ$1,0),
_xlpm.val,
INDEX(Raw_Fund!$E:$AZ,_xlpm.rowNo,_xlpm.colNo),
IF(ISNUMBER(_xlpm.val),_xlpm.val*$H100,""))</f>
        <v/>
      </c>
      <c r="Z100" s="6" t="str">
        <f>IF($E100&lt;&gt;"Include","",_xlfn.XLOOKUP($C100,Raw_Mkt!$A:$A,Raw_Mkt!$B:$B))</f>
        <v/>
      </c>
    </row>
    <row r="101" spans="1:26" x14ac:dyDescent="0.4">
      <c r="A101" t="str">
        <f>IF(Universe!A101&lt;&gt;"",Universe!A101,"")</f>
        <v>HWG</v>
      </c>
      <c r="B101" t="str">
        <f>IF(Universe!B101&lt;&gt;"",Universe!B101,"")</f>
        <v>Harworth Group</v>
      </c>
      <c r="C101" t="str">
        <f>IF(Universe!C101&lt;&gt;"",Universe!C101,"")</f>
        <v>GB00BYZJ7G42</v>
      </c>
      <c r="D101" t="str">
        <f>IF(Universe!D101&lt;&gt;"",Universe!D101,"")</f>
        <v>Real Estate</v>
      </c>
      <c r="E101" t="str">
        <f>Universe!G101</f>
        <v>Exclude</v>
      </c>
      <c r="F101" t="str">
        <f>IF($E101&lt;&gt;"Include","",_xlfn.LET(_xlpm.latest,_xlfn.MAXIFS(Raw_Fund!$C:$C,Raw_Fund!$B:$B,Data!$C101),IF(_xlpm.latest=0,"",_xlpm.latest)))</f>
        <v/>
      </c>
      <c r="G101" t="str">
        <f>IF($F101="","",INDEX(Raw_Fund!$E:$AZ,MATCH($C101&amp;"|"&amp;$F101,Raw_Fund!$A:$A,0),MATCH(G$3,Raw_Fund!$E$1:$AZ$1,0)))</f>
        <v/>
      </c>
      <c r="H101" t="str">
        <f t="shared" si="1"/>
        <v/>
      </c>
      <c r="I101" s="6" t="str">
        <f>_xlfn.LET(
_xlpm.rowNo, MATCH($C101&amp;"|"&amp;
($F101+I$4),Raw_Fund!$A:$A,0),
_xlpm.colNo,
MATCH(I$3,Raw_Fund!$E$1:$AZ$1,0),
_xlpm.val,
INDEX(Raw_Fund!$E:$AZ,_xlpm.rowNo,_xlpm.colNo),
IF(ISNUMBER(_xlpm.val),_xlpm.val*$H101,""))</f>
        <v/>
      </c>
      <c r="J101" s="6" t="str">
        <f>_xlfn.LET(
_xlpm.rowNo, MATCH($C101&amp;"|"&amp;
($F101+J$4),Raw_Fund!$A:$A,0),
_xlpm.colNo,
MATCH(J$3,Raw_Fund!$E$1:$AZ$1,0),
_xlpm.val,
INDEX(Raw_Fund!$E:$AZ,_xlpm.rowNo,_xlpm.colNo),
IF(ISNUMBER(_xlpm.val),_xlpm.val*$H101,""))</f>
        <v/>
      </c>
      <c r="K101" s="6" t="str">
        <f>_xlfn.LET(
_xlpm.rowNo, MATCH($C101&amp;"|"&amp;
($F101+K$4),Raw_Fund!$A:$A,0),
_xlpm.colNo,
MATCH(K$3,Raw_Fund!$E$1:$AZ$1,0),
_xlpm.val,
INDEX(Raw_Fund!$E:$AZ,_xlpm.rowNo,_xlpm.colNo),
IF(ISNUMBER(_xlpm.val),_xlpm.val*$H101,""))</f>
        <v/>
      </c>
      <c r="L101" s="6" t="str">
        <f>_xlfn.LET(
_xlpm.rowNo, MATCH($C101&amp;"|"&amp;
($F101+L$4),Raw_Fund!$A:$A,0),
_xlpm.colNo,
MATCH(L$3,Raw_Fund!$E$1:$AZ$1,0),
_xlpm.val,
INDEX(Raw_Fund!$E:$AZ,_xlpm.rowNo,_xlpm.colNo),
IF(ISNUMBER(_xlpm.val),_xlpm.val*$H101,""))</f>
        <v/>
      </c>
      <c r="M101" s="6" t="str">
        <f>_xlfn.LET(
_xlpm.rowNo, MATCH($C101&amp;"|"&amp;
($F101+M$4),Raw_Fund!$A:$A,0),
_xlpm.colNo,
MATCH(M$3,Raw_Fund!$E$1:$AZ$1,0),
_xlpm.val,
INDEX(Raw_Fund!$E:$AZ,_xlpm.rowNo,_xlpm.colNo),
IF(ISNUMBER(_xlpm.val),_xlpm.val*$H101,""))</f>
        <v/>
      </c>
      <c r="N101" s="6" t="str">
        <f>_xlfn.LET(
_xlpm.rowNo, MATCH($C101&amp;"|"&amp;
($F101+N$4),Raw_Fund!$A:$A,0),
_xlpm.colNo,
MATCH(N$3,Raw_Fund!$E$1:$AZ$1,0),
_xlpm.val,
INDEX(Raw_Fund!$E:$AZ,_xlpm.rowNo,_xlpm.colNo),
IF(ISNUMBER(_xlpm.val),_xlpm.val*$H101,""))</f>
        <v/>
      </c>
      <c r="O101" s="6" t="str">
        <f>_xlfn.LET(
_xlpm.rowNo, MATCH($C101&amp;"|"&amp;
($F101+O$4),Raw_Fund!$A:$A,0),
_xlpm.colNo,
MATCH(O$3,Raw_Fund!$E$1:$AZ$1,0),
_xlpm.val,
INDEX(Raw_Fund!$E:$AZ,_xlpm.rowNo,_xlpm.colNo),
IF(ISNUMBER(_xlpm.val),_xlpm.val*$H101,""))</f>
        <v/>
      </c>
      <c r="P101" s="6" t="str">
        <f>_xlfn.LET(
_xlpm.rowNo, MATCH($C101&amp;"|"&amp;
($F101+P$4),Raw_Fund!$A:$A,0),
_xlpm.colNo,
MATCH(P$3,Raw_Fund!$E$1:$AZ$1,0),
_xlpm.val,
INDEX(Raw_Fund!$E:$AZ,_xlpm.rowNo,_xlpm.colNo),
IF(ISNUMBER(_xlpm.val),_xlpm.val*$H101,""))</f>
        <v/>
      </c>
      <c r="Q101" s="6" t="str">
        <f>_xlfn.LET(
_xlpm.rowNo, MATCH($C101&amp;"|"&amp;
($F101+Q$4),Raw_Fund!$A:$A,0),
_xlpm.colNo,
MATCH(Q$3,Raw_Fund!$E$1:$AZ$1,0),
_xlpm.val,
INDEX(Raw_Fund!$E:$AZ,_xlpm.rowNo,_xlpm.colNo),
IF(ISNUMBER(_xlpm.val),_xlpm.val*$H101,""))</f>
        <v/>
      </c>
      <c r="R101" s="6" t="str">
        <f>_xlfn.LET(
_xlpm.rowNo, MATCH($C101&amp;"|"&amp;
($F101+R$4),Raw_Fund!$A:$A,0),
_xlpm.colNo,
MATCH(R$3,Raw_Fund!$E$1:$AZ$1,0),
_xlpm.val,
INDEX(Raw_Fund!$E:$AZ,_xlpm.rowNo,_xlpm.colNo),
IF(ISNUMBER(_xlpm.val),_xlpm.val*$H101,""))</f>
        <v/>
      </c>
      <c r="S101" s="6" t="str">
        <f>_xlfn.LET(
_xlpm.rowNo, MATCH($C101&amp;"|"&amp;
($F101+S$4),Raw_Fund!$A:$A,0),
_xlpm.colNo,
MATCH(S$3,Raw_Fund!$E$1:$AZ$1,0),
_xlpm.val,
INDEX(Raw_Fund!$E:$AZ,_xlpm.rowNo,_xlpm.colNo),
IF(ISNUMBER(_xlpm.val),_xlpm.val*$H101,""))</f>
        <v/>
      </c>
      <c r="T101" s="6" t="str">
        <f>_xlfn.LET(
_xlpm.rowNo, MATCH($C101&amp;"|"&amp;
($F101+T$4),Raw_Fund!$A:$A,0),
_xlpm.colNo,
MATCH(T$3,Raw_Fund!$E$1:$AZ$1,0),
_xlpm.val,
INDEX(Raw_Fund!$E:$AZ,_xlpm.rowNo,_xlpm.colNo),
IF(ISNUMBER(_xlpm.val),_xlpm.val*$H101,""))</f>
        <v/>
      </c>
      <c r="U101" s="6" t="str">
        <f>_xlfn.LET(
_xlpm.rowNo, MATCH($C101&amp;"|"&amp;
($F101+U$4),Raw_Fund!$A:$A,0),
_xlpm.colNo,
MATCH(U$3,Raw_Fund!$E$1:$AZ$1,0),
_xlpm.val,
INDEX(Raw_Fund!$E:$AZ,_xlpm.rowNo,_xlpm.colNo),
IF(ISNUMBER(_xlpm.val),_xlpm.val*$H101,""))</f>
        <v/>
      </c>
      <c r="V101" s="6" t="str">
        <f>_xlfn.LET(
_xlpm.rowNo, MATCH($C101&amp;"|"&amp;
($F101+V$4),Raw_Fund!$A:$A,0),
_xlpm.colNo,
MATCH(V$3,Raw_Fund!$E$1:$AZ$1,0),
_xlpm.val,
INDEX(Raw_Fund!$E:$AZ,_xlpm.rowNo,_xlpm.colNo),
IF(ISNUMBER(_xlpm.val),_xlpm.val*$H101,""))</f>
        <v/>
      </c>
      <c r="W101" s="6" t="str">
        <f>_xlfn.LET(
_xlpm.rowNo, MATCH($C101&amp;"|"&amp;
($F101+W$4),Raw_Fund!$A:$A,0),
_xlpm.colNo,
MATCH(W$3,Raw_Fund!$E$1:$AZ$1,0),
_xlpm.val,
INDEX(Raw_Fund!$E:$AZ,_xlpm.rowNo,_xlpm.colNo),
IF(ISNUMBER(_xlpm.val),_xlpm.val*$H101,""))</f>
        <v/>
      </c>
      <c r="X101" s="6" t="str">
        <f>_xlfn.LET(
_xlpm.rowNo, MATCH($C101&amp;"|"&amp;
($F101+X$4),Raw_Fund!$A:$A,0),
_xlpm.colNo,
MATCH(X$3,Raw_Fund!$E$1:$AZ$1,0),
_xlpm.val,
INDEX(Raw_Fund!$E:$AZ,_xlpm.rowNo,_xlpm.colNo),
IF(ISNUMBER(_xlpm.val),_xlpm.val*$H101,""))</f>
        <v/>
      </c>
      <c r="Y101" s="6" t="str">
        <f>_xlfn.LET(
_xlpm.rowNo, MATCH($C101&amp;"|"&amp;
($F101+Y$4),Raw_Fund!$A:$A,0),
_xlpm.colNo,
MATCH(Y$3,Raw_Fund!$E$1:$AZ$1,0),
_xlpm.val,
INDEX(Raw_Fund!$E:$AZ,_xlpm.rowNo,_xlpm.colNo),
IF(ISNUMBER(_xlpm.val),_xlpm.val*$H101,""))</f>
        <v/>
      </c>
      <c r="Z101" s="6" t="str">
        <f>IF($E101&lt;&gt;"Include","",_xlfn.XLOOKUP($C101,Raw_Mkt!$A:$A,Raw_Mkt!$B:$B))</f>
        <v/>
      </c>
    </row>
    <row r="102" spans="1:26" x14ac:dyDescent="0.4">
      <c r="A102" t="str">
        <f>IF(Universe!A102&lt;&gt;"",Universe!A102,"")</f>
        <v>HAS</v>
      </c>
      <c r="B102" t="str">
        <f>IF(Universe!B102&lt;&gt;"",Universe!B102,"")</f>
        <v>Hays</v>
      </c>
      <c r="C102" t="str">
        <f>IF(Universe!C102&lt;&gt;"",Universe!C102,"")</f>
        <v>GB0004161021</v>
      </c>
      <c r="D102" t="str">
        <f>IF(Universe!D102&lt;&gt;"",Universe!D102,"")</f>
        <v>Industrials</v>
      </c>
      <c r="E102" t="str">
        <f>Universe!G102</f>
        <v>Include</v>
      </c>
      <c r="F102" t="str">
        <f>IF($E102&lt;&gt;"Include","",_xlfn.LET(_xlpm.latest,_xlfn.MAXIFS(Raw_Fund!$C:$C,Raw_Fund!$B:$B,Data!$C102),IF(_xlpm.latest=0,"",_xlpm.latest)))</f>
        <v/>
      </c>
      <c r="G102" t="str">
        <f>IF($F102="","",INDEX(Raw_Fund!$E:$AZ,MATCH($C102&amp;"|"&amp;$F102,Raw_Fund!$A:$A,0),MATCH(G$3,Raw_Fund!$E$1:$AZ$1,0)))</f>
        <v/>
      </c>
      <c r="H102" t="str">
        <f t="shared" si="1"/>
        <v/>
      </c>
      <c r="I102" s="6" t="str">
        <f>_xlfn.LET(
_xlpm.rowNo, MATCH($C102&amp;"|"&amp;
($F102+I$4),Raw_Fund!$A:$A,0),
_xlpm.colNo,
MATCH(I$3,Raw_Fund!$E$1:$AZ$1,0),
_xlpm.val,
INDEX(Raw_Fund!$E:$AZ,_xlpm.rowNo,_xlpm.colNo),
IF(ISNUMBER(_xlpm.val),_xlpm.val*$H102,""))</f>
        <v/>
      </c>
      <c r="J102" s="6" t="str">
        <f>_xlfn.LET(
_xlpm.rowNo, MATCH($C102&amp;"|"&amp;
($F102+J$4),Raw_Fund!$A:$A,0),
_xlpm.colNo,
MATCH(J$3,Raw_Fund!$E$1:$AZ$1,0),
_xlpm.val,
INDEX(Raw_Fund!$E:$AZ,_xlpm.rowNo,_xlpm.colNo),
IF(ISNUMBER(_xlpm.val),_xlpm.val*$H102,""))</f>
        <v/>
      </c>
      <c r="K102" s="6" t="str">
        <f>_xlfn.LET(
_xlpm.rowNo, MATCH($C102&amp;"|"&amp;
($F102+K$4),Raw_Fund!$A:$A,0),
_xlpm.colNo,
MATCH(K$3,Raw_Fund!$E$1:$AZ$1,0),
_xlpm.val,
INDEX(Raw_Fund!$E:$AZ,_xlpm.rowNo,_xlpm.colNo),
IF(ISNUMBER(_xlpm.val),_xlpm.val*$H102,""))</f>
        <v/>
      </c>
      <c r="L102" s="6" t="str">
        <f>_xlfn.LET(
_xlpm.rowNo, MATCH($C102&amp;"|"&amp;
($F102+L$4),Raw_Fund!$A:$A,0),
_xlpm.colNo,
MATCH(L$3,Raw_Fund!$E$1:$AZ$1,0),
_xlpm.val,
INDEX(Raw_Fund!$E:$AZ,_xlpm.rowNo,_xlpm.colNo),
IF(ISNUMBER(_xlpm.val),_xlpm.val*$H102,""))</f>
        <v/>
      </c>
      <c r="M102" s="6" t="str">
        <f>_xlfn.LET(
_xlpm.rowNo, MATCH($C102&amp;"|"&amp;
($F102+M$4),Raw_Fund!$A:$A,0),
_xlpm.colNo,
MATCH(M$3,Raw_Fund!$E$1:$AZ$1,0),
_xlpm.val,
INDEX(Raw_Fund!$E:$AZ,_xlpm.rowNo,_xlpm.colNo),
IF(ISNUMBER(_xlpm.val),_xlpm.val*$H102,""))</f>
        <v/>
      </c>
      <c r="N102" s="6" t="str">
        <f>_xlfn.LET(
_xlpm.rowNo, MATCH($C102&amp;"|"&amp;
($F102+N$4),Raw_Fund!$A:$A,0),
_xlpm.colNo,
MATCH(N$3,Raw_Fund!$E$1:$AZ$1,0),
_xlpm.val,
INDEX(Raw_Fund!$E:$AZ,_xlpm.rowNo,_xlpm.colNo),
IF(ISNUMBER(_xlpm.val),_xlpm.val*$H102,""))</f>
        <v/>
      </c>
      <c r="O102" s="6" t="str">
        <f>_xlfn.LET(
_xlpm.rowNo, MATCH($C102&amp;"|"&amp;
($F102+O$4),Raw_Fund!$A:$A,0),
_xlpm.colNo,
MATCH(O$3,Raw_Fund!$E$1:$AZ$1,0),
_xlpm.val,
INDEX(Raw_Fund!$E:$AZ,_xlpm.rowNo,_xlpm.colNo),
IF(ISNUMBER(_xlpm.val),_xlpm.val*$H102,""))</f>
        <v/>
      </c>
      <c r="P102" s="6" t="str">
        <f>_xlfn.LET(
_xlpm.rowNo, MATCH($C102&amp;"|"&amp;
($F102+P$4),Raw_Fund!$A:$A,0),
_xlpm.colNo,
MATCH(P$3,Raw_Fund!$E$1:$AZ$1,0),
_xlpm.val,
INDEX(Raw_Fund!$E:$AZ,_xlpm.rowNo,_xlpm.colNo),
IF(ISNUMBER(_xlpm.val),_xlpm.val*$H102,""))</f>
        <v/>
      </c>
      <c r="Q102" s="6" t="str">
        <f>_xlfn.LET(
_xlpm.rowNo, MATCH($C102&amp;"|"&amp;
($F102+Q$4),Raw_Fund!$A:$A,0),
_xlpm.colNo,
MATCH(Q$3,Raw_Fund!$E$1:$AZ$1,0),
_xlpm.val,
INDEX(Raw_Fund!$E:$AZ,_xlpm.rowNo,_xlpm.colNo),
IF(ISNUMBER(_xlpm.val),_xlpm.val*$H102,""))</f>
        <v/>
      </c>
      <c r="R102" s="6" t="str">
        <f>_xlfn.LET(
_xlpm.rowNo, MATCH($C102&amp;"|"&amp;
($F102+R$4),Raw_Fund!$A:$A,0),
_xlpm.colNo,
MATCH(R$3,Raw_Fund!$E$1:$AZ$1,0),
_xlpm.val,
INDEX(Raw_Fund!$E:$AZ,_xlpm.rowNo,_xlpm.colNo),
IF(ISNUMBER(_xlpm.val),_xlpm.val*$H102,""))</f>
        <v/>
      </c>
      <c r="S102" s="6" t="str">
        <f>_xlfn.LET(
_xlpm.rowNo, MATCH($C102&amp;"|"&amp;
($F102+S$4),Raw_Fund!$A:$A,0),
_xlpm.colNo,
MATCH(S$3,Raw_Fund!$E$1:$AZ$1,0),
_xlpm.val,
INDEX(Raw_Fund!$E:$AZ,_xlpm.rowNo,_xlpm.colNo),
IF(ISNUMBER(_xlpm.val),_xlpm.val*$H102,""))</f>
        <v/>
      </c>
      <c r="T102" s="6" t="str">
        <f>_xlfn.LET(
_xlpm.rowNo, MATCH($C102&amp;"|"&amp;
($F102+T$4),Raw_Fund!$A:$A,0),
_xlpm.colNo,
MATCH(T$3,Raw_Fund!$E$1:$AZ$1,0),
_xlpm.val,
INDEX(Raw_Fund!$E:$AZ,_xlpm.rowNo,_xlpm.colNo),
IF(ISNUMBER(_xlpm.val),_xlpm.val*$H102,""))</f>
        <v/>
      </c>
      <c r="U102" s="6" t="str">
        <f>_xlfn.LET(
_xlpm.rowNo, MATCH($C102&amp;"|"&amp;
($F102+U$4),Raw_Fund!$A:$A,0),
_xlpm.colNo,
MATCH(U$3,Raw_Fund!$E$1:$AZ$1,0),
_xlpm.val,
INDEX(Raw_Fund!$E:$AZ,_xlpm.rowNo,_xlpm.colNo),
IF(ISNUMBER(_xlpm.val),_xlpm.val*$H102,""))</f>
        <v/>
      </c>
      <c r="V102" s="6" t="str">
        <f>_xlfn.LET(
_xlpm.rowNo, MATCH($C102&amp;"|"&amp;
($F102+V$4),Raw_Fund!$A:$A,0),
_xlpm.colNo,
MATCH(V$3,Raw_Fund!$E$1:$AZ$1,0),
_xlpm.val,
INDEX(Raw_Fund!$E:$AZ,_xlpm.rowNo,_xlpm.colNo),
IF(ISNUMBER(_xlpm.val),_xlpm.val*$H102,""))</f>
        <v/>
      </c>
      <c r="W102" s="6" t="str">
        <f>_xlfn.LET(
_xlpm.rowNo, MATCH($C102&amp;"|"&amp;
($F102+W$4),Raw_Fund!$A:$A,0),
_xlpm.colNo,
MATCH(W$3,Raw_Fund!$E$1:$AZ$1,0),
_xlpm.val,
INDEX(Raw_Fund!$E:$AZ,_xlpm.rowNo,_xlpm.colNo),
IF(ISNUMBER(_xlpm.val),_xlpm.val*$H102,""))</f>
        <v/>
      </c>
      <c r="X102" s="6" t="str">
        <f>_xlfn.LET(
_xlpm.rowNo, MATCH($C102&amp;"|"&amp;
($F102+X$4),Raw_Fund!$A:$A,0),
_xlpm.colNo,
MATCH(X$3,Raw_Fund!$E$1:$AZ$1,0),
_xlpm.val,
INDEX(Raw_Fund!$E:$AZ,_xlpm.rowNo,_xlpm.colNo),
IF(ISNUMBER(_xlpm.val),_xlpm.val*$H102,""))</f>
        <v/>
      </c>
      <c r="Y102" s="6" t="str">
        <f>_xlfn.LET(
_xlpm.rowNo, MATCH($C102&amp;"|"&amp;
($F102+Y$4),Raw_Fund!$A:$A,0),
_xlpm.colNo,
MATCH(Y$3,Raw_Fund!$E$1:$AZ$1,0),
_xlpm.val,
INDEX(Raw_Fund!$E:$AZ,_xlpm.rowNo,_xlpm.colNo),
IF(ISNUMBER(_xlpm.val),_xlpm.val*$H102,""))</f>
        <v/>
      </c>
      <c r="Z102" s="6" t="e">
        <f>IF($E102&lt;&gt;"Include","",_xlfn.XLOOKUP($C102,Raw_Mkt!$A:$A,Raw_Mkt!$B:$B))</f>
        <v>#N/A</v>
      </c>
    </row>
    <row r="103" spans="1:26" x14ac:dyDescent="0.4">
      <c r="A103" t="str">
        <f>IF(Universe!A103&lt;&gt;"",Universe!A103,"")</f>
        <v>HTWS</v>
      </c>
      <c r="B103" t="str">
        <f>IF(Universe!B103&lt;&gt;"",Universe!B103,"")</f>
        <v>Helios Towers</v>
      </c>
      <c r="C103" t="str">
        <f>IF(Universe!C103&lt;&gt;"",Universe!C103,"")</f>
        <v>GB00BJVQC708</v>
      </c>
      <c r="D103" t="str">
        <f>IF(Universe!D103&lt;&gt;"",Universe!D103,"")</f>
        <v>Telecommunications</v>
      </c>
      <c r="E103" t="str">
        <f>Universe!G103</f>
        <v>Include</v>
      </c>
      <c r="F103" t="str">
        <f>IF($E103&lt;&gt;"Include","",_xlfn.LET(_xlpm.latest,_xlfn.MAXIFS(Raw_Fund!$C:$C,Raw_Fund!$B:$B,Data!$C103),IF(_xlpm.latest=0,"",_xlpm.latest)))</f>
        <v/>
      </c>
      <c r="G103" t="str">
        <f>IF($F103="","",INDEX(Raw_Fund!$E:$AZ,MATCH($C103&amp;"|"&amp;$F103,Raw_Fund!$A:$A,0),MATCH(G$3,Raw_Fund!$E$1:$AZ$1,0)))</f>
        <v/>
      </c>
      <c r="H103" t="str">
        <f t="shared" si="1"/>
        <v/>
      </c>
      <c r="I103" s="6" t="str">
        <f>_xlfn.LET(
_xlpm.rowNo, MATCH($C103&amp;"|"&amp;
($F103+I$4),Raw_Fund!$A:$A,0),
_xlpm.colNo,
MATCH(I$3,Raw_Fund!$E$1:$AZ$1,0),
_xlpm.val,
INDEX(Raw_Fund!$E:$AZ,_xlpm.rowNo,_xlpm.colNo),
IF(ISNUMBER(_xlpm.val),_xlpm.val*$H103,""))</f>
        <v/>
      </c>
      <c r="J103" s="6" t="str">
        <f>_xlfn.LET(
_xlpm.rowNo, MATCH($C103&amp;"|"&amp;
($F103+J$4),Raw_Fund!$A:$A,0),
_xlpm.colNo,
MATCH(J$3,Raw_Fund!$E$1:$AZ$1,0),
_xlpm.val,
INDEX(Raw_Fund!$E:$AZ,_xlpm.rowNo,_xlpm.colNo),
IF(ISNUMBER(_xlpm.val),_xlpm.val*$H103,""))</f>
        <v/>
      </c>
      <c r="K103" s="6" t="str">
        <f>_xlfn.LET(
_xlpm.rowNo, MATCH($C103&amp;"|"&amp;
($F103+K$4),Raw_Fund!$A:$A,0),
_xlpm.colNo,
MATCH(K$3,Raw_Fund!$E$1:$AZ$1,0),
_xlpm.val,
INDEX(Raw_Fund!$E:$AZ,_xlpm.rowNo,_xlpm.colNo),
IF(ISNUMBER(_xlpm.val),_xlpm.val*$H103,""))</f>
        <v/>
      </c>
      <c r="L103" s="6" t="str">
        <f>_xlfn.LET(
_xlpm.rowNo, MATCH($C103&amp;"|"&amp;
($F103+L$4),Raw_Fund!$A:$A,0),
_xlpm.colNo,
MATCH(L$3,Raw_Fund!$E$1:$AZ$1,0),
_xlpm.val,
INDEX(Raw_Fund!$E:$AZ,_xlpm.rowNo,_xlpm.colNo),
IF(ISNUMBER(_xlpm.val),_xlpm.val*$H103,""))</f>
        <v/>
      </c>
      <c r="M103" s="6" t="str">
        <f>_xlfn.LET(
_xlpm.rowNo, MATCH($C103&amp;"|"&amp;
($F103+M$4),Raw_Fund!$A:$A,0),
_xlpm.colNo,
MATCH(M$3,Raw_Fund!$E$1:$AZ$1,0),
_xlpm.val,
INDEX(Raw_Fund!$E:$AZ,_xlpm.rowNo,_xlpm.colNo),
IF(ISNUMBER(_xlpm.val),_xlpm.val*$H103,""))</f>
        <v/>
      </c>
      <c r="N103" s="6" t="str">
        <f>_xlfn.LET(
_xlpm.rowNo, MATCH($C103&amp;"|"&amp;
($F103+N$4),Raw_Fund!$A:$A,0),
_xlpm.colNo,
MATCH(N$3,Raw_Fund!$E$1:$AZ$1,0),
_xlpm.val,
INDEX(Raw_Fund!$E:$AZ,_xlpm.rowNo,_xlpm.colNo),
IF(ISNUMBER(_xlpm.val),_xlpm.val*$H103,""))</f>
        <v/>
      </c>
      <c r="O103" s="6" t="str">
        <f>_xlfn.LET(
_xlpm.rowNo, MATCH($C103&amp;"|"&amp;
($F103+O$4),Raw_Fund!$A:$A,0),
_xlpm.colNo,
MATCH(O$3,Raw_Fund!$E$1:$AZ$1,0),
_xlpm.val,
INDEX(Raw_Fund!$E:$AZ,_xlpm.rowNo,_xlpm.colNo),
IF(ISNUMBER(_xlpm.val),_xlpm.val*$H103,""))</f>
        <v/>
      </c>
      <c r="P103" s="6" t="str">
        <f>_xlfn.LET(
_xlpm.rowNo, MATCH($C103&amp;"|"&amp;
($F103+P$4),Raw_Fund!$A:$A,0),
_xlpm.colNo,
MATCH(P$3,Raw_Fund!$E$1:$AZ$1,0),
_xlpm.val,
INDEX(Raw_Fund!$E:$AZ,_xlpm.rowNo,_xlpm.colNo),
IF(ISNUMBER(_xlpm.val),_xlpm.val*$H103,""))</f>
        <v/>
      </c>
      <c r="Q103" s="6" t="str">
        <f>_xlfn.LET(
_xlpm.rowNo, MATCH($C103&amp;"|"&amp;
($F103+Q$4),Raw_Fund!$A:$A,0),
_xlpm.colNo,
MATCH(Q$3,Raw_Fund!$E$1:$AZ$1,0),
_xlpm.val,
INDEX(Raw_Fund!$E:$AZ,_xlpm.rowNo,_xlpm.colNo),
IF(ISNUMBER(_xlpm.val),_xlpm.val*$H103,""))</f>
        <v/>
      </c>
      <c r="R103" s="6" t="str">
        <f>_xlfn.LET(
_xlpm.rowNo, MATCH($C103&amp;"|"&amp;
($F103+R$4),Raw_Fund!$A:$A,0),
_xlpm.colNo,
MATCH(R$3,Raw_Fund!$E$1:$AZ$1,0),
_xlpm.val,
INDEX(Raw_Fund!$E:$AZ,_xlpm.rowNo,_xlpm.colNo),
IF(ISNUMBER(_xlpm.val),_xlpm.val*$H103,""))</f>
        <v/>
      </c>
      <c r="S103" s="6" t="str">
        <f>_xlfn.LET(
_xlpm.rowNo, MATCH($C103&amp;"|"&amp;
($F103+S$4),Raw_Fund!$A:$A,0),
_xlpm.colNo,
MATCH(S$3,Raw_Fund!$E$1:$AZ$1,0),
_xlpm.val,
INDEX(Raw_Fund!$E:$AZ,_xlpm.rowNo,_xlpm.colNo),
IF(ISNUMBER(_xlpm.val),_xlpm.val*$H103,""))</f>
        <v/>
      </c>
      <c r="T103" s="6" t="str">
        <f>_xlfn.LET(
_xlpm.rowNo, MATCH($C103&amp;"|"&amp;
($F103+T$4),Raw_Fund!$A:$A,0),
_xlpm.colNo,
MATCH(T$3,Raw_Fund!$E$1:$AZ$1,0),
_xlpm.val,
INDEX(Raw_Fund!$E:$AZ,_xlpm.rowNo,_xlpm.colNo),
IF(ISNUMBER(_xlpm.val),_xlpm.val*$H103,""))</f>
        <v/>
      </c>
      <c r="U103" s="6" t="str">
        <f>_xlfn.LET(
_xlpm.rowNo, MATCH($C103&amp;"|"&amp;
($F103+U$4),Raw_Fund!$A:$A,0),
_xlpm.colNo,
MATCH(U$3,Raw_Fund!$E$1:$AZ$1,0),
_xlpm.val,
INDEX(Raw_Fund!$E:$AZ,_xlpm.rowNo,_xlpm.colNo),
IF(ISNUMBER(_xlpm.val),_xlpm.val*$H103,""))</f>
        <v/>
      </c>
      <c r="V103" s="6" t="str">
        <f>_xlfn.LET(
_xlpm.rowNo, MATCH($C103&amp;"|"&amp;
($F103+V$4),Raw_Fund!$A:$A,0),
_xlpm.colNo,
MATCH(V$3,Raw_Fund!$E$1:$AZ$1,0),
_xlpm.val,
INDEX(Raw_Fund!$E:$AZ,_xlpm.rowNo,_xlpm.colNo),
IF(ISNUMBER(_xlpm.val),_xlpm.val*$H103,""))</f>
        <v/>
      </c>
      <c r="W103" s="6" t="str">
        <f>_xlfn.LET(
_xlpm.rowNo, MATCH($C103&amp;"|"&amp;
($F103+W$4),Raw_Fund!$A:$A,0),
_xlpm.colNo,
MATCH(W$3,Raw_Fund!$E$1:$AZ$1,0),
_xlpm.val,
INDEX(Raw_Fund!$E:$AZ,_xlpm.rowNo,_xlpm.colNo),
IF(ISNUMBER(_xlpm.val),_xlpm.val*$H103,""))</f>
        <v/>
      </c>
      <c r="X103" s="6" t="str">
        <f>_xlfn.LET(
_xlpm.rowNo, MATCH($C103&amp;"|"&amp;
($F103+X$4),Raw_Fund!$A:$A,0),
_xlpm.colNo,
MATCH(X$3,Raw_Fund!$E$1:$AZ$1,0),
_xlpm.val,
INDEX(Raw_Fund!$E:$AZ,_xlpm.rowNo,_xlpm.colNo),
IF(ISNUMBER(_xlpm.val),_xlpm.val*$H103,""))</f>
        <v/>
      </c>
      <c r="Y103" s="6" t="str">
        <f>_xlfn.LET(
_xlpm.rowNo, MATCH($C103&amp;"|"&amp;
($F103+Y$4),Raw_Fund!$A:$A,0),
_xlpm.colNo,
MATCH(Y$3,Raw_Fund!$E$1:$AZ$1,0),
_xlpm.val,
INDEX(Raw_Fund!$E:$AZ,_xlpm.rowNo,_xlpm.colNo),
IF(ISNUMBER(_xlpm.val),_xlpm.val*$H103,""))</f>
        <v/>
      </c>
      <c r="Z103" s="6" t="e">
        <f>IF($E103&lt;&gt;"Include","",_xlfn.XLOOKUP($C103,Raw_Mkt!$A:$A,Raw_Mkt!$B:$B))</f>
        <v>#N/A</v>
      </c>
    </row>
    <row r="104" spans="1:26" x14ac:dyDescent="0.4">
      <c r="A104" t="str">
        <f>IF(Universe!A104&lt;&gt;"",Universe!A104,"")</f>
        <v>HFEL</v>
      </c>
      <c r="B104" t="str">
        <f>IF(Universe!B104&lt;&gt;"",Universe!B104,"")</f>
        <v>Henderson Far East Income</v>
      </c>
      <c r="C104" t="str">
        <f>IF(Universe!C104&lt;&gt;"",Universe!C104,"")</f>
        <v>JE00B1GXH751</v>
      </c>
      <c r="D104" t="str">
        <f>IF(Universe!D104&lt;&gt;"",Universe!D104,"")</f>
        <v>Financials</v>
      </c>
      <c r="E104" t="str">
        <f>Universe!G104</f>
        <v>Exclude</v>
      </c>
      <c r="F104" t="str">
        <f>IF($E104&lt;&gt;"Include","",_xlfn.LET(_xlpm.latest,_xlfn.MAXIFS(Raw_Fund!$C:$C,Raw_Fund!$B:$B,Data!$C104),IF(_xlpm.latest=0,"",_xlpm.latest)))</f>
        <v/>
      </c>
      <c r="G104" t="str">
        <f>IF($F104="","",INDEX(Raw_Fund!$E:$AZ,MATCH($C104&amp;"|"&amp;$F104,Raw_Fund!$A:$A,0),MATCH(G$3,Raw_Fund!$E$1:$AZ$1,0)))</f>
        <v/>
      </c>
      <c r="H104" t="str">
        <f t="shared" si="1"/>
        <v/>
      </c>
      <c r="I104" s="6" t="str">
        <f>_xlfn.LET(
_xlpm.rowNo, MATCH($C104&amp;"|"&amp;
($F104+I$4),Raw_Fund!$A:$A,0),
_xlpm.colNo,
MATCH(I$3,Raw_Fund!$E$1:$AZ$1,0),
_xlpm.val,
INDEX(Raw_Fund!$E:$AZ,_xlpm.rowNo,_xlpm.colNo),
IF(ISNUMBER(_xlpm.val),_xlpm.val*$H104,""))</f>
        <v/>
      </c>
      <c r="J104" s="6" t="str">
        <f>_xlfn.LET(
_xlpm.rowNo, MATCH($C104&amp;"|"&amp;
($F104+J$4),Raw_Fund!$A:$A,0),
_xlpm.colNo,
MATCH(J$3,Raw_Fund!$E$1:$AZ$1,0),
_xlpm.val,
INDEX(Raw_Fund!$E:$AZ,_xlpm.rowNo,_xlpm.colNo),
IF(ISNUMBER(_xlpm.val),_xlpm.val*$H104,""))</f>
        <v/>
      </c>
      <c r="K104" s="6" t="str">
        <f>_xlfn.LET(
_xlpm.rowNo, MATCH($C104&amp;"|"&amp;
($F104+K$4),Raw_Fund!$A:$A,0),
_xlpm.colNo,
MATCH(K$3,Raw_Fund!$E$1:$AZ$1,0),
_xlpm.val,
INDEX(Raw_Fund!$E:$AZ,_xlpm.rowNo,_xlpm.colNo),
IF(ISNUMBER(_xlpm.val),_xlpm.val*$H104,""))</f>
        <v/>
      </c>
      <c r="L104" s="6" t="str">
        <f>_xlfn.LET(
_xlpm.rowNo, MATCH($C104&amp;"|"&amp;
($F104+L$4),Raw_Fund!$A:$A,0),
_xlpm.colNo,
MATCH(L$3,Raw_Fund!$E$1:$AZ$1,0),
_xlpm.val,
INDEX(Raw_Fund!$E:$AZ,_xlpm.rowNo,_xlpm.colNo),
IF(ISNUMBER(_xlpm.val),_xlpm.val*$H104,""))</f>
        <v/>
      </c>
      <c r="M104" s="6" t="str">
        <f>_xlfn.LET(
_xlpm.rowNo, MATCH($C104&amp;"|"&amp;
($F104+M$4),Raw_Fund!$A:$A,0),
_xlpm.colNo,
MATCH(M$3,Raw_Fund!$E$1:$AZ$1,0),
_xlpm.val,
INDEX(Raw_Fund!$E:$AZ,_xlpm.rowNo,_xlpm.colNo),
IF(ISNUMBER(_xlpm.val),_xlpm.val*$H104,""))</f>
        <v/>
      </c>
      <c r="N104" s="6" t="str">
        <f>_xlfn.LET(
_xlpm.rowNo, MATCH($C104&amp;"|"&amp;
($F104+N$4),Raw_Fund!$A:$A,0),
_xlpm.colNo,
MATCH(N$3,Raw_Fund!$E$1:$AZ$1,0),
_xlpm.val,
INDEX(Raw_Fund!$E:$AZ,_xlpm.rowNo,_xlpm.colNo),
IF(ISNUMBER(_xlpm.val),_xlpm.val*$H104,""))</f>
        <v/>
      </c>
      <c r="O104" s="6" t="str">
        <f>_xlfn.LET(
_xlpm.rowNo, MATCH($C104&amp;"|"&amp;
($F104+O$4),Raw_Fund!$A:$A,0),
_xlpm.colNo,
MATCH(O$3,Raw_Fund!$E$1:$AZ$1,0),
_xlpm.val,
INDEX(Raw_Fund!$E:$AZ,_xlpm.rowNo,_xlpm.colNo),
IF(ISNUMBER(_xlpm.val),_xlpm.val*$H104,""))</f>
        <v/>
      </c>
      <c r="P104" s="6" t="str">
        <f>_xlfn.LET(
_xlpm.rowNo, MATCH($C104&amp;"|"&amp;
($F104+P$4),Raw_Fund!$A:$A,0),
_xlpm.colNo,
MATCH(P$3,Raw_Fund!$E$1:$AZ$1,0),
_xlpm.val,
INDEX(Raw_Fund!$E:$AZ,_xlpm.rowNo,_xlpm.colNo),
IF(ISNUMBER(_xlpm.val),_xlpm.val*$H104,""))</f>
        <v/>
      </c>
      <c r="Q104" s="6" t="str">
        <f>_xlfn.LET(
_xlpm.rowNo, MATCH($C104&amp;"|"&amp;
($F104+Q$4),Raw_Fund!$A:$A,0),
_xlpm.colNo,
MATCH(Q$3,Raw_Fund!$E$1:$AZ$1,0),
_xlpm.val,
INDEX(Raw_Fund!$E:$AZ,_xlpm.rowNo,_xlpm.colNo),
IF(ISNUMBER(_xlpm.val),_xlpm.val*$H104,""))</f>
        <v/>
      </c>
      <c r="R104" s="6" t="str">
        <f>_xlfn.LET(
_xlpm.rowNo, MATCH($C104&amp;"|"&amp;
($F104+R$4),Raw_Fund!$A:$A,0),
_xlpm.colNo,
MATCH(R$3,Raw_Fund!$E$1:$AZ$1,0),
_xlpm.val,
INDEX(Raw_Fund!$E:$AZ,_xlpm.rowNo,_xlpm.colNo),
IF(ISNUMBER(_xlpm.val),_xlpm.val*$H104,""))</f>
        <v/>
      </c>
      <c r="S104" s="6" t="str">
        <f>_xlfn.LET(
_xlpm.rowNo, MATCH($C104&amp;"|"&amp;
($F104+S$4),Raw_Fund!$A:$A,0),
_xlpm.colNo,
MATCH(S$3,Raw_Fund!$E$1:$AZ$1,0),
_xlpm.val,
INDEX(Raw_Fund!$E:$AZ,_xlpm.rowNo,_xlpm.colNo),
IF(ISNUMBER(_xlpm.val),_xlpm.val*$H104,""))</f>
        <v/>
      </c>
      <c r="T104" s="6" t="str">
        <f>_xlfn.LET(
_xlpm.rowNo, MATCH($C104&amp;"|"&amp;
($F104+T$4),Raw_Fund!$A:$A,0),
_xlpm.colNo,
MATCH(T$3,Raw_Fund!$E$1:$AZ$1,0),
_xlpm.val,
INDEX(Raw_Fund!$E:$AZ,_xlpm.rowNo,_xlpm.colNo),
IF(ISNUMBER(_xlpm.val),_xlpm.val*$H104,""))</f>
        <v/>
      </c>
      <c r="U104" s="6" t="str">
        <f>_xlfn.LET(
_xlpm.rowNo, MATCH($C104&amp;"|"&amp;
($F104+U$4),Raw_Fund!$A:$A,0),
_xlpm.colNo,
MATCH(U$3,Raw_Fund!$E$1:$AZ$1,0),
_xlpm.val,
INDEX(Raw_Fund!$E:$AZ,_xlpm.rowNo,_xlpm.colNo),
IF(ISNUMBER(_xlpm.val),_xlpm.val*$H104,""))</f>
        <v/>
      </c>
      <c r="V104" s="6" t="str">
        <f>_xlfn.LET(
_xlpm.rowNo, MATCH($C104&amp;"|"&amp;
($F104+V$4),Raw_Fund!$A:$A,0),
_xlpm.colNo,
MATCH(V$3,Raw_Fund!$E$1:$AZ$1,0),
_xlpm.val,
INDEX(Raw_Fund!$E:$AZ,_xlpm.rowNo,_xlpm.colNo),
IF(ISNUMBER(_xlpm.val),_xlpm.val*$H104,""))</f>
        <v/>
      </c>
      <c r="W104" s="6" t="str">
        <f>_xlfn.LET(
_xlpm.rowNo, MATCH($C104&amp;"|"&amp;
($F104+W$4),Raw_Fund!$A:$A,0),
_xlpm.colNo,
MATCH(W$3,Raw_Fund!$E$1:$AZ$1,0),
_xlpm.val,
INDEX(Raw_Fund!$E:$AZ,_xlpm.rowNo,_xlpm.colNo),
IF(ISNUMBER(_xlpm.val),_xlpm.val*$H104,""))</f>
        <v/>
      </c>
      <c r="X104" s="6" t="str">
        <f>_xlfn.LET(
_xlpm.rowNo, MATCH($C104&amp;"|"&amp;
($F104+X$4),Raw_Fund!$A:$A,0),
_xlpm.colNo,
MATCH(X$3,Raw_Fund!$E$1:$AZ$1,0),
_xlpm.val,
INDEX(Raw_Fund!$E:$AZ,_xlpm.rowNo,_xlpm.colNo),
IF(ISNUMBER(_xlpm.val),_xlpm.val*$H104,""))</f>
        <v/>
      </c>
      <c r="Y104" s="6" t="str">
        <f>_xlfn.LET(
_xlpm.rowNo, MATCH($C104&amp;"|"&amp;
($F104+Y$4),Raw_Fund!$A:$A,0),
_xlpm.colNo,
MATCH(Y$3,Raw_Fund!$E$1:$AZ$1,0),
_xlpm.val,
INDEX(Raw_Fund!$E:$AZ,_xlpm.rowNo,_xlpm.colNo),
IF(ISNUMBER(_xlpm.val),_xlpm.val*$H104,""))</f>
        <v/>
      </c>
      <c r="Z104" s="6" t="str">
        <f>IF($E104&lt;&gt;"Include","",_xlfn.XLOOKUP($C104,Raw_Mkt!$A:$A,Raw_Mkt!$B:$B))</f>
        <v/>
      </c>
    </row>
    <row r="105" spans="1:26" x14ac:dyDescent="0.4">
      <c r="A105" t="str">
        <f>IF(Universe!A105&lt;&gt;"",Universe!A105,"")</f>
        <v>HSL</v>
      </c>
      <c r="B105" t="str">
        <f>IF(Universe!B105&lt;&gt;"",Universe!B105,"")</f>
        <v>Henderson Smaller Companies Investment Trust</v>
      </c>
      <c r="C105" t="str">
        <f>IF(Universe!C105&lt;&gt;"",Universe!C105,"")</f>
        <v>GB0009065060</v>
      </c>
      <c r="D105" t="str">
        <f>IF(Universe!D105&lt;&gt;"",Universe!D105,"")</f>
        <v>Financials</v>
      </c>
      <c r="E105" t="str">
        <f>Universe!G105</f>
        <v>Exclude</v>
      </c>
      <c r="F105" t="str">
        <f>IF($E105&lt;&gt;"Include","",_xlfn.LET(_xlpm.latest,_xlfn.MAXIFS(Raw_Fund!$C:$C,Raw_Fund!$B:$B,Data!$C105),IF(_xlpm.latest=0,"",_xlpm.latest)))</f>
        <v/>
      </c>
      <c r="G105" t="str">
        <f>IF($F105="","",INDEX(Raw_Fund!$E:$AZ,MATCH($C105&amp;"|"&amp;$F105,Raw_Fund!$A:$A,0),MATCH(G$3,Raw_Fund!$E$1:$AZ$1,0)))</f>
        <v/>
      </c>
      <c r="H105" t="str">
        <f t="shared" si="1"/>
        <v/>
      </c>
      <c r="I105" s="6" t="str">
        <f>_xlfn.LET(
_xlpm.rowNo, MATCH($C105&amp;"|"&amp;
($F105+I$4),Raw_Fund!$A:$A,0),
_xlpm.colNo,
MATCH(I$3,Raw_Fund!$E$1:$AZ$1,0),
_xlpm.val,
INDEX(Raw_Fund!$E:$AZ,_xlpm.rowNo,_xlpm.colNo),
IF(ISNUMBER(_xlpm.val),_xlpm.val*$H105,""))</f>
        <v/>
      </c>
      <c r="J105" s="6" t="str">
        <f>_xlfn.LET(
_xlpm.rowNo, MATCH($C105&amp;"|"&amp;
($F105+J$4),Raw_Fund!$A:$A,0),
_xlpm.colNo,
MATCH(J$3,Raw_Fund!$E$1:$AZ$1,0),
_xlpm.val,
INDEX(Raw_Fund!$E:$AZ,_xlpm.rowNo,_xlpm.colNo),
IF(ISNUMBER(_xlpm.val),_xlpm.val*$H105,""))</f>
        <v/>
      </c>
      <c r="K105" s="6" t="str">
        <f>_xlfn.LET(
_xlpm.rowNo, MATCH($C105&amp;"|"&amp;
($F105+K$4),Raw_Fund!$A:$A,0),
_xlpm.colNo,
MATCH(K$3,Raw_Fund!$E$1:$AZ$1,0),
_xlpm.val,
INDEX(Raw_Fund!$E:$AZ,_xlpm.rowNo,_xlpm.colNo),
IF(ISNUMBER(_xlpm.val),_xlpm.val*$H105,""))</f>
        <v/>
      </c>
      <c r="L105" s="6" t="str">
        <f>_xlfn.LET(
_xlpm.rowNo, MATCH($C105&amp;"|"&amp;
($F105+L$4),Raw_Fund!$A:$A,0),
_xlpm.colNo,
MATCH(L$3,Raw_Fund!$E$1:$AZ$1,0),
_xlpm.val,
INDEX(Raw_Fund!$E:$AZ,_xlpm.rowNo,_xlpm.colNo),
IF(ISNUMBER(_xlpm.val),_xlpm.val*$H105,""))</f>
        <v/>
      </c>
      <c r="M105" s="6" t="str">
        <f>_xlfn.LET(
_xlpm.rowNo, MATCH($C105&amp;"|"&amp;
($F105+M$4),Raw_Fund!$A:$A,0),
_xlpm.colNo,
MATCH(M$3,Raw_Fund!$E$1:$AZ$1,0),
_xlpm.val,
INDEX(Raw_Fund!$E:$AZ,_xlpm.rowNo,_xlpm.colNo),
IF(ISNUMBER(_xlpm.val),_xlpm.val*$H105,""))</f>
        <v/>
      </c>
      <c r="N105" s="6" t="str">
        <f>_xlfn.LET(
_xlpm.rowNo, MATCH($C105&amp;"|"&amp;
($F105+N$4),Raw_Fund!$A:$A,0),
_xlpm.colNo,
MATCH(N$3,Raw_Fund!$E$1:$AZ$1,0),
_xlpm.val,
INDEX(Raw_Fund!$E:$AZ,_xlpm.rowNo,_xlpm.colNo),
IF(ISNUMBER(_xlpm.val),_xlpm.val*$H105,""))</f>
        <v/>
      </c>
      <c r="O105" s="6" t="str">
        <f>_xlfn.LET(
_xlpm.rowNo, MATCH($C105&amp;"|"&amp;
($F105+O$4),Raw_Fund!$A:$A,0),
_xlpm.colNo,
MATCH(O$3,Raw_Fund!$E$1:$AZ$1,0),
_xlpm.val,
INDEX(Raw_Fund!$E:$AZ,_xlpm.rowNo,_xlpm.colNo),
IF(ISNUMBER(_xlpm.val),_xlpm.val*$H105,""))</f>
        <v/>
      </c>
      <c r="P105" s="6" t="str">
        <f>_xlfn.LET(
_xlpm.rowNo, MATCH($C105&amp;"|"&amp;
($F105+P$4),Raw_Fund!$A:$A,0),
_xlpm.colNo,
MATCH(P$3,Raw_Fund!$E$1:$AZ$1,0),
_xlpm.val,
INDEX(Raw_Fund!$E:$AZ,_xlpm.rowNo,_xlpm.colNo),
IF(ISNUMBER(_xlpm.val),_xlpm.val*$H105,""))</f>
        <v/>
      </c>
      <c r="Q105" s="6" t="str">
        <f>_xlfn.LET(
_xlpm.rowNo, MATCH($C105&amp;"|"&amp;
($F105+Q$4),Raw_Fund!$A:$A,0),
_xlpm.colNo,
MATCH(Q$3,Raw_Fund!$E$1:$AZ$1,0),
_xlpm.val,
INDEX(Raw_Fund!$E:$AZ,_xlpm.rowNo,_xlpm.colNo),
IF(ISNUMBER(_xlpm.val),_xlpm.val*$H105,""))</f>
        <v/>
      </c>
      <c r="R105" s="6" t="str">
        <f>_xlfn.LET(
_xlpm.rowNo, MATCH($C105&amp;"|"&amp;
($F105+R$4),Raw_Fund!$A:$A,0),
_xlpm.colNo,
MATCH(R$3,Raw_Fund!$E$1:$AZ$1,0),
_xlpm.val,
INDEX(Raw_Fund!$E:$AZ,_xlpm.rowNo,_xlpm.colNo),
IF(ISNUMBER(_xlpm.val),_xlpm.val*$H105,""))</f>
        <v/>
      </c>
      <c r="S105" s="6" t="str">
        <f>_xlfn.LET(
_xlpm.rowNo, MATCH($C105&amp;"|"&amp;
($F105+S$4),Raw_Fund!$A:$A,0),
_xlpm.colNo,
MATCH(S$3,Raw_Fund!$E$1:$AZ$1,0),
_xlpm.val,
INDEX(Raw_Fund!$E:$AZ,_xlpm.rowNo,_xlpm.colNo),
IF(ISNUMBER(_xlpm.val),_xlpm.val*$H105,""))</f>
        <v/>
      </c>
      <c r="T105" s="6" t="str">
        <f>_xlfn.LET(
_xlpm.rowNo, MATCH($C105&amp;"|"&amp;
($F105+T$4),Raw_Fund!$A:$A,0),
_xlpm.colNo,
MATCH(T$3,Raw_Fund!$E$1:$AZ$1,0),
_xlpm.val,
INDEX(Raw_Fund!$E:$AZ,_xlpm.rowNo,_xlpm.colNo),
IF(ISNUMBER(_xlpm.val),_xlpm.val*$H105,""))</f>
        <v/>
      </c>
      <c r="U105" s="6" t="str">
        <f>_xlfn.LET(
_xlpm.rowNo, MATCH($C105&amp;"|"&amp;
($F105+U$4),Raw_Fund!$A:$A,0),
_xlpm.colNo,
MATCH(U$3,Raw_Fund!$E$1:$AZ$1,0),
_xlpm.val,
INDEX(Raw_Fund!$E:$AZ,_xlpm.rowNo,_xlpm.colNo),
IF(ISNUMBER(_xlpm.val),_xlpm.val*$H105,""))</f>
        <v/>
      </c>
      <c r="V105" s="6" t="str">
        <f>_xlfn.LET(
_xlpm.rowNo, MATCH($C105&amp;"|"&amp;
($F105+V$4),Raw_Fund!$A:$A,0),
_xlpm.colNo,
MATCH(V$3,Raw_Fund!$E$1:$AZ$1,0),
_xlpm.val,
INDEX(Raw_Fund!$E:$AZ,_xlpm.rowNo,_xlpm.colNo),
IF(ISNUMBER(_xlpm.val),_xlpm.val*$H105,""))</f>
        <v/>
      </c>
      <c r="W105" s="6" t="str">
        <f>_xlfn.LET(
_xlpm.rowNo, MATCH($C105&amp;"|"&amp;
($F105+W$4),Raw_Fund!$A:$A,0),
_xlpm.colNo,
MATCH(W$3,Raw_Fund!$E$1:$AZ$1,0),
_xlpm.val,
INDEX(Raw_Fund!$E:$AZ,_xlpm.rowNo,_xlpm.colNo),
IF(ISNUMBER(_xlpm.val),_xlpm.val*$H105,""))</f>
        <v/>
      </c>
      <c r="X105" s="6" t="str">
        <f>_xlfn.LET(
_xlpm.rowNo, MATCH($C105&amp;"|"&amp;
($F105+X$4),Raw_Fund!$A:$A,0),
_xlpm.colNo,
MATCH(X$3,Raw_Fund!$E$1:$AZ$1,0),
_xlpm.val,
INDEX(Raw_Fund!$E:$AZ,_xlpm.rowNo,_xlpm.colNo),
IF(ISNUMBER(_xlpm.val),_xlpm.val*$H105,""))</f>
        <v/>
      </c>
      <c r="Y105" s="6" t="str">
        <f>_xlfn.LET(
_xlpm.rowNo, MATCH($C105&amp;"|"&amp;
($F105+Y$4),Raw_Fund!$A:$A,0),
_xlpm.colNo,
MATCH(Y$3,Raw_Fund!$E$1:$AZ$1,0),
_xlpm.val,
INDEX(Raw_Fund!$E:$AZ,_xlpm.rowNo,_xlpm.colNo),
IF(ISNUMBER(_xlpm.val),_xlpm.val*$H105,""))</f>
        <v/>
      </c>
      <c r="Z105" s="6" t="str">
        <f>IF($E105&lt;&gt;"Include","",_xlfn.XLOOKUP($C105,Raw_Mkt!$A:$A,Raw_Mkt!$B:$B))</f>
        <v/>
      </c>
    </row>
    <row r="106" spans="1:26" x14ac:dyDescent="0.4">
      <c r="A106" t="str">
        <f>IF(Universe!A106&lt;&gt;"",Universe!A106,"")</f>
        <v>HRI</v>
      </c>
      <c r="B106" t="str">
        <f>IF(Universe!B106&lt;&gt;"",Universe!B106,"")</f>
        <v>Herald Investment Trust</v>
      </c>
      <c r="C106" t="str">
        <f>IF(Universe!C106&lt;&gt;"",Universe!C106,"")</f>
        <v>GB0004228648</v>
      </c>
      <c r="D106" t="str">
        <f>IF(Universe!D106&lt;&gt;"",Universe!D106,"")</f>
        <v>Financials</v>
      </c>
      <c r="E106" t="str">
        <f>Universe!G106</f>
        <v>Exclude</v>
      </c>
      <c r="F106" t="str">
        <f>IF($E106&lt;&gt;"Include","",_xlfn.LET(_xlpm.latest,_xlfn.MAXIFS(Raw_Fund!$C:$C,Raw_Fund!$B:$B,Data!$C106),IF(_xlpm.latest=0,"",_xlpm.latest)))</f>
        <v/>
      </c>
      <c r="G106" t="str">
        <f>IF($F106="","",INDEX(Raw_Fund!$E:$AZ,MATCH($C106&amp;"|"&amp;$F106,Raw_Fund!$A:$A,0),MATCH(G$3,Raw_Fund!$E$1:$AZ$1,0)))</f>
        <v/>
      </c>
      <c r="H106" t="str">
        <f t="shared" si="1"/>
        <v/>
      </c>
      <c r="I106" s="6" t="str">
        <f>_xlfn.LET(
_xlpm.rowNo, MATCH($C106&amp;"|"&amp;
($F106+I$4),Raw_Fund!$A:$A,0),
_xlpm.colNo,
MATCH(I$3,Raw_Fund!$E$1:$AZ$1,0),
_xlpm.val,
INDEX(Raw_Fund!$E:$AZ,_xlpm.rowNo,_xlpm.colNo),
IF(ISNUMBER(_xlpm.val),_xlpm.val*$H106,""))</f>
        <v/>
      </c>
      <c r="J106" s="6" t="str">
        <f>_xlfn.LET(
_xlpm.rowNo, MATCH($C106&amp;"|"&amp;
($F106+J$4),Raw_Fund!$A:$A,0),
_xlpm.colNo,
MATCH(J$3,Raw_Fund!$E$1:$AZ$1,0),
_xlpm.val,
INDEX(Raw_Fund!$E:$AZ,_xlpm.rowNo,_xlpm.colNo),
IF(ISNUMBER(_xlpm.val),_xlpm.val*$H106,""))</f>
        <v/>
      </c>
      <c r="K106" s="6" t="str">
        <f>_xlfn.LET(
_xlpm.rowNo, MATCH($C106&amp;"|"&amp;
($F106+K$4),Raw_Fund!$A:$A,0),
_xlpm.colNo,
MATCH(K$3,Raw_Fund!$E$1:$AZ$1,0),
_xlpm.val,
INDEX(Raw_Fund!$E:$AZ,_xlpm.rowNo,_xlpm.colNo),
IF(ISNUMBER(_xlpm.val),_xlpm.val*$H106,""))</f>
        <v/>
      </c>
      <c r="L106" s="6" t="str">
        <f>_xlfn.LET(
_xlpm.rowNo, MATCH($C106&amp;"|"&amp;
($F106+L$4),Raw_Fund!$A:$A,0),
_xlpm.colNo,
MATCH(L$3,Raw_Fund!$E$1:$AZ$1,0),
_xlpm.val,
INDEX(Raw_Fund!$E:$AZ,_xlpm.rowNo,_xlpm.colNo),
IF(ISNUMBER(_xlpm.val),_xlpm.val*$H106,""))</f>
        <v/>
      </c>
      <c r="M106" s="6" t="str">
        <f>_xlfn.LET(
_xlpm.rowNo, MATCH($C106&amp;"|"&amp;
($F106+M$4),Raw_Fund!$A:$A,0),
_xlpm.colNo,
MATCH(M$3,Raw_Fund!$E$1:$AZ$1,0),
_xlpm.val,
INDEX(Raw_Fund!$E:$AZ,_xlpm.rowNo,_xlpm.colNo),
IF(ISNUMBER(_xlpm.val),_xlpm.val*$H106,""))</f>
        <v/>
      </c>
      <c r="N106" s="6" t="str">
        <f>_xlfn.LET(
_xlpm.rowNo, MATCH($C106&amp;"|"&amp;
($F106+N$4),Raw_Fund!$A:$A,0),
_xlpm.colNo,
MATCH(N$3,Raw_Fund!$E$1:$AZ$1,0),
_xlpm.val,
INDEX(Raw_Fund!$E:$AZ,_xlpm.rowNo,_xlpm.colNo),
IF(ISNUMBER(_xlpm.val),_xlpm.val*$H106,""))</f>
        <v/>
      </c>
      <c r="O106" s="6" t="str">
        <f>_xlfn.LET(
_xlpm.rowNo, MATCH($C106&amp;"|"&amp;
($F106+O$4),Raw_Fund!$A:$A,0),
_xlpm.colNo,
MATCH(O$3,Raw_Fund!$E$1:$AZ$1,0),
_xlpm.val,
INDEX(Raw_Fund!$E:$AZ,_xlpm.rowNo,_xlpm.colNo),
IF(ISNUMBER(_xlpm.val),_xlpm.val*$H106,""))</f>
        <v/>
      </c>
      <c r="P106" s="6" t="str">
        <f>_xlfn.LET(
_xlpm.rowNo, MATCH($C106&amp;"|"&amp;
($F106+P$4),Raw_Fund!$A:$A,0),
_xlpm.colNo,
MATCH(P$3,Raw_Fund!$E$1:$AZ$1,0),
_xlpm.val,
INDEX(Raw_Fund!$E:$AZ,_xlpm.rowNo,_xlpm.colNo),
IF(ISNUMBER(_xlpm.val),_xlpm.val*$H106,""))</f>
        <v/>
      </c>
      <c r="Q106" s="6" t="str">
        <f>_xlfn.LET(
_xlpm.rowNo, MATCH($C106&amp;"|"&amp;
($F106+Q$4),Raw_Fund!$A:$A,0),
_xlpm.colNo,
MATCH(Q$3,Raw_Fund!$E$1:$AZ$1,0),
_xlpm.val,
INDEX(Raw_Fund!$E:$AZ,_xlpm.rowNo,_xlpm.colNo),
IF(ISNUMBER(_xlpm.val),_xlpm.val*$H106,""))</f>
        <v/>
      </c>
      <c r="R106" s="6" t="str">
        <f>_xlfn.LET(
_xlpm.rowNo, MATCH($C106&amp;"|"&amp;
($F106+R$4),Raw_Fund!$A:$A,0),
_xlpm.colNo,
MATCH(R$3,Raw_Fund!$E$1:$AZ$1,0),
_xlpm.val,
INDEX(Raw_Fund!$E:$AZ,_xlpm.rowNo,_xlpm.colNo),
IF(ISNUMBER(_xlpm.val),_xlpm.val*$H106,""))</f>
        <v/>
      </c>
      <c r="S106" s="6" t="str">
        <f>_xlfn.LET(
_xlpm.rowNo, MATCH($C106&amp;"|"&amp;
($F106+S$4),Raw_Fund!$A:$A,0),
_xlpm.colNo,
MATCH(S$3,Raw_Fund!$E$1:$AZ$1,0),
_xlpm.val,
INDEX(Raw_Fund!$E:$AZ,_xlpm.rowNo,_xlpm.colNo),
IF(ISNUMBER(_xlpm.val),_xlpm.val*$H106,""))</f>
        <v/>
      </c>
      <c r="T106" s="6" t="str">
        <f>_xlfn.LET(
_xlpm.rowNo, MATCH($C106&amp;"|"&amp;
($F106+T$4),Raw_Fund!$A:$A,0),
_xlpm.colNo,
MATCH(T$3,Raw_Fund!$E$1:$AZ$1,0),
_xlpm.val,
INDEX(Raw_Fund!$E:$AZ,_xlpm.rowNo,_xlpm.colNo),
IF(ISNUMBER(_xlpm.val),_xlpm.val*$H106,""))</f>
        <v/>
      </c>
      <c r="U106" s="6" t="str">
        <f>_xlfn.LET(
_xlpm.rowNo, MATCH($C106&amp;"|"&amp;
($F106+U$4),Raw_Fund!$A:$A,0),
_xlpm.colNo,
MATCH(U$3,Raw_Fund!$E$1:$AZ$1,0),
_xlpm.val,
INDEX(Raw_Fund!$E:$AZ,_xlpm.rowNo,_xlpm.colNo),
IF(ISNUMBER(_xlpm.val),_xlpm.val*$H106,""))</f>
        <v/>
      </c>
      <c r="V106" s="6" t="str">
        <f>_xlfn.LET(
_xlpm.rowNo, MATCH($C106&amp;"|"&amp;
($F106+V$4),Raw_Fund!$A:$A,0),
_xlpm.colNo,
MATCH(V$3,Raw_Fund!$E$1:$AZ$1,0),
_xlpm.val,
INDEX(Raw_Fund!$E:$AZ,_xlpm.rowNo,_xlpm.colNo),
IF(ISNUMBER(_xlpm.val),_xlpm.val*$H106,""))</f>
        <v/>
      </c>
      <c r="W106" s="6" t="str">
        <f>_xlfn.LET(
_xlpm.rowNo, MATCH($C106&amp;"|"&amp;
($F106+W$4),Raw_Fund!$A:$A,0),
_xlpm.colNo,
MATCH(W$3,Raw_Fund!$E$1:$AZ$1,0),
_xlpm.val,
INDEX(Raw_Fund!$E:$AZ,_xlpm.rowNo,_xlpm.colNo),
IF(ISNUMBER(_xlpm.val),_xlpm.val*$H106,""))</f>
        <v/>
      </c>
      <c r="X106" s="6" t="str">
        <f>_xlfn.LET(
_xlpm.rowNo, MATCH($C106&amp;"|"&amp;
($F106+X$4),Raw_Fund!$A:$A,0),
_xlpm.colNo,
MATCH(X$3,Raw_Fund!$E$1:$AZ$1,0),
_xlpm.val,
INDEX(Raw_Fund!$E:$AZ,_xlpm.rowNo,_xlpm.colNo),
IF(ISNUMBER(_xlpm.val),_xlpm.val*$H106,""))</f>
        <v/>
      </c>
      <c r="Y106" s="6" t="str">
        <f>_xlfn.LET(
_xlpm.rowNo, MATCH($C106&amp;"|"&amp;
($F106+Y$4),Raw_Fund!$A:$A,0),
_xlpm.colNo,
MATCH(Y$3,Raw_Fund!$E$1:$AZ$1,0),
_xlpm.val,
INDEX(Raw_Fund!$E:$AZ,_xlpm.rowNo,_xlpm.colNo),
IF(ISNUMBER(_xlpm.val),_xlpm.val*$H106,""))</f>
        <v/>
      </c>
      <c r="Z106" s="6" t="str">
        <f>IF($E106&lt;&gt;"Include","",_xlfn.XLOOKUP($C106,Raw_Mkt!$A:$A,Raw_Mkt!$B:$B))</f>
        <v/>
      </c>
    </row>
    <row r="107" spans="1:26" x14ac:dyDescent="0.4">
      <c r="A107" t="str">
        <f>IF(Universe!A107&lt;&gt;"",Universe!A107,"")</f>
        <v>HGT</v>
      </c>
      <c r="B107" t="str">
        <f>IF(Universe!B107&lt;&gt;"",Universe!B107,"")</f>
        <v>Hg Capital Trust</v>
      </c>
      <c r="C107" t="str">
        <f>IF(Universe!C107&lt;&gt;"",Universe!C107,"")</f>
        <v>GB00BJ0LT190</v>
      </c>
      <c r="D107" t="str">
        <f>IF(Universe!D107&lt;&gt;"",Universe!D107,"")</f>
        <v>Financials</v>
      </c>
      <c r="E107" t="str">
        <f>Universe!G107</f>
        <v>Exclude</v>
      </c>
      <c r="F107" t="str">
        <f>IF($E107&lt;&gt;"Include","",_xlfn.LET(_xlpm.latest,_xlfn.MAXIFS(Raw_Fund!$C:$C,Raw_Fund!$B:$B,Data!$C107),IF(_xlpm.latest=0,"",_xlpm.latest)))</f>
        <v/>
      </c>
      <c r="G107" t="str">
        <f>IF($F107="","",INDEX(Raw_Fund!$E:$AZ,MATCH($C107&amp;"|"&amp;$F107,Raw_Fund!$A:$A,0),MATCH(G$3,Raw_Fund!$E$1:$AZ$1,0)))</f>
        <v/>
      </c>
      <c r="H107" t="str">
        <f t="shared" si="1"/>
        <v/>
      </c>
      <c r="I107" s="6" t="str">
        <f>_xlfn.LET(
_xlpm.rowNo, MATCH($C107&amp;"|"&amp;
($F107+I$4),Raw_Fund!$A:$A,0),
_xlpm.colNo,
MATCH(I$3,Raw_Fund!$E$1:$AZ$1,0),
_xlpm.val,
INDEX(Raw_Fund!$E:$AZ,_xlpm.rowNo,_xlpm.colNo),
IF(ISNUMBER(_xlpm.val),_xlpm.val*$H107,""))</f>
        <v/>
      </c>
      <c r="J107" s="6" t="str">
        <f>_xlfn.LET(
_xlpm.rowNo, MATCH($C107&amp;"|"&amp;
($F107+J$4),Raw_Fund!$A:$A,0),
_xlpm.colNo,
MATCH(J$3,Raw_Fund!$E$1:$AZ$1,0),
_xlpm.val,
INDEX(Raw_Fund!$E:$AZ,_xlpm.rowNo,_xlpm.colNo),
IF(ISNUMBER(_xlpm.val),_xlpm.val*$H107,""))</f>
        <v/>
      </c>
      <c r="K107" s="6" t="str">
        <f>_xlfn.LET(
_xlpm.rowNo, MATCH($C107&amp;"|"&amp;
($F107+K$4),Raw_Fund!$A:$A,0),
_xlpm.colNo,
MATCH(K$3,Raw_Fund!$E$1:$AZ$1,0),
_xlpm.val,
INDEX(Raw_Fund!$E:$AZ,_xlpm.rowNo,_xlpm.colNo),
IF(ISNUMBER(_xlpm.val),_xlpm.val*$H107,""))</f>
        <v/>
      </c>
      <c r="L107" s="6" t="str">
        <f>_xlfn.LET(
_xlpm.rowNo, MATCH($C107&amp;"|"&amp;
($F107+L$4),Raw_Fund!$A:$A,0),
_xlpm.colNo,
MATCH(L$3,Raw_Fund!$E$1:$AZ$1,0),
_xlpm.val,
INDEX(Raw_Fund!$E:$AZ,_xlpm.rowNo,_xlpm.colNo),
IF(ISNUMBER(_xlpm.val),_xlpm.val*$H107,""))</f>
        <v/>
      </c>
      <c r="M107" s="6" t="str">
        <f>_xlfn.LET(
_xlpm.rowNo, MATCH($C107&amp;"|"&amp;
($F107+M$4),Raw_Fund!$A:$A,0),
_xlpm.colNo,
MATCH(M$3,Raw_Fund!$E$1:$AZ$1,0),
_xlpm.val,
INDEX(Raw_Fund!$E:$AZ,_xlpm.rowNo,_xlpm.colNo),
IF(ISNUMBER(_xlpm.val),_xlpm.val*$H107,""))</f>
        <v/>
      </c>
      <c r="N107" s="6" t="str">
        <f>_xlfn.LET(
_xlpm.rowNo, MATCH($C107&amp;"|"&amp;
($F107+N$4),Raw_Fund!$A:$A,0),
_xlpm.colNo,
MATCH(N$3,Raw_Fund!$E$1:$AZ$1,0),
_xlpm.val,
INDEX(Raw_Fund!$E:$AZ,_xlpm.rowNo,_xlpm.colNo),
IF(ISNUMBER(_xlpm.val),_xlpm.val*$H107,""))</f>
        <v/>
      </c>
      <c r="O107" s="6" t="str">
        <f>_xlfn.LET(
_xlpm.rowNo, MATCH($C107&amp;"|"&amp;
($F107+O$4),Raw_Fund!$A:$A,0),
_xlpm.colNo,
MATCH(O$3,Raw_Fund!$E$1:$AZ$1,0),
_xlpm.val,
INDEX(Raw_Fund!$E:$AZ,_xlpm.rowNo,_xlpm.colNo),
IF(ISNUMBER(_xlpm.val),_xlpm.val*$H107,""))</f>
        <v/>
      </c>
      <c r="P107" s="6" t="str">
        <f>_xlfn.LET(
_xlpm.rowNo, MATCH($C107&amp;"|"&amp;
($F107+P$4),Raw_Fund!$A:$A,0),
_xlpm.colNo,
MATCH(P$3,Raw_Fund!$E$1:$AZ$1,0),
_xlpm.val,
INDEX(Raw_Fund!$E:$AZ,_xlpm.rowNo,_xlpm.colNo),
IF(ISNUMBER(_xlpm.val),_xlpm.val*$H107,""))</f>
        <v/>
      </c>
      <c r="Q107" s="6" t="str">
        <f>_xlfn.LET(
_xlpm.rowNo, MATCH($C107&amp;"|"&amp;
($F107+Q$4),Raw_Fund!$A:$A,0),
_xlpm.colNo,
MATCH(Q$3,Raw_Fund!$E$1:$AZ$1,0),
_xlpm.val,
INDEX(Raw_Fund!$E:$AZ,_xlpm.rowNo,_xlpm.colNo),
IF(ISNUMBER(_xlpm.val),_xlpm.val*$H107,""))</f>
        <v/>
      </c>
      <c r="R107" s="6" t="str">
        <f>_xlfn.LET(
_xlpm.rowNo, MATCH($C107&amp;"|"&amp;
($F107+R$4),Raw_Fund!$A:$A,0),
_xlpm.colNo,
MATCH(R$3,Raw_Fund!$E$1:$AZ$1,0),
_xlpm.val,
INDEX(Raw_Fund!$E:$AZ,_xlpm.rowNo,_xlpm.colNo),
IF(ISNUMBER(_xlpm.val),_xlpm.val*$H107,""))</f>
        <v/>
      </c>
      <c r="S107" s="6" t="str">
        <f>_xlfn.LET(
_xlpm.rowNo, MATCH($C107&amp;"|"&amp;
($F107+S$4),Raw_Fund!$A:$A,0),
_xlpm.colNo,
MATCH(S$3,Raw_Fund!$E$1:$AZ$1,0),
_xlpm.val,
INDEX(Raw_Fund!$E:$AZ,_xlpm.rowNo,_xlpm.colNo),
IF(ISNUMBER(_xlpm.val),_xlpm.val*$H107,""))</f>
        <v/>
      </c>
      <c r="T107" s="6" t="str">
        <f>_xlfn.LET(
_xlpm.rowNo, MATCH($C107&amp;"|"&amp;
($F107+T$4),Raw_Fund!$A:$A,0),
_xlpm.colNo,
MATCH(T$3,Raw_Fund!$E$1:$AZ$1,0),
_xlpm.val,
INDEX(Raw_Fund!$E:$AZ,_xlpm.rowNo,_xlpm.colNo),
IF(ISNUMBER(_xlpm.val),_xlpm.val*$H107,""))</f>
        <v/>
      </c>
      <c r="U107" s="6" t="str">
        <f>_xlfn.LET(
_xlpm.rowNo, MATCH($C107&amp;"|"&amp;
($F107+U$4),Raw_Fund!$A:$A,0),
_xlpm.colNo,
MATCH(U$3,Raw_Fund!$E$1:$AZ$1,0),
_xlpm.val,
INDEX(Raw_Fund!$E:$AZ,_xlpm.rowNo,_xlpm.colNo),
IF(ISNUMBER(_xlpm.val),_xlpm.val*$H107,""))</f>
        <v/>
      </c>
      <c r="V107" s="6" t="str">
        <f>_xlfn.LET(
_xlpm.rowNo, MATCH($C107&amp;"|"&amp;
($F107+V$4),Raw_Fund!$A:$A,0),
_xlpm.colNo,
MATCH(V$3,Raw_Fund!$E$1:$AZ$1,0),
_xlpm.val,
INDEX(Raw_Fund!$E:$AZ,_xlpm.rowNo,_xlpm.colNo),
IF(ISNUMBER(_xlpm.val),_xlpm.val*$H107,""))</f>
        <v/>
      </c>
      <c r="W107" s="6" t="str">
        <f>_xlfn.LET(
_xlpm.rowNo, MATCH($C107&amp;"|"&amp;
($F107+W$4),Raw_Fund!$A:$A,0),
_xlpm.colNo,
MATCH(W$3,Raw_Fund!$E$1:$AZ$1,0),
_xlpm.val,
INDEX(Raw_Fund!$E:$AZ,_xlpm.rowNo,_xlpm.colNo),
IF(ISNUMBER(_xlpm.val),_xlpm.val*$H107,""))</f>
        <v/>
      </c>
      <c r="X107" s="6" t="str">
        <f>_xlfn.LET(
_xlpm.rowNo, MATCH($C107&amp;"|"&amp;
($F107+X$4),Raw_Fund!$A:$A,0),
_xlpm.colNo,
MATCH(X$3,Raw_Fund!$E$1:$AZ$1,0),
_xlpm.val,
INDEX(Raw_Fund!$E:$AZ,_xlpm.rowNo,_xlpm.colNo),
IF(ISNUMBER(_xlpm.val),_xlpm.val*$H107,""))</f>
        <v/>
      </c>
      <c r="Y107" s="6" t="str">
        <f>_xlfn.LET(
_xlpm.rowNo, MATCH($C107&amp;"|"&amp;
($F107+Y$4),Raw_Fund!$A:$A,0),
_xlpm.colNo,
MATCH(Y$3,Raw_Fund!$E$1:$AZ$1,0),
_xlpm.val,
INDEX(Raw_Fund!$E:$AZ,_xlpm.rowNo,_xlpm.colNo),
IF(ISNUMBER(_xlpm.val),_xlpm.val*$H107,""))</f>
        <v/>
      </c>
      <c r="Z107" s="6" t="str">
        <f>IF($E107&lt;&gt;"Include","",_xlfn.XLOOKUP($C107,Raw_Mkt!$A:$A,Raw_Mkt!$B:$B))</f>
        <v/>
      </c>
    </row>
    <row r="108" spans="1:26" x14ac:dyDescent="0.4">
      <c r="A108" t="str">
        <f>IF(Universe!A108&lt;&gt;"",Universe!A108,"")</f>
        <v>HICL</v>
      </c>
      <c r="B108" t="str">
        <f>IF(Universe!B108&lt;&gt;"",Universe!B108,"")</f>
        <v>HICL Infrastructure Company</v>
      </c>
      <c r="C108" t="str">
        <f>IF(Universe!C108&lt;&gt;"",Universe!C108,"")</f>
        <v>GB00BJLP1Y77</v>
      </c>
      <c r="D108" t="str">
        <f>IF(Universe!D108&lt;&gt;"",Universe!D108,"")</f>
        <v>Financials</v>
      </c>
      <c r="E108" t="str">
        <f>Universe!G108</f>
        <v>Exclude</v>
      </c>
      <c r="F108" t="str">
        <f>IF($E108&lt;&gt;"Include","",_xlfn.LET(_xlpm.latest,_xlfn.MAXIFS(Raw_Fund!$C:$C,Raw_Fund!$B:$B,Data!$C108),IF(_xlpm.latest=0,"",_xlpm.latest)))</f>
        <v/>
      </c>
      <c r="G108" t="str">
        <f>IF($F108="","",INDEX(Raw_Fund!$E:$AZ,MATCH($C108&amp;"|"&amp;$F108,Raw_Fund!$A:$A,0),MATCH(G$3,Raw_Fund!$E$1:$AZ$1,0)))</f>
        <v/>
      </c>
      <c r="H108" t="str">
        <f t="shared" si="1"/>
        <v/>
      </c>
      <c r="I108" s="6" t="str">
        <f>_xlfn.LET(
_xlpm.rowNo, MATCH($C108&amp;"|"&amp;
($F108+I$4),Raw_Fund!$A:$A,0),
_xlpm.colNo,
MATCH(I$3,Raw_Fund!$E$1:$AZ$1,0),
_xlpm.val,
INDEX(Raw_Fund!$E:$AZ,_xlpm.rowNo,_xlpm.colNo),
IF(ISNUMBER(_xlpm.val),_xlpm.val*$H108,""))</f>
        <v/>
      </c>
      <c r="J108" s="6" t="str">
        <f>_xlfn.LET(
_xlpm.rowNo, MATCH($C108&amp;"|"&amp;
($F108+J$4),Raw_Fund!$A:$A,0),
_xlpm.colNo,
MATCH(J$3,Raw_Fund!$E$1:$AZ$1,0),
_xlpm.val,
INDEX(Raw_Fund!$E:$AZ,_xlpm.rowNo,_xlpm.colNo),
IF(ISNUMBER(_xlpm.val),_xlpm.val*$H108,""))</f>
        <v/>
      </c>
      <c r="K108" s="6" t="str">
        <f>_xlfn.LET(
_xlpm.rowNo, MATCH($C108&amp;"|"&amp;
($F108+K$4),Raw_Fund!$A:$A,0),
_xlpm.colNo,
MATCH(K$3,Raw_Fund!$E$1:$AZ$1,0),
_xlpm.val,
INDEX(Raw_Fund!$E:$AZ,_xlpm.rowNo,_xlpm.colNo),
IF(ISNUMBER(_xlpm.val),_xlpm.val*$H108,""))</f>
        <v/>
      </c>
      <c r="L108" s="6" t="str">
        <f>_xlfn.LET(
_xlpm.rowNo, MATCH($C108&amp;"|"&amp;
($F108+L$4),Raw_Fund!$A:$A,0),
_xlpm.colNo,
MATCH(L$3,Raw_Fund!$E$1:$AZ$1,0),
_xlpm.val,
INDEX(Raw_Fund!$E:$AZ,_xlpm.rowNo,_xlpm.colNo),
IF(ISNUMBER(_xlpm.val),_xlpm.val*$H108,""))</f>
        <v/>
      </c>
      <c r="M108" s="6" t="str">
        <f>_xlfn.LET(
_xlpm.rowNo, MATCH($C108&amp;"|"&amp;
($F108+M$4),Raw_Fund!$A:$A,0),
_xlpm.colNo,
MATCH(M$3,Raw_Fund!$E$1:$AZ$1,0),
_xlpm.val,
INDEX(Raw_Fund!$E:$AZ,_xlpm.rowNo,_xlpm.colNo),
IF(ISNUMBER(_xlpm.val),_xlpm.val*$H108,""))</f>
        <v/>
      </c>
      <c r="N108" s="6" t="str">
        <f>_xlfn.LET(
_xlpm.rowNo, MATCH($C108&amp;"|"&amp;
($F108+N$4),Raw_Fund!$A:$A,0),
_xlpm.colNo,
MATCH(N$3,Raw_Fund!$E$1:$AZ$1,0),
_xlpm.val,
INDEX(Raw_Fund!$E:$AZ,_xlpm.rowNo,_xlpm.colNo),
IF(ISNUMBER(_xlpm.val),_xlpm.val*$H108,""))</f>
        <v/>
      </c>
      <c r="O108" s="6" t="str">
        <f>_xlfn.LET(
_xlpm.rowNo, MATCH($C108&amp;"|"&amp;
($F108+O$4),Raw_Fund!$A:$A,0),
_xlpm.colNo,
MATCH(O$3,Raw_Fund!$E$1:$AZ$1,0),
_xlpm.val,
INDEX(Raw_Fund!$E:$AZ,_xlpm.rowNo,_xlpm.colNo),
IF(ISNUMBER(_xlpm.val),_xlpm.val*$H108,""))</f>
        <v/>
      </c>
      <c r="P108" s="6" t="str">
        <f>_xlfn.LET(
_xlpm.rowNo, MATCH($C108&amp;"|"&amp;
($F108+P$4),Raw_Fund!$A:$A,0),
_xlpm.colNo,
MATCH(P$3,Raw_Fund!$E$1:$AZ$1,0),
_xlpm.val,
INDEX(Raw_Fund!$E:$AZ,_xlpm.rowNo,_xlpm.colNo),
IF(ISNUMBER(_xlpm.val),_xlpm.val*$H108,""))</f>
        <v/>
      </c>
      <c r="Q108" s="6" t="str">
        <f>_xlfn.LET(
_xlpm.rowNo, MATCH($C108&amp;"|"&amp;
($F108+Q$4),Raw_Fund!$A:$A,0),
_xlpm.colNo,
MATCH(Q$3,Raw_Fund!$E$1:$AZ$1,0),
_xlpm.val,
INDEX(Raw_Fund!$E:$AZ,_xlpm.rowNo,_xlpm.colNo),
IF(ISNUMBER(_xlpm.val),_xlpm.val*$H108,""))</f>
        <v/>
      </c>
      <c r="R108" s="6" t="str">
        <f>_xlfn.LET(
_xlpm.rowNo, MATCH($C108&amp;"|"&amp;
($F108+R$4),Raw_Fund!$A:$A,0),
_xlpm.colNo,
MATCH(R$3,Raw_Fund!$E$1:$AZ$1,0),
_xlpm.val,
INDEX(Raw_Fund!$E:$AZ,_xlpm.rowNo,_xlpm.colNo),
IF(ISNUMBER(_xlpm.val),_xlpm.val*$H108,""))</f>
        <v/>
      </c>
      <c r="S108" s="6" t="str">
        <f>_xlfn.LET(
_xlpm.rowNo, MATCH($C108&amp;"|"&amp;
($F108+S$4),Raw_Fund!$A:$A,0),
_xlpm.colNo,
MATCH(S$3,Raw_Fund!$E$1:$AZ$1,0),
_xlpm.val,
INDEX(Raw_Fund!$E:$AZ,_xlpm.rowNo,_xlpm.colNo),
IF(ISNUMBER(_xlpm.val),_xlpm.val*$H108,""))</f>
        <v/>
      </c>
      <c r="T108" s="6" t="str">
        <f>_xlfn.LET(
_xlpm.rowNo, MATCH($C108&amp;"|"&amp;
($F108+T$4),Raw_Fund!$A:$A,0),
_xlpm.colNo,
MATCH(T$3,Raw_Fund!$E$1:$AZ$1,0),
_xlpm.val,
INDEX(Raw_Fund!$E:$AZ,_xlpm.rowNo,_xlpm.colNo),
IF(ISNUMBER(_xlpm.val),_xlpm.val*$H108,""))</f>
        <v/>
      </c>
      <c r="U108" s="6" t="str">
        <f>_xlfn.LET(
_xlpm.rowNo, MATCH($C108&amp;"|"&amp;
($F108+U$4),Raw_Fund!$A:$A,0),
_xlpm.colNo,
MATCH(U$3,Raw_Fund!$E$1:$AZ$1,0),
_xlpm.val,
INDEX(Raw_Fund!$E:$AZ,_xlpm.rowNo,_xlpm.colNo),
IF(ISNUMBER(_xlpm.val),_xlpm.val*$H108,""))</f>
        <v/>
      </c>
      <c r="V108" s="6" t="str">
        <f>_xlfn.LET(
_xlpm.rowNo, MATCH($C108&amp;"|"&amp;
($F108+V$4),Raw_Fund!$A:$A,0),
_xlpm.colNo,
MATCH(V$3,Raw_Fund!$E$1:$AZ$1,0),
_xlpm.val,
INDEX(Raw_Fund!$E:$AZ,_xlpm.rowNo,_xlpm.colNo),
IF(ISNUMBER(_xlpm.val),_xlpm.val*$H108,""))</f>
        <v/>
      </c>
      <c r="W108" s="6" t="str">
        <f>_xlfn.LET(
_xlpm.rowNo, MATCH($C108&amp;"|"&amp;
($F108+W$4),Raw_Fund!$A:$A,0),
_xlpm.colNo,
MATCH(W$3,Raw_Fund!$E$1:$AZ$1,0),
_xlpm.val,
INDEX(Raw_Fund!$E:$AZ,_xlpm.rowNo,_xlpm.colNo),
IF(ISNUMBER(_xlpm.val),_xlpm.val*$H108,""))</f>
        <v/>
      </c>
      <c r="X108" s="6" t="str">
        <f>_xlfn.LET(
_xlpm.rowNo, MATCH($C108&amp;"|"&amp;
($F108+X$4),Raw_Fund!$A:$A,0),
_xlpm.colNo,
MATCH(X$3,Raw_Fund!$E$1:$AZ$1,0),
_xlpm.val,
INDEX(Raw_Fund!$E:$AZ,_xlpm.rowNo,_xlpm.colNo),
IF(ISNUMBER(_xlpm.val),_xlpm.val*$H108,""))</f>
        <v/>
      </c>
      <c r="Y108" s="6" t="str">
        <f>_xlfn.LET(
_xlpm.rowNo, MATCH($C108&amp;"|"&amp;
($F108+Y$4),Raw_Fund!$A:$A,0),
_xlpm.colNo,
MATCH(Y$3,Raw_Fund!$E$1:$AZ$1,0),
_xlpm.val,
INDEX(Raw_Fund!$E:$AZ,_xlpm.rowNo,_xlpm.colNo),
IF(ISNUMBER(_xlpm.val),_xlpm.val*$H108,""))</f>
        <v/>
      </c>
      <c r="Z108" s="6" t="str">
        <f>IF($E108&lt;&gt;"Include","",_xlfn.XLOOKUP($C108,Raw_Mkt!$A:$A,Raw_Mkt!$B:$B))</f>
        <v/>
      </c>
    </row>
    <row r="109" spans="1:26" x14ac:dyDescent="0.4">
      <c r="A109" t="str">
        <f>IF(Universe!A109&lt;&gt;"",Universe!A109,"")</f>
        <v>HIK</v>
      </c>
      <c r="B109" t="str">
        <f>IF(Universe!B109&lt;&gt;"",Universe!B109,"")</f>
        <v>Hikma Pharmaceuticals</v>
      </c>
      <c r="C109" t="str">
        <f>IF(Universe!C109&lt;&gt;"",Universe!C109,"")</f>
        <v>GB00B0LCW083</v>
      </c>
      <c r="D109" t="str">
        <f>IF(Universe!D109&lt;&gt;"",Universe!D109,"")</f>
        <v>Health Care</v>
      </c>
      <c r="E109" t="str">
        <f>Universe!G109</f>
        <v>Include</v>
      </c>
      <c r="F109" t="str">
        <f>IF($E109&lt;&gt;"Include","",_xlfn.LET(_xlpm.latest,_xlfn.MAXIFS(Raw_Fund!$C:$C,Raw_Fund!$B:$B,Data!$C109),IF(_xlpm.latest=0,"",_xlpm.latest)))</f>
        <v/>
      </c>
      <c r="G109" t="str">
        <f>IF($F109="","",INDEX(Raw_Fund!$E:$AZ,MATCH($C109&amp;"|"&amp;$F109,Raw_Fund!$A:$A,0),MATCH(G$3,Raw_Fund!$E$1:$AZ$1,0)))</f>
        <v/>
      </c>
      <c r="H109" t="str">
        <f t="shared" si="1"/>
        <v/>
      </c>
      <c r="I109" s="6" t="str">
        <f>_xlfn.LET(
_xlpm.rowNo, MATCH($C109&amp;"|"&amp;
($F109+I$4),Raw_Fund!$A:$A,0),
_xlpm.colNo,
MATCH(I$3,Raw_Fund!$E$1:$AZ$1,0),
_xlpm.val,
INDEX(Raw_Fund!$E:$AZ,_xlpm.rowNo,_xlpm.colNo),
IF(ISNUMBER(_xlpm.val),_xlpm.val*$H109,""))</f>
        <v/>
      </c>
      <c r="J109" s="6" t="str">
        <f>_xlfn.LET(
_xlpm.rowNo, MATCH($C109&amp;"|"&amp;
($F109+J$4),Raw_Fund!$A:$A,0),
_xlpm.colNo,
MATCH(J$3,Raw_Fund!$E$1:$AZ$1,0),
_xlpm.val,
INDEX(Raw_Fund!$E:$AZ,_xlpm.rowNo,_xlpm.colNo),
IF(ISNUMBER(_xlpm.val),_xlpm.val*$H109,""))</f>
        <v/>
      </c>
      <c r="K109" s="6" t="str">
        <f>_xlfn.LET(
_xlpm.rowNo, MATCH($C109&amp;"|"&amp;
($F109+K$4),Raw_Fund!$A:$A,0),
_xlpm.colNo,
MATCH(K$3,Raw_Fund!$E$1:$AZ$1,0),
_xlpm.val,
INDEX(Raw_Fund!$E:$AZ,_xlpm.rowNo,_xlpm.colNo),
IF(ISNUMBER(_xlpm.val),_xlpm.val*$H109,""))</f>
        <v/>
      </c>
      <c r="L109" s="6" t="str">
        <f>_xlfn.LET(
_xlpm.rowNo, MATCH($C109&amp;"|"&amp;
($F109+L$4),Raw_Fund!$A:$A,0),
_xlpm.colNo,
MATCH(L$3,Raw_Fund!$E$1:$AZ$1,0),
_xlpm.val,
INDEX(Raw_Fund!$E:$AZ,_xlpm.rowNo,_xlpm.colNo),
IF(ISNUMBER(_xlpm.val),_xlpm.val*$H109,""))</f>
        <v/>
      </c>
      <c r="M109" s="6" t="str">
        <f>_xlfn.LET(
_xlpm.rowNo, MATCH($C109&amp;"|"&amp;
($F109+M$4),Raw_Fund!$A:$A,0),
_xlpm.colNo,
MATCH(M$3,Raw_Fund!$E$1:$AZ$1,0),
_xlpm.val,
INDEX(Raw_Fund!$E:$AZ,_xlpm.rowNo,_xlpm.colNo),
IF(ISNUMBER(_xlpm.val),_xlpm.val*$H109,""))</f>
        <v/>
      </c>
      <c r="N109" s="6" t="str">
        <f>_xlfn.LET(
_xlpm.rowNo, MATCH($C109&amp;"|"&amp;
($F109+N$4),Raw_Fund!$A:$A,0),
_xlpm.colNo,
MATCH(N$3,Raw_Fund!$E$1:$AZ$1,0),
_xlpm.val,
INDEX(Raw_Fund!$E:$AZ,_xlpm.rowNo,_xlpm.colNo),
IF(ISNUMBER(_xlpm.val),_xlpm.val*$H109,""))</f>
        <v/>
      </c>
      <c r="O109" s="6" t="str">
        <f>_xlfn.LET(
_xlpm.rowNo, MATCH($C109&amp;"|"&amp;
($F109+O$4),Raw_Fund!$A:$A,0),
_xlpm.colNo,
MATCH(O$3,Raw_Fund!$E$1:$AZ$1,0),
_xlpm.val,
INDEX(Raw_Fund!$E:$AZ,_xlpm.rowNo,_xlpm.colNo),
IF(ISNUMBER(_xlpm.val),_xlpm.val*$H109,""))</f>
        <v/>
      </c>
      <c r="P109" s="6" t="str">
        <f>_xlfn.LET(
_xlpm.rowNo, MATCH($C109&amp;"|"&amp;
($F109+P$4),Raw_Fund!$A:$A,0),
_xlpm.colNo,
MATCH(P$3,Raw_Fund!$E$1:$AZ$1,0),
_xlpm.val,
INDEX(Raw_Fund!$E:$AZ,_xlpm.rowNo,_xlpm.colNo),
IF(ISNUMBER(_xlpm.val),_xlpm.val*$H109,""))</f>
        <v/>
      </c>
      <c r="Q109" s="6" t="str">
        <f>_xlfn.LET(
_xlpm.rowNo, MATCH($C109&amp;"|"&amp;
($F109+Q$4),Raw_Fund!$A:$A,0),
_xlpm.colNo,
MATCH(Q$3,Raw_Fund!$E$1:$AZ$1,0),
_xlpm.val,
INDEX(Raw_Fund!$E:$AZ,_xlpm.rowNo,_xlpm.colNo),
IF(ISNUMBER(_xlpm.val),_xlpm.val*$H109,""))</f>
        <v/>
      </c>
      <c r="R109" s="6" t="str">
        <f>_xlfn.LET(
_xlpm.rowNo, MATCH($C109&amp;"|"&amp;
($F109+R$4),Raw_Fund!$A:$A,0),
_xlpm.colNo,
MATCH(R$3,Raw_Fund!$E$1:$AZ$1,0),
_xlpm.val,
INDEX(Raw_Fund!$E:$AZ,_xlpm.rowNo,_xlpm.colNo),
IF(ISNUMBER(_xlpm.val),_xlpm.val*$H109,""))</f>
        <v/>
      </c>
      <c r="S109" s="6" t="str">
        <f>_xlfn.LET(
_xlpm.rowNo, MATCH($C109&amp;"|"&amp;
($F109+S$4),Raw_Fund!$A:$A,0),
_xlpm.colNo,
MATCH(S$3,Raw_Fund!$E$1:$AZ$1,0),
_xlpm.val,
INDEX(Raw_Fund!$E:$AZ,_xlpm.rowNo,_xlpm.colNo),
IF(ISNUMBER(_xlpm.val),_xlpm.val*$H109,""))</f>
        <v/>
      </c>
      <c r="T109" s="6" t="str">
        <f>_xlfn.LET(
_xlpm.rowNo, MATCH($C109&amp;"|"&amp;
($F109+T$4),Raw_Fund!$A:$A,0),
_xlpm.colNo,
MATCH(T$3,Raw_Fund!$E$1:$AZ$1,0),
_xlpm.val,
INDEX(Raw_Fund!$E:$AZ,_xlpm.rowNo,_xlpm.colNo),
IF(ISNUMBER(_xlpm.val),_xlpm.val*$H109,""))</f>
        <v/>
      </c>
      <c r="U109" s="6" t="str">
        <f>_xlfn.LET(
_xlpm.rowNo, MATCH($C109&amp;"|"&amp;
($F109+U$4),Raw_Fund!$A:$A,0),
_xlpm.colNo,
MATCH(U$3,Raw_Fund!$E$1:$AZ$1,0),
_xlpm.val,
INDEX(Raw_Fund!$E:$AZ,_xlpm.rowNo,_xlpm.colNo),
IF(ISNUMBER(_xlpm.val),_xlpm.val*$H109,""))</f>
        <v/>
      </c>
      <c r="V109" s="6" t="str">
        <f>_xlfn.LET(
_xlpm.rowNo, MATCH($C109&amp;"|"&amp;
($F109+V$4),Raw_Fund!$A:$A,0),
_xlpm.colNo,
MATCH(V$3,Raw_Fund!$E$1:$AZ$1,0),
_xlpm.val,
INDEX(Raw_Fund!$E:$AZ,_xlpm.rowNo,_xlpm.colNo),
IF(ISNUMBER(_xlpm.val),_xlpm.val*$H109,""))</f>
        <v/>
      </c>
      <c r="W109" s="6" t="str">
        <f>_xlfn.LET(
_xlpm.rowNo, MATCH($C109&amp;"|"&amp;
($F109+W$4),Raw_Fund!$A:$A,0),
_xlpm.colNo,
MATCH(W$3,Raw_Fund!$E$1:$AZ$1,0),
_xlpm.val,
INDEX(Raw_Fund!$E:$AZ,_xlpm.rowNo,_xlpm.colNo),
IF(ISNUMBER(_xlpm.val),_xlpm.val*$H109,""))</f>
        <v/>
      </c>
      <c r="X109" s="6" t="str">
        <f>_xlfn.LET(
_xlpm.rowNo, MATCH($C109&amp;"|"&amp;
($F109+X$4),Raw_Fund!$A:$A,0),
_xlpm.colNo,
MATCH(X$3,Raw_Fund!$E$1:$AZ$1,0),
_xlpm.val,
INDEX(Raw_Fund!$E:$AZ,_xlpm.rowNo,_xlpm.colNo),
IF(ISNUMBER(_xlpm.val),_xlpm.val*$H109,""))</f>
        <v/>
      </c>
      <c r="Y109" s="6" t="str">
        <f>_xlfn.LET(
_xlpm.rowNo, MATCH($C109&amp;"|"&amp;
($F109+Y$4),Raw_Fund!$A:$A,0),
_xlpm.colNo,
MATCH(Y$3,Raw_Fund!$E$1:$AZ$1,0),
_xlpm.val,
INDEX(Raw_Fund!$E:$AZ,_xlpm.rowNo,_xlpm.colNo),
IF(ISNUMBER(_xlpm.val),_xlpm.val*$H109,""))</f>
        <v/>
      </c>
      <c r="Z109" s="6" t="e">
        <f>IF($E109&lt;&gt;"Include","",_xlfn.XLOOKUP($C109,Raw_Mkt!$A:$A,Raw_Mkt!$B:$B))</f>
        <v>#N/A</v>
      </c>
    </row>
    <row r="110" spans="1:26" x14ac:dyDescent="0.4">
      <c r="A110" t="str">
        <f>IF(Universe!A110&lt;&gt;"",Universe!A110,"")</f>
        <v>HILS</v>
      </c>
      <c r="B110" t="str">
        <f>IF(Universe!B110&lt;&gt;"",Universe!B110,"")</f>
        <v>Hill &amp; Smith</v>
      </c>
      <c r="C110" t="str">
        <f>IF(Universe!C110&lt;&gt;"",Universe!C110,"")</f>
        <v>GB0004270301</v>
      </c>
      <c r="D110" t="str">
        <f>IF(Universe!D110&lt;&gt;"",Universe!D110,"")</f>
        <v>Industrials</v>
      </c>
      <c r="E110" t="str">
        <f>Universe!G110</f>
        <v>Include</v>
      </c>
      <c r="F110" t="str">
        <f>IF($E110&lt;&gt;"Include","",_xlfn.LET(_xlpm.latest,_xlfn.MAXIFS(Raw_Fund!$C:$C,Raw_Fund!$B:$B,Data!$C110),IF(_xlpm.latest=0,"",_xlpm.latest)))</f>
        <v/>
      </c>
      <c r="G110" t="str">
        <f>IF($F110="","",INDEX(Raw_Fund!$E:$AZ,MATCH($C110&amp;"|"&amp;$F110,Raw_Fund!$A:$A,0),MATCH(G$3,Raw_Fund!$E$1:$AZ$1,0)))</f>
        <v/>
      </c>
      <c r="H110" t="str">
        <f t="shared" si="1"/>
        <v/>
      </c>
      <c r="I110" s="6" t="str">
        <f>_xlfn.LET(
_xlpm.rowNo, MATCH($C110&amp;"|"&amp;
($F110+I$4),Raw_Fund!$A:$A,0),
_xlpm.colNo,
MATCH(I$3,Raw_Fund!$E$1:$AZ$1,0),
_xlpm.val,
INDEX(Raw_Fund!$E:$AZ,_xlpm.rowNo,_xlpm.colNo),
IF(ISNUMBER(_xlpm.val),_xlpm.val*$H110,""))</f>
        <v/>
      </c>
      <c r="J110" s="6" t="str">
        <f>_xlfn.LET(
_xlpm.rowNo, MATCH($C110&amp;"|"&amp;
($F110+J$4),Raw_Fund!$A:$A,0),
_xlpm.colNo,
MATCH(J$3,Raw_Fund!$E$1:$AZ$1,0),
_xlpm.val,
INDEX(Raw_Fund!$E:$AZ,_xlpm.rowNo,_xlpm.colNo),
IF(ISNUMBER(_xlpm.val),_xlpm.val*$H110,""))</f>
        <v/>
      </c>
      <c r="K110" s="6" t="str">
        <f>_xlfn.LET(
_xlpm.rowNo, MATCH($C110&amp;"|"&amp;
($F110+K$4),Raw_Fund!$A:$A,0),
_xlpm.colNo,
MATCH(K$3,Raw_Fund!$E$1:$AZ$1,0),
_xlpm.val,
INDEX(Raw_Fund!$E:$AZ,_xlpm.rowNo,_xlpm.colNo),
IF(ISNUMBER(_xlpm.val),_xlpm.val*$H110,""))</f>
        <v/>
      </c>
      <c r="L110" s="6" t="str">
        <f>_xlfn.LET(
_xlpm.rowNo, MATCH($C110&amp;"|"&amp;
($F110+L$4),Raw_Fund!$A:$A,0),
_xlpm.colNo,
MATCH(L$3,Raw_Fund!$E$1:$AZ$1,0),
_xlpm.val,
INDEX(Raw_Fund!$E:$AZ,_xlpm.rowNo,_xlpm.colNo),
IF(ISNUMBER(_xlpm.val),_xlpm.val*$H110,""))</f>
        <v/>
      </c>
      <c r="M110" s="6" t="str">
        <f>_xlfn.LET(
_xlpm.rowNo, MATCH($C110&amp;"|"&amp;
($F110+M$4),Raw_Fund!$A:$A,0),
_xlpm.colNo,
MATCH(M$3,Raw_Fund!$E$1:$AZ$1,0),
_xlpm.val,
INDEX(Raw_Fund!$E:$AZ,_xlpm.rowNo,_xlpm.colNo),
IF(ISNUMBER(_xlpm.val),_xlpm.val*$H110,""))</f>
        <v/>
      </c>
      <c r="N110" s="6" t="str">
        <f>_xlfn.LET(
_xlpm.rowNo, MATCH($C110&amp;"|"&amp;
($F110+N$4),Raw_Fund!$A:$A,0),
_xlpm.colNo,
MATCH(N$3,Raw_Fund!$E$1:$AZ$1,0),
_xlpm.val,
INDEX(Raw_Fund!$E:$AZ,_xlpm.rowNo,_xlpm.colNo),
IF(ISNUMBER(_xlpm.val),_xlpm.val*$H110,""))</f>
        <v/>
      </c>
      <c r="O110" s="6" t="str">
        <f>_xlfn.LET(
_xlpm.rowNo, MATCH($C110&amp;"|"&amp;
($F110+O$4),Raw_Fund!$A:$A,0),
_xlpm.colNo,
MATCH(O$3,Raw_Fund!$E$1:$AZ$1,0),
_xlpm.val,
INDEX(Raw_Fund!$E:$AZ,_xlpm.rowNo,_xlpm.colNo),
IF(ISNUMBER(_xlpm.val),_xlpm.val*$H110,""))</f>
        <v/>
      </c>
      <c r="P110" s="6" t="str">
        <f>_xlfn.LET(
_xlpm.rowNo, MATCH($C110&amp;"|"&amp;
($F110+P$4),Raw_Fund!$A:$A,0),
_xlpm.colNo,
MATCH(P$3,Raw_Fund!$E$1:$AZ$1,0),
_xlpm.val,
INDEX(Raw_Fund!$E:$AZ,_xlpm.rowNo,_xlpm.colNo),
IF(ISNUMBER(_xlpm.val),_xlpm.val*$H110,""))</f>
        <v/>
      </c>
      <c r="Q110" s="6" t="str">
        <f>_xlfn.LET(
_xlpm.rowNo, MATCH($C110&amp;"|"&amp;
($F110+Q$4),Raw_Fund!$A:$A,0),
_xlpm.colNo,
MATCH(Q$3,Raw_Fund!$E$1:$AZ$1,0),
_xlpm.val,
INDEX(Raw_Fund!$E:$AZ,_xlpm.rowNo,_xlpm.colNo),
IF(ISNUMBER(_xlpm.val),_xlpm.val*$H110,""))</f>
        <v/>
      </c>
      <c r="R110" s="6" t="str">
        <f>_xlfn.LET(
_xlpm.rowNo, MATCH($C110&amp;"|"&amp;
($F110+R$4),Raw_Fund!$A:$A,0),
_xlpm.colNo,
MATCH(R$3,Raw_Fund!$E$1:$AZ$1,0),
_xlpm.val,
INDEX(Raw_Fund!$E:$AZ,_xlpm.rowNo,_xlpm.colNo),
IF(ISNUMBER(_xlpm.val),_xlpm.val*$H110,""))</f>
        <v/>
      </c>
      <c r="S110" s="6" t="str">
        <f>_xlfn.LET(
_xlpm.rowNo, MATCH($C110&amp;"|"&amp;
($F110+S$4),Raw_Fund!$A:$A,0),
_xlpm.colNo,
MATCH(S$3,Raw_Fund!$E$1:$AZ$1,0),
_xlpm.val,
INDEX(Raw_Fund!$E:$AZ,_xlpm.rowNo,_xlpm.colNo),
IF(ISNUMBER(_xlpm.val),_xlpm.val*$H110,""))</f>
        <v/>
      </c>
      <c r="T110" s="6" t="str">
        <f>_xlfn.LET(
_xlpm.rowNo, MATCH($C110&amp;"|"&amp;
($F110+T$4),Raw_Fund!$A:$A,0),
_xlpm.colNo,
MATCH(T$3,Raw_Fund!$E$1:$AZ$1,0),
_xlpm.val,
INDEX(Raw_Fund!$E:$AZ,_xlpm.rowNo,_xlpm.colNo),
IF(ISNUMBER(_xlpm.val),_xlpm.val*$H110,""))</f>
        <v/>
      </c>
      <c r="U110" s="6" t="str">
        <f>_xlfn.LET(
_xlpm.rowNo, MATCH($C110&amp;"|"&amp;
($F110+U$4),Raw_Fund!$A:$A,0),
_xlpm.colNo,
MATCH(U$3,Raw_Fund!$E$1:$AZ$1,0),
_xlpm.val,
INDEX(Raw_Fund!$E:$AZ,_xlpm.rowNo,_xlpm.colNo),
IF(ISNUMBER(_xlpm.val),_xlpm.val*$H110,""))</f>
        <v/>
      </c>
      <c r="V110" s="6" t="str">
        <f>_xlfn.LET(
_xlpm.rowNo, MATCH($C110&amp;"|"&amp;
($F110+V$4),Raw_Fund!$A:$A,0),
_xlpm.colNo,
MATCH(V$3,Raw_Fund!$E$1:$AZ$1,0),
_xlpm.val,
INDEX(Raw_Fund!$E:$AZ,_xlpm.rowNo,_xlpm.colNo),
IF(ISNUMBER(_xlpm.val),_xlpm.val*$H110,""))</f>
        <v/>
      </c>
      <c r="W110" s="6" t="str">
        <f>_xlfn.LET(
_xlpm.rowNo, MATCH($C110&amp;"|"&amp;
($F110+W$4),Raw_Fund!$A:$A,0),
_xlpm.colNo,
MATCH(W$3,Raw_Fund!$E$1:$AZ$1,0),
_xlpm.val,
INDEX(Raw_Fund!$E:$AZ,_xlpm.rowNo,_xlpm.colNo),
IF(ISNUMBER(_xlpm.val),_xlpm.val*$H110,""))</f>
        <v/>
      </c>
      <c r="X110" s="6" t="str">
        <f>_xlfn.LET(
_xlpm.rowNo, MATCH($C110&amp;"|"&amp;
($F110+X$4),Raw_Fund!$A:$A,0),
_xlpm.colNo,
MATCH(X$3,Raw_Fund!$E$1:$AZ$1,0),
_xlpm.val,
INDEX(Raw_Fund!$E:$AZ,_xlpm.rowNo,_xlpm.colNo),
IF(ISNUMBER(_xlpm.val),_xlpm.val*$H110,""))</f>
        <v/>
      </c>
      <c r="Y110" s="6" t="str">
        <f>_xlfn.LET(
_xlpm.rowNo, MATCH($C110&amp;"|"&amp;
($F110+Y$4),Raw_Fund!$A:$A,0),
_xlpm.colNo,
MATCH(Y$3,Raw_Fund!$E$1:$AZ$1,0),
_xlpm.val,
INDEX(Raw_Fund!$E:$AZ,_xlpm.rowNo,_xlpm.colNo),
IF(ISNUMBER(_xlpm.val),_xlpm.val*$H110,""))</f>
        <v/>
      </c>
      <c r="Z110" s="6" t="e">
        <f>IF($E110&lt;&gt;"Include","",_xlfn.XLOOKUP($C110,Raw_Mkt!$A:$A,Raw_Mkt!$B:$B))</f>
        <v>#N/A</v>
      </c>
    </row>
    <row r="111" spans="1:26" x14ac:dyDescent="0.4">
      <c r="A111" t="str">
        <f>IF(Universe!A111&lt;&gt;"",Universe!A111,"")</f>
        <v>HFG</v>
      </c>
      <c r="B111" t="str">
        <f>IF(Universe!B111&lt;&gt;"",Universe!B111,"")</f>
        <v>Hilton Food Group</v>
      </c>
      <c r="C111" t="str">
        <f>IF(Universe!C111&lt;&gt;"",Universe!C111,"")</f>
        <v>GB00B1V9NW54</v>
      </c>
      <c r="D111" t="str">
        <f>IF(Universe!D111&lt;&gt;"",Universe!D111,"")</f>
        <v>Consumer Staples</v>
      </c>
      <c r="E111" t="str">
        <f>Universe!G111</f>
        <v>Include</v>
      </c>
      <c r="F111" t="str">
        <f>IF($E111&lt;&gt;"Include","",_xlfn.LET(_xlpm.latest,_xlfn.MAXIFS(Raw_Fund!$C:$C,Raw_Fund!$B:$B,Data!$C111),IF(_xlpm.latest=0,"",_xlpm.latest)))</f>
        <v/>
      </c>
      <c r="G111" t="str">
        <f>IF($F111="","",INDEX(Raw_Fund!$E:$AZ,MATCH($C111&amp;"|"&amp;$F111,Raw_Fund!$A:$A,0),MATCH(G$3,Raw_Fund!$E$1:$AZ$1,0)))</f>
        <v/>
      </c>
      <c r="H111" t="str">
        <f t="shared" si="1"/>
        <v/>
      </c>
      <c r="I111" s="6" t="str">
        <f>_xlfn.LET(
_xlpm.rowNo, MATCH($C111&amp;"|"&amp;
($F111+I$4),Raw_Fund!$A:$A,0),
_xlpm.colNo,
MATCH(I$3,Raw_Fund!$E$1:$AZ$1,0),
_xlpm.val,
INDEX(Raw_Fund!$E:$AZ,_xlpm.rowNo,_xlpm.colNo),
IF(ISNUMBER(_xlpm.val),_xlpm.val*$H111,""))</f>
        <v/>
      </c>
      <c r="J111" s="6" t="str">
        <f>_xlfn.LET(
_xlpm.rowNo, MATCH($C111&amp;"|"&amp;
($F111+J$4),Raw_Fund!$A:$A,0),
_xlpm.colNo,
MATCH(J$3,Raw_Fund!$E$1:$AZ$1,0),
_xlpm.val,
INDEX(Raw_Fund!$E:$AZ,_xlpm.rowNo,_xlpm.colNo),
IF(ISNUMBER(_xlpm.val),_xlpm.val*$H111,""))</f>
        <v/>
      </c>
      <c r="K111" s="6" t="str">
        <f>_xlfn.LET(
_xlpm.rowNo, MATCH($C111&amp;"|"&amp;
($F111+K$4),Raw_Fund!$A:$A,0),
_xlpm.colNo,
MATCH(K$3,Raw_Fund!$E$1:$AZ$1,0),
_xlpm.val,
INDEX(Raw_Fund!$E:$AZ,_xlpm.rowNo,_xlpm.colNo),
IF(ISNUMBER(_xlpm.val),_xlpm.val*$H111,""))</f>
        <v/>
      </c>
      <c r="L111" s="6" t="str">
        <f>_xlfn.LET(
_xlpm.rowNo, MATCH($C111&amp;"|"&amp;
($F111+L$4),Raw_Fund!$A:$A,0),
_xlpm.colNo,
MATCH(L$3,Raw_Fund!$E$1:$AZ$1,0),
_xlpm.val,
INDEX(Raw_Fund!$E:$AZ,_xlpm.rowNo,_xlpm.colNo),
IF(ISNUMBER(_xlpm.val),_xlpm.val*$H111,""))</f>
        <v/>
      </c>
      <c r="M111" s="6" t="str">
        <f>_xlfn.LET(
_xlpm.rowNo, MATCH($C111&amp;"|"&amp;
($F111+M$4),Raw_Fund!$A:$A,0),
_xlpm.colNo,
MATCH(M$3,Raw_Fund!$E$1:$AZ$1,0),
_xlpm.val,
INDEX(Raw_Fund!$E:$AZ,_xlpm.rowNo,_xlpm.colNo),
IF(ISNUMBER(_xlpm.val),_xlpm.val*$H111,""))</f>
        <v/>
      </c>
      <c r="N111" s="6" t="str">
        <f>_xlfn.LET(
_xlpm.rowNo, MATCH($C111&amp;"|"&amp;
($F111+N$4),Raw_Fund!$A:$A,0),
_xlpm.colNo,
MATCH(N$3,Raw_Fund!$E$1:$AZ$1,0),
_xlpm.val,
INDEX(Raw_Fund!$E:$AZ,_xlpm.rowNo,_xlpm.colNo),
IF(ISNUMBER(_xlpm.val),_xlpm.val*$H111,""))</f>
        <v/>
      </c>
      <c r="O111" s="6" t="str">
        <f>_xlfn.LET(
_xlpm.rowNo, MATCH($C111&amp;"|"&amp;
($F111+O$4),Raw_Fund!$A:$A,0),
_xlpm.colNo,
MATCH(O$3,Raw_Fund!$E$1:$AZ$1,0),
_xlpm.val,
INDEX(Raw_Fund!$E:$AZ,_xlpm.rowNo,_xlpm.colNo),
IF(ISNUMBER(_xlpm.val),_xlpm.val*$H111,""))</f>
        <v/>
      </c>
      <c r="P111" s="6" t="str">
        <f>_xlfn.LET(
_xlpm.rowNo, MATCH($C111&amp;"|"&amp;
($F111+P$4),Raw_Fund!$A:$A,0),
_xlpm.colNo,
MATCH(P$3,Raw_Fund!$E$1:$AZ$1,0),
_xlpm.val,
INDEX(Raw_Fund!$E:$AZ,_xlpm.rowNo,_xlpm.colNo),
IF(ISNUMBER(_xlpm.val),_xlpm.val*$H111,""))</f>
        <v/>
      </c>
      <c r="Q111" s="6" t="str">
        <f>_xlfn.LET(
_xlpm.rowNo, MATCH($C111&amp;"|"&amp;
($F111+Q$4),Raw_Fund!$A:$A,0),
_xlpm.colNo,
MATCH(Q$3,Raw_Fund!$E$1:$AZ$1,0),
_xlpm.val,
INDEX(Raw_Fund!$E:$AZ,_xlpm.rowNo,_xlpm.colNo),
IF(ISNUMBER(_xlpm.val),_xlpm.val*$H111,""))</f>
        <v/>
      </c>
      <c r="R111" s="6" t="str">
        <f>_xlfn.LET(
_xlpm.rowNo, MATCH($C111&amp;"|"&amp;
($F111+R$4),Raw_Fund!$A:$A,0),
_xlpm.colNo,
MATCH(R$3,Raw_Fund!$E$1:$AZ$1,0),
_xlpm.val,
INDEX(Raw_Fund!$E:$AZ,_xlpm.rowNo,_xlpm.colNo),
IF(ISNUMBER(_xlpm.val),_xlpm.val*$H111,""))</f>
        <v/>
      </c>
      <c r="S111" s="6" t="str">
        <f>_xlfn.LET(
_xlpm.rowNo, MATCH($C111&amp;"|"&amp;
($F111+S$4),Raw_Fund!$A:$A,0),
_xlpm.colNo,
MATCH(S$3,Raw_Fund!$E$1:$AZ$1,0),
_xlpm.val,
INDEX(Raw_Fund!$E:$AZ,_xlpm.rowNo,_xlpm.colNo),
IF(ISNUMBER(_xlpm.val),_xlpm.val*$H111,""))</f>
        <v/>
      </c>
      <c r="T111" s="6" t="str">
        <f>_xlfn.LET(
_xlpm.rowNo, MATCH($C111&amp;"|"&amp;
($F111+T$4),Raw_Fund!$A:$A,0),
_xlpm.colNo,
MATCH(T$3,Raw_Fund!$E$1:$AZ$1,0),
_xlpm.val,
INDEX(Raw_Fund!$E:$AZ,_xlpm.rowNo,_xlpm.colNo),
IF(ISNUMBER(_xlpm.val),_xlpm.val*$H111,""))</f>
        <v/>
      </c>
      <c r="U111" s="6" t="str">
        <f>_xlfn.LET(
_xlpm.rowNo, MATCH($C111&amp;"|"&amp;
($F111+U$4),Raw_Fund!$A:$A,0),
_xlpm.colNo,
MATCH(U$3,Raw_Fund!$E$1:$AZ$1,0),
_xlpm.val,
INDEX(Raw_Fund!$E:$AZ,_xlpm.rowNo,_xlpm.colNo),
IF(ISNUMBER(_xlpm.val),_xlpm.val*$H111,""))</f>
        <v/>
      </c>
      <c r="V111" s="6" t="str">
        <f>_xlfn.LET(
_xlpm.rowNo, MATCH($C111&amp;"|"&amp;
($F111+V$4),Raw_Fund!$A:$A,0),
_xlpm.colNo,
MATCH(V$3,Raw_Fund!$E$1:$AZ$1,0),
_xlpm.val,
INDEX(Raw_Fund!$E:$AZ,_xlpm.rowNo,_xlpm.colNo),
IF(ISNUMBER(_xlpm.val),_xlpm.val*$H111,""))</f>
        <v/>
      </c>
      <c r="W111" s="6" t="str">
        <f>_xlfn.LET(
_xlpm.rowNo, MATCH($C111&amp;"|"&amp;
($F111+W$4),Raw_Fund!$A:$A,0),
_xlpm.colNo,
MATCH(W$3,Raw_Fund!$E$1:$AZ$1,0),
_xlpm.val,
INDEX(Raw_Fund!$E:$AZ,_xlpm.rowNo,_xlpm.colNo),
IF(ISNUMBER(_xlpm.val),_xlpm.val*$H111,""))</f>
        <v/>
      </c>
      <c r="X111" s="6" t="str">
        <f>_xlfn.LET(
_xlpm.rowNo, MATCH($C111&amp;"|"&amp;
($F111+X$4),Raw_Fund!$A:$A,0),
_xlpm.colNo,
MATCH(X$3,Raw_Fund!$E$1:$AZ$1,0),
_xlpm.val,
INDEX(Raw_Fund!$E:$AZ,_xlpm.rowNo,_xlpm.colNo),
IF(ISNUMBER(_xlpm.val),_xlpm.val*$H111,""))</f>
        <v/>
      </c>
      <c r="Y111" s="6" t="str">
        <f>_xlfn.LET(
_xlpm.rowNo, MATCH($C111&amp;"|"&amp;
($F111+Y$4),Raw_Fund!$A:$A,0),
_xlpm.colNo,
MATCH(Y$3,Raw_Fund!$E$1:$AZ$1,0),
_xlpm.val,
INDEX(Raw_Fund!$E:$AZ,_xlpm.rowNo,_xlpm.colNo),
IF(ISNUMBER(_xlpm.val),_xlpm.val*$H111,""))</f>
        <v/>
      </c>
      <c r="Z111" s="6" t="e">
        <f>IF($E111&lt;&gt;"Include","",_xlfn.XLOOKUP($C111,Raw_Mkt!$A:$A,Raw_Mkt!$B:$B))</f>
        <v>#N/A</v>
      </c>
    </row>
    <row r="112" spans="1:26" x14ac:dyDescent="0.4">
      <c r="A112" t="str">
        <f>IF(Universe!A112&lt;&gt;"",Universe!A112,"")</f>
        <v>HOC</v>
      </c>
      <c r="B112" t="str">
        <f>IF(Universe!B112&lt;&gt;"",Universe!B112,"")</f>
        <v>Hochschild Mining</v>
      </c>
      <c r="C112" t="str">
        <f>IF(Universe!C112&lt;&gt;"",Universe!C112,"")</f>
        <v>GB00B1FW5029</v>
      </c>
      <c r="D112" t="str">
        <f>IF(Universe!D112&lt;&gt;"",Universe!D112,"")</f>
        <v>Basic Materials</v>
      </c>
      <c r="E112" t="str">
        <f>Universe!G112</f>
        <v>Include</v>
      </c>
      <c r="F112" t="str">
        <f>IF($E112&lt;&gt;"Include","",_xlfn.LET(_xlpm.latest,_xlfn.MAXIFS(Raw_Fund!$C:$C,Raw_Fund!$B:$B,Data!$C112),IF(_xlpm.latest=0,"",_xlpm.latest)))</f>
        <v/>
      </c>
      <c r="G112" t="str">
        <f>IF($F112="","",INDEX(Raw_Fund!$E:$AZ,MATCH($C112&amp;"|"&amp;$F112,Raw_Fund!$A:$A,0),MATCH(G$3,Raw_Fund!$E$1:$AZ$1,0)))</f>
        <v/>
      </c>
      <c r="H112" t="str">
        <f t="shared" si="1"/>
        <v/>
      </c>
      <c r="I112" s="6" t="str">
        <f>_xlfn.LET(
_xlpm.rowNo, MATCH($C112&amp;"|"&amp;
($F112+I$4),Raw_Fund!$A:$A,0),
_xlpm.colNo,
MATCH(I$3,Raw_Fund!$E$1:$AZ$1,0),
_xlpm.val,
INDEX(Raw_Fund!$E:$AZ,_xlpm.rowNo,_xlpm.colNo),
IF(ISNUMBER(_xlpm.val),_xlpm.val*$H112,""))</f>
        <v/>
      </c>
      <c r="J112" s="6" t="str">
        <f>_xlfn.LET(
_xlpm.rowNo, MATCH($C112&amp;"|"&amp;
($F112+J$4),Raw_Fund!$A:$A,0),
_xlpm.colNo,
MATCH(J$3,Raw_Fund!$E$1:$AZ$1,0),
_xlpm.val,
INDEX(Raw_Fund!$E:$AZ,_xlpm.rowNo,_xlpm.colNo),
IF(ISNUMBER(_xlpm.val),_xlpm.val*$H112,""))</f>
        <v/>
      </c>
      <c r="K112" s="6" t="str">
        <f>_xlfn.LET(
_xlpm.rowNo, MATCH($C112&amp;"|"&amp;
($F112+K$4),Raw_Fund!$A:$A,0),
_xlpm.colNo,
MATCH(K$3,Raw_Fund!$E$1:$AZ$1,0),
_xlpm.val,
INDEX(Raw_Fund!$E:$AZ,_xlpm.rowNo,_xlpm.colNo),
IF(ISNUMBER(_xlpm.val),_xlpm.val*$H112,""))</f>
        <v/>
      </c>
      <c r="L112" s="6" t="str">
        <f>_xlfn.LET(
_xlpm.rowNo, MATCH($C112&amp;"|"&amp;
($F112+L$4),Raw_Fund!$A:$A,0),
_xlpm.colNo,
MATCH(L$3,Raw_Fund!$E$1:$AZ$1,0),
_xlpm.val,
INDEX(Raw_Fund!$E:$AZ,_xlpm.rowNo,_xlpm.colNo),
IF(ISNUMBER(_xlpm.val),_xlpm.val*$H112,""))</f>
        <v/>
      </c>
      <c r="M112" s="6" t="str">
        <f>_xlfn.LET(
_xlpm.rowNo, MATCH($C112&amp;"|"&amp;
($F112+M$4),Raw_Fund!$A:$A,0),
_xlpm.colNo,
MATCH(M$3,Raw_Fund!$E$1:$AZ$1,0),
_xlpm.val,
INDEX(Raw_Fund!$E:$AZ,_xlpm.rowNo,_xlpm.colNo),
IF(ISNUMBER(_xlpm.val),_xlpm.val*$H112,""))</f>
        <v/>
      </c>
      <c r="N112" s="6" t="str">
        <f>_xlfn.LET(
_xlpm.rowNo, MATCH($C112&amp;"|"&amp;
($F112+N$4),Raw_Fund!$A:$A,0),
_xlpm.colNo,
MATCH(N$3,Raw_Fund!$E$1:$AZ$1,0),
_xlpm.val,
INDEX(Raw_Fund!$E:$AZ,_xlpm.rowNo,_xlpm.colNo),
IF(ISNUMBER(_xlpm.val),_xlpm.val*$H112,""))</f>
        <v/>
      </c>
      <c r="O112" s="6" t="str">
        <f>_xlfn.LET(
_xlpm.rowNo, MATCH($C112&amp;"|"&amp;
($F112+O$4),Raw_Fund!$A:$A,0),
_xlpm.colNo,
MATCH(O$3,Raw_Fund!$E$1:$AZ$1,0),
_xlpm.val,
INDEX(Raw_Fund!$E:$AZ,_xlpm.rowNo,_xlpm.colNo),
IF(ISNUMBER(_xlpm.val),_xlpm.val*$H112,""))</f>
        <v/>
      </c>
      <c r="P112" s="6" t="str">
        <f>_xlfn.LET(
_xlpm.rowNo, MATCH($C112&amp;"|"&amp;
($F112+P$4),Raw_Fund!$A:$A,0),
_xlpm.colNo,
MATCH(P$3,Raw_Fund!$E$1:$AZ$1,0),
_xlpm.val,
INDEX(Raw_Fund!$E:$AZ,_xlpm.rowNo,_xlpm.colNo),
IF(ISNUMBER(_xlpm.val),_xlpm.val*$H112,""))</f>
        <v/>
      </c>
      <c r="Q112" s="6" t="str">
        <f>_xlfn.LET(
_xlpm.rowNo, MATCH($C112&amp;"|"&amp;
($F112+Q$4),Raw_Fund!$A:$A,0),
_xlpm.colNo,
MATCH(Q$3,Raw_Fund!$E$1:$AZ$1,0),
_xlpm.val,
INDEX(Raw_Fund!$E:$AZ,_xlpm.rowNo,_xlpm.colNo),
IF(ISNUMBER(_xlpm.val),_xlpm.val*$H112,""))</f>
        <v/>
      </c>
      <c r="R112" s="6" t="str">
        <f>_xlfn.LET(
_xlpm.rowNo, MATCH($C112&amp;"|"&amp;
($F112+R$4),Raw_Fund!$A:$A,0),
_xlpm.colNo,
MATCH(R$3,Raw_Fund!$E$1:$AZ$1,0),
_xlpm.val,
INDEX(Raw_Fund!$E:$AZ,_xlpm.rowNo,_xlpm.colNo),
IF(ISNUMBER(_xlpm.val),_xlpm.val*$H112,""))</f>
        <v/>
      </c>
      <c r="S112" s="6" t="str">
        <f>_xlfn.LET(
_xlpm.rowNo, MATCH($C112&amp;"|"&amp;
($F112+S$4),Raw_Fund!$A:$A,0),
_xlpm.colNo,
MATCH(S$3,Raw_Fund!$E$1:$AZ$1,0),
_xlpm.val,
INDEX(Raw_Fund!$E:$AZ,_xlpm.rowNo,_xlpm.colNo),
IF(ISNUMBER(_xlpm.val),_xlpm.val*$H112,""))</f>
        <v/>
      </c>
      <c r="T112" s="6" t="str">
        <f>_xlfn.LET(
_xlpm.rowNo, MATCH($C112&amp;"|"&amp;
($F112+T$4),Raw_Fund!$A:$A,0),
_xlpm.colNo,
MATCH(T$3,Raw_Fund!$E$1:$AZ$1,0),
_xlpm.val,
INDEX(Raw_Fund!$E:$AZ,_xlpm.rowNo,_xlpm.colNo),
IF(ISNUMBER(_xlpm.val),_xlpm.val*$H112,""))</f>
        <v/>
      </c>
      <c r="U112" s="6" t="str">
        <f>_xlfn.LET(
_xlpm.rowNo, MATCH($C112&amp;"|"&amp;
($F112+U$4),Raw_Fund!$A:$A,0),
_xlpm.colNo,
MATCH(U$3,Raw_Fund!$E$1:$AZ$1,0),
_xlpm.val,
INDEX(Raw_Fund!$E:$AZ,_xlpm.rowNo,_xlpm.colNo),
IF(ISNUMBER(_xlpm.val),_xlpm.val*$H112,""))</f>
        <v/>
      </c>
      <c r="V112" s="6" t="str">
        <f>_xlfn.LET(
_xlpm.rowNo, MATCH($C112&amp;"|"&amp;
($F112+V$4),Raw_Fund!$A:$A,0),
_xlpm.colNo,
MATCH(V$3,Raw_Fund!$E$1:$AZ$1,0),
_xlpm.val,
INDEX(Raw_Fund!$E:$AZ,_xlpm.rowNo,_xlpm.colNo),
IF(ISNUMBER(_xlpm.val),_xlpm.val*$H112,""))</f>
        <v/>
      </c>
      <c r="W112" s="6" t="str">
        <f>_xlfn.LET(
_xlpm.rowNo, MATCH($C112&amp;"|"&amp;
($F112+W$4),Raw_Fund!$A:$A,0),
_xlpm.colNo,
MATCH(W$3,Raw_Fund!$E$1:$AZ$1,0),
_xlpm.val,
INDEX(Raw_Fund!$E:$AZ,_xlpm.rowNo,_xlpm.colNo),
IF(ISNUMBER(_xlpm.val),_xlpm.val*$H112,""))</f>
        <v/>
      </c>
      <c r="X112" s="6" t="str">
        <f>_xlfn.LET(
_xlpm.rowNo, MATCH($C112&amp;"|"&amp;
($F112+X$4),Raw_Fund!$A:$A,0),
_xlpm.colNo,
MATCH(X$3,Raw_Fund!$E$1:$AZ$1,0),
_xlpm.val,
INDEX(Raw_Fund!$E:$AZ,_xlpm.rowNo,_xlpm.colNo),
IF(ISNUMBER(_xlpm.val),_xlpm.val*$H112,""))</f>
        <v/>
      </c>
      <c r="Y112" s="6" t="str">
        <f>_xlfn.LET(
_xlpm.rowNo, MATCH($C112&amp;"|"&amp;
($F112+Y$4),Raw_Fund!$A:$A,0),
_xlpm.colNo,
MATCH(Y$3,Raw_Fund!$E$1:$AZ$1,0),
_xlpm.val,
INDEX(Raw_Fund!$E:$AZ,_xlpm.rowNo,_xlpm.colNo),
IF(ISNUMBER(_xlpm.val),_xlpm.val*$H112,""))</f>
        <v/>
      </c>
      <c r="Z112" s="6" t="e">
        <f>IF($E112&lt;&gt;"Include","",_xlfn.XLOOKUP($C112,Raw_Mkt!$A:$A,Raw_Mkt!$B:$B))</f>
        <v>#N/A</v>
      </c>
    </row>
    <row r="113" spans="1:26" x14ac:dyDescent="0.4">
      <c r="A113" t="str">
        <f>IF(Universe!A113&lt;&gt;"",Universe!A113,"")</f>
        <v>BOWL</v>
      </c>
      <c r="B113" t="str">
        <f>IF(Universe!B113&lt;&gt;"",Universe!B113,"")</f>
        <v>Hollywood Bowl Group</v>
      </c>
      <c r="C113" t="str">
        <f>IF(Universe!C113&lt;&gt;"",Universe!C113,"")</f>
        <v>GB00BD0NVK62</v>
      </c>
      <c r="D113" t="str">
        <f>IF(Universe!D113&lt;&gt;"",Universe!D113,"")</f>
        <v>Consumer Discretionary</v>
      </c>
      <c r="E113" t="str">
        <f>Universe!G113</f>
        <v>Include</v>
      </c>
      <c r="F113" t="str">
        <f>IF($E113&lt;&gt;"Include","",_xlfn.LET(_xlpm.latest,_xlfn.MAXIFS(Raw_Fund!$C:$C,Raw_Fund!$B:$B,Data!$C113),IF(_xlpm.latest=0,"",_xlpm.latest)))</f>
        <v/>
      </c>
      <c r="G113" t="str">
        <f>IF($F113="","",INDEX(Raw_Fund!$E:$AZ,MATCH($C113&amp;"|"&amp;$F113,Raw_Fund!$A:$A,0),MATCH(G$3,Raw_Fund!$E$1:$AZ$1,0)))</f>
        <v/>
      </c>
      <c r="H113" t="str">
        <f t="shared" si="1"/>
        <v/>
      </c>
      <c r="I113" s="6" t="str">
        <f>_xlfn.LET(
_xlpm.rowNo, MATCH($C113&amp;"|"&amp;
($F113+I$4),Raw_Fund!$A:$A,0),
_xlpm.colNo,
MATCH(I$3,Raw_Fund!$E$1:$AZ$1,0),
_xlpm.val,
INDEX(Raw_Fund!$E:$AZ,_xlpm.rowNo,_xlpm.colNo),
IF(ISNUMBER(_xlpm.val),_xlpm.val*$H113,""))</f>
        <v/>
      </c>
      <c r="J113" s="6" t="str">
        <f>_xlfn.LET(
_xlpm.rowNo, MATCH($C113&amp;"|"&amp;
($F113+J$4),Raw_Fund!$A:$A,0),
_xlpm.colNo,
MATCH(J$3,Raw_Fund!$E$1:$AZ$1,0),
_xlpm.val,
INDEX(Raw_Fund!$E:$AZ,_xlpm.rowNo,_xlpm.colNo),
IF(ISNUMBER(_xlpm.val),_xlpm.val*$H113,""))</f>
        <v/>
      </c>
      <c r="K113" s="6" t="str">
        <f>_xlfn.LET(
_xlpm.rowNo, MATCH($C113&amp;"|"&amp;
($F113+K$4),Raw_Fund!$A:$A,0),
_xlpm.colNo,
MATCH(K$3,Raw_Fund!$E$1:$AZ$1,0),
_xlpm.val,
INDEX(Raw_Fund!$E:$AZ,_xlpm.rowNo,_xlpm.colNo),
IF(ISNUMBER(_xlpm.val),_xlpm.val*$H113,""))</f>
        <v/>
      </c>
      <c r="L113" s="6" t="str">
        <f>_xlfn.LET(
_xlpm.rowNo, MATCH($C113&amp;"|"&amp;
($F113+L$4),Raw_Fund!$A:$A,0),
_xlpm.colNo,
MATCH(L$3,Raw_Fund!$E$1:$AZ$1,0),
_xlpm.val,
INDEX(Raw_Fund!$E:$AZ,_xlpm.rowNo,_xlpm.colNo),
IF(ISNUMBER(_xlpm.val),_xlpm.val*$H113,""))</f>
        <v/>
      </c>
      <c r="M113" s="6" t="str">
        <f>_xlfn.LET(
_xlpm.rowNo, MATCH($C113&amp;"|"&amp;
($F113+M$4),Raw_Fund!$A:$A,0),
_xlpm.colNo,
MATCH(M$3,Raw_Fund!$E$1:$AZ$1,0),
_xlpm.val,
INDEX(Raw_Fund!$E:$AZ,_xlpm.rowNo,_xlpm.colNo),
IF(ISNUMBER(_xlpm.val),_xlpm.val*$H113,""))</f>
        <v/>
      </c>
      <c r="N113" s="6" t="str">
        <f>_xlfn.LET(
_xlpm.rowNo, MATCH($C113&amp;"|"&amp;
($F113+N$4),Raw_Fund!$A:$A,0),
_xlpm.colNo,
MATCH(N$3,Raw_Fund!$E$1:$AZ$1,0),
_xlpm.val,
INDEX(Raw_Fund!$E:$AZ,_xlpm.rowNo,_xlpm.colNo),
IF(ISNUMBER(_xlpm.val),_xlpm.val*$H113,""))</f>
        <v/>
      </c>
      <c r="O113" s="6" t="str">
        <f>_xlfn.LET(
_xlpm.rowNo, MATCH($C113&amp;"|"&amp;
($F113+O$4),Raw_Fund!$A:$A,0),
_xlpm.colNo,
MATCH(O$3,Raw_Fund!$E$1:$AZ$1,0),
_xlpm.val,
INDEX(Raw_Fund!$E:$AZ,_xlpm.rowNo,_xlpm.colNo),
IF(ISNUMBER(_xlpm.val),_xlpm.val*$H113,""))</f>
        <v/>
      </c>
      <c r="P113" s="6" t="str">
        <f>_xlfn.LET(
_xlpm.rowNo, MATCH($C113&amp;"|"&amp;
($F113+P$4),Raw_Fund!$A:$A,0),
_xlpm.colNo,
MATCH(P$3,Raw_Fund!$E$1:$AZ$1,0),
_xlpm.val,
INDEX(Raw_Fund!$E:$AZ,_xlpm.rowNo,_xlpm.colNo),
IF(ISNUMBER(_xlpm.val),_xlpm.val*$H113,""))</f>
        <v/>
      </c>
      <c r="Q113" s="6" t="str">
        <f>_xlfn.LET(
_xlpm.rowNo, MATCH($C113&amp;"|"&amp;
($F113+Q$4),Raw_Fund!$A:$A,0),
_xlpm.colNo,
MATCH(Q$3,Raw_Fund!$E$1:$AZ$1,0),
_xlpm.val,
INDEX(Raw_Fund!$E:$AZ,_xlpm.rowNo,_xlpm.colNo),
IF(ISNUMBER(_xlpm.val),_xlpm.val*$H113,""))</f>
        <v/>
      </c>
      <c r="R113" s="6" t="str">
        <f>_xlfn.LET(
_xlpm.rowNo, MATCH($C113&amp;"|"&amp;
($F113+R$4),Raw_Fund!$A:$A,0),
_xlpm.colNo,
MATCH(R$3,Raw_Fund!$E$1:$AZ$1,0),
_xlpm.val,
INDEX(Raw_Fund!$E:$AZ,_xlpm.rowNo,_xlpm.colNo),
IF(ISNUMBER(_xlpm.val),_xlpm.val*$H113,""))</f>
        <v/>
      </c>
      <c r="S113" s="6" t="str">
        <f>_xlfn.LET(
_xlpm.rowNo, MATCH($C113&amp;"|"&amp;
($F113+S$4),Raw_Fund!$A:$A,0),
_xlpm.colNo,
MATCH(S$3,Raw_Fund!$E$1:$AZ$1,0),
_xlpm.val,
INDEX(Raw_Fund!$E:$AZ,_xlpm.rowNo,_xlpm.colNo),
IF(ISNUMBER(_xlpm.val),_xlpm.val*$H113,""))</f>
        <v/>
      </c>
      <c r="T113" s="6" t="str">
        <f>_xlfn.LET(
_xlpm.rowNo, MATCH($C113&amp;"|"&amp;
($F113+T$4),Raw_Fund!$A:$A,0),
_xlpm.colNo,
MATCH(T$3,Raw_Fund!$E$1:$AZ$1,0),
_xlpm.val,
INDEX(Raw_Fund!$E:$AZ,_xlpm.rowNo,_xlpm.colNo),
IF(ISNUMBER(_xlpm.val),_xlpm.val*$H113,""))</f>
        <v/>
      </c>
      <c r="U113" s="6" t="str">
        <f>_xlfn.LET(
_xlpm.rowNo, MATCH($C113&amp;"|"&amp;
($F113+U$4),Raw_Fund!$A:$A,0),
_xlpm.colNo,
MATCH(U$3,Raw_Fund!$E$1:$AZ$1,0),
_xlpm.val,
INDEX(Raw_Fund!$E:$AZ,_xlpm.rowNo,_xlpm.colNo),
IF(ISNUMBER(_xlpm.val),_xlpm.val*$H113,""))</f>
        <v/>
      </c>
      <c r="V113" s="6" t="str">
        <f>_xlfn.LET(
_xlpm.rowNo, MATCH($C113&amp;"|"&amp;
($F113+V$4),Raw_Fund!$A:$A,0),
_xlpm.colNo,
MATCH(V$3,Raw_Fund!$E$1:$AZ$1,0),
_xlpm.val,
INDEX(Raw_Fund!$E:$AZ,_xlpm.rowNo,_xlpm.colNo),
IF(ISNUMBER(_xlpm.val),_xlpm.val*$H113,""))</f>
        <v/>
      </c>
      <c r="W113" s="6" t="str">
        <f>_xlfn.LET(
_xlpm.rowNo, MATCH($C113&amp;"|"&amp;
($F113+W$4),Raw_Fund!$A:$A,0),
_xlpm.colNo,
MATCH(W$3,Raw_Fund!$E$1:$AZ$1,0),
_xlpm.val,
INDEX(Raw_Fund!$E:$AZ,_xlpm.rowNo,_xlpm.colNo),
IF(ISNUMBER(_xlpm.val),_xlpm.val*$H113,""))</f>
        <v/>
      </c>
      <c r="X113" s="6" t="str">
        <f>_xlfn.LET(
_xlpm.rowNo, MATCH($C113&amp;"|"&amp;
($F113+X$4),Raw_Fund!$A:$A,0),
_xlpm.colNo,
MATCH(X$3,Raw_Fund!$E$1:$AZ$1,0),
_xlpm.val,
INDEX(Raw_Fund!$E:$AZ,_xlpm.rowNo,_xlpm.colNo),
IF(ISNUMBER(_xlpm.val),_xlpm.val*$H113,""))</f>
        <v/>
      </c>
      <c r="Y113" s="6" t="str">
        <f>_xlfn.LET(
_xlpm.rowNo, MATCH($C113&amp;"|"&amp;
($F113+Y$4),Raw_Fund!$A:$A,0),
_xlpm.colNo,
MATCH(Y$3,Raw_Fund!$E$1:$AZ$1,0),
_xlpm.val,
INDEX(Raw_Fund!$E:$AZ,_xlpm.rowNo,_xlpm.colNo),
IF(ISNUMBER(_xlpm.val),_xlpm.val*$H113,""))</f>
        <v/>
      </c>
      <c r="Z113" s="6" t="e">
        <f>IF($E113&lt;&gt;"Include","",_xlfn.XLOOKUP($C113,Raw_Mkt!$A:$A,Raw_Mkt!$B:$B))</f>
        <v>#N/A</v>
      </c>
    </row>
    <row r="114" spans="1:26" x14ac:dyDescent="0.4">
      <c r="A114" t="str">
        <f>IF(Universe!A114&lt;&gt;"",Universe!A114,"")</f>
        <v>HTG</v>
      </c>
      <c r="B114" t="str">
        <f>IF(Universe!B114&lt;&gt;"",Universe!B114,"")</f>
        <v>Hunting</v>
      </c>
      <c r="C114" t="str">
        <f>IF(Universe!C114&lt;&gt;"",Universe!C114,"")</f>
        <v>GB0004478896</v>
      </c>
      <c r="D114" t="str">
        <f>IF(Universe!D114&lt;&gt;"",Universe!D114,"")</f>
        <v>Energy</v>
      </c>
      <c r="E114" t="str">
        <f>Universe!G114</f>
        <v>Include</v>
      </c>
      <c r="F114" t="str">
        <f>IF($E114&lt;&gt;"Include","",_xlfn.LET(_xlpm.latest,_xlfn.MAXIFS(Raw_Fund!$C:$C,Raw_Fund!$B:$B,Data!$C114),IF(_xlpm.latest=0,"",_xlpm.latest)))</f>
        <v/>
      </c>
      <c r="G114" t="str">
        <f>IF($F114="","",INDEX(Raw_Fund!$E:$AZ,MATCH($C114&amp;"|"&amp;$F114,Raw_Fund!$A:$A,0),MATCH(G$3,Raw_Fund!$E$1:$AZ$1,0)))</f>
        <v/>
      </c>
      <c r="H114" t="str">
        <f t="shared" si="1"/>
        <v/>
      </c>
      <c r="I114" s="6" t="str">
        <f>_xlfn.LET(
_xlpm.rowNo, MATCH($C114&amp;"|"&amp;
($F114+I$4),Raw_Fund!$A:$A,0),
_xlpm.colNo,
MATCH(I$3,Raw_Fund!$E$1:$AZ$1,0),
_xlpm.val,
INDEX(Raw_Fund!$E:$AZ,_xlpm.rowNo,_xlpm.colNo),
IF(ISNUMBER(_xlpm.val),_xlpm.val*$H114,""))</f>
        <v/>
      </c>
      <c r="J114" s="6" t="str">
        <f>_xlfn.LET(
_xlpm.rowNo, MATCH($C114&amp;"|"&amp;
($F114+J$4),Raw_Fund!$A:$A,0),
_xlpm.colNo,
MATCH(J$3,Raw_Fund!$E$1:$AZ$1,0),
_xlpm.val,
INDEX(Raw_Fund!$E:$AZ,_xlpm.rowNo,_xlpm.colNo),
IF(ISNUMBER(_xlpm.val),_xlpm.val*$H114,""))</f>
        <v/>
      </c>
      <c r="K114" s="6" t="str">
        <f>_xlfn.LET(
_xlpm.rowNo, MATCH($C114&amp;"|"&amp;
($F114+K$4),Raw_Fund!$A:$A,0),
_xlpm.colNo,
MATCH(K$3,Raw_Fund!$E$1:$AZ$1,0),
_xlpm.val,
INDEX(Raw_Fund!$E:$AZ,_xlpm.rowNo,_xlpm.colNo),
IF(ISNUMBER(_xlpm.val),_xlpm.val*$H114,""))</f>
        <v/>
      </c>
      <c r="L114" s="6" t="str">
        <f>_xlfn.LET(
_xlpm.rowNo, MATCH($C114&amp;"|"&amp;
($F114+L$4),Raw_Fund!$A:$A,0),
_xlpm.colNo,
MATCH(L$3,Raw_Fund!$E$1:$AZ$1,0),
_xlpm.val,
INDEX(Raw_Fund!$E:$AZ,_xlpm.rowNo,_xlpm.colNo),
IF(ISNUMBER(_xlpm.val),_xlpm.val*$H114,""))</f>
        <v/>
      </c>
      <c r="M114" s="6" t="str">
        <f>_xlfn.LET(
_xlpm.rowNo, MATCH($C114&amp;"|"&amp;
($F114+M$4),Raw_Fund!$A:$A,0),
_xlpm.colNo,
MATCH(M$3,Raw_Fund!$E$1:$AZ$1,0),
_xlpm.val,
INDEX(Raw_Fund!$E:$AZ,_xlpm.rowNo,_xlpm.colNo),
IF(ISNUMBER(_xlpm.val),_xlpm.val*$H114,""))</f>
        <v/>
      </c>
      <c r="N114" s="6" t="str">
        <f>_xlfn.LET(
_xlpm.rowNo, MATCH($C114&amp;"|"&amp;
($F114+N$4),Raw_Fund!$A:$A,0),
_xlpm.colNo,
MATCH(N$3,Raw_Fund!$E$1:$AZ$1,0),
_xlpm.val,
INDEX(Raw_Fund!$E:$AZ,_xlpm.rowNo,_xlpm.colNo),
IF(ISNUMBER(_xlpm.val),_xlpm.val*$H114,""))</f>
        <v/>
      </c>
      <c r="O114" s="6" t="str">
        <f>_xlfn.LET(
_xlpm.rowNo, MATCH($C114&amp;"|"&amp;
($F114+O$4),Raw_Fund!$A:$A,0),
_xlpm.colNo,
MATCH(O$3,Raw_Fund!$E$1:$AZ$1,0),
_xlpm.val,
INDEX(Raw_Fund!$E:$AZ,_xlpm.rowNo,_xlpm.colNo),
IF(ISNUMBER(_xlpm.val),_xlpm.val*$H114,""))</f>
        <v/>
      </c>
      <c r="P114" s="6" t="str">
        <f>_xlfn.LET(
_xlpm.rowNo, MATCH($C114&amp;"|"&amp;
($F114+P$4),Raw_Fund!$A:$A,0),
_xlpm.colNo,
MATCH(P$3,Raw_Fund!$E$1:$AZ$1,0),
_xlpm.val,
INDEX(Raw_Fund!$E:$AZ,_xlpm.rowNo,_xlpm.colNo),
IF(ISNUMBER(_xlpm.val),_xlpm.val*$H114,""))</f>
        <v/>
      </c>
      <c r="Q114" s="6" t="str">
        <f>_xlfn.LET(
_xlpm.rowNo, MATCH($C114&amp;"|"&amp;
($F114+Q$4),Raw_Fund!$A:$A,0),
_xlpm.colNo,
MATCH(Q$3,Raw_Fund!$E$1:$AZ$1,0),
_xlpm.val,
INDEX(Raw_Fund!$E:$AZ,_xlpm.rowNo,_xlpm.colNo),
IF(ISNUMBER(_xlpm.val),_xlpm.val*$H114,""))</f>
        <v/>
      </c>
      <c r="R114" s="6" t="str">
        <f>_xlfn.LET(
_xlpm.rowNo, MATCH($C114&amp;"|"&amp;
($F114+R$4),Raw_Fund!$A:$A,0),
_xlpm.colNo,
MATCH(R$3,Raw_Fund!$E$1:$AZ$1,0),
_xlpm.val,
INDEX(Raw_Fund!$E:$AZ,_xlpm.rowNo,_xlpm.colNo),
IF(ISNUMBER(_xlpm.val),_xlpm.val*$H114,""))</f>
        <v/>
      </c>
      <c r="S114" s="6" t="str">
        <f>_xlfn.LET(
_xlpm.rowNo, MATCH($C114&amp;"|"&amp;
($F114+S$4),Raw_Fund!$A:$A,0),
_xlpm.colNo,
MATCH(S$3,Raw_Fund!$E$1:$AZ$1,0),
_xlpm.val,
INDEX(Raw_Fund!$E:$AZ,_xlpm.rowNo,_xlpm.colNo),
IF(ISNUMBER(_xlpm.val),_xlpm.val*$H114,""))</f>
        <v/>
      </c>
      <c r="T114" s="6" t="str">
        <f>_xlfn.LET(
_xlpm.rowNo, MATCH($C114&amp;"|"&amp;
($F114+T$4),Raw_Fund!$A:$A,0),
_xlpm.colNo,
MATCH(T$3,Raw_Fund!$E$1:$AZ$1,0),
_xlpm.val,
INDEX(Raw_Fund!$E:$AZ,_xlpm.rowNo,_xlpm.colNo),
IF(ISNUMBER(_xlpm.val),_xlpm.val*$H114,""))</f>
        <v/>
      </c>
      <c r="U114" s="6" t="str">
        <f>_xlfn.LET(
_xlpm.rowNo, MATCH($C114&amp;"|"&amp;
($F114+U$4),Raw_Fund!$A:$A,0),
_xlpm.colNo,
MATCH(U$3,Raw_Fund!$E$1:$AZ$1,0),
_xlpm.val,
INDEX(Raw_Fund!$E:$AZ,_xlpm.rowNo,_xlpm.colNo),
IF(ISNUMBER(_xlpm.val),_xlpm.val*$H114,""))</f>
        <v/>
      </c>
      <c r="V114" s="6" t="str">
        <f>_xlfn.LET(
_xlpm.rowNo, MATCH($C114&amp;"|"&amp;
($F114+V$4),Raw_Fund!$A:$A,0),
_xlpm.colNo,
MATCH(V$3,Raw_Fund!$E$1:$AZ$1,0),
_xlpm.val,
INDEX(Raw_Fund!$E:$AZ,_xlpm.rowNo,_xlpm.colNo),
IF(ISNUMBER(_xlpm.val),_xlpm.val*$H114,""))</f>
        <v/>
      </c>
      <c r="W114" s="6" t="str">
        <f>_xlfn.LET(
_xlpm.rowNo, MATCH($C114&amp;"|"&amp;
($F114+W$4),Raw_Fund!$A:$A,0),
_xlpm.colNo,
MATCH(W$3,Raw_Fund!$E$1:$AZ$1,0),
_xlpm.val,
INDEX(Raw_Fund!$E:$AZ,_xlpm.rowNo,_xlpm.colNo),
IF(ISNUMBER(_xlpm.val),_xlpm.val*$H114,""))</f>
        <v/>
      </c>
      <c r="X114" s="6" t="str">
        <f>_xlfn.LET(
_xlpm.rowNo, MATCH($C114&amp;"|"&amp;
($F114+X$4),Raw_Fund!$A:$A,0),
_xlpm.colNo,
MATCH(X$3,Raw_Fund!$E$1:$AZ$1,0),
_xlpm.val,
INDEX(Raw_Fund!$E:$AZ,_xlpm.rowNo,_xlpm.colNo),
IF(ISNUMBER(_xlpm.val),_xlpm.val*$H114,""))</f>
        <v/>
      </c>
      <c r="Y114" s="6" t="str">
        <f>_xlfn.LET(
_xlpm.rowNo, MATCH($C114&amp;"|"&amp;
($F114+Y$4),Raw_Fund!$A:$A,0),
_xlpm.colNo,
MATCH(Y$3,Raw_Fund!$E$1:$AZ$1,0),
_xlpm.val,
INDEX(Raw_Fund!$E:$AZ,_xlpm.rowNo,_xlpm.colNo),
IF(ISNUMBER(_xlpm.val),_xlpm.val*$H114,""))</f>
        <v/>
      </c>
      <c r="Z114" s="6" t="e">
        <f>IF($E114&lt;&gt;"Include","",_xlfn.XLOOKUP($C114,Raw_Mkt!$A:$A,Raw_Mkt!$B:$B))</f>
        <v>#N/A</v>
      </c>
    </row>
    <row r="115" spans="1:26" x14ac:dyDescent="0.4">
      <c r="A115" t="str">
        <f>IF(Universe!A115&lt;&gt;"",Universe!A115,"")</f>
        <v>ICGT</v>
      </c>
      <c r="B115" t="str">
        <f>IF(Universe!B115&lt;&gt;"",Universe!B115,"")</f>
        <v>ICG Enterprise Trust</v>
      </c>
      <c r="C115" t="str">
        <f>IF(Universe!C115&lt;&gt;"",Universe!C115,"")</f>
        <v>GB0003292009</v>
      </c>
      <c r="D115" t="str">
        <f>IF(Universe!D115&lt;&gt;"",Universe!D115,"")</f>
        <v>Financials</v>
      </c>
      <c r="E115" t="str">
        <f>Universe!G115</f>
        <v>Exclude</v>
      </c>
      <c r="F115" t="str">
        <f>IF($E115&lt;&gt;"Include","",_xlfn.LET(_xlpm.latest,_xlfn.MAXIFS(Raw_Fund!$C:$C,Raw_Fund!$B:$B,Data!$C115),IF(_xlpm.latest=0,"",_xlpm.latest)))</f>
        <v/>
      </c>
      <c r="G115" t="str">
        <f>IF($F115="","",INDEX(Raw_Fund!$E:$AZ,MATCH($C115&amp;"|"&amp;$F115,Raw_Fund!$A:$A,0),MATCH(G$3,Raw_Fund!$E$1:$AZ$1,0)))</f>
        <v/>
      </c>
      <c r="H115" t="str">
        <f t="shared" si="1"/>
        <v/>
      </c>
      <c r="I115" s="6" t="str">
        <f>_xlfn.LET(
_xlpm.rowNo, MATCH($C115&amp;"|"&amp;
($F115+I$4),Raw_Fund!$A:$A,0),
_xlpm.colNo,
MATCH(I$3,Raw_Fund!$E$1:$AZ$1,0),
_xlpm.val,
INDEX(Raw_Fund!$E:$AZ,_xlpm.rowNo,_xlpm.colNo),
IF(ISNUMBER(_xlpm.val),_xlpm.val*$H115,""))</f>
        <v/>
      </c>
      <c r="J115" s="6" t="str">
        <f>_xlfn.LET(
_xlpm.rowNo, MATCH($C115&amp;"|"&amp;
($F115+J$4),Raw_Fund!$A:$A,0),
_xlpm.colNo,
MATCH(J$3,Raw_Fund!$E$1:$AZ$1,0),
_xlpm.val,
INDEX(Raw_Fund!$E:$AZ,_xlpm.rowNo,_xlpm.colNo),
IF(ISNUMBER(_xlpm.val),_xlpm.val*$H115,""))</f>
        <v/>
      </c>
      <c r="K115" s="6" t="str">
        <f>_xlfn.LET(
_xlpm.rowNo, MATCH($C115&amp;"|"&amp;
($F115+K$4),Raw_Fund!$A:$A,0),
_xlpm.colNo,
MATCH(K$3,Raw_Fund!$E$1:$AZ$1,0),
_xlpm.val,
INDEX(Raw_Fund!$E:$AZ,_xlpm.rowNo,_xlpm.colNo),
IF(ISNUMBER(_xlpm.val),_xlpm.val*$H115,""))</f>
        <v/>
      </c>
      <c r="L115" s="6" t="str">
        <f>_xlfn.LET(
_xlpm.rowNo, MATCH($C115&amp;"|"&amp;
($F115+L$4),Raw_Fund!$A:$A,0),
_xlpm.colNo,
MATCH(L$3,Raw_Fund!$E$1:$AZ$1,0),
_xlpm.val,
INDEX(Raw_Fund!$E:$AZ,_xlpm.rowNo,_xlpm.colNo),
IF(ISNUMBER(_xlpm.val),_xlpm.val*$H115,""))</f>
        <v/>
      </c>
      <c r="M115" s="6" t="str">
        <f>_xlfn.LET(
_xlpm.rowNo, MATCH($C115&amp;"|"&amp;
($F115+M$4),Raw_Fund!$A:$A,0),
_xlpm.colNo,
MATCH(M$3,Raw_Fund!$E$1:$AZ$1,0),
_xlpm.val,
INDEX(Raw_Fund!$E:$AZ,_xlpm.rowNo,_xlpm.colNo),
IF(ISNUMBER(_xlpm.val),_xlpm.val*$H115,""))</f>
        <v/>
      </c>
      <c r="N115" s="6" t="str">
        <f>_xlfn.LET(
_xlpm.rowNo, MATCH($C115&amp;"|"&amp;
($F115+N$4),Raw_Fund!$A:$A,0),
_xlpm.colNo,
MATCH(N$3,Raw_Fund!$E$1:$AZ$1,0),
_xlpm.val,
INDEX(Raw_Fund!$E:$AZ,_xlpm.rowNo,_xlpm.colNo),
IF(ISNUMBER(_xlpm.val),_xlpm.val*$H115,""))</f>
        <v/>
      </c>
      <c r="O115" s="6" t="str">
        <f>_xlfn.LET(
_xlpm.rowNo, MATCH($C115&amp;"|"&amp;
($F115+O$4),Raw_Fund!$A:$A,0),
_xlpm.colNo,
MATCH(O$3,Raw_Fund!$E$1:$AZ$1,0),
_xlpm.val,
INDEX(Raw_Fund!$E:$AZ,_xlpm.rowNo,_xlpm.colNo),
IF(ISNUMBER(_xlpm.val),_xlpm.val*$H115,""))</f>
        <v/>
      </c>
      <c r="P115" s="6" t="str">
        <f>_xlfn.LET(
_xlpm.rowNo, MATCH($C115&amp;"|"&amp;
($F115+P$4),Raw_Fund!$A:$A,0),
_xlpm.colNo,
MATCH(P$3,Raw_Fund!$E$1:$AZ$1,0),
_xlpm.val,
INDEX(Raw_Fund!$E:$AZ,_xlpm.rowNo,_xlpm.colNo),
IF(ISNUMBER(_xlpm.val),_xlpm.val*$H115,""))</f>
        <v/>
      </c>
      <c r="Q115" s="6" t="str">
        <f>_xlfn.LET(
_xlpm.rowNo, MATCH($C115&amp;"|"&amp;
($F115+Q$4),Raw_Fund!$A:$A,0),
_xlpm.colNo,
MATCH(Q$3,Raw_Fund!$E$1:$AZ$1,0),
_xlpm.val,
INDEX(Raw_Fund!$E:$AZ,_xlpm.rowNo,_xlpm.colNo),
IF(ISNUMBER(_xlpm.val),_xlpm.val*$H115,""))</f>
        <v/>
      </c>
      <c r="R115" s="6" t="str">
        <f>_xlfn.LET(
_xlpm.rowNo, MATCH($C115&amp;"|"&amp;
($F115+R$4),Raw_Fund!$A:$A,0),
_xlpm.colNo,
MATCH(R$3,Raw_Fund!$E$1:$AZ$1,0),
_xlpm.val,
INDEX(Raw_Fund!$E:$AZ,_xlpm.rowNo,_xlpm.colNo),
IF(ISNUMBER(_xlpm.val),_xlpm.val*$H115,""))</f>
        <v/>
      </c>
      <c r="S115" s="6" t="str">
        <f>_xlfn.LET(
_xlpm.rowNo, MATCH($C115&amp;"|"&amp;
($F115+S$4),Raw_Fund!$A:$A,0),
_xlpm.colNo,
MATCH(S$3,Raw_Fund!$E$1:$AZ$1,0),
_xlpm.val,
INDEX(Raw_Fund!$E:$AZ,_xlpm.rowNo,_xlpm.colNo),
IF(ISNUMBER(_xlpm.val),_xlpm.val*$H115,""))</f>
        <v/>
      </c>
      <c r="T115" s="6" t="str">
        <f>_xlfn.LET(
_xlpm.rowNo, MATCH($C115&amp;"|"&amp;
($F115+T$4),Raw_Fund!$A:$A,0),
_xlpm.colNo,
MATCH(T$3,Raw_Fund!$E$1:$AZ$1,0),
_xlpm.val,
INDEX(Raw_Fund!$E:$AZ,_xlpm.rowNo,_xlpm.colNo),
IF(ISNUMBER(_xlpm.val),_xlpm.val*$H115,""))</f>
        <v/>
      </c>
      <c r="U115" s="6" t="str">
        <f>_xlfn.LET(
_xlpm.rowNo, MATCH($C115&amp;"|"&amp;
($F115+U$4),Raw_Fund!$A:$A,0),
_xlpm.colNo,
MATCH(U$3,Raw_Fund!$E$1:$AZ$1,0),
_xlpm.val,
INDEX(Raw_Fund!$E:$AZ,_xlpm.rowNo,_xlpm.colNo),
IF(ISNUMBER(_xlpm.val),_xlpm.val*$H115,""))</f>
        <v/>
      </c>
      <c r="V115" s="6" t="str">
        <f>_xlfn.LET(
_xlpm.rowNo, MATCH($C115&amp;"|"&amp;
($F115+V$4),Raw_Fund!$A:$A,0),
_xlpm.colNo,
MATCH(V$3,Raw_Fund!$E$1:$AZ$1,0),
_xlpm.val,
INDEX(Raw_Fund!$E:$AZ,_xlpm.rowNo,_xlpm.colNo),
IF(ISNUMBER(_xlpm.val),_xlpm.val*$H115,""))</f>
        <v/>
      </c>
      <c r="W115" s="6" t="str">
        <f>_xlfn.LET(
_xlpm.rowNo, MATCH($C115&amp;"|"&amp;
($F115+W$4),Raw_Fund!$A:$A,0),
_xlpm.colNo,
MATCH(W$3,Raw_Fund!$E$1:$AZ$1,0),
_xlpm.val,
INDEX(Raw_Fund!$E:$AZ,_xlpm.rowNo,_xlpm.colNo),
IF(ISNUMBER(_xlpm.val),_xlpm.val*$H115,""))</f>
        <v/>
      </c>
      <c r="X115" s="6" t="str">
        <f>_xlfn.LET(
_xlpm.rowNo, MATCH($C115&amp;"|"&amp;
($F115+X$4),Raw_Fund!$A:$A,0),
_xlpm.colNo,
MATCH(X$3,Raw_Fund!$E$1:$AZ$1,0),
_xlpm.val,
INDEX(Raw_Fund!$E:$AZ,_xlpm.rowNo,_xlpm.colNo),
IF(ISNUMBER(_xlpm.val),_xlpm.val*$H115,""))</f>
        <v/>
      </c>
      <c r="Y115" s="6" t="str">
        <f>_xlfn.LET(
_xlpm.rowNo, MATCH($C115&amp;"|"&amp;
($F115+Y$4),Raw_Fund!$A:$A,0),
_xlpm.colNo,
MATCH(Y$3,Raw_Fund!$E$1:$AZ$1,0),
_xlpm.val,
INDEX(Raw_Fund!$E:$AZ,_xlpm.rowNo,_xlpm.colNo),
IF(ISNUMBER(_xlpm.val),_xlpm.val*$H115,""))</f>
        <v/>
      </c>
      <c r="Z115" s="6" t="str">
        <f>IF($E115&lt;&gt;"Include","",_xlfn.XLOOKUP($C115,Raw_Mkt!$A:$A,Raw_Mkt!$B:$B))</f>
        <v/>
      </c>
    </row>
    <row r="116" spans="1:26" x14ac:dyDescent="0.4">
      <c r="A116" t="str">
        <f>IF(Universe!A116&lt;&gt;"",Universe!A116,"")</f>
        <v>INCH</v>
      </c>
      <c r="B116" t="str">
        <f>IF(Universe!B116&lt;&gt;"",Universe!B116,"")</f>
        <v>Inchcape</v>
      </c>
      <c r="C116" t="str">
        <f>IF(Universe!C116&lt;&gt;"",Universe!C116,"")</f>
        <v>GB00B61TVQ02</v>
      </c>
      <c r="D116" t="str">
        <f>IF(Universe!D116&lt;&gt;"",Universe!D116,"")</f>
        <v>Consumer Discretionary</v>
      </c>
      <c r="E116" t="str">
        <f>Universe!G116</f>
        <v>Include</v>
      </c>
      <c r="F116" t="str">
        <f>IF($E116&lt;&gt;"Include","",_xlfn.LET(_xlpm.latest,_xlfn.MAXIFS(Raw_Fund!$C:$C,Raw_Fund!$B:$B,Data!$C116),IF(_xlpm.latest=0,"",_xlpm.latest)))</f>
        <v/>
      </c>
      <c r="G116" t="str">
        <f>IF($F116="","",INDEX(Raw_Fund!$E:$AZ,MATCH($C116&amp;"|"&amp;$F116,Raw_Fund!$A:$A,0),MATCH(G$3,Raw_Fund!$E$1:$AZ$1,0)))</f>
        <v/>
      </c>
      <c r="H116" t="str">
        <f t="shared" si="1"/>
        <v/>
      </c>
      <c r="I116" s="6" t="str">
        <f>_xlfn.LET(
_xlpm.rowNo, MATCH($C116&amp;"|"&amp;
($F116+I$4),Raw_Fund!$A:$A,0),
_xlpm.colNo,
MATCH(I$3,Raw_Fund!$E$1:$AZ$1,0),
_xlpm.val,
INDEX(Raw_Fund!$E:$AZ,_xlpm.rowNo,_xlpm.colNo),
IF(ISNUMBER(_xlpm.val),_xlpm.val*$H116,""))</f>
        <v/>
      </c>
      <c r="J116" s="6" t="str">
        <f>_xlfn.LET(
_xlpm.rowNo, MATCH($C116&amp;"|"&amp;
($F116+J$4),Raw_Fund!$A:$A,0),
_xlpm.colNo,
MATCH(J$3,Raw_Fund!$E$1:$AZ$1,0),
_xlpm.val,
INDEX(Raw_Fund!$E:$AZ,_xlpm.rowNo,_xlpm.colNo),
IF(ISNUMBER(_xlpm.val),_xlpm.val*$H116,""))</f>
        <v/>
      </c>
      <c r="K116" s="6" t="str">
        <f>_xlfn.LET(
_xlpm.rowNo, MATCH($C116&amp;"|"&amp;
($F116+K$4),Raw_Fund!$A:$A,0),
_xlpm.colNo,
MATCH(K$3,Raw_Fund!$E$1:$AZ$1,0),
_xlpm.val,
INDEX(Raw_Fund!$E:$AZ,_xlpm.rowNo,_xlpm.colNo),
IF(ISNUMBER(_xlpm.val),_xlpm.val*$H116,""))</f>
        <v/>
      </c>
      <c r="L116" s="6" t="str">
        <f>_xlfn.LET(
_xlpm.rowNo, MATCH($C116&amp;"|"&amp;
($F116+L$4),Raw_Fund!$A:$A,0),
_xlpm.colNo,
MATCH(L$3,Raw_Fund!$E$1:$AZ$1,0),
_xlpm.val,
INDEX(Raw_Fund!$E:$AZ,_xlpm.rowNo,_xlpm.colNo),
IF(ISNUMBER(_xlpm.val),_xlpm.val*$H116,""))</f>
        <v/>
      </c>
      <c r="M116" s="6" t="str">
        <f>_xlfn.LET(
_xlpm.rowNo, MATCH($C116&amp;"|"&amp;
($F116+M$4),Raw_Fund!$A:$A,0),
_xlpm.colNo,
MATCH(M$3,Raw_Fund!$E$1:$AZ$1,0),
_xlpm.val,
INDEX(Raw_Fund!$E:$AZ,_xlpm.rowNo,_xlpm.colNo),
IF(ISNUMBER(_xlpm.val),_xlpm.val*$H116,""))</f>
        <v/>
      </c>
      <c r="N116" s="6" t="str">
        <f>_xlfn.LET(
_xlpm.rowNo, MATCH($C116&amp;"|"&amp;
($F116+N$4),Raw_Fund!$A:$A,0),
_xlpm.colNo,
MATCH(N$3,Raw_Fund!$E$1:$AZ$1,0),
_xlpm.val,
INDEX(Raw_Fund!$E:$AZ,_xlpm.rowNo,_xlpm.colNo),
IF(ISNUMBER(_xlpm.val),_xlpm.val*$H116,""))</f>
        <v/>
      </c>
      <c r="O116" s="6" t="str">
        <f>_xlfn.LET(
_xlpm.rowNo, MATCH($C116&amp;"|"&amp;
($F116+O$4),Raw_Fund!$A:$A,0),
_xlpm.colNo,
MATCH(O$3,Raw_Fund!$E$1:$AZ$1,0),
_xlpm.val,
INDEX(Raw_Fund!$E:$AZ,_xlpm.rowNo,_xlpm.colNo),
IF(ISNUMBER(_xlpm.val),_xlpm.val*$H116,""))</f>
        <v/>
      </c>
      <c r="P116" s="6" t="str">
        <f>_xlfn.LET(
_xlpm.rowNo, MATCH($C116&amp;"|"&amp;
($F116+P$4),Raw_Fund!$A:$A,0),
_xlpm.colNo,
MATCH(P$3,Raw_Fund!$E$1:$AZ$1,0),
_xlpm.val,
INDEX(Raw_Fund!$E:$AZ,_xlpm.rowNo,_xlpm.colNo),
IF(ISNUMBER(_xlpm.val),_xlpm.val*$H116,""))</f>
        <v/>
      </c>
      <c r="Q116" s="6" t="str">
        <f>_xlfn.LET(
_xlpm.rowNo, MATCH($C116&amp;"|"&amp;
($F116+Q$4),Raw_Fund!$A:$A,0),
_xlpm.colNo,
MATCH(Q$3,Raw_Fund!$E$1:$AZ$1,0),
_xlpm.val,
INDEX(Raw_Fund!$E:$AZ,_xlpm.rowNo,_xlpm.colNo),
IF(ISNUMBER(_xlpm.val),_xlpm.val*$H116,""))</f>
        <v/>
      </c>
      <c r="R116" s="6" t="str">
        <f>_xlfn.LET(
_xlpm.rowNo, MATCH($C116&amp;"|"&amp;
($F116+R$4),Raw_Fund!$A:$A,0),
_xlpm.colNo,
MATCH(R$3,Raw_Fund!$E$1:$AZ$1,0),
_xlpm.val,
INDEX(Raw_Fund!$E:$AZ,_xlpm.rowNo,_xlpm.colNo),
IF(ISNUMBER(_xlpm.val),_xlpm.val*$H116,""))</f>
        <v/>
      </c>
      <c r="S116" s="6" t="str">
        <f>_xlfn.LET(
_xlpm.rowNo, MATCH($C116&amp;"|"&amp;
($F116+S$4),Raw_Fund!$A:$A,0),
_xlpm.colNo,
MATCH(S$3,Raw_Fund!$E$1:$AZ$1,0),
_xlpm.val,
INDEX(Raw_Fund!$E:$AZ,_xlpm.rowNo,_xlpm.colNo),
IF(ISNUMBER(_xlpm.val),_xlpm.val*$H116,""))</f>
        <v/>
      </c>
      <c r="T116" s="6" t="str">
        <f>_xlfn.LET(
_xlpm.rowNo, MATCH($C116&amp;"|"&amp;
($F116+T$4),Raw_Fund!$A:$A,0),
_xlpm.colNo,
MATCH(T$3,Raw_Fund!$E$1:$AZ$1,0),
_xlpm.val,
INDEX(Raw_Fund!$E:$AZ,_xlpm.rowNo,_xlpm.colNo),
IF(ISNUMBER(_xlpm.val),_xlpm.val*$H116,""))</f>
        <v/>
      </c>
      <c r="U116" s="6" t="str">
        <f>_xlfn.LET(
_xlpm.rowNo, MATCH($C116&amp;"|"&amp;
($F116+U$4),Raw_Fund!$A:$A,0),
_xlpm.colNo,
MATCH(U$3,Raw_Fund!$E$1:$AZ$1,0),
_xlpm.val,
INDEX(Raw_Fund!$E:$AZ,_xlpm.rowNo,_xlpm.colNo),
IF(ISNUMBER(_xlpm.val),_xlpm.val*$H116,""))</f>
        <v/>
      </c>
      <c r="V116" s="6" t="str">
        <f>_xlfn.LET(
_xlpm.rowNo, MATCH($C116&amp;"|"&amp;
($F116+V$4),Raw_Fund!$A:$A,0),
_xlpm.colNo,
MATCH(V$3,Raw_Fund!$E$1:$AZ$1,0),
_xlpm.val,
INDEX(Raw_Fund!$E:$AZ,_xlpm.rowNo,_xlpm.colNo),
IF(ISNUMBER(_xlpm.val),_xlpm.val*$H116,""))</f>
        <v/>
      </c>
      <c r="W116" s="6" t="str">
        <f>_xlfn.LET(
_xlpm.rowNo, MATCH($C116&amp;"|"&amp;
($F116+W$4),Raw_Fund!$A:$A,0),
_xlpm.colNo,
MATCH(W$3,Raw_Fund!$E$1:$AZ$1,0),
_xlpm.val,
INDEX(Raw_Fund!$E:$AZ,_xlpm.rowNo,_xlpm.colNo),
IF(ISNUMBER(_xlpm.val),_xlpm.val*$H116,""))</f>
        <v/>
      </c>
      <c r="X116" s="6" t="str">
        <f>_xlfn.LET(
_xlpm.rowNo, MATCH($C116&amp;"|"&amp;
($F116+X$4),Raw_Fund!$A:$A,0),
_xlpm.colNo,
MATCH(X$3,Raw_Fund!$E$1:$AZ$1,0),
_xlpm.val,
INDEX(Raw_Fund!$E:$AZ,_xlpm.rowNo,_xlpm.colNo),
IF(ISNUMBER(_xlpm.val),_xlpm.val*$H116,""))</f>
        <v/>
      </c>
      <c r="Y116" s="6" t="str">
        <f>_xlfn.LET(
_xlpm.rowNo, MATCH($C116&amp;"|"&amp;
($F116+Y$4),Raw_Fund!$A:$A,0),
_xlpm.colNo,
MATCH(Y$3,Raw_Fund!$E$1:$AZ$1,0),
_xlpm.val,
INDEX(Raw_Fund!$E:$AZ,_xlpm.rowNo,_xlpm.colNo),
IF(ISNUMBER(_xlpm.val),_xlpm.val*$H116,""))</f>
        <v/>
      </c>
      <c r="Z116" s="6" t="e">
        <f>IF($E116&lt;&gt;"Include","",_xlfn.XLOOKUP($C116,Raw_Mkt!$A:$A,Raw_Mkt!$B:$B))</f>
        <v>#N/A</v>
      </c>
    </row>
    <row r="117" spans="1:26" x14ac:dyDescent="0.4">
      <c r="A117" t="str">
        <f>IF(Universe!A117&lt;&gt;"",Universe!A117,"")</f>
        <v>IHP</v>
      </c>
      <c r="B117" t="str">
        <f>IF(Universe!B117&lt;&gt;"",Universe!B117,"")</f>
        <v>IntegraFin Holdings</v>
      </c>
      <c r="C117" t="str">
        <f>IF(Universe!C117&lt;&gt;"",Universe!C117,"")</f>
        <v>GB00BD45SH49</v>
      </c>
      <c r="D117" t="str">
        <f>IF(Universe!D117&lt;&gt;"",Universe!D117,"")</f>
        <v>Financials</v>
      </c>
      <c r="E117" t="str">
        <f>Universe!G117</f>
        <v>Exclude</v>
      </c>
      <c r="F117" t="str">
        <f>IF($E117&lt;&gt;"Include","",_xlfn.LET(_xlpm.latest,_xlfn.MAXIFS(Raw_Fund!$C:$C,Raw_Fund!$B:$B,Data!$C117),IF(_xlpm.latest=0,"",_xlpm.latest)))</f>
        <v/>
      </c>
      <c r="G117" t="str">
        <f>IF($F117="","",INDEX(Raw_Fund!$E:$AZ,MATCH($C117&amp;"|"&amp;$F117,Raw_Fund!$A:$A,0),MATCH(G$3,Raw_Fund!$E$1:$AZ$1,0)))</f>
        <v/>
      </c>
      <c r="H117" t="str">
        <f t="shared" si="1"/>
        <v/>
      </c>
      <c r="I117" s="6" t="str">
        <f>_xlfn.LET(
_xlpm.rowNo, MATCH($C117&amp;"|"&amp;
($F117+I$4),Raw_Fund!$A:$A,0),
_xlpm.colNo,
MATCH(I$3,Raw_Fund!$E$1:$AZ$1,0),
_xlpm.val,
INDEX(Raw_Fund!$E:$AZ,_xlpm.rowNo,_xlpm.colNo),
IF(ISNUMBER(_xlpm.val),_xlpm.val*$H117,""))</f>
        <v/>
      </c>
      <c r="J117" s="6" t="str">
        <f>_xlfn.LET(
_xlpm.rowNo, MATCH($C117&amp;"|"&amp;
($F117+J$4),Raw_Fund!$A:$A,0),
_xlpm.colNo,
MATCH(J$3,Raw_Fund!$E$1:$AZ$1,0),
_xlpm.val,
INDEX(Raw_Fund!$E:$AZ,_xlpm.rowNo,_xlpm.colNo),
IF(ISNUMBER(_xlpm.val),_xlpm.val*$H117,""))</f>
        <v/>
      </c>
      <c r="K117" s="6" t="str">
        <f>_xlfn.LET(
_xlpm.rowNo, MATCH($C117&amp;"|"&amp;
($F117+K$4),Raw_Fund!$A:$A,0),
_xlpm.colNo,
MATCH(K$3,Raw_Fund!$E$1:$AZ$1,0),
_xlpm.val,
INDEX(Raw_Fund!$E:$AZ,_xlpm.rowNo,_xlpm.colNo),
IF(ISNUMBER(_xlpm.val),_xlpm.val*$H117,""))</f>
        <v/>
      </c>
      <c r="L117" s="6" t="str">
        <f>_xlfn.LET(
_xlpm.rowNo, MATCH($C117&amp;"|"&amp;
($F117+L$4),Raw_Fund!$A:$A,0),
_xlpm.colNo,
MATCH(L$3,Raw_Fund!$E$1:$AZ$1,0),
_xlpm.val,
INDEX(Raw_Fund!$E:$AZ,_xlpm.rowNo,_xlpm.colNo),
IF(ISNUMBER(_xlpm.val),_xlpm.val*$H117,""))</f>
        <v/>
      </c>
      <c r="M117" s="6" t="str">
        <f>_xlfn.LET(
_xlpm.rowNo, MATCH($C117&amp;"|"&amp;
($F117+M$4),Raw_Fund!$A:$A,0),
_xlpm.colNo,
MATCH(M$3,Raw_Fund!$E$1:$AZ$1,0),
_xlpm.val,
INDEX(Raw_Fund!$E:$AZ,_xlpm.rowNo,_xlpm.colNo),
IF(ISNUMBER(_xlpm.val),_xlpm.val*$H117,""))</f>
        <v/>
      </c>
      <c r="N117" s="6" t="str">
        <f>_xlfn.LET(
_xlpm.rowNo, MATCH($C117&amp;"|"&amp;
($F117+N$4),Raw_Fund!$A:$A,0),
_xlpm.colNo,
MATCH(N$3,Raw_Fund!$E$1:$AZ$1,0),
_xlpm.val,
INDEX(Raw_Fund!$E:$AZ,_xlpm.rowNo,_xlpm.colNo),
IF(ISNUMBER(_xlpm.val),_xlpm.val*$H117,""))</f>
        <v/>
      </c>
      <c r="O117" s="6" t="str">
        <f>_xlfn.LET(
_xlpm.rowNo, MATCH($C117&amp;"|"&amp;
($F117+O$4),Raw_Fund!$A:$A,0),
_xlpm.colNo,
MATCH(O$3,Raw_Fund!$E$1:$AZ$1,0),
_xlpm.val,
INDEX(Raw_Fund!$E:$AZ,_xlpm.rowNo,_xlpm.colNo),
IF(ISNUMBER(_xlpm.val),_xlpm.val*$H117,""))</f>
        <v/>
      </c>
      <c r="P117" s="6" t="str">
        <f>_xlfn.LET(
_xlpm.rowNo, MATCH($C117&amp;"|"&amp;
($F117+P$4),Raw_Fund!$A:$A,0),
_xlpm.colNo,
MATCH(P$3,Raw_Fund!$E$1:$AZ$1,0),
_xlpm.val,
INDEX(Raw_Fund!$E:$AZ,_xlpm.rowNo,_xlpm.colNo),
IF(ISNUMBER(_xlpm.val),_xlpm.val*$H117,""))</f>
        <v/>
      </c>
      <c r="Q117" s="6" t="str">
        <f>_xlfn.LET(
_xlpm.rowNo, MATCH($C117&amp;"|"&amp;
($F117+Q$4),Raw_Fund!$A:$A,0),
_xlpm.colNo,
MATCH(Q$3,Raw_Fund!$E$1:$AZ$1,0),
_xlpm.val,
INDEX(Raw_Fund!$E:$AZ,_xlpm.rowNo,_xlpm.colNo),
IF(ISNUMBER(_xlpm.val),_xlpm.val*$H117,""))</f>
        <v/>
      </c>
      <c r="R117" s="6" t="str">
        <f>_xlfn.LET(
_xlpm.rowNo, MATCH($C117&amp;"|"&amp;
($F117+R$4),Raw_Fund!$A:$A,0),
_xlpm.colNo,
MATCH(R$3,Raw_Fund!$E$1:$AZ$1,0),
_xlpm.val,
INDEX(Raw_Fund!$E:$AZ,_xlpm.rowNo,_xlpm.colNo),
IF(ISNUMBER(_xlpm.val),_xlpm.val*$H117,""))</f>
        <v/>
      </c>
      <c r="S117" s="6" t="str">
        <f>_xlfn.LET(
_xlpm.rowNo, MATCH($C117&amp;"|"&amp;
($F117+S$4),Raw_Fund!$A:$A,0),
_xlpm.colNo,
MATCH(S$3,Raw_Fund!$E$1:$AZ$1,0),
_xlpm.val,
INDEX(Raw_Fund!$E:$AZ,_xlpm.rowNo,_xlpm.colNo),
IF(ISNUMBER(_xlpm.val),_xlpm.val*$H117,""))</f>
        <v/>
      </c>
      <c r="T117" s="6" t="str">
        <f>_xlfn.LET(
_xlpm.rowNo, MATCH($C117&amp;"|"&amp;
($F117+T$4),Raw_Fund!$A:$A,0),
_xlpm.colNo,
MATCH(T$3,Raw_Fund!$E$1:$AZ$1,0),
_xlpm.val,
INDEX(Raw_Fund!$E:$AZ,_xlpm.rowNo,_xlpm.colNo),
IF(ISNUMBER(_xlpm.val),_xlpm.val*$H117,""))</f>
        <v/>
      </c>
      <c r="U117" s="6" t="str">
        <f>_xlfn.LET(
_xlpm.rowNo, MATCH($C117&amp;"|"&amp;
($F117+U$4),Raw_Fund!$A:$A,0),
_xlpm.colNo,
MATCH(U$3,Raw_Fund!$E$1:$AZ$1,0),
_xlpm.val,
INDEX(Raw_Fund!$E:$AZ,_xlpm.rowNo,_xlpm.colNo),
IF(ISNUMBER(_xlpm.val),_xlpm.val*$H117,""))</f>
        <v/>
      </c>
      <c r="V117" s="6" t="str">
        <f>_xlfn.LET(
_xlpm.rowNo, MATCH($C117&amp;"|"&amp;
($F117+V$4),Raw_Fund!$A:$A,0),
_xlpm.colNo,
MATCH(V$3,Raw_Fund!$E$1:$AZ$1,0),
_xlpm.val,
INDEX(Raw_Fund!$E:$AZ,_xlpm.rowNo,_xlpm.colNo),
IF(ISNUMBER(_xlpm.val),_xlpm.val*$H117,""))</f>
        <v/>
      </c>
      <c r="W117" s="6" t="str">
        <f>_xlfn.LET(
_xlpm.rowNo, MATCH($C117&amp;"|"&amp;
($F117+W$4),Raw_Fund!$A:$A,0),
_xlpm.colNo,
MATCH(W$3,Raw_Fund!$E$1:$AZ$1,0),
_xlpm.val,
INDEX(Raw_Fund!$E:$AZ,_xlpm.rowNo,_xlpm.colNo),
IF(ISNUMBER(_xlpm.val),_xlpm.val*$H117,""))</f>
        <v/>
      </c>
      <c r="X117" s="6" t="str">
        <f>_xlfn.LET(
_xlpm.rowNo, MATCH($C117&amp;"|"&amp;
($F117+X$4),Raw_Fund!$A:$A,0),
_xlpm.colNo,
MATCH(X$3,Raw_Fund!$E$1:$AZ$1,0),
_xlpm.val,
INDEX(Raw_Fund!$E:$AZ,_xlpm.rowNo,_xlpm.colNo),
IF(ISNUMBER(_xlpm.val),_xlpm.val*$H117,""))</f>
        <v/>
      </c>
      <c r="Y117" s="6" t="str">
        <f>_xlfn.LET(
_xlpm.rowNo, MATCH($C117&amp;"|"&amp;
($F117+Y$4),Raw_Fund!$A:$A,0),
_xlpm.colNo,
MATCH(Y$3,Raw_Fund!$E$1:$AZ$1,0),
_xlpm.val,
INDEX(Raw_Fund!$E:$AZ,_xlpm.rowNo,_xlpm.colNo),
IF(ISNUMBER(_xlpm.val),_xlpm.val*$H117,""))</f>
        <v/>
      </c>
      <c r="Z117" s="6" t="str">
        <f>IF($E117&lt;&gt;"Include","",_xlfn.XLOOKUP($C117,Raw_Mkt!$A:$A,Raw_Mkt!$B:$B))</f>
        <v/>
      </c>
    </row>
    <row r="118" spans="1:26" x14ac:dyDescent="0.4">
      <c r="A118" t="str">
        <f>IF(Universe!A118&lt;&gt;"",Universe!A118,"")</f>
        <v>INPP</v>
      </c>
      <c r="B118" t="str">
        <f>IF(Universe!B118&lt;&gt;"",Universe!B118,"")</f>
        <v>International Public Partnerships</v>
      </c>
      <c r="C118" t="str">
        <f>IF(Universe!C118&lt;&gt;"",Universe!C118,"")</f>
        <v>GB00B188SR50</v>
      </c>
      <c r="D118" t="str">
        <f>IF(Universe!D118&lt;&gt;"",Universe!D118,"")</f>
        <v>Financials</v>
      </c>
      <c r="E118" t="str">
        <f>Universe!G118</f>
        <v>Exclude</v>
      </c>
      <c r="F118" t="str">
        <f>IF($E118&lt;&gt;"Include","",_xlfn.LET(_xlpm.latest,_xlfn.MAXIFS(Raw_Fund!$C:$C,Raw_Fund!$B:$B,Data!$C118),IF(_xlpm.latest=0,"",_xlpm.latest)))</f>
        <v/>
      </c>
      <c r="G118" t="str">
        <f>IF($F118="","",INDEX(Raw_Fund!$E:$AZ,MATCH($C118&amp;"|"&amp;$F118,Raw_Fund!$A:$A,0),MATCH(G$3,Raw_Fund!$E$1:$AZ$1,0)))</f>
        <v/>
      </c>
      <c r="H118" t="str">
        <f t="shared" si="1"/>
        <v/>
      </c>
      <c r="I118" s="6" t="str">
        <f>_xlfn.LET(
_xlpm.rowNo, MATCH($C118&amp;"|"&amp;
($F118+I$4),Raw_Fund!$A:$A,0),
_xlpm.colNo,
MATCH(I$3,Raw_Fund!$E$1:$AZ$1,0),
_xlpm.val,
INDEX(Raw_Fund!$E:$AZ,_xlpm.rowNo,_xlpm.colNo),
IF(ISNUMBER(_xlpm.val),_xlpm.val*$H118,""))</f>
        <v/>
      </c>
      <c r="J118" s="6" t="str">
        <f>_xlfn.LET(
_xlpm.rowNo, MATCH($C118&amp;"|"&amp;
($F118+J$4),Raw_Fund!$A:$A,0),
_xlpm.colNo,
MATCH(J$3,Raw_Fund!$E$1:$AZ$1,0),
_xlpm.val,
INDEX(Raw_Fund!$E:$AZ,_xlpm.rowNo,_xlpm.colNo),
IF(ISNUMBER(_xlpm.val),_xlpm.val*$H118,""))</f>
        <v/>
      </c>
      <c r="K118" s="6" t="str">
        <f>_xlfn.LET(
_xlpm.rowNo, MATCH($C118&amp;"|"&amp;
($F118+K$4),Raw_Fund!$A:$A,0),
_xlpm.colNo,
MATCH(K$3,Raw_Fund!$E$1:$AZ$1,0),
_xlpm.val,
INDEX(Raw_Fund!$E:$AZ,_xlpm.rowNo,_xlpm.colNo),
IF(ISNUMBER(_xlpm.val),_xlpm.val*$H118,""))</f>
        <v/>
      </c>
      <c r="L118" s="6" t="str">
        <f>_xlfn.LET(
_xlpm.rowNo, MATCH($C118&amp;"|"&amp;
($F118+L$4),Raw_Fund!$A:$A,0),
_xlpm.colNo,
MATCH(L$3,Raw_Fund!$E$1:$AZ$1,0),
_xlpm.val,
INDEX(Raw_Fund!$E:$AZ,_xlpm.rowNo,_xlpm.colNo),
IF(ISNUMBER(_xlpm.val),_xlpm.val*$H118,""))</f>
        <v/>
      </c>
      <c r="M118" s="6" t="str">
        <f>_xlfn.LET(
_xlpm.rowNo, MATCH($C118&amp;"|"&amp;
($F118+M$4),Raw_Fund!$A:$A,0),
_xlpm.colNo,
MATCH(M$3,Raw_Fund!$E$1:$AZ$1,0),
_xlpm.val,
INDEX(Raw_Fund!$E:$AZ,_xlpm.rowNo,_xlpm.colNo),
IF(ISNUMBER(_xlpm.val),_xlpm.val*$H118,""))</f>
        <v/>
      </c>
      <c r="N118" s="6" t="str">
        <f>_xlfn.LET(
_xlpm.rowNo, MATCH($C118&amp;"|"&amp;
($F118+N$4),Raw_Fund!$A:$A,0),
_xlpm.colNo,
MATCH(N$3,Raw_Fund!$E$1:$AZ$1,0),
_xlpm.val,
INDEX(Raw_Fund!$E:$AZ,_xlpm.rowNo,_xlpm.colNo),
IF(ISNUMBER(_xlpm.val),_xlpm.val*$H118,""))</f>
        <v/>
      </c>
      <c r="O118" s="6" t="str">
        <f>_xlfn.LET(
_xlpm.rowNo, MATCH($C118&amp;"|"&amp;
($F118+O$4),Raw_Fund!$A:$A,0),
_xlpm.colNo,
MATCH(O$3,Raw_Fund!$E$1:$AZ$1,0),
_xlpm.val,
INDEX(Raw_Fund!$E:$AZ,_xlpm.rowNo,_xlpm.colNo),
IF(ISNUMBER(_xlpm.val),_xlpm.val*$H118,""))</f>
        <v/>
      </c>
      <c r="P118" s="6" t="str">
        <f>_xlfn.LET(
_xlpm.rowNo, MATCH($C118&amp;"|"&amp;
($F118+P$4),Raw_Fund!$A:$A,0),
_xlpm.colNo,
MATCH(P$3,Raw_Fund!$E$1:$AZ$1,0),
_xlpm.val,
INDEX(Raw_Fund!$E:$AZ,_xlpm.rowNo,_xlpm.colNo),
IF(ISNUMBER(_xlpm.val),_xlpm.val*$H118,""))</f>
        <v/>
      </c>
      <c r="Q118" s="6" t="str">
        <f>_xlfn.LET(
_xlpm.rowNo, MATCH($C118&amp;"|"&amp;
($F118+Q$4),Raw_Fund!$A:$A,0),
_xlpm.colNo,
MATCH(Q$3,Raw_Fund!$E$1:$AZ$1,0),
_xlpm.val,
INDEX(Raw_Fund!$E:$AZ,_xlpm.rowNo,_xlpm.colNo),
IF(ISNUMBER(_xlpm.val),_xlpm.val*$H118,""))</f>
        <v/>
      </c>
      <c r="R118" s="6" t="str">
        <f>_xlfn.LET(
_xlpm.rowNo, MATCH($C118&amp;"|"&amp;
($F118+R$4),Raw_Fund!$A:$A,0),
_xlpm.colNo,
MATCH(R$3,Raw_Fund!$E$1:$AZ$1,0),
_xlpm.val,
INDEX(Raw_Fund!$E:$AZ,_xlpm.rowNo,_xlpm.colNo),
IF(ISNUMBER(_xlpm.val),_xlpm.val*$H118,""))</f>
        <v/>
      </c>
      <c r="S118" s="6" t="str">
        <f>_xlfn.LET(
_xlpm.rowNo, MATCH($C118&amp;"|"&amp;
($F118+S$4),Raw_Fund!$A:$A,0),
_xlpm.colNo,
MATCH(S$3,Raw_Fund!$E$1:$AZ$1,0),
_xlpm.val,
INDEX(Raw_Fund!$E:$AZ,_xlpm.rowNo,_xlpm.colNo),
IF(ISNUMBER(_xlpm.val),_xlpm.val*$H118,""))</f>
        <v/>
      </c>
      <c r="T118" s="6" t="str">
        <f>_xlfn.LET(
_xlpm.rowNo, MATCH($C118&amp;"|"&amp;
($F118+T$4),Raw_Fund!$A:$A,0),
_xlpm.colNo,
MATCH(T$3,Raw_Fund!$E$1:$AZ$1,0),
_xlpm.val,
INDEX(Raw_Fund!$E:$AZ,_xlpm.rowNo,_xlpm.colNo),
IF(ISNUMBER(_xlpm.val),_xlpm.val*$H118,""))</f>
        <v/>
      </c>
      <c r="U118" s="6" t="str">
        <f>_xlfn.LET(
_xlpm.rowNo, MATCH($C118&amp;"|"&amp;
($F118+U$4),Raw_Fund!$A:$A,0),
_xlpm.colNo,
MATCH(U$3,Raw_Fund!$E$1:$AZ$1,0),
_xlpm.val,
INDEX(Raw_Fund!$E:$AZ,_xlpm.rowNo,_xlpm.colNo),
IF(ISNUMBER(_xlpm.val),_xlpm.val*$H118,""))</f>
        <v/>
      </c>
      <c r="V118" s="6" t="str">
        <f>_xlfn.LET(
_xlpm.rowNo, MATCH($C118&amp;"|"&amp;
($F118+V$4),Raw_Fund!$A:$A,0),
_xlpm.colNo,
MATCH(V$3,Raw_Fund!$E$1:$AZ$1,0),
_xlpm.val,
INDEX(Raw_Fund!$E:$AZ,_xlpm.rowNo,_xlpm.colNo),
IF(ISNUMBER(_xlpm.val),_xlpm.val*$H118,""))</f>
        <v/>
      </c>
      <c r="W118" s="6" t="str">
        <f>_xlfn.LET(
_xlpm.rowNo, MATCH($C118&amp;"|"&amp;
($F118+W$4),Raw_Fund!$A:$A,0),
_xlpm.colNo,
MATCH(W$3,Raw_Fund!$E$1:$AZ$1,0),
_xlpm.val,
INDEX(Raw_Fund!$E:$AZ,_xlpm.rowNo,_xlpm.colNo),
IF(ISNUMBER(_xlpm.val),_xlpm.val*$H118,""))</f>
        <v/>
      </c>
      <c r="X118" s="6" t="str">
        <f>_xlfn.LET(
_xlpm.rowNo, MATCH($C118&amp;"|"&amp;
($F118+X$4),Raw_Fund!$A:$A,0),
_xlpm.colNo,
MATCH(X$3,Raw_Fund!$E$1:$AZ$1,0),
_xlpm.val,
INDEX(Raw_Fund!$E:$AZ,_xlpm.rowNo,_xlpm.colNo),
IF(ISNUMBER(_xlpm.val),_xlpm.val*$H118,""))</f>
        <v/>
      </c>
      <c r="Y118" s="6" t="str">
        <f>_xlfn.LET(
_xlpm.rowNo, MATCH($C118&amp;"|"&amp;
($F118+Y$4),Raw_Fund!$A:$A,0),
_xlpm.colNo,
MATCH(Y$3,Raw_Fund!$E$1:$AZ$1,0),
_xlpm.val,
INDEX(Raw_Fund!$E:$AZ,_xlpm.rowNo,_xlpm.colNo),
IF(ISNUMBER(_xlpm.val),_xlpm.val*$H118,""))</f>
        <v/>
      </c>
      <c r="Z118" s="6" t="str">
        <f>IF($E118&lt;&gt;"Include","",_xlfn.XLOOKUP($C118,Raw_Mkt!$A:$A,Raw_Mkt!$B:$B))</f>
        <v/>
      </c>
    </row>
    <row r="119" spans="1:26" x14ac:dyDescent="0.4">
      <c r="A119" t="str">
        <f>IF(Universe!A119&lt;&gt;"",Universe!A119,"")</f>
        <v>IWG</v>
      </c>
      <c r="B119" t="str">
        <f>IF(Universe!B119&lt;&gt;"",Universe!B119,"")</f>
        <v>International Workplace Group</v>
      </c>
      <c r="C119" t="str">
        <f>IF(Universe!C119&lt;&gt;"",Universe!C119,"")</f>
        <v>JE00BYVQYS01</v>
      </c>
      <c r="D119" t="str">
        <f>IF(Universe!D119&lt;&gt;"",Universe!D119,"")</f>
        <v>Industrials</v>
      </c>
      <c r="E119" t="str">
        <f>Universe!G119</f>
        <v>Include</v>
      </c>
      <c r="F119" t="str">
        <f>IF($E119&lt;&gt;"Include","",_xlfn.LET(_xlpm.latest,_xlfn.MAXIFS(Raw_Fund!$C:$C,Raw_Fund!$B:$B,Data!$C119),IF(_xlpm.latest=0,"",_xlpm.latest)))</f>
        <v/>
      </c>
      <c r="G119" t="str">
        <f>IF($F119="","",INDEX(Raw_Fund!$E:$AZ,MATCH($C119&amp;"|"&amp;$F119,Raw_Fund!$A:$A,0),MATCH(G$3,Raw_Fund!$E$1:$AZ$1,0)))</f>
        <v/>
      </c>
      <c r="H119" t="str">
        <f t="shared" si="1"/>
        <v/>
      </c>
      <c r="I119" s="6" t="str">
        <f>_xlfn.LET(
_xlpm.rowNo, MATCH($C119&amp;"|"&amp;
($F119+I$4),Raw_Fund!$A:$A,0),
_xlpm.colNo,
MATCH(I$3,Raw_Fund!$E$1:$AZ$1,0),
_xlpm.val,
INDEX(Raw_Fund!$E:$AZ,_xlpm.rowNo,_xlpm.colNo),
IF(ISNUMBER(_xlpm.val),_xlpm.val*$H119,""))</f>
        <v/>
      </c>
      <c r="J119" s="6" t="str">
        <f>_xlfn.LET(
_xlpm.rowNo, MATCH($C119&amp;"|"&amp;
($F119+J$4),Raw_Fund!$A:$A,0),
_xlpm.colNo,
MATCH(J$3,Raw_Fund!$E$1:$AZ$1,0),
_xlpm.val,
INDEX(Raw_Fund!$E:$AZ,_xlpm.rowNo,_xlpm.colNo),
IF(ISNUMBER(_xlpm.val),_xlpm.val*$H119,""))</f>
        <v/>
      </c>
      <c r="K119" s="6" t="str">
        <f>_xlfn.LET(
_xlpm.rowNo, MATCH($C119&amp;"|"&amp;
($F119+K$4),Raw_Fund!$A:$A,0),
_xlpm.colNo,
MATCH(K$3,Raw_Fund!$E$1:$AZ$1,0),
_xlpm.val,
INDEX(Raw_Fund!$E:$AZ,_xlpm.rowNo,_xlpm.colNo),
IF(ISNUMBER(_xlpm.val),_xlpm.val*$H119,""))</f>
        <v/>
      </c>
      <c r="L119" s="6" t="str">
        <f>_xlfn.LET(
_xlpm.rowNo, MATCH($C119&amp;"|"&amp;
($F119+L$4),Raw_Fund!$A:$A,0),
_xlpm.colNo,
MATCH(L$3,Raw_Fund!$E$1:$AZ$1,0),
_xlpm.val,
INDEX(Raw_Fund!$E:$AZ,_xlpm.rowNo,_xlpm.colNo),
IF(ISNUMBER(_xlpm.val),_xlpm.val*$H119,""))</f>
        <v/>
      </c>
      <c r="M119" s="6" t="str">
        <f>_xlfn.LET(
_xlpm.rowNo, MATCH($C119&amp;"|"&amp;
($F119+M$4),Raw_Fund!$A:$A,0),
_xlpm.colNo,
MATCH(M$3,Raw_Fund!$E$1:$AZ$1,0),
_xlpm.val,
INDEX(Raw_Fund!$E:$AZ,_xlpm.rowNo,_xlpm.colNo),
IF(ISNUMBER(_xlpm.val),_xlpm.val*$H119,""))</f>
        <v/>
      </c>
      <c r="N119" s="6" t="str">
        <f>_xlfn.LET(
_xlpm.rowNo, MATCH($C119&amp;"|"&amp;
($F119+N$4),Raw_Fund!$A:$A,0),
_xlpm.colNo,
MATCH(N$3,Raw_Fund!$E$1:$AZ$1,0),
_xlpm.val,
INDEX(Raw_Fund!$E:$AZ,_xlpm.rowNo,_xlpm.colNo),
IF(ISNUMBER(_xlpm.val),_xlpm.val*$H119,""))</f>
        <v/>
      </c>
      <c r="O119" s="6" t="str">
        <f>_xlfn.LET(
_xlpm.rowNo, MATCH($C119&amp;"|"&amp;
($F119+O$4),Raw_Fund!$A:$A,0),
_xlpm.colNo,
MATCH(O$3,Raw_Fund!$E$1:$AZ$1,0),
_xlpm.val,
INDEX(Raw_Fund!$E:$AZ,_xlpm.rowNo,_xlpm.colNo),
IF(ISNUMBER(_xlpm.val),_xlpm.val*$H119,""))</f>
        <v/>
      </c>
      <c r="P119" s="6" t="str">
        <f>_xlfn.LET(
_xlpm.rowNo, MATCH($C119&amp;"|"&amp;
($F119+P$4),Raw_Fund!$A:$A,0),
_xlpm.colNo,
MATCH(P$3,Raw_Fund!$E$1:$AZ$1,0),
_xlpm.val,
INDEX(Raw_Fund!$E:$AZ,_xlpm.rowNo,_xlpm.colNo),
IF(ISNUMBER(_xlpm.val),_xlpm.val*$H119,""))</f>
        <v/>
      </c>
      <c r="Q119" s="6" t="str">
        <f>_xlfn.LET(
_xlpm.rowNo, MATCH($C119&amp;"|"&amp;
($F119+Q$4),Raw_Fund!$A:$A,0),
_xlpm.colNo,
MATCH(Q$3,Raw_Fund!$E$1:$AZ$1,0),
_xlpm.val,
INDEX(Raw_Fund!$E:$AZ,_xlpm.rowNo,_xlpm.colNo),
IF(ISNUMBER(_xlpm.val),_xlpm.val*$H119,""))</f>
        <v/>
      </c>
      <c r="R119" s="6" t="str">
        <f>_xlfn.LET(
_xlpm.rowNo, MATCH($C119&amp;"|"&amp;
($F119+R$4),Raw_Fund!$A:$A,0),
_xlpm.colNo,
MATCH(R$3,Raw_Fund!$E$1:$AZ$1,0),
_xlpm.val,
INDEX(Raw_Fund!$E:$AZ,_xlpm.rowNo,_xlpm.colNo),
IF(ISNUMBER(_xlpm.val),_xlpm.val*$H119,""))</f>
        <v/>
      </c>
      <c r="S119" s="6" t="str">
        <f>_xlfn.LET(
_xlpm.rowNo, MATCH($C119&amp;"|"&amp;
($F119+S$4),Raw_Fund!$A:$A,0),
_xlpm.colNo,
MATCH(S$3,Raw_Fund!$E$1:$AZ$1,0),
_xlpm.val,
INDEX(Raw_Fund!$E:$AZ,_xlpm.rowNo,_xlpm.colNo),
IF(ISNUMBER(_xlpm.val),_xlpm.val*$H119,""))</f>
        <v/>
      </c>
      <c r="T119" s="6" t="str">
        <f>_xlfn.LET(
_xlpm.rowNo, MATCH($C119&amp;"|"&amp;
($F119+T$4),Raw_Fund!$A:$A,0),
_xlpm.colNo,
MATCH(T$3,Raw_Fund!$E$1:$AZ$1,0),
_xlpm.val,
INDEX(Raw_Fund!$E:$AZ,_xlpm.rowNo,_xlpm.colNo),
IF(ISNUMBER(_xlpm.val),_xlpm.val*$H119,""))</f>
        <v/>
      </c>
      <c r="U119" s="6" t="str">
        <f>_xlfn.LET(
_xlpm.rowNo, MATCH($C119&amp;"|"&amp;
($F119+U$4),Raw_Fund!$A:$A,0),
_xlpm.colNo,
MATCH(U$3,Raw_Fund!$E$1:$AZ$1,0),
_xlpm.val,
INDEX(Raw_Fund!$E:$AZ,_xlpm.rowNo,_xlpm.colNo),
IF(ISNUMBER(_xlpm.val),_xlpm.val*$H119,""))</f>
        <v/>
      </c>
      <c r="V119" s="6" t="str">
        <f>_xlfn.LET(
_xlpm.rowNo, MATCH($C119&amp;"|"&amp;
($F119+V$4),Raw_Fund!$A:$A,0),
_xlpm.colNo,
MATCH(V$3,Raw_Fund!$E$1:$AZ$1,0),
_xlpm.val,
INDEX(Raw_Fund!$E:$AZ,_xlpm.rowNo,_xlpm.colNo),
IF(ISNUMBER(_xlpm.val),_xlpm.val*$H119,""))</f>
        <v/>
      </c>
      <c r="W119" s="6" t="str">
        <f>_xlfn.LET(
_xlpm.rowNo, MATCH($C119&amp;"|"&amp;
($F119+W$4),Raw_Fund!$A:$A,0),
_xlpm.colNo,
MATCH(W$3,Raw_Fund!$E$1:$AZ$1,0),
_xlpm.val,
INDEX(Raw_Fund!$E:$AZ,_xlpm.rowNo,_xlpm.colNo),
IF(ISNUMBER(_xlpm.val),_xlpm.val*$H119,""))</f>
        <v/>
      </c>
      <c r="X119" s="6" t="str">
        <f>_xlfn.LET(
_xlpm.rowNo, MATCH($C119&amp;"|"&amp;
($F119+X$4),Raw_Fund!$A:$A,0),
_xlpm.colNo,
MATCH(X$3,Raw_Fund!$E$1:$AZ$1,0),
_xlpm.val,
INDEX(Raw_Fund!$E:$AZ,_xlpm.rowNo,_xlpm.colNo),
IF(ISNUMBER(_xlpm.val),_xlpm.val*$H119,""))</f>
        <v/>
      </c>
      <c r="Y119" s="6" t="str">
        <f>_xlfn.LET(
_xlpm.rowNo, MATCH($C119&amp;"|"&amp;
($F119+Y$4),Raw_Fund!$A:$A,0),
_xlpm.colNo,
MATCH(Y$3,Raw_Fund!$E$1:$AZ$1,0),
_xlpm.val,
INDEX(Raw_Fund!$E:$AZ,_xlpm.rowNo,_xlpm.colNo),
IF(ISNUMBER(_xlpm.val),_xlpm.val*$H119,""))</f>
        <v/>
      </c>
      <c r="Z119" s="6" t="e">
        <f>IF($E119&lt;&gt;"Include","",_xlfn.XLOOKUP($C119,Raw_Mkt!$A:$A,Raw_Mkt!$B:$B))</f>
        <v>#N/A</v>
      </c>
    </row>
    <row r="120" spans="1:26" x14ac:dyDescent="0.4">
      <c r="A120" t="str">
        <f>IF(Universe!A120&lt;&gt;"",Universe!A120,"")</f>
        <v>IAD</v>
      </c>
      <c r="B120" t="str">
        <f>IF(Universe!B120&lt;&gt;"",Universe!B120,"")</f>
        <v>Invesco Asia Dragon Trust</v>
      </c>
      <c r="C120" t="str">
        <f>IF(Universe!C120&lt;&gt;"",Universe!C120,"")</f>
        <v>GB0004535307</v>
      </c>
      <c r="D120" t="str">
        <f>IF(Universe!D120&lt;&gt;"",Universe!D120,"")</f>
        <v>Financials</v>
      </c>
      <c r="E120" t="str">
        <f>Universe!G120</f>
        <v>Exclude</v>
      </c>
      <c r="F120" t="str">
        <f>IF($E120&lt;&gt;"Include","",_xlfn.LET(_xlpm.latest,_xlfn.MAXIFS(Raw_Fund!$C:$C,Raw_Fund!$B:$B,Data!$C120),IF(_xlpm.latest=0,"",_xlpm.latest)))</f>
        <v/>
      </c>
      <c r="G120" t="str">
        <f>IF($F120="","",INDEX(Raw_Fund!$E:$AZ,MATCH($C120&amp;"|"&amp;$F120,Raw_Fund!$A:$A,0),MATCH(G$3,Raw_Fund!$E$1:$AZ$1,0)))</f>
        <v/>
      </c>
      <c r="H120" t="str">
        <f t="shared" si="1"/>
        <v/>
      </c>
      <c r="I120" s="6" t="str">
        <f>_xlfn.LET(
_xlpm.rowNo, MATCH($C120&amp;"|"&amp;
($F120+I$4),Raw_Fund!$A:$A,0),
_xlpm.colNo,
MATCH(I$3,Raw_Fund!$E$1:$AZ$1,0),
_xlpm.val,
INDEX(Raw_Fund!$E:$AZ,_xlpm.rowNo,_xlpm.colNo),
IF(ISNUMBER(_xlpm.val),_xlpm.val*$H120,""))</f>
        <v/>
      </c>
      <c r="J120" s="6" t="str">
        <f>_xlfn.LET(
_xlpm.rowNo, MATCH($C120&amp;"|"&amp;
($F120+J$4),Raw_Fund!$A:$A,0),
_xlpm.colNo,
MATCH(J$3,Raw_Fund!$E$1:$AZ$1,0),
_xlpm.val,
INDEX(Raw_Fund!$E:$AZ,_xlpm.rowNo,_xlpm.colNo),
IF(ISNUMBER(_xlpm.val),_xlpm.val*$H120,""))</f>
        <v/>
      </c>
      <c r="K120" s="6" t="str">
        <f>_xlfn.LET(
_xlpm.rowNo, MATCH($C120&amp;"|"&amp;
($F120+K$4),Raw_Fund!$A:$A,0),
_xlpm.colNo,
MATCH(K$3,Raw_Fund!$E$1:$AZ$1,0),
_xlpm.val,
INDEX(Raw_Fund!$E:$AZ,_xlpm.rowNo,_xlpm.colNo),
IF(ISNUMBER(_xlpm.val),_xlpm.val*$H120,""))</f>
        <v/>
      </c>
      <c r="L120" s="6" t="str">
        <f>_xlfn.LET(
_xlpm.rowNo, MATCH($C120&amp;"|"&amp;
($F120+L$4),Raw_Fund!$A:$A,0),
_xlpm.colNo,
MATCH(L$3,Raw_Fund!$E$1:$AZ$1,0),
_xlpm.val,
INDEX(Raw_Fund!$E:$AZ,_xlpm.rowNo,_xlpm.colNo),
IF(ISNUMBER(_xlpm.val),_xlpm.val*$H120,""))</f>
        <v/>
      </c>
      <c r="M120" s="6" t="str">
        <f>_xlfn.LET(
_xlpm.rowNo, MATCH($C120&amp;"|"&amp;
($F120+M$4),Raw_Fund!$A:$A,0),
_xlpm.colNo,
MATCH(M$3,Raw_Fund!$E$1:$AZ$1,0),
_xlpm.val,
INDEX(Raw_Fund!$E:$AZ,_xlpm.rowNo,_xlpm.colNo),
IF(ISNUMBER(_xlpm.val),_xlpm.val*$H120,""))</f>
        <v/>
      </c>
      <c r="N120" s="6" t="str">
        <f>_xlfn.LET(
_xlpm.rowNo, MATCH($C120&amp;"|"&amp;
($F120+N$4),Raw_Fund!$A:$A,0),
_xlpm.colNo,
MATCH(N$3,Raw_Fund!$E$1:$AZ$1,0),
_xlpm.val,
INDEX(Raw_Fund!$E:$AZ,_xlpm.rowNo,_xlpm.colNo),
IF(ISNUMBER(_xlpm.val),_xlpm.val*$H120,""))</f>
        <v/>
      </c>
      <c r="O120" s="6" t="str">
        <f>_xlfn.LET(
_xlpm.rowNo, MATCH($C120&amp;"|"&amp;
($F120+O$4),Raw_Fund!$A:$A,0),
_xlpm.colNo,
MATCH(O$3,Raw_Fund!$E$1:$AZ$1,0),
_xlpm.val,
INDEX(Raw_Fund!$E:$AZ,_xlpm.rowNo,_xlpm.colNo),
IF(ISNUMBER(_xlpm.val),_xlpm.val*$H120,""))</f>
        <v/>
      </c>
      <c r="P120" s="6" t="str">
        <f>_xlfn.LET(
_xlpm.rowNo, MATCH($C120&amp;"|"&amp;
($F120+P$4),Raw_Fund!$A:$A,0),
_xlpm.colNo,
MATCH(P$3,Raw_Fund!$E$1:$AZ$1,0),
_xlpm.val,
INDEX(Raw_Fund!$E:$AZ,_xlpm.rowNo,_xlpm.colNo),
IF(ISNUMBER(_xlpm.val),_xlpm.val*$H120,""))</f>
        <v/>
      </c>
      <c r="Q120" s="6" t="str">
        <f>_xlfn.LET(
_xlpm.rowNo, MATCH($C120&amp;"|"&amp;
($F120+Q$4),Raw_Fund!$A:$A,0),
_xlpm.colNo,
MATCH(Q$3,Raw_Fund!$E$1:$AZ$1,0),
_xlpm.val,
INDEX(Raw_Fund!$E:$AZ,_xlpm.rowNo,_xlpm.colNo),
IF(ISNUMBER(_xlpm.val),_xlpm.val*$H120,""))</f>
        <v/>
      </c>
      <c r="R120" s="6" t="str">
        <f>_xlfn.LET(
_xlpm.rowNo, MATCH($C120&amp;"|"&amp;
($F120+R$4),Raw_Fund!$A:$A,0),
_xlpm.colNo,
MATCH(R$3,Raw_Fund!$E$1:$AZ$1,0),
_xlpm.val,
INDEX(Raw_Fund!$E:$AZ,_xlpm.rowNo,_xlpm.colNo),
IF(ISNUMBER(_xlpm.val),_xlpm.val*$H120,""))</f>
        <v/>
      </c>
      <c r="S120" s="6" t="str">
        <f>_xlfn.LET(
_xlpm.rowNo, MATCH($C120&amp;"|"&amp;
($F120+S$4),Raw_Fund!$A:$A,0),
_xlpm.colNo,
MATCH(S$3,Raw_Fund!$E$1:$AZ$1,0),
_xlpm.val,
INDEX(Raw_Fund!$E:$AZ,_xlpm.rowNo,_xlpm.colNo),
IF(ISNUMBER(_xlpm.val),_xlpm.val*$H120,""))</f>
        <v/>
      </c>
      <c r="T120" s="6" t="str">
        <f>_xlfn.LET(
_xlpm.rowNo, MATCH($C120&amp;"|"&amp;
($F120+T$4),Raw_Fund!$A:$A,0),
_xlpm.colNo,
MATCH(T$3,Raw_Fund!$E$1:$AZ$1,0),
_xlpm.val,
INDEX(Raw_Fund!$E:$AZ,_xlpm.rowNo,_xlpm.colNo),
IF(ISNUMBER(_xlpm.val),_xlpm.val*$H120,""))</f>
        <v/>
      </c>
      <c r="U120" s="6" t="str">
        <f>_xlfn.LET(
_xlpm.rowNo, MATCH($C120&amp;"|"&amp;
($F120+U$4),Raw_Fund!$A:$A,0),
_xlpm.colNo,
MATCH(U$3,Raw_Fund!$E$1:$AZ$1,0),
_xlpm.val,
INDEX(Raw_Fund!$E:$AZ,_xlpm.rowNo,_xlpm.colNo),
IF(ISNUMBER(_xlpm.val),_xlpm.val*$H120,""))</f>
        <v/>
      </c>
      <c r="V120" s="6" t="str">
        <f>_xlfn.LET(
_xlpm.rowNo, MATCH($C120&amp;"|"&amp;
($F120+V$4),Raw_Fund!$A:$A,0),
_xlpm.colNo,
MATCH(V$3,Raw_Fund!$E$1:$AZ$1,0),
_xlpm.val,
INDEX(Raw_Fund!$E:$AZ,_xlpm.rowNo,_xlpm.colNo),
IF(ISNUMBER(_xlpm.val),_xlpm.val*$H120,""))</f>
        <v/>
      </c>
      <c r="W120" s="6" t="str">
        <f>_xlfn.LET(
_xlpm.rowNo, MATCH($C120&amp;"|"&amp;
($F120+W$4),Raw_Fund!$A:$A,0),
_xlpm.colNo,
MATCH(W$3,Raw_Fund!$E$1:$AZ$1,0),
_xlpm.val,
INDEX(Raw_Fund!$E:$AZ,_xlpm.rowNo,_xlpm.colNo),
IF(ISNUMBER(_xlpm.val),_xlpm.val*$H120,""))</f>
        <v/>
      </c>
      <c r="X120" s="6" t="str">
        <f>_xlfn.LET(
_xlpm.rowNo, MATCH($C120&amp;"|"&amp;
($F120+X$4),Raw_Fund!$A:$A,0),
_xlpm.colNo,
MATCH(X$3,Raw_Fund!$E$1:$AZ$1,0),
_xlpm.val,
INDEX(Raw_Fund!$E:$AZ,_xlpm.rowNo,_xlpm.colNo),
IF(ISNUMBER(_xlpm.val),_xlpm.val*$H120,""))</f>
        <v/>
      </c>
      <c r="Y120" s="6" t="str">
        <f>_xlfn.LET(
_xlpm.rowNo, MATCH($C120&amp;"|"&amp;
($F120+Y$4),Raw_Fund!$A:$A,0),
_xlpm.colNo,
MATCH(Y$3,Raw_Fund!$E$1:$AZ$1,0),
_xlpm.val,
INDEX(Raw_Fund!$E:$AZ,_xlpm.rowNo,_xlpm.colNo),
IF(ISNUMBER(_xlpm.val),_xlpm.val*$H120,""))</f>
        <v/>
      </c>
      <c r="Z120" s="6" t="str">
        <f>IF($E120&lt;&gt;"Include","",_xlfn.XLOOKUP($C120,Raw_Mkt!$A:$A,Raw_Mkt!$B:$B))</f>
        <v/>
      </c>
    </row>
    <row r="121" spans="1:26" x14ac:dyDescent="0.4">
      <c r="A121" t="str">
        <f>IF(Universe!A121&lt;&gt;"",Universe!A121,"")</f>
        <v>IPO</v>
      </c>
      <c r="B121" t="str">
        <f>IF(Universe!B121&lt;&gt;"",Universe!B121,"")</f>
        <v>IP Group</v>
      </c>
      <c r="C121" t="str">
        <f>IF(Universe!C121&lt;&gt;"",Universe!C121,"")</f>
        <v/>
      </c>
      <c r="D121" t="str">
        <f>IF(Universe!D121&lt;&gt;"",Universe!D121,"")</f>
        <v>Financials</v>
      </c>
      <c r="E121" t="str">
        <f>Universe!G121</f>
        <v>Exclude</v>
      </c>
      <c r="F121" t="str">
        <f>IF($E121&lt;&gt;"Include","",_xlfn.LET(_xlpm.latest,_xlfn.MAXIFS(Raw_Fund!$C:$C,Raw_Fund!$B:$B,Data!$C121),IF(_xlpm.latest=0,"",_xlpm.latest)))</f>
        <v/>
      </c>
      <c r="G121" t="str">
        <f>IF($F121="","",INDEX(Raw_Fund!$E:$AZ,MATCH($C121&amp;"|"&amp;$F121,Raw_Fund!$A:$A,0),MATCH(G$3,Raw_Fund!$E$1:$AZ$1,0)))</f>
        <v/>
      </c>
      <c r="H121" t="str">
        <f t="shared" si="1"/>
        <v/>
      </c>
      <c r="I121" s="6" t="str">
        <f>_xlfn.LET(
_xlpm.rowNo, MATCH($C121&amp;"|"&amp;
($F121+I$4),Raw_Fund!$A:$A,0),
_xlpm.colNo,
MATCH(I$3,Raw_Fund!$E$1:$AZ$1,0),
_xlpm.val,
INDEX(Raw_Fund!$E:$AZ,_xlpm.rowNo,_xlpm.colNo),
IF(ISNUMBER(_xlpm.val),_xlpm.val*$H121,""))</f>
        <v/>
      </c>
      <c r="J121" s="6" t="str">
        <f>_xlfn.LET(
_xlpm.rowNo, MATCH($C121&amp;"|"&amp;
($F121+J$4),Raw_Fund!$A:$A,0),
_xlpm.colNo,
MATCH(J$3,Raw_Fund!$E$1:$AZ$1,0),
_xlpm.val,
INDEX(Raw_Fund!$E:$AZ,_xlpm.rowNo,_xlpm.colNo),
IF(ISNUMBER(_xlpm.val),_xlpm.val*$H121,""))</f>
        <v/>
      </c>
      <c r="K121" s="6" t="str">
        <f>_xlfn.LET(
_xlpm.rowNo, MATCH($C121&amp;"|"&amp;
($F121+K$4),Raw_Fund!$A:$A,0),
_xlpm.colNo,
MATCH(K$3,Raw_Fund!$E$1:$AZ$1,0),
_xlpm.val,
INDEX(Raw_Fund!$E:$AZ,_xlpm.rowNo,_xlpm.colNo),
IF(ISNUMBER(_xlpm.val),_xlpm.val*$H121,""))</f>
        <v/>
      </c>
      <c r="L121" s="6" t="str">
        <f>_xlfn.LET(
_xlpm.rowNo, MATCH($C121&amp;"|"&amp;
($F121+L$4),Raw_Fund!$A:$A,0),
_xlpm.colNo,
MATCH(L$3,Raw_Fund!$E$1:$AZ$1,0),
_xlpm.val,
INDEX(Raw_Fund!$E:$AZ,_xlpm.rowNo,_xlpm.colNo),
IF(ISNUMBER(_xlpm.val),_xlpm.val*$H121,""))</f>
        <v/>
      </c>
      <c r="M121" s="6" t="str">
        <f>_xlfn.LET(
_xlpm.rowNo, MATCH($C121&amp;"|"&amp;
($F121+M$4),Raw_Fund!$A:$A,0),
_xlpm.colNo,
MATCH(M$3,Raw_Fund!$E$1:$AZ$1,0),
_xlpm.val,
INDEX(Raw_Fund!$E:$AZ,_xlpm.rowNo,_xlpm.colNo),
IF(ISNUMBER(_xlpm.val),_xlpm.val*$H121,""))</f>
        <v/>
      </c>
      <c r="N121" s="6" t="str">
        <f>_xlfn.LET(
_xlpm.rowNo, MATCH($C121&amp;"|"&amp;
($F121+N$4),Raw_Fund!$A:$A,0),
_xlpm.colNo,
MATCH(N$3,Raw_Fund!$E$1:$AZ$1,0),
_xlpm.val,
INDEX(Raw_Fund!$E:$AZ,_xlpm.rowNo,_xlpm.colNo),
IF(ISNUMBER(_xlpm.val),_xlpm.val*$H121,""))</f>
        <v/>
      </c>
      <c r="O121" s="6" t="str">
        <f>_xlfn.LET(
_xlpm.rowNo, MATCH($C121&amp;"|"&amp;
($F121+O$4),Raw_Fund!$A:$A,0),
_xlpm.colNo,
MATCH(O$3,Raw_Fund!$E$1:$AZ$1,0),
_xlpm.val,
INDEX(Raw_Fund!$E:$AZ,_xlpm.rowNo,_xlpm.colNo),
IF(ISNUMBER(_xlpm.val),_xlpm.val*$H121,""))</f>
        <v/>
      </c>
      <c r="P121" s="6" t="str">
        <f>_xlfn.LET(
_xlpm.rowNo, MATCH($C121&amp;"|"&amp;
($F121+P$4),Raw_Fund!$A:$A,0),
_xlpm.colNo,
MATCH(P$3,Raw_Fund!$E$1:$AZ$1,0),
_xlpm.val,
INDEX(Raw_Fund!$E:$AZ,_xlpm.rowNo,_xlpm.colNo),
IF(ISNUMBER(_xlpm.val),_xlpm.val*$H121,""))</f>
        <v/>
      </c>
      <c r="Q121" s="6" t="str">
        <f>_xlfn.LET(
_xlpm.rowNo, MATCH($C121&amp;"|"&amp;
($F121+Q$4),Raw_Fund!$A:$A,0),
_xlpm.colNo,
MATCH(Q$3,Raw_Fund!$E$1:$AZ$1,0),
_xlpm.val,
INDEX(Raw_Fund!$E:$AZ,_xlpm.rowNo,_xlpm.colNo),
IF(ISNUMBER(_xlpm.val),_xlpm.val*$H121,""))</f>
        <v/>
      </c>
      <c r="R121" s="6" t="str">
        <f>_xlfn.LET(
_xlpm.rowNo, MATCH($C121&amp;"|"&amp;
($F121+R$4),Raw_Fund!$A:$A,0),
_xlpm.colNo,
MATCH(R$3,Raw_Fund!$E$1:$AZ$1,0),
_xlpm.val,
INDEX(Raw_Fund!$E:$AZ,_xlpm.rowNo,_xlpm.colNo),
IF(ISNUMBER(_xlpm.val),_xlpm.val*$H121,""))</f>
        <v/>
      </c>
      <c r="S121" s="6" t="str">
        <f>_xlfn.LET(
_xlpm.rowNo, MATCH($C121&amp;"|"&amp;
($F121+S$4),Raw_Fund!$A:$A,0),
_xlpm.colNo,
MATCH(S$3,Raw_Fund!$E$1:$AZ$1,0),
_xlpm.val,
INDEX(Raw_Fund!$E:$AZ,_xlpm.rowNo,_xlpm.colNo),
IF(ISNUMBER(_xlpm.val),_xlpm.val*$H121,""))</f>
        <v/>
      </c>
      <c r="T121" s="6" t="str">
        <f>_xlfn.LET(
_xlpm.rowNo, MATCH($C121&amp;"|"&amp;
($F121+T$4),Raw_Fund!$A:$A,0),
_xlpm.colNo,
MATCH(T$3,Raw_Fund!$E$1:$AZ$1,0),
_xlpm.val,
INDEX(Raw_Fund!$E:$AZ,_xlpm.rowNo,_xlpm.colNo),
IF(ISNUMBER(_xlpm.val),_xlpm.val*$H121,""))</f>
        <v/>
      </c>
      <c r="U121" s="6" t="str">
        <f>_xlfn.LET(
_xlpm.rowNo, MATCH($C121&amp;"|"&amp;
($F121+U$4),Raw_Fund!$A:$A,0),
_xlpm.colNo,
MATCH(U$3,Raw_Fund!$E$1:$AZ$1,0),
_xlpm.val,
INDEX(Raw_Fund!$E:$AZ,_xlpm.rowNo,_xlpm.colNo),
IF(ISNUMBER(_xlpm.val),_xlpm.val*$H121,""))</f>
        <v/>
      </c>
      <c r="V121" s="6" t="str">
        <f>_xlfn.LET(
_xlpm.rowNo, MATCH($C121&amp;"|"&amp;
($F121+V$4),Raw_Fund!$A:$A,0),
_xlpm.colNo,
MATCH(V$3,Raw_Fund!$E$1:$AZ$1,0),
_xlpm.val,
INDEX(Raw_Fund!$E:$AZ,_xlpm.rowNo,_xlpm.colNo),
IF(ISNUMBER(_xlpm.val),_xlpm.val*$H121,""))</f>
        <v/>
      </c>
      <c r="W121" s="6" t="str">
        <f>_xlfn.LET(
_xlpm.rowNo, MATCH($C121&amp;"|"&amp;
($F121+W$4),Raw_Fund!$A:$A,0),
_xlpm.colNo,
MATCH(W$3,Raw_Fund!$E$1:$AZ$1,0),
_xlpm.val,
INDEX(Raw_Fund!$E:$AZ,_xlpm.rowNo,_xlpm.colNo),
IF(ISNUMBER(_xlpm.val),_xlpm.val*$H121,""))</f>
        <v/>
      </c>
      <c r="X121" s="6" t="str">
        <f>_xlfn.LET(
_xlpm.rowNo, MATCH($C121&amp;"|"&amp;
($F121+X$4),Raw_Fund!$A:$A,0),
_xlpm.colNo,
MATCH(X$3,Raw_Fund!$E$1:$AZ$1,0),
_xlpm.val,
INDEX(Raw_Fund!$E:$AZ,_xlpm.rowNo,_xlpm.colNo),
IF(ISNUMBER(_xlpm.val),_xlpm.val*$H121,""))</f>
        <v/>
      </c>
      <c r="Y121" s="6" t="str">
        <f>_xlfn.LET(
_xlpm.rowNo, MATCH($C121&amp;"|"&amp;
($F121+Y$4),Raw_Fund!$A:$A,0),
_xlpm.colNo,
MATCH(Y$3,Raw_Fund!$E$1:$AZ$1,0),
_xlpm.val,
INDEX(Raw_Fund!$E:$AZ,_xlpm.rowNo,_xlpm.colNo),
IF(ISNUMBER(_xlpm.val),_xlpm.val*$H121,""))</f>
        <v/>
      </c>
      <c r="Z121" s="6" t="str">
        <f>IF($E121&lt;&gt;"Include","",_xlfn.XLOOKUP($C121,Raw_Mkt!$A:$A,Raw_Mkt!$B:$B))</f>
        <v/>
      </c>
    </row>
    <row r="122" spans="1:26" x14ac:dyDescent="0.4">
      <c r="A122" t="str">
        <f>IF(Universe!A122&lt;&gt;"",Universe!A122,"")</f>
        <v>ITV</v>
      </c>
      <c r="B122" t="str">
        <f>IF(Universe!B122&lt;&gt;"",Universe!B122,"")</f>
        <v>ITV</v>
      </c>
      <c r="C122" t="str">
        <f>IF(Universe!C122&lt;&gt;"",Universe!C122,"")</f>
        <v>GB0033986497</v>
      </c>
      <c r="D122" t="str">
        <f>IF(Universe!D122&lt;&gt;"",Universe!D122,"")</f>
        <v>Consumer Discretionary</v>
      </c>
      <c r="E122" t="str">
        <f>Universe!G122</f>
        <v>Include</v>
      </c>
      <c r="F122" t="str">
        <f>IF($E122&lt;&gt;"Include","",_xlfn.LET(_xlpm.latest,_xlfn.MAXIFS(Raw_Fund!$C:$C,Raw_Fund!$B:$B,Data!$C122),IF(_xlpm.latest=0,"",_xlpm.latest)))</f>
        <v/>
      </c>
      <c r="G122" t="str">
        <f>IF($F122="","",INDEX(Raw_Fund!$E:$AZ,MATCH($C122&amp;"|"&amp;$F122,Raw_Fund!$A:$A,0),MATCH(G$3,Raw_Fund!$E$1:$AZ$1,0)))</f>
        <v/>
      </c>
      <c r="H122" t="str">
        <f t="shared" si="1"/>
        <v/>
      </c>
      <c r="I122" s="6" t="str">
        <f>_xlfn.LET(
_xlpm.rowNo, MATCH($C122&amp;"|"&amp;
($F122+I$4),Raw_Fund!$A:$A,0),
_xlpm.colNo,
MATCH(I$3,Raw_Fund!$E$1:$AZ$1,0),
_xlpm.val,
INDEX(Raw_Fund!$E:$AZ,_xlpm.rowNo,_xlpm.colNo),
IF(ISNUMBER(_xlpm.val),_xlpm.val*$H122,""))</f>
        <v/>
      </c>
      <c r="J122" s="6" t="str">
        <f>_xlfn.LET(
_xlpm.rowNo, MATCH($C122&amp;"|"&amp;
($F122+J$4),Raw_Fund!$A:$A,0),
_xlpm.colNo,
MATCH(J$3,Raw_Fund!$E$1:$AZ$1,0),
_xlpm.val,
INDEX(Raw_Fund!$E:$AZ,_xlpm.rowNo,_xlpm.colNo),
IF(ISNUMBER(_xlpm.val),_xlpm.val*$H122,""))</f>
        <v/>
      </c>
      <c r="K122" s="6" t="str">
        <f>_xlfn.LET(
_xlpm.rowNo, MATCH($C122&amp;"|"&amp;
($F122+K$4),Raw_Fund!$A:$A,0),
_xlpm.colNo,
MATCH(K$3,Raw_Fund!$E$1:$AZ$1,0),
_xlpm.val,
INDEX(Raw_Fund!$E:$AZ,_xlpm.rowNo,_xlpm.colNo),
IF(ISNUMBER(_xlpm.val),_xlpm.val*$H122,""))</f>
        <v/>
      </c>
      <c r="L122" s="6" t="str">
        <f>_xlfn.LET(
_xlpm.rowNo, MATCH($C122&amp;"|"&amp;
($F122+L$4),Raw_Fund!$A:$A,0),
_xlpm.colNo,
MATCH(L$3,Raw_Fund!$E$1:$AZ$1,0),
_xlpm.val,
INDEX(Raw_Fund!$E:$AZ,_xlpm.rowNo,_xlpm.colNo),
IF(ISNUMBER(_xlpm.val),_xlpm.val*$H122,""))</f>
        <v/>
      </c>
      <c r="M122" s="6" t="str">
        <f>_xlfn.LET(
_xlpm.rowNo, MATCH($C122&amp;"|"&amp;
($F122+M$4),Raw_Fund!$A:$A,0),
_xlpm.colNo,
MATCH(M$3,Raw_Fund!$E$1:$AZ$1,0),
_xlpm.val,
INDEX(Raw_Fund!$E:$AZ,_xlpm.rowNo,_xlpm.colNo),
IF(ISNUMBER(_xlpm.val),_xlpm.val*$H122,""))</f>
        <v/>
      </c>
      <c r="N122" s="6" t="str">
        <f>_xlfn.LET(
_xlpm.rowNo, MATCH($C122&amp;"|"&amp;
($F122+N$4),Raw_Fund!$A:$A,0),
_xlpm.colNo,
MATCH(N$3,Raw_Fund!$E$1:$AZ$1,0),
_xlpm.val,
INDEX(Raw_Fund!$E:$AZ,_xlpm.rowNo,_xlpm.colNo),
IF(ISNUMBER(_xlpm.val),_xlpm.val*$H122,""))</f>
        <v/>
      </c>
      <c r="O122" s="6" t="str">
        <f>_xlfn.LET(
_xlpm.rowNo, MATCH($C122&amp;"|"&amp;
($F122+O$4),Raw_Fund!$A:$A,0),
_xlpm.colNo,
MATCH(O$3,Raw_Fund!$E$1:$AZ$1,0),
_xlpm.val,
INDEX(Raw_Fund!$E:$AZ,_xlpm.rowNo,_xlpm.colNo),
IF(ISNUMBER(_xlpm.val),_xlpm.val*$H122,""))</f>
        <v/>
      </c>
      <c r="P122" s="6" t="str">
        <f>_xlfn.LET(
_xlpm.rowNo, MATCH($C122&amp;"|"&amp;
($F122+P$4),Raw_Fund!$A:$A,0),
_xlpm.colNo,
MATCH(P$3,Raw_Fund!$E$1:$AZ$1,0),
_xlpm.val,
INDEX(Raw_Fund!$E:$AZ,_xlpm.rowNo,_xlpm.colNo),
IF(ISNUMBER(_xlpm.val),_xlpm.val*$H122,""))</f>
        <v/>
      </c>
      <c r="Q122" s="6" t="str">
        <f>_xlfn.LET(
_xlpm.rowNo, MATCH($C122&amp;"|"&amp;
($F122+Q$4),Raw_Fund!$A:$A,0),
_xlpm.colNo,
MATCH(Q$3,Raw_Fund!$E$1:$AZ$1,0),
_xlpm.val,
INDEX(Raw_Fund!$E:$AZ,_xlpm.rowNo,_xlpm.colNo),
IF(ISNUMBER(_xlpm.val),_xlpm.val*$H122,""))</f>
        <v/>
      </c>
      <c r="R122" s="6" t="str">
        <f>_xlfn.LET(
_xlpm.rowNo, MATCH($C122&amp;"|"&amp;
($F122+R$4),Raw_Fund!$A:$A,0),
_xlpm.colNo,
MATCH(R$3,Raw_Fund!$E$1:$AZ$1,0),
_xlpm.val,
INDEX(Raw_Fund!$E:$AZ,_xlpm.rowNo,_xlpm.colNo),
IF(ISNUMBER(_xlpm.val),_xlpm.val*$H122,""))</f>
        <v/>
      </c>
      <c r="S122" s="6" t="str">
        <f>_xlfn.LET(
_xlpm.rowNo, MATCH($C122&amp;"|"&amp;
($F122+S$4),Raw_Fund!$A:$A,0),
_xlpm.colNo,
MATCH(S$3,Raw_Fund!$E$1:$AZ$1,0),
_xlpm.val,
INDEX(Raw_Fund!$E:$AZ,_xlpm.rowNo,_xlpm.colNo),
IF(ISNUMBER(_xlpm.val),_xlpm.val*$H122,""))</f>
        <v/>
      </c>
      <c r="T122" s="6" t="str">
        <f>_xlfn.LET(
_xlpm.rowNo, MATCH($C122&amp;"|"&amp;
($F122+T$4),Raw_Fund!$A:$A,0),
_xlpm.colNo,
MATCH(T$3,Raw_Fund!$E$1:$AZ$1,0),
_xlpm.val,
INDEX(Raw_Fund!$E:$AZ,_xlpm.rowNo,_xlpm.colNo),
IF(ISNUMBER(_xlpm.val),_xlpm.val*$H122,""))</f>
        <v/>
      </c>
      <c r="U122" s="6" t="str">
        <f>_xlfn.LET(
_xlpm.rowNo, MATCH($C122&amp;"|"&amp;
($F122+U$4),Raw_Fund!$A:$A,0),
_xlpm.colNo,
MATCH(U$3,Raw_Fund!$E$1:$AZ$1,0),
_xlpm.val,
INDEX(Raw_Fund!$E:$AZ,_xlpm.rowNo,_xlpm.colNo),
IF(ISNUMBER(_xlpm.val),_xlpm.val*$H122,""))</f>
        <v/>
      </c>
      <c r="V122" s="6" t="str">
        <f>_xlfn.LET(
_xlpm.rowNo, MATCH($C122&amp;"|"&amp;
($F122+V$4),Raw_Fund!$A:$A,0),
_xlpm.colNo,
MATCH(V$3,Raw_Fund!$E$1:$AZ$1,0),
_xlpm.val,
INDEX(Raw_Fund!$E:$AZ,_xlpm.rowNo,_xlpm.colNo),
IF(ISNUMBER(_xlpm.val),_xlpm.val*$H122,""))</f>
        <v/>
      </c>
      <c r="W122" s="6" t="str">
        <f>_xlfn.LET(
_xlpm.rowNo, MATCH($C122&amp;"|"&amp;
($F122+W$4),Raw_Fund!$A:$A,0),
_xlpm.colNo,
MATCH(W$3,Raw_Fund!$E$1:$AZ$1,0),
_xlpm.val,
INDEX(Raw_Fund!$E:$AZ,_xlpm.rowNo,_xlpm.colNo),
IF(ISNUMBER(_xlpm.val),_xlpm.val*$H122,""))</f>
        <v/>
      </c>
      <c r="X122" s="6" t="str">
        <f>_xlfn.LET(
_xlpm.rowNo, MATCH($C122&amp;"|"&amp;
($F122+X$4),Raw_Fund!$A:$A,0),
_xlpm.colNo,
MATCH(X$3,Raw_Fund!$E$1:$AZ$1,0),
_xlpm.val,
INDEX(Raw_Fund!$E:$AZ,_xlpm.rowNo,_xlpm.colNo),
IF(ISNUMBER(_xlpm.val),_xlpm.val*$H122,""))</f>
        <v/>
      </c>
      <c r="Y122" s="6" t="str">
        <f>_xlfn.LET(
_xlpm.rowNo, MATCH($C122&amp;"|"&amp;
($F122+Y$4),Raw_Fund!$A:$A,0),
_xlpm.colNo,
MATCH(Y$3,Raw_Fund!$E$1:$AZ$1,0),
_xlpm.val,
INDEX(Raw_Fund!$E:$AZ,_xlpm.rowNo,_xlpm.colNo),
IF(ISNUMBER(_xlpm.val),_xlpm.val*$H122,""))</f>
        <v/>
      </c>
      <c r="Z122" s="6" t="e">
        <f>IF($E122&lt;&gt;"Include","",_xlfn.XLOOKUP($C122,Raw_Mkt!$A:$A,Raw_Mkt!$B:$B))</f>
        <v>#N/A</v>
      </c>
    </row>
    <row r="123" spans="1:26" x14ac:dyDescent="0.4">
      <c r="A123" t="str">
        <f>IF(Universe!A123&lt;&gt;"",Universe!A123,"")</f>
        <v>JMAT</v>
      </c>
      <c r="B123" t="str">
        <f>IF(Universe!B123&lt;&gt;"",Universe!B123,"")</f>
        <v>Johnson Matthey</v>
      </c>
      <c r="C123" t="str">
        <f>IF(Universe!C123&lt;&gt;"",Universe!C123,"")</f>
        <v>GB00BTQHVY80</v>
      </c>
      <c r="D123" t="str">
        <f>IF(Universe!D123&lt;&gt;"",Universe!D123,"")</f>
        <v>Basic Materials</v>
      </c>
      <c r="E123" t="str">
        <f>Universe!G123</f>
        <v>Include</v>
      </c>
      <c r="F123" t="str">
        <f>IF($E123&lt;&gt;"Include","",_xlfn.LET(_xlpm.latest,_xlfn.MAXIFS(Raw_Fund!$C:$C,Raw_Fund!$B:$B,Data!$C123),IF(_xlpm.latest=0,"",_xlpm.latest)))</f>
        <v/>
      </c>
      <c r="G123" t="str">
        <f>IF($F123="","",INDEX(Raw_Fund!$E:$AZ,MATCH($C123&amp;"|"&amp;$F123,Raw_Fund!$A:$A,0),MATCH(G$3,Raw_Fund!$E$1:$AZ$1,0)))</f>
        <v/>
      </c>
      <c r="H123" t="str">
        <f t="shared" si="1"/>
        <v/>
      </c>
      <c r="I123" s="6" t="str">
        <f>_xlfn.LET(
_xlpm.rowNo, MATCH($C123&amp;"|"&amp;
($F123+I$4),Raw_Fund!$A:$A,0),
_xlpm.colNo,
MATCH(I$3,Raw_Fund!$E$1:$AZ$1,0),
_xlpm.val,
INDEX(Raw_Fund!$E:$AZ,_xlpm.rowNo,_xlpm.colNo),
IF(ISNUMBER(_xlpm.val),_xlpm.val*$H123,""))</f>
        <v/>
      </c>
      <c r="J123" s="6" t="str">
        <f>_xlfn.LET(
_xlpm.rowNo, MATCH($C123&amp;"|"&amp;
($F123+J$4),Raw_Fund!$A:$A,0),
_xlpm.colNo,
MATCH(J$3,Raw_Fund!$E$1:$AZ$1,0),
_xlpm.val,
INDEX(Raw_Fund!$E:$AZ,_xlpm.rowNo,_xlpm.colNo),
IF(ISNUMBER(_xlpm.val),_xlpm.val*$H123,""))</f>
        <v/>
      </c>
      <c r="K123" s="6" t="str">
        <f>_xlfn.LET(
_xlpm.rowNo, MATCH($C123&amp;"|"&amp;
($F123+K$4),Raw_Fund!$A:$A,0),
_xlpm.colNo,
MATCH(K$3,Raw_Fund!$E$1:$AZ$1,0),
_xlpm.val,
INDEX(Raw_Fund!$E:$AZ,_xlpm.rowNo,_xlpm.colNo),
IF(ISNUMBER(_xlpm.val),_xlpm.val*$H123,""))</f>
        <v/>
      </c>
      <c r="L123" s="6" t="str">
        <f>_xlfn.LET(
_xlpm.rowNo, MATCH($C123&amp;"|"&amp;
($F123+L$4),Raw_Fund!$A:$A,0),
_xlpm.colNo,
MATCH(L$3,Raw_Fund!$E$1:$AZ$1,0),
_xlpm.val,
INDEX(Raw_Fund!$E:$AZ,_xlpm.rowNo,_xlpm.colNo),
IF(ISNUMBER(_xlpm.val),_xlpm.val*$H123,""))</f>
        <v/>
      </c>
      <c r="M123" s="6" t="str">
        <f>_xlfn.LET(
_xlpm.rowNo, MATCH($C123&amp;"|"&amp;
($F123+M$4),Raw_Fund!$A:$A,0),
_xlpm.colNo,
MATCH(M$3,Raw_Fund!$E$1:$AZ$1,0),
_xlpm.val,
INDEX(Raw_Fund!$E:$AZ,_xlpm.rowNo,_xlpm.colNo),
IF(ISNUMBER(_xlpm.val),_xlpm.val*$H123,""))</f>
        <v/>
      </c>
      <c r="N123" s="6" t="str">
        <f>_xlfn.LET(
_xlpm.rowNo, MATCH($C123&amp;"|"&amp;
($F123+N$4),Raw_Fund!$A:$A,0),
_xlpm.colNo,
MATCH(N$3,Raw_Fund!$E$1:$AZ$1,0),
_xlpm.val,
INDEX(Raw_Fund!$E:$AZ,_xlpm.rowNo,_xlpm.colNo),
IF(ISNUMBER(_xlpm.val),_xlpm.val*$H123,""))</f>
        <v/>
      </c>
      <c r="O123" s="6" t="str">
        <f>_xlfn.LET(
_xlpm.rowNo, MATCH($C123&amp;"|"&amp;
($F123+O$4),Raw_Fund!$A:$A,0),
_xlpm.colNo,
MATCH(O$3,Raw_Fund!$E$1:$AZ$1,0),
_xlpm.val,
INDEX(Raw_Fund!$E:$AZ,_xlpm.rowNo,_xlpm.colNo),
IF(ISNUMBER(_xlpm.val),_xlpm.val*$H123,""))</f>
        <v/>
      </c>
      <c r="P123" s="6" t="str">
        <f>_xlfn.LET(
_xlpm.rowNo, MATCH($C123&amp;"|"&amp;
($F123+P$4),Raw_Fund!$A:$A,0),
_xlpm.colNo,
MATCH(P$3,Raw_Fund!$E$1:$AZ$1,0),
_xlpm.val,
INDEX(Raw_Fund!$E:$AZ,_xlpm.rowNo,_xlpm.colNo),
IF(ISNUMBER(_xlpm.val),_xlpm.val*$H123,""))</f>
        <v/>
      </c>
      <c r="Q123" s="6" t="str">
        <f>_xlfn.LET(
_xlpm.rowNo, MATCH($C123&amp;"|"&amp;
($F123+Q$4),Raw_Fund!$A:$A,0),
_xlpm.colNo,
MATCH(Q$3,Raw_Fund!$E$1:$AZ$1,0),
_xlpm.val,
INDEX(Raw_Fund!$E:$AZ,_xlpm.rowNo,_xlpm.colNo),
IF(ISNUMBER(_xlpm.val),_xlpm.val*$H123,""))</f>
        <v/>
      </c>
      <c r="R123" s="6" t="str">
        <f>_xlfn.LET(
_xlpm.rowNo, MATCH($C123&amp;"|"&amp;
($F123+R$4),Raw_Fund!$A:$A,0),
_xlpm.colNo,
MATCH(R$3,Raw_Fund!$E$1:$AZ$1,0),
_xlpm.val,
INDEX(Raw_Fund!$E:$AZ,_xlpm.rowNo,_xlpm.colNo),
IF(ISNUMBER(_xlpm.val),_xlpm.val*$H123,""))</f>
        <v/>
      </c>
      <c r="S123" s="6" t="str">
        <f>_xlfn.LET(
_xlpm.rowNo, MATCH($C123&amp;"|"&amp;
($F123+S$4),Raw_Fund!$A:$A,0),
_xlpm.colNo,
MATCH(S$3,Raw_Fund!$E$1:$AZ$1,0),
_xlpm.val,
INDEX(Raw_Fund!$E:$AZ,_xlpm.rowNo,_xlpm.colNo),
IF(ISNUMBER(_xlpm.val),_xlpm.val*$H123,""))</f>
        <v/>
      </c>
      <c r="T123" s="6" t="str">
        <f>_xlfn.LET(
_xlpm.rowNo, MATCH($C123&amp;"|"&amp;
($F123+T$4),Raw_Fund!$A:$A,0),
_xlpm.colNo,
MATCH(T$3,Raw_Fund!$E$1:$AZ$1,0),
_xlpm.val,
INDEX(Raw_Fund!$E:$AZ,_xlpm.rowNo,_xlpm.colNo),
IF(ISNUMBER(_xlpm.val),_xlpm.val*$H123,""))</f>
        <v/>
      </c>
      <c r="U123" s="6" t="str">
        <f>_xlfn.LET(
_xlpm.rowNo, MATCH($C123&amp;"|"&amp;
($F123+U$4),Raw_Fund!$A:$A,0),
_xlpm.colNo,
MATCH(U$3,Raw_Fund!$E$1:$AZ$1,0),
_xlpm.val,
INDEX(Raw_Fund!$E:$AZ,_xlpm.rowNo,_xlpm.colNo),
IF(ISNUMBER(_xlpm.val),_xlpm.val*$H123,""))</f>
        <v/>
      </c>
      <c r="V123" s="6" t="str">
        <f>_xlfn.LET(
_xlpm.rowNo, MATCH($C123&amp;"|"&amp;
($F123+V$4),Raw_Fund!$A:$A,0),
_xlpm.colNo,
MATCH(V$3,Raw_Fund!$E$1:$AZ$1,0),
_xlpm.val,
INDEX(Raw_Fund!$E:$AZ,_xlpm.rowNo,_xlpm.colNo),
IF(ISNUMBER(_xlpm.val),_xlpm.val*$H123,""))</f>
        <v/>
      </c>
      <c r="W123" s="6" t="str">
        <f>_xlfn.LET(
_xlpm.rowNo, MATCH($C123&amp;"|"&amp;
($F123+W$4),Raw_Fund!$A:$A,0),
_xlpm.colNo,
MATCH(W$3,Raw_Fund!$E$1:$AZ$1,0),
_xlpm.val,
INDEX(Raw_Fund!$E:$AZ,_xlpm.rowNo,_xlpm.colNo),
IF(ISNUMBER(_xlpm.val),_xlpm.val*$H123,""))</f>
        <v/>
      </c>
      <c r="X123" s="6" t="str">
        <f>_xlfn.LET(
_xlpm.rowNo, MATCH($C123&amp;"|"&amp;
($F123+X$4),Raw_Fund!$A:$A,0),
_xlpm.colNo,
MATCH(X$3,Raw_Fund!$E$1:$AZ$1,0),
_xlpm.val,
INDEX(Raw_Fund!$E:$AZ,_xlpm.rowNo,_xlpm.colNo),
IF(ISNUMBER(_xlpm.val),_xlpm.val*$H123,""))</f>
        <v/>
      </c>
      <c r="Y123" s="6" t="str">
        <f>_xlfn.LET(
_xlpm.rowNo, MATCH($C123&amp;"|"&amp;
($F123+Y$4),Raw_Fund!$A:$A,0),
_xlpm.colNo,
MATCH(Y$3,Raw_Fund!$E$1:$AZ$1,0),
_xlpm.val,
INDEX(Raw_Fund!$E:$AZ,_xlpm.rowNo,_xlpm.colNo),
IF(ISNUMBER(_xlpm.val),_xlpm.val*$H123,""))</f>
        <v/>
      </c>
      <c r="Z123" s="6" t="e">
        <f>IF($E123&lt;&gt;"Include","",_xlfn.XLOOKUP($C123,Raw_Mkt!$A:$A,Raw_Mkt!$B:$B))</f>
        <v>#N/A</v>
      </c>
    </row>
    <row r="124" spans="1:26" x14ac:dyDescent="0.4">
      <c r="A124" t="str">
        <f>IF(Universe!A124&lt;&gt;"",Universe!A124,"")</f>
        <v>JSG</v>
      </c>
      <c r="B124" t="str">
        <f>IF(Universe!B124&lt;&gt;"",Universe!B124,"")</f>
        <v>Johnson Service Group</v>
      </c>
      <c r="C124" t="str">
        <f>IF(Universe!C124&lt;&gt;"",Universe!C124,"")</f>
        <v>GB0004762810</v>
      </c>
      <c r="D124" t="str">
        <f>IF(Universe!D124&lt;&gt;"",Universe!D124,"")</f>
        <v>Industrials</v>
      </c>
      <c r="E124" t="str">
        <f>Universe!G124</f>
        <v>Include</v>
      </c>
      <c r="F124" t="str">
        <f>IF($E124&lt;&gt;"Include","",_xlfn.LET(_xlpm.latest,_xlfn.MAXIFS(Raw_Fund!$C:$C,Raw_Fund!$B:$B,Data!$C124),IF(_xlpm.latest=0,"",_xlpm.latest)))</f>
        <v/>
      </c>
      <c r="G124" t="str">
        <f>IF($F124="","",INDEX(Raw_Fund!$E:$AZ,MATCH($C124&amp;"|"&amp;$F124,Raw_Fund!$A:$A,0),MATCH(G$3,Raw_Fund!$E$1:$AZ$1,0)))</f>
        <v/>
      </c>
      <c r="H124" t="str">
        <f t="shared" si="1"/>
        <v/>
      </c>
      <c r="I124" s="6" t="str">
        <f>_xlfn.LET(
_xlpm.rowNo, MATCH($C124&amp;"|"&amp;
($F124+I$4),Raw_Fund!$A:$A,0),
_xlpm.colNo,
MATCH(I$3,Raw_Fund!$E$1:$AZ$1,0),
_xlpm.val,
INDEX(Raw_Fund!$E:$AZ,_xlpm.rowNo,_xlpm.colNo),
IF(ISNUMBER(_xlpm.val),_xlpm.val*$H124,""))</f>
        <v/>
      </c>
      <c r="J124" s="6" t="str">
        <f>_xlfn.LET(
_xlpm.rowNo, MATCH($C124&amp;"|"&amp;
($F124+J$4),Raw_Fund!$A:$A,0),
_xlpm.colNo,
MATCH(J$3,Raw_Fund!$E$1:$AZ$1,0),
_xlpm.val,
INDEX(Raw_Fund!$E:$AZ,_xlpm.rowNo,_xlpm.colNo),
IF(ISNUMBER(_xlpm.val),_xlpm.val*$H124,""))</f>
        <v/>
      </c>
      <c r="K124" s="6" t="str">
        <f>_xlfn.LET(
_xlpm.rowNo, MATCH($C124&amp;"|"&amp;
($F124+K$4),Raw_Fund!$A:$A,0),
_xlpm.colNo,
MATCH(K$3,Raw_Fund!$E$1:$AZ$1,0),
_xlpm.val,
INDEX(Raw_Fund!$E:$AZ,_xlpm.rowNo,_xlpm.colNo),
IF(ISNUMBER(_xlpm.val),_xlpm.val*$H124,""))</f>
        <v/>
      </c>
      <c r="L124" s="6" t="str">
        <f>_xlfn.LET(
_xlpm.rowNo, MATCH($C124&amp;"|"&amp;
($F124+L$4),Raw_Fund!$A:$A,0),
_xlpm.colNo,
MATCH(L$3,Raw_Fund!$E$1:$AZ$1,0),
_xlpm.val,
INDEX(Raw_Fund!$E:$AZ,_xlpm.rowNo,_xlpm.colNo),
IF(ISNUMBER(_xlpm.val),_xlpm.val*$H124,""))</f>
        <v/>
      </c>
      <c r="M124" s="6" t="str">
        <f>_xlfn.LET(
_xlpm.rowNo, MATCH($C124&amp;"|"&amp;
($F124+M$4),Raw_Fund!$A:$A,0),
_xlpm.colNo,
MATCH(M$3,Raw_Fund!$E$1:$AZ$1,0),
_xlpm.val,
INDEX(Raw_Fund!$E:$AZ,_xlpm.rowNo,_xlpm.colNo),
IF(ISNUMBER(_xlpm.val),_xlpm.val*$H124,""))</f>
        <v/>
      </c>
      <c r="N124" s="6" t="str">
        <f>_xlfn.LET(
_xlpm.rowNo, MATCH($C124&amp;"|"&amp;
($F124+N$4),Raw_Fund!$A:$A,0),
_xlpm.colNo,
MATCH(N$3,Raw_Fund!$E$1:$AZ$1,0),
_xlpm.val,
INDEX(Raw_Fund!$E:$AZ,_xlpm.rowNo,_xlpm.colNo),
IF(ISNUMBER(_xlpm.val),_xlpm.val*$H124,""))</f>
        <v/>
      </c>
      <c r="O124" s="6" t="str">
        <f>_xlfn.LET(
_xlpm.rowNo, MATCH($C124&amp;"|"&amp;
($F124+O$4),Raw_Fund!$A:$A,0),
_xlpm.colNo,
MATCH(O$3,Raw_Fund!$E$1:$AZ$1,0),
_xlpm.val,
INDEX(Raw_Fund!$E:$AZ,_xlpm.rowNo,_xlpm.colNo),
IF(ISNUMBER(_xlpm.val),_xlpm.val*$H124,""))</f>
        <v/>
      </c>
      <c r="P124" s="6" t="str">
        <f>_xlfn.LET(
_xlpm.rowNo, MATCH($C124&amp;"|"&amp;
($F124+P$4),Raw_Fund!$A:$A,0),
_xlpm.colNo,
MATCH(P$3,Raw_Fund!$E$1:$AZ$1,0),
_xlpm.val,
INDEX(Raw_Fund!$E:$AZ,_xlpm.rowNo,_xlpm.colNo),
IF(ISNUMBER(_xlpm.val),_xlpm.val*$H124,""))</f>
        <v/>
      </c>
      <c r="Q124" s="6" t="str">
        <f>_xlfn.LET(
_xlpm.rowNo, MATCH($C124&amp;"|"&amp;
($F124+Q$4),Raw_Fund!$A:$A,0),
_xlpm.colNo,
MATCH(Q$3,Raw_Fund!$E$1:$AZ$1,0),
_xlpm.val,
INDEX(Raw_Fund!$E:$AZ,_xlpm.rowNo,_xlpm.colNo),
IF(ISNUMBER(_xlpm.val),_xlpm.val*$H124,""))</f>
        <v/>
      </c>
      <c r="R124" s="6" t="str">
        <f>_xlfn.LET(
_xlpm.rowNo, MATCH($C124&amp;"|"&amp;
($F124+R$4),Raw_Fund!$A:$A,0),
_xlpm.colNo,
MATCH(R$3,Raw_Fund!$E$1:$AZ$1,0),
_xlpm.val,
INDEX(Raw_Fund!$E:$AZ,_xlpm.rowNo,_xlpm.colNo),
IF(ISNUMBER(_xlpm.val),_xlpm.val*$H124,""))</f>
        <v/>
      </c>
      <c r="S124" s="6" t="str">
        <f>_xlfn.LET(
_xlpm.rowNo, MATCH($C124&amp;"|"&amp;
($F124+S$4),Raw_Fund!$A:$A,0),
_xlpm.colNo,
MATCH(S$3,Raw_Fund!$E$1:$AZ$1,0),
_xlpm.val,
INDEX(Raw_Fund!$E:$AZ,_xlpm.rowNo,_xlpm.colNo),
IF(ISNUMBER(_xlpm.val),_xlpm.val*$H124,""))</f>
        <v/>
      </c>
      <c r="T124" s="6" t="str">
        <f>_xlfn.LET(
_xlpm.rowNo, MATCH($C124&amp;"|"&amp;
($F124+T$4),Raw_Fund!$A:$A,0),
_xlpm.colNo,
MATCH(T$3,Raw_Fund!$E$1:$AZ$1,0),
_xlpm.val,
INDEX(Raw_Fund!$E:$AZ,_xlpm.rowNo,_xlpm.colNo),
IF(ISNUMBER(_xlpm.val),_xlpm.val*$H124,""))</f>
        <v/>
      </c>
      <c r="U124" s="6" t="str">
        <f>_xlfn.LET(
_xlpm.rowNo, MATCH($C124&amp;"|"&amp;
($F124+U$4),Raw_Fund!$A:$A,0),
_xlpm.colNo,
MATCH(U$3,Raw_Fund!$E$1:$AZ$1,0),
_xlpm.val,
INDEX(Raw_Fund!$E:$AZ,_xlpm.rowNo,_xlpm.colNo),
IF(ISNUMBER(_xlpm.val),_xlpm.val*$H124,""))</f>
        <v/>
      </c>
      <c r="V124" s="6" t="str">
        <f>_xlfn.LET(
_xlpm.rowNo, MATCH($C124&amp;"|"&amp;
($F124+V$4),Raw_Fund!$A:$A,0),
_xlpm.colNo,
MATCH(V$3,Raw_Fund!$E$1:$AZ$1,0),
_xlpm.val,
INDEX(Raw_Fund!$E:$AZ,_xlpm.rowNo,_xlpm.colNo),
IF(ISNUMBER(_xlpm.val),_xlpm.val*$H124,""))</f>
        <v/>
      </c>
      <c r="W124" s="6" t="str">
        <f>_xlfn.LET(
_xlpm.rowNo, MATCH($C124&amp;"|"&amp;
($F124+W$4),Raw_Fund!$A:$A,0),
_xlpm.colNo,
MATCH(W$3,Raw_Fund!$E$1:$AZ$1,0),
_xlpm.val,
INDEX(Raw_Fund!$E:$AZ,_xlpm.rowNo,_xlpm.colNo),
IF(ISNUMBER(_xlpm.val),_xlpm.val*$H124,""))</f>
        <v/>
      </c>
      <c r="X124" s="6" t="str">
        <f>_xlfn.LET(
_xlpm.rowNo, MATCH($C124&amp;"|"&amp;
($F124+X$4),Raw_Fund!$A:$A,0),
_xlpm.colNo,
MATCH(X$3,Raw_Fund!$E$1:$AZ$1,0),
_xlpm.val,
INDEX(Raw_Fund!$E:$AZ,_xlpm.rowNo,_xlpm.colNo),
IF(ISNUMBER(_xlpm.val),_xlpm.val*$H124,""))</f>
        <v/>
      </c>
      <c r="Y124" s="6" t="str">
        <f>_xlfn.LET(
_xlpm.rowNo, MATCH($C124&amp;"|"&amp;
($F124+Y$4),Raw_Fund!$A:$A,0),
_xlpm.colNo,
MATCH(Y$3,Raw_Fund!$E$1:$AZ$1,0),
_xlpm.val,
INDEX(Raw_Fund!$E:$AZ,_xlpm.rowNo,_xlpm.colNo),
IF(ISNUMBER(_xlpm.val),_xlpm.val*$H124,""))</f>
        <v/>
      </c>
      <c r="Z124" s="6" t="e">
        <f>IF($E124&lt;&gt;"Include","",_xlfn.XLOOKUP($C124,Raw_Mkt!$A:$A,Raw_Mkt!$B:$B))</f>
        <v>#N/A</v>
      </c>
    </row>
    <row r="125" spans="1:26" x14ac:dyDescent="0.4">
      <c r="A125" t="str">
        <f>IF(Universe!A125&lt;&gt;"",Universe!A125,"")</f>
        <v>JAM</v>
      </c>
      <c r="B125" t="str">
        <f>IF(Universe!B125&lt;&gt;"",Universe!B125,"")</f>
        <v>JPMorgan American Investment Trust</v>
      </c>
      <c r="C125" t="str">
        <f>IF(Universe!C125&lt;&gt;"",Universe!C125,"")</f>
        <v>GB00BKZGVH64</v>
      </c>
      <c r="D125" t="str">
        <f>IF(Universe!D125&lt;&gt;"",Universe!D125,"")</f>
        <v>Financials</v>
      </c>
      <c r="E125" t="str">
        <f>Universe!G125</f>
        <v>Exclude</v>
      </c>
      <c r="F125" t="str">
        <f>IF($E125&lt;&gt;"Include","",_xlfn.LET(_xlpm.latest,_xlfn.MAXIFS(Raw_Fund!$C:$C,Raw_Fund!$B:$B,Data!$C125),IF(_xlpm.latest=0,"",_xlpm.latest)))</f>
        <v/>
      </c>
      <c r="G125" t="str">
        <f>IF($F125="","",INDEX(Raw_Fund!$E:$AZ,MATCH($C125&amp;"|"&amp;$F125,Raw_Fund!$A:$A,0),MATCH(G$3,Raw_Fund!$E$1:$AZ$1,0)))</f>
        <v/>
      </c>
      <c r="H125" t="str">
        <f t="shared" si="1"/>
        <v/>
      </c>
      <c r="I125" s="6" t="str">
        <f>_xlfn.LET(
_xlpm.rowNo, MATCH($C125&amp;"|"&amp;
($F125+I$4),Raw_Fund!$A:$A,0),
_xlpm.colNo,
MATCH(I$3,Raw_Fund!$E$1:$AZ$1,0),
_xlpm.val,
INDEX(Raw_Fund!$E:$AZ,_xlpm.rowNo,_xlpm.colNo),
IF(ISNUMBER(_xlpm.val),_xlpm.val*$H125,""))</f>
        <v/>
      </c>
      <c r="J125" s="6" t="str">
        <f>_xlfn.LET(
_xlpm.rowNo, MATCH($C125&amp;"|"&amp;
($F125+J$4),Raw_Fund!$A:$A,0),
_xlpm.colNo,
MATCH(J$3,Raw_Fund!$E$1:$AZ$1,0),
_xlpm.val,
INDEX(Raw_Fund!$E:$AZ,_xlpm.rowNo,_xlpm.colNo),
IF(ISNUMBER(_xlpm.val),_xlpm.val*$H125,""))</f>
        <v/>
      </c>
      <c r="K125" s="6" t="str">
        <f>_xlfn.LET(
_xlpm.rowNo, MATCH($C125&amp;"|"&amp;
($F125+K$4),Raw_Fund!$A:$A,0),
_xlpm.colNo,
MATCH(K$3,Raw_Fund!$E$1:$AZ$1,0),
_xlpm.val,
INDEX(Raw_Fund!$E:$AZ,_xlpm.rowNo,_xlpm.colNo),
IF(ISNUMBER(_xlpm.val),_xlpm.val*$H125,""))</f>
        <v/>
      </c>
      <c r="L125" s="6" t="str">
        <f>_xlfn.LET(
_xlpm.rowNo, MATCH($C125&amp;"|"&amp;
($F125+L$4),Raw_Fund!$A:$A,0),
_xlpm.colNo,
MATCH(L$3,Raw_Fund!$E$1:$AZ$1,0),
_xlpm.val,
INDEX(Raw_Fund!$E:$AZ,_xlpm.rowNo,_xlpm.colNo),
IF(ISNUMBER(_xlpm.val),_xlpm.val*$H125,""))</f>
        <v/>
      </c>
      <c r="M125" s="6" t="str">
        <f>_xlfn.LET(
_xlpm.rowNo, MATCH($C125&amp;"|"&amp;
($F125+M$4),Raw_Fund!$A:$A,0),
_xlpm.colNo,
MATCH(M$3,Raw_Fund!$E$1:$AZ$1,0),
_xlpm.val,
INDEX(Raw_Fund!$E:$AZ,_xlpm.rowNo,_xlpm.colNo),
IF(ISNUMBER(_xlpm.val),_xlpm.val*$H125,""))</f>
        <v/>
      </c>
      <c r="N125" s="6" t="str">
        <f>_xlfn.LET(
_xlpm.rowNo, MATCH($C125&amp;"|"&amp;
($F125+N$4),Raw_Fund!$A:$A,0),
_xlpm.colNo,
MATCH(N$3,Raw_Fund!$E$1:$AZ$1,0),
_xlpm.val,
INDEX(Raw_Fund!$E:$AZ,_xlpm.rowNo,_xlpm.colNo),
IF(ISNUMBER(_xlpm.val),_xlpm.val*$H125,""))</f>
        <v/>
      </c>
      <c r="O125" s="6" t="str">
        <f>_xlfn.LET(
_xlpm.rowNo, MATCH($C125&amp;"|"&amp;
($F125+O$4),Raw_Fund!$A:$A,0),
_xlpm.colNo,
MATCH(O$3,Raw_Fund!$E$1:$AZ$1,0),
_xlpm.val,
INDEX(Raw_Fund!$E:$AZ,_xlpm.rowNo,_xlpm.colNo),
IF(ISNUMBER(_xlpm.val),_xlpm.val*$H125,""))</f>
        <v/>
      </c>
      <c r="P125" s="6" t="str">
        <f>_xlfn.LET(
_xlpm.rowNo, MATCH($C125&amp;"|"&amp;
($F125+P$4),Raw_Fund!$A:$A,0),
_xlpm.colNo,
MATCH(P$3,Raw_Fund!$E$1:$AZ$1,0),
_xlpm.val,
INDEX(Raw_Fund!$E:$AZ,_xlpm.rowNo,_xlpm.colNo),
IF(ISNUMBER(_xlpm.val),_xlpm.val*$H125,""))</f>
        <v/>
      </c>
      <c r="Q125" s="6" t="str">
        <f>_xlfn.LET(
_xlpm.rowNo, MATCH($C125&amp;"|"&amp;
($F125+Q$4),Raw_Fund!$A:$A,0),
_xlpm.colNo,
MATCH(Q$3,Raw_Fund!$E$1:$AZ$1,0),
_xlpm.val,
INDEX(Raw_Fund!$E:$AZ,_xlpm.rowNo,_xlpm.colNo),
IF(ISNUMBER(_xlpm.val),_xlpm.val*$H125,""))</f>
        <v/>
      </c>
      <c r="R125" s="6" t="str">
        <f>_xlfn.LET(
_xlpm.rowNo, MATCH($C125&amp;"|"&amp;
($F125+R$4),Raw_Fund!$A:$A,0),
_xlpm.colNo,
MATCH(R$3,Raw_Fund!$E$1:$AZ$1,0),
_xlpm.val,
INDEX(Raw_Fund!$E:$AZ,_xlpm.rowNo,_xlpm.colNo),
IF(ISNUMBER(_xlpm.val),_xlpm.val*$H125,""))</f>
        <v/>
      </c>
      <c r="S125" s="6" t="str">
        <f>_xlfn.LET(
_xlpm.rowNo, MATCH($C125&amp;"|"&amp;
($F125+S$4),Raw_Fund!$A:$A,0),
_xlpm.colNo,
MATCH(S$3,Raw_Fund!$E$1:$AZ$1,0),
_xlpm.val,
INDEX(Raw_Fund!$E:$AZ,_xlpm.rowNo,_xlpm.colNo),
IF(ISNUMBER(_xlpm.val),_xlpm.val*$H125,""))</f>
        <v/>
      </c>
      <c r="T125" s="6" t="str">
        <f>_xlfn.LET(
_xlpm.rowNo, MATCH($C125&amp;"|"&amp;
($F125+T$4),Raw_Fund!$A:$A,0),
_xlpm.colNo,
MATCH(T$3,Raw_Fund!$E$1:$AZ$1,0),
_xlpm.val,
INDEX(Raw_Fund!$E:$AZ,_xlpm.rowNo,_xlpm.colNo),
IF(ISNUMBER(_xlpm.val),_xlpm.val*$H125,""))</f>
        <v/>
      </c>
      <c r="U125" s="6" t="str">
        <f>_xlfn.LET(
_xlpm.rowNo, MATCH($C125&amp;"|"&amp;
($F125+U$4),Raw_Fund!$A:$A,0),
_xlpm.colNo,
MATCH(U$3,Raw_Fund!$E$1:$AZ$1,0),
_xlpm.val,
INDEX(Raw_Fund!$E:$AZ,_xlpm.rowNo,_xlpm.colNo),
IF(ISNUMBER(_xlpm.val),_xlpm.val*$H125,""))</f>
        <v/>
      </c>
      <c r="V125" s="6" t="str">
        <f>_xlfn.LET(
_xlpm.rowNo, MATCH($C125&amp;"|"&amp;
($F125+V$4),Raw_Fund!$A:$A,0),
_xlpm.colNo,
MATCH(V$3,Raw_Fund!$E$1:$AZ$1,0),
_xlpm.val,
INDEX(Raw_Fund!$E:$AZ,_xlpm.rowNo,_xlpm.colNo),
IF(ISNUMBER(_xlpm.val),_xlpm.val*$H125,""))</f>
        <v/>
      </c>
      <c r="W125" s="6" t="str">
        <f>_xlfn.LET(
_xlpm.rowNo, MATCH($C125&amp;"|"&amp;
($F125+W$4),Raw_Fund!$A:$A,0),
_xlpm.colNo,
MATCH(W$3,Raw_Fund!$E$1:$AZ$1,0),
_xlpm.val,
INDEX(Raw_Fund!$E:$AZ,_xlpm.rowNo,_xlpm.colNo),
IF(ISNUMBER(_xlpm.val),_xlpm.val*$H125,""))</f>
        <v/>
      </c>
      <c r="X125" s="6" t="str">
        <f>_xlfn.LET(
_xlpm.rowNo, MATCH($C125&amp;"|"&amp;
($F125+X$4),Raw_Fund!$A:$A,0),
_xlpm.colNo,
MATCH(X$3,Raw_Fund!$E$1:$AZ$1,0),
_xlpm.val,
INDEX(Raw_Fund!$E:$AZ,_xlpm.rowNo,_xlpm.colNo),
IF(ISNUMBER(_xlpm.val),_xlpm.val*$H125,""))</f>
        <v/>
      </c>
      <c r="Y125" s="6" t="str">
        <f>_xlfn.LET(
_xlpm.rowNo, MATCH($C125&amp;"|"&amp;
($F125+Y$4),Raw_Fund!$A:$A,0),
_xlpm.colNo,
MATCH(Y$3,Raw_Fund!$E$1:$AZ$1,0),
_xlpm.val,
INDEX(Raw_Fund!$E:$AZ,_xlpm.rowNo,_xlpm.colNo),
IF(ISNUMBER(_xlpm.val),_xlpm.val*$H125,""))</f>
        <v/>
      </c>
      <c r="Z125" s="6" t="str">
        <f>IF($E125&lt;&gt;"Include","",_xlfn.XLOOKUP($C125,Raw_Mkt!$A:$A,Raw_Mkt!$B:$B))</f>
        <v/>
      </c>
    </row>
    <row r="126" spans="1:26" x14ac:dyDescent="0.4">
      <c r="A126" t="str">
        <f>IF(Universe!A126&lt;&gt;"",Universe!A126,"")</f>
        <v>JCH</v>
      </c>
      <c r="B126" t="str">
        <f>IF(Universe!B126&lt;&gt;"",Universe!B126,"")</f>
        <v>JPMorgan Claverhouse Investment Trust</v>
      </c>
      <c r="C126" t="str">
        <f>IF(Universe!C126&lt;&gt;"",Universe!C126,"")</f>
        <v>GB0003422184</v>
      </c>
      <c r="D126" t="str">
        <f>IF(Universe!D126&lt;&gt;"",Universe!D126,"")</f>
        <v>Financials</v>
      </c>
      <c r="E126" t="str">
        <f>Universe!G126</f>
        <v>Exclude</v>
      </c>
      <c r="F126" t="str">
        <f>IF($E126&lt;&gt;"Include","",_xlfn.LET(_xlpm.latest,_xlfn.MAXIFS(Raw_Fund!$C:$C,Raw_Fund!$B:$B,Data!$C126),IF(_xlpm.latest=0,"",_xlpm.latest)))</f>
        <v/>
      </c>
      <c r="G126" t="str">
        <f>IF($F126="","",INDEX(Raw_Fund!$E:$AZ,MATCH($C126&amp;"|"&amp;$F126,Raw_Fund!$A:$A,0),MATCH(G$3,Raw_Fund!$E$1:$AZ$1,0)))</f>
        <v/>
      </c>
      <c r="H126" t="str">
        <f t="shared" si="1"/>
        <v/>
      </c>
      <c r="I126" s="6" t="str">
        <f>_xlfn.LET(
_xlpm.rowNo, MATCH($C126&amp;"|"&amp;
($F126+I$4),Raw_Fund!$A:$A,0),
_xlpm.colNo,
MATCH(I$3,Raw_Fund!$E$1:$AZ$1,0),
_xlpm.val,
INDEX(Raw_Fund!$E:$AZ,_xlpm.rowNo,_xlpm.colNo),
IF(ISNUMBER(_xlpm.val),_xlpm.val*$H126,""))</f>
        <v/>
      </c>
      <c r="J126" s="6" t="str">
        <f>_xlfn.LET(
_xlpm.rowNo, MATCH($C126&amp;"|"&amp;
($F126+J$4),Raw_Fund!$A:$A,0),
_xlpm.colNo,
MATCH(J$3,Raw_Fund!$E$1:$AZ$1,0),
_xlpm.val,
INDEX(Raw_Fund!$E:$AZ,_xlpm.rowNo,_xlpm.colNo),
IF(ISNUMBER(_xlpm.val),_xlpm.val*$H126,""))</f>
        <v/>
      </c>
      <c r="K126" s="6" t="str">
        <f>_xlfn.LET(
_xlpm.rowNo, MATCH($C126&amp;"|"&amp;
($F126+K$4),Raw_Fund!$A:$A,0),
_xlpm.colNo,
MATCH(K$3,Raw_Fund!$E$1:$AZ$1,0),
_xlpm.val,
INDEX(Raw_Fund!$E:$AZ,_xlpm.rowNo,_xlpm.colNo),
IF(ISNUMBER(_xlpm.val),_xlpm.val*$H126,""))</f>
        <v/>
      </c>
      <c r="L126" s="6" t="str">
        <f>_xlfn.LET(
_xlpm.rowNo, MATCH($C126&amp;"|"&amp;
($F126+L$4),Raw_Fund!$A:$A,0),
_xlpm.colNo,
MATCH(L$3,Raw_Fund!$E$1:$AZ$1,0),
_xlpm.val,
INDEX(Raw_Fund!$E:$AZ,_xlpm.rowNo,_xlpm.colNo),
IF(ISNUMBER(_xlpm.val),_xlpm.val*$H126,""))</f>
        <v/>
      </c>
      <c r="M126" s="6" t="str">
        <f>_xlfn.LET(
_xlpm.rowNo, MATCH($C126&amp;"|"&amp;
($F126+M$4),Raw_Fund!$A:$A,0),
_xlpm.colNo,
MATCH(M$3,Raw_Fund!$E$1:$AZ$1,0),
_xlpm.val,
INDEX(Raw_Fund!$E:$AZ,_xlpm.rowNo,_xlpm.colNo),
IF(ISNUMBER(_xlpm.val),_xlpm.val*$H126,""))</f>
        <v/>
      </c>
      <c r="N126" s="6" t="str">
        <f>_xlfn.LET(
_xlpm.rowNo, MATCH($C126&amp;"|"&amp;
($F126+N$4),Raw_Fund!$A:$A,0),
_xlpm.colNo,
MATCH(N$3,Raw_Fund!$E$1:$AZ$1,0),
_xlpm.val,
INDEX(Raw_Fund!$E:$AZ,_xlpm.rowNo,_xlpm.colNo),
IF(ISNUMBER(_xlpm.val),_xlpm.val*$H126,""))</f>
        <v/>
      </c>
      <c r="O126" s="6" t="str">
        <f>_xlfn.LET(
_xlpm.rowNo, MATCH($C126&amp;"|"&amp;
($F126+O$4),Raw_Fund!$A:$A,0),
_xlpm.colNo,
MATCH(O$3,Raw_Fund!$E$1:$AZ$1,0),
_xlpm.val,
INDEX(Raw_Fund!$E:$AZ,_xlpm.rowNo,_xlpm.colNo),
IF(ISNUMBER(_xlpm.val),_xlpm.val*$H126,""))</f>
        <v/>
      </c>
      <c r="P126" s="6" t="str">
        <f>_xlfn.LET(
_xlpm.rowNo, MATCH($C126&amp;"|"&amp;
($F126+P$4),Raw_Fund!$A:$A,0),
_xlpm.colNo,
MATCH(P$3,Raw_Fund!$E$1:$AZ$1,0),
_xlpm.val,
INDEX(Raw_Fund!$E:$AZ,_xlpm.rowNo,_xlpm.colNo),
IF(ISNUMBER(_xlpm.val),_xlpm.val*$H126,""))</f>
        <v/>
      </c>
      <c r="Q126" s="6" t="str">
        <f>_xlfn.LET(
_xlpm.rowNo, MATCH($C126&amp;"|"&amp;
($F126+Q$4),Raw_Fund!$A:$A,0),
_xlpm.colNo,
MATCH(Q$3,Raw_Fund!$E$1:$AZ$1,0),
_xlpm.val,
INDEX(Raw_Fund!$E:$AZ,_xlpm.rowNo,_xlpm.colNo),
IF(ISNUMBER(_xlpm.val),_xlpm.val*$H126,""))</f>
        <v/>
      </c>
      <c r="R126" s="6" t="str">
        <f>_xlfn.LET(
_xlpm.rowNo, MATCH($C126&amp;"|"&amp;
($F126+R$4),Raw_Fund!$A:$A,0),
_xlpm.colNo,
MATCH(R$3,Raw_Fund!$E$1:$AZ$1,0),
_xlpm.val,
INDEX(Raw_Fund!$E:$AZ,_xlpm.rowNo,_xlpm.colNo),
IF(ISNUMBER(_xlpm.val),_xlpm.val*$H126,""))</f>
        <v/>
      </c>
      <c r="S126" s="6" t="str">
        <f>_xlfn.LET(
_xlpm.rowNo, MATCH($C126&amp;"|"&amp;
($F126+S$4),Raw_Fund!$A:$A,0),
_xlpm.colNo,
MATCH(S$3,Raw_Fund!$E$1:$AZ$1,0),
_xlpm.val,
INDEX(Raw_Fund!$E:$AZ,_xlpm.rowNo,_xlpm.colNo),
IF(ISNUMBER(_xlpm.val),_xlpm.val*$H126,""))</f>
        <v/>
      </c>
      <c r="T126" s="6" t="str">
        <f>_xlfn.LET(
_xlpm.rowNo, MATCH($C126&amp;"|"&amp;
($F126+T$4),Raw_Fund!$A:$A,0),
_xlpm.colNo,
MATCH(T$3,Raw_Fund!$E$1:$AZ$1,0),
_xlpm.val,
INDEX(Raw_Fund!$E:$AZ,_xlpm.rowNo,_xlpm.colNo),
IF(ISNUMBER(_xlpm.val),_xlpm.val*$H126,""))</f>
        <v/>
      </c>
      <c r="U126" s="6" t="str">
        <f>_xlfn.LET(
_xlpm.rowNo, MATCH($C126&amp;"|"&amp;
($F126+U$4),Raw_Fund!$A:$A,0),
_xlpm.colNo,
MATCH(U$3,Raw_Fund!$E$1:$AZ$1,0),
_xlpm.val,
INDEX(Raw_Fund!$E:$AZ,_xlpm.rowNo,_xlpm.colNo),
IF(ISNUMBER(_xlpm.val),_xlpm.val*$H126,""))</f>
        <v/>
      </c>
      <c r="V126" s="6" t="str">
        <f>_xlfn.LET(
_xlpm.rowNo, MATCH($C126&amp;"|"&amp;
($F126+V$4),Raw_Fund!$A:$A,0),
_xlpm.colNo,
MATCH(V$3,Raw_Fund!$E$1:$AZ$1,0),
_xlpm.val,
INDEX(Raw_Fund!$E:$AZ,_xlpm.rowNo,_xlpm.colNo),
IF(ISNUMBER(_xlpm.val),_xlpm.val*$H126,""))</f>
        <v/>
      </c>
      <c r="W126" s="6" t="str">
        <f>_xlfn.LET(
_xlpm.rowNo, MATCH($C126&amp;"|"&amp;
($F126+W$4),Raw_Fund!$A:$A,0),
_xlpm.colNo,
MATCH(W$3,Raw_Fund!$E$1:$AZ$1,0),
_xlpm.val,
INDEX(Raw_Fund!$E:$AZ,_xlpm.rowNo,_xlpm.colNo),
IF(ISNUMBER(_xlpm.val),_xlpm.val*$H126,""))</f>
        <v/>
      </c>
      <c r="X126" s="6" t="str">
        <f>_xlfn.LET(
_xlpm.rowNo, MATCH($C126&amp;"|"&amp;
($F126+X$4),Raw_Fund!$A:$A,0),
_xlpm.colNo,
MATCH(X$3,Raw_Fund!$E$1:$AZ$1,0),
_xlpm.val,
INDEX(Raw_Fund!$E:$AZ,_xlpm.rowNo,_xlpm.colNo),
IF(ISNUMBER(_xlpm.val),_xlpm.val*$H126,""))</f>
        <v/>
      </c>
      <c r="Y126" s="6" t="str">
        <f>_xlfn.LET(
_xlpm.rowNo, MATCH($C126&amp;"|"&amp;
($F126+Y$4),Raw_Fund!$A:$A,0),
_xlpm.colNo,
MATCH(Y$3,Raw_Fund!$E$1:$AZ$1,0),
_xlpm.val,
INDEX(Raw_Fund!$E:$AZ,_xlpm.rowNo,_xlpm.colNo),
IF(ISNUMBER(_xlpm.val),_xlpm.val*$H126,""))</f>
        <v/>
      </c>
      <c r="Z126" s="6" t="str">
        <f>IF($E126&lt;&gt;"Include","",_xlfn.XLOOKUP($C126,Raw_Mkt!$A:$A,Raw_Mkt!$B:$B))</f>
        <v/>
      </c>
    </row>
    <row r="127" spans="1:26" x14ac:dyDescent="0.4">
      <c r="A127" t="str">
        <f>IF(Universe!A127&lt;&gt;"",Universe!A127,"")</f>
        <v>JEMI</v>
      </c>
      <c r="B127" t="str">
        <f>IF(Universe!B127&lt;&gt;"",Universe!B127,"")</f>
        <v>JPMorgan Emerging Markets Dividend Income</v>
      </c>
      <c r="C127" t="str">
        <f>IF(Universe!C127&lt;&gt;"",Universe!C127,"")</f>
        <v>GB00B5ZZY915</v>
      </c>
      <c r="D127" t="str">
        <f>IF(Universe!D127&lt;&gt;"",Universe!D127,"")</f>
        <v>Financials</v>
      </c>
      <c r="E127" t="str">
        <f>Universe!G127</f>
        <v>Exclude</v>
      </c>
      <c r="F127" t="str">
        <f>IF($E127&lt;&gt;"Include","",_xlfn.LET(_xlpm.latest,_xlfn.MAXIFS(Raw_Fund!$C:$C,Raw_Fund!$B:$B,Data!$C127),IF(_xlpm.latest=0,"",_xlpm.latest)))</f>
        <v/>
      </c>
      <c r="G127" t="str">
        <f>IF($F127="","",INDEX(Raw_Fund!$E:$AZ,MATCH($C127&amp;"|"&amp;$F127,Raw_Fund!$A:$A,0),MATCH(G$3,Raw_Fund!$E$1:$AZ$1,0)))</f>
        <v/>
      </c>
      <c r="H127" t="str">
        <f t="shared" si="1"/>
        <v/>
      </c>
      <c r="I127" s="6" t="str">
        <f>_xlfn.LET(
_xlpm.rowNo, MATCH($C127&amp;"|"&amp;
($F127+I$4),Raw_Fund!$A:$A,0),
_xlpm.colNo,
MATCH(I$3,Raw_Fund!$E$1:$AZ$1,0),
_xlpm.val,
INDEX(Raw_Fund!$E:$AZ,_xlpm.rowNo,_xlpm.colNo),
IF(ISNUMBER(_xlpm.val),_xlpm.val*$H127,""))</f>
        <v/>
      </c>
      <c r="J127" s="6" t="str">
        <f>_xlfn.LET(
_xlpm.rowNo, MATCH($C127&amp;"|"&amp;
($F127+J$4),Raw_Fund!$A:$A,0),
_xlpm.colNo,
MATCH(J$3,Raw_Fund!$E$1:$AZ$1,0),
_xlpm.val,
INDEX(Raw_Fund!$E:$AZ,_xlpm.rowNo,_xlpm.colNo),
IF(ISNUMBER(_xlpm.val),_xlpm.val*$H127,""))</f>
        <v/>
      </c>
      <c r="K127" s="6" t="str">
        <f>_xlfn.LET(
_xlpm.rowNo, MATCH($C127&amp;"|"&amp;
($F127+K$4),Raw_Fund!$A:$A,0),
_xlpm.colNo,
MATCH(K$3,Raw_Fund!$E$1:$AZ$1,0),
_xlpm.val,
INDEX(Raw_Fund!$E:$AZ,_xlpm.rowNo,_xlpm.colNo),
IF(ISNUMBER(_xlpm.val),_xlpm.val*$H127,""))</f>
        <v/>
      </c>
      <c r="L127" s="6" t="str">
        <f>_xlfn.LET(
_xlpm.rowNo, MATCH($C127&amp;"|"&amp;
($F127+L$4),Raw_Fund!$A:$A,0),
_xlpm.colNo,
MATCH(L$3,Raw_Fund!$E$1:$AZ$1,0),
_xlpm.val,
INDEX(Raw_Fund!$E:$AZ,_xlpm.rowNo,_xlpm.colNo),
IF(ISNUMBER(_xlpm.val),_xlpm.val*$H127,""))</f>
        <v/>
      </c>
      <c r="M127" s="6" t="str">
        <f>_xlfn.LET(
_xlpm.rowNo, MATCH($C127&amp;"|"&amp;
($F127+M$4),Raw_Fund!$A:$A,0),
_xlpm.colNo,
MATCH(M$3,Raw_Fund!$E$1:$AZ$1,0),
_xlpm.val,
INDEX(Raw_Fund!$E:$AZ,_xlpm.rowNo,_xlpm.colNo),
IF(ISNUMBER(_xlpm.val),_xlpm.val*$H127,""))</f>
        <v/>
      </c>
      <c r="N127" s="6" t="str">
        <f>_xlfn.LET(
_xlpm.rowNo, MATCH($C127&amp;"|"&amp;
($F127+N$4),Raw_Fund!$A:$A,0),
_xlpm.colNo,
MATCH(N$3,Raw_Fund!$E$1:$AZ$1,0),
_xlpm.val,
INDEX(Raw_Fund!$E:$AZ,_xlpm.rowNo,_xlpm.colNo),
IF(ISNUMBER(_xlpm.val),_xlpm.val*$H127,""))</f>
        <v/>
      </c>
      <c r="O127" s="6" t="str">
        <f>_xlfn.LET(
_xlpm.rowNo, MATCH($C127&amp;"|"&amp;
($F127+O$4),Raw_Fund!$A:$A,0),
_xlpm.colNo,
MATCH(O$3,Raw_Fund!$E$1:$AZ$1,0),
_xlpm.val,
INDEX(Raw_Fund!$E:$AZ,_xlpm.rowNo,_xlpm.colNo),
IF(ISNUMBER(_xlpm.val),_xlpm.val*$H127,""))</f>
        <v/>
      </c>
      <c r="P127" s="6" t="str">
        <f>_xlfn.LET(
_xlpm.rowNo, MATCH($C127&amp;"|"&amp;
($F127+P$4),Raw_Fund!$A:$A,0),
_xlpm.colNo,
MATCH(P$3,Raw_Fund!$E$1:$AZ$1,0),
_xlpm.val,
INDEX(Raw_Fund!$E:$AZ,_xlpm.rowNo,_xlpm.colNo),
IF(ISNUMBER(_xlpm.val),_xlpm.val*$H127,""))</f>
        <v/>
      </c>
      <c r="Q127" s="6" t="str">
        <f>_xlfn.LET(
_xlpm.rowNo, MATCH($C127&amp;"|"&amp;
($F127+Q$4),Raw_Fund!$A:$A,0),
_xlpm.colNo,
MATCH(Q$3,Raw_Fund!$E$1:$AZ$1,0),
_xlpm.val,
INDEX(Raw_Fund!$E:$AZ,_xlpm.rowNo,_xlpm.colNo),
IF(ISNUMBER(_xlpm.val),_xlpm.val*$H127,""))</f>
        <v/>
      </c>
      <c r="R127" s="6" t="str">
        <f>_xlfn.LET(
_xlpm.rowNo, MATCH($C127&amp;"|"&amp;
($F127+R$4),Raw_Fund!$A:$A,0),
_xlpm.colNo,
MATCH(R$3,Raw_Fund!$E$1:$AZ$1,0),
_xlpm.val,
INDEX(Raw_Fund!$E:$AZ,_xlpm.rowNo,_xlpm.colNo),
IF(ISNUMBER(_xlpm.val),_xlpm.val*$H127,""))</f>
        <v/>
      </c>
      <c r="S127" s="6" t="str">
        <f>_xlfn.LET(
_xlpm.rowNo, MATCH($C127&amp;"|"&amp;
($F127+S$4),Raw_Fund!$A:$A,0),
_xlpm.colNo,
MATCH(S$3,Raw_Fund!$E$1:$AZ$1,0),
_xlpm.val,
INDEX(Raw_Fund!$E:$AZ,_xlpm.rowNo,_xlpm.colNo),
IF(ISNUMBER(_xlpm.val),_xlpm.val*$H127,""))</f>
        <v/>
      </c>
      <c r="T127" s="6" t="str">
        <f>_xlfn.LET(
_xlpm.rowNo, MATCH($C127&amp;"|"&amp;
($F127+T$4),Raw_Fund!$A:$A,0),
_xlpm.colNo,
MATCH(T$3,Raw_Fund!$E$1:$AZ$1,0),
_xlpm.val,
INDEX(Raw_Fund!$E:$AZ,_xlpm.rowNo,_xlpm.colNo),
IF(ISNUMBER(_xlpm.val),_xlpm.val*$H127,""))</f>
        <v/>
      </c>
      <c r="U127" s="6" t="str">
        <f>_xlfn.LET(
_xlpm.rowNo, MATCH($C127&amp;"|"&amp;
($F127+U$4),Raw_Fund!$A:$A,0),
_xlpm.colNo,
MATCH(U$3,Raw_Fund!$E$1:$AZ$1,0),
_xlpm.val,
INDEX(Raw_Fund!$E:$AZ,_xlpm.rowNo,_xlpm.colNo),
IF(ISNUMBER(_xlpm.val),_xlpm.val*$H127,""))</f>
        <v/>
      </c>
      <c r="V127" s="6" t="str">
        <f>_xlfn.LET(
_xlpm.rowNo, MATCH($C127&amp;"|"&amp;
($F127+V$4),Raw_Fund!$A:$A,0),
_xlpm.colNo,
MATCH(V$3,Raw_Fund!$E$1:$AZ$1,0),
_xlpm.val,
INDEX(Raw_Fund!$E:$AZ,_xlpm.rowNo,_xlpm.colNo),
IF(ISNUMBER(_xlpm.val),_xlpm.val*$H127,""))</f>
        <v/>
      </c>
      <c r="W127" s="6" t="str">
        <f>_xlfn.LET(
_xlpm.rowNo, MATCH($C127&amp;"|"&amp;
($F127+W$4),Raw_Fund!$A:$A,0),
_xlpm.colNo,
MATCH(W$3,Raw_Fund!$E$1:$AZ$1,0),
_xlpm.val,
INDEX(Raw_Fund!$E:$AZ,_xlpm.rowNo,_xlpm.colNo),
IF(ISNUMBER(_xlpm.val),_xlpm.val*$H127,""))</f>
        <v/>
      </c>
      <c r="X127" s="6" t="str">
        <f>_xlfn.LET(
_xlpm.rowNo, MATCH($C127&amp;"|"&amp;
($F127+X$4),Raw_Fund!$A:$A,0),
_xlpm.colNo,
MATCH(X$3,Raw_Fund!$E$1:$AZ$1,0),
_xlpm.val,
INDEX(Raw_Fund!$E:$AZ,_xlpm.rowNo,_xlpm.colNo),
IF(ISNUMBER(_xlpm.val),_xlpm.val*$H127,""))</f>
        <v/>
      </c>
      <c r="Y127" s="6" t="str">
        <f>_xlfn.LET(
_xlpm.rowNo, MATCH($C127&amp;"|"&amp;
($F127+Y$4),Raw_Fund!$A:$A,0),
_xlpm.colNo,
MATCH(Y$3,Raw_Fund!$E$1:$AZ$1,0),
_xlpm.val,
INDEX(Raw_Fund!$E:$AZ,_xlpm.rowNo,_xlpm.colNo),
IF(ISNUMBER(_xlpm.val),_xlpm.val*$H127,""))</f>
        <v/>
      </c>
      <c r="Z127" s="6" t="str">
        <f>IF($E127&lt;&gt;"Include","",_xlfn.XLOOKUP($C127,Raw_Mkt!$A:$A,Raw_Mkt!$B:$B))</f>
        <v/>
      </c>
    </row>
    <row r="128" spans="1:26" x14ac:dyDescent="0.4">
      <c r="A128" t="str">
        <f>IF(Universe!A128&lt;&gt;"",Universe!A128,"")</f>
        <v>JMGI</v>
      </c>
      <c r="B128" t="str">
        <f>IF(Universe!B128&lt;&gt;"",Universe!B128,"")</f>
        <v>JPMorgan Emerging Markets Growth &amp; Income</v>
      </c>
      <c r="C128" t="str">
        <f>IF(Universe!C128&lt;&gt;"",Universe!C128,"")</f>
        <v>GB00BMXWN182</v>
      </c>
      <c r="D128" t="str">
        <f>IF(Universe!D128&lt;&gt;"",Universe!D128,"")</f>
        <v>Financials</v>
      </c>
      <c r="E128" t="str">
        <f>Universe!G128</f>
        <v>Exclude</v>
      </c>
      <c r="F128" t="str">
        <f>IF($E128&lt;&gt;"Include","",_xlfn.LET(_xlpm.latest,_xlfn.MAXIFS(Raw_Fund!$C:$C,Raw_Fund!$B:$B,Data!$C128),IF(_xlpm.latest=0,"",_xlpm.latest)))</f>
        <v/>
      </c>
      <c r="G128" t="str">
        <f>IF($F128="","",INDEX(Raw_Fund!$E:$AZ,MATCH($C128&amp;"|"&amp;$F128,Raw_Fund!$A:$A,0),MATCH(G$3,Raw_Fund!$E$1:$AZ$1,0)))</f>
        <v/>
      </c>
      <c r="H128" t="str">
        <f t="shared" si="1"/>
        <v/>
      </c>
      <c r="I128" s="6" t="str">
        <f>_xlfn.LET(
_xlpm.rowNo, MATCH($C128&amp;"|"&amp;
($F128+I$4),Raw_Fund!$A:$A,0),
_xlpm.colNo,
MATCH(I$3,Raw_Fund!$E$1:$AZ$1,0),
_xlpm.val,
INDEX(Raw_Fund!$E:$AZ,_xlpm.rowNo,_xlpm.colNo),
IF(ISNUMBER(_xlpm.val),_xlpm.val*$H128,""))</f>
        <v/>
      </c>
      <c r="J128" s="6" t="str">
        <f>_xlfn.LET(
_xlpm.rowNo, MATCH($C128&amp;"|"&amp;
($F128+J$4),Raw_Fund!$A:$A,0),
_xlpm.colNo,
MATCH(J$3,Raw_Fund!$E$1:$AZ$1,0),
_xlpm.val,
INDEX(Raw_Fund!$E:$AZ,_xlpm.rowNo,_xlpm.colNo),
IF(ISNUMBER(_xlpm.val),_xlpm.val*$H128,""))</f>
        <v/>
      </c>
      <c r="K128" s="6" t="str">
        <f>_xlfn.LET(
_xlpm.rowNo, MATCH($C128&amp;"|"&amp;
($F128+K$4),Raw_Fund!$A:$A,0),
_xlpm.colNo,
MATCH(K$3,Raw_Fund!$E$1:$AZ$1,0),
_xlpm.val,
INDEX(Raw_Fund!$E:$AZ,_xlpm.rowNo,_xlpm.colNo),
IF(ISNUMBER(_xlpm.val),_xlpm.val*$H128,""))</f>
        <v/>
      </c>
      <c r="L128" s="6" t="str">
        <f>_xlfn.LET(
_xlpm.rowNo, MATCH($C128&amp;"|"&amp;
($F128+L$4),Raw_Fund!$A:$A,0),
_xlpm.colNo,
MATCH(L$3,Raw_Fund!$E$1:$AZ$1,0),
_xlpm.val,
INDEX(Raw_Fund!$E:$AZ,_xlpm.rowNo,_xlpm.colNo),
IF(ISNUMBER(_xlpm.val),_xlpm.val*$H128,""))</f>
        <v/>
      </c>
      <c r="M128" s="6" t="str">
        <f>_xlfn.LET(
_xlpm.rowNo, MATCH($C128&amp;"|"&amp;
($F128+M$4),Raw_Fund!$A:$A,0),
_xlpm.colNo,
MATCH(M$3,Raw_Fund!$E$1:$AZ$1,0),
_xlpm.val,
INDEX(Raw_Fund!$E:$AZ,_xlpm.rowNo,_xlpm.colNo),
IF(ISNUMBER(_xlpm.val),_xlpm.val*$H128,""))</f>
        <v/>
      </c>
      <c r="N128" s="6" t="str">
        <f>_xlfn.LET(
_xlpm.rowNo, MATCH($C128&amp;"|"&amp;
($F128+N$4),Raw_Fund!$A:$A,0),
_xlpm.colNo,
MATCH(N$3,Raw_Fund!$E$1:$AZ$1,0),
_xlpm.val,
INDEX(Raw_Fund!$E:$AZ,_xlpm.rowNo,_xlpm.colNo),
IF(ISNUMBER(_xlpm.val),_xlpm.val*$H128,""))</f>
        <v/>
      </c>
      <c r="O128" s="6" t="str">
        <f>_xlfn.LET(
_xlpm.rowNo, MATCH($C128&amp;"|"&amp;
($F128+O$4),Raw_Fund!$A:$A,0),
_xlpm.colNo,
MATCH(O$3,Raw_Fund!$E$1:$AZ$1,0),
_xlpm.val,
INDEX(Raw_Fund!$E:$AZ,_xlpm.rowNo,_xlpm.colNo),
IF(ISNUMBER(_xlpm.val),_xlpm.val*$H128,""))</f>
        <v/>
      </c>
      <c r="P128" s="6" t="str">
        <f>_xlfn.LET(
_xlpm.rowNo, MATCH($C128&amp;"|"&amp;
($F128+P$4),Raw_Fund!$A:$A,0),
_xlpm.colNo,
MATCH(P$3,Raw_Fund!$E$1:$AZ$1,0),
_xlpm.val,
INDEX(Raw_Fund!$E:$AZ,_xlpm.rowNo,_xlpm.colNo),
IF(ISNUMBER(_xlpm.val),_xlpm.val*$H128,""))</f>
        <v/>
      </c>
      <c r="Q128" s="6" t="str">
        <f>_xlfn.LET(
_xlpm.rowNo, MATCH($C128&amp;"|"&amp;
($F128+Q$4),Raw_Fund!$A:$A,0),
_xlpm.colNo,
MATCH(Q$3,Raw_Fund!$E$1:$AZ$1,0),
_xlpm.val,
INDEX(Raw_Fund!$E:$AZ,_xlpm.rowNo,_xlpm.colNo),
IF(ISNUMBER(_xlpm.val),_xlpm.val*$H128,""))</f>
        <v/>
      </c>
      <c r="R128" s="6" t="str">
        <f>_xlfn.LET(
_xlpm.rowNo, MATCH($C128&amp;"|"&amp;
($F128+R$4),Raw_Fund!$A:$A,0),
_xlpm.colNo,
MATCH(R$3,Raw_Fund!$E$1:$AZ$1,0),
_xlpm.val,
INDEX(Raw_Fund!$E:$AZ,_xlpm.rowNo,_xlpm.colNo),
IF(ISNUMBER(_xlpm.val),_xlpm.val*$H128,""))</f>
        <v/>
      </c>
      <c r="S128" s="6" t="str">
        <f>_xlfn.LET(
_xlpm.rowNo, MATCH($C128&amp;"|"&amp;
($F128+S$4),Raw_Fund!$A:$A,0),
_xlpm.colNo,
MATCH(S$3,Raw_Fund!$E$1:$AZ$1,0),
_xlpm.val,
INDEX(Raw_Fund!$E:$AZ,_xlpm.rowNo,_xlpm.colNo),
IF(ISNUMBER(_xlpm.val),_xlpm.val*$H128,""))</f>
        <v/>
      </c>
      <c r="T128" s="6" t="str">
        <f>_xlfn.LET(
_xlpm.rowNo, MATCH($C128&amp;"|"&amp;
($F128+T$4),Raw_Fund!$A:$A,0),
_xlpm.colNo,
MATCH(T$3,Raw_Fund!$E$1:$AZ$1,0),
_xlpm.val,
INDEX(Raw_Fund!$E:$AZ,_xlpm.rowNo,_xlpm.colNo),
IF(ISNUMBER(_xlpm.val),_xlpm.val*$H128,""))</f>
        <v/>
      </c>
      <c r="U128" s="6" t="str">
        <f>_xlfn.LET(
_xlpm.rowNo, MATCH($C128&amp;"|"&amp;
($F128+U$4),Raw_Fund!$A:$A,0),
_xlpm.colNo,
MATCH(U$3,Raw_Fund!$E$1:$AZ$1,0),
_xlpm.val,
INDEX(Raw_Fund!$E:$AZ,_xlpm.rowNo,_xlpm.colNo),
IF(ISNUMBER(_xlpm.val),_xlpm.val*$H128,""))</f>
        <v/>
      </c>
      <c r="V128" s="6" t="str">
        <f>_xlfn.LET(
_xlpm.rowNo, MATCH($C128&amp;"|"&amp;
($F128+V$4),Raw_Fund!$A:$A,0),
_xlpm.colNo,
MATCH(V$3,Raw_Fund!$E$1:$AZ$1,0),
_xlpm.val,
INDEX(Raw_Fund!$E:$AZ,_xlpm.rowNo,_xlpm.colNo),
IF(ISNUMBER(_xlpm.val),_xlpm.val*$H128,""))</f>
        <v/>
      </c>
      <c r="W128" s="6" t="str">
        <f>_xlfn.LET(
_xlpm.rowNo, MATCH($C128&amp;"|"&amp;
($F128+W$4),Raw_Fund!$A:$A,0),
_xlpm.colNo,
MATCH(W$3,Raw_Fund!$E$1:$AZ$1,0),
_xlpm.val,
INDEX(Raw_Fund!$E:$AZ,_xlpm.rowNo,_xlpm.colNo),
IF(ISNUMBER(_xlpm.val),_xlpm.val*$H128,""))</f>
        <v/>
      </c>
      <c r="X128" s="6" t="str">
        <f>_xlfn.LET(
_xlpm.rowNo, MATCH($C128&amp;"|"&amp;
($F128+X$4),Raw_Fund!$A:$A,0),
_xlpm.colNo,
MATCH(X$3,Raw_Fund!$E$1:$AZ$1,0),
_xlpm.val,
INDEX(Raw_Fund!$E:$AZ,_xlpm.rowNo,_xlpm.colNo),
IF(ISNUMBER(_xlpm.val),_xlpm.val*$H128,""))</f>
        <v/>
      </c>
      <c r="Y128" s="6" t="str">
        <f>_xlfn.LET(
_xlpm.rowNo, MATCH($C128&amp;"|"&amp;
($F128+Y$4),Raw_Fund!$A:$A,0),
_xlpm.colNo,
MATCH(Y$3,Raw_Fund!$E$1:$AZ$1,0),
_xlpm.val,
INDEX(Raw_Fund!$E:$AZ,_xlpm.rowNo,_xlpm.colNo),
IF(ISNUMBER(_xlpm.val),_xlpm.val*$H128,""))</f>
        <v/>
      </c>
      <c r="Z128" s="6" t="str">
        <f>IF($E128&lt;&gt;"Include","",_xlfn.XLOOKUP($C128,Raw_Mkt!$A:$A,Raw_Mkt!$B:$B))</f>
        <v/>
      </c>
    </row>
    <row r="129" spans="1:26" x14ac:dyDescent="0.4">
      <c r="A129" t="str">
        <f>IF(Universe!A129&lt;&gt;"",Universe!A129,"")</f>
        <v>JEDT</v>
      </c>
      <c r="B129" t="str">
        <f>IF(Universe!B129&lt;&gt;"",Universe!B129,"")</f>
        <v>JPMorgan European Discovery</v>
      </c>
      <c r="C129" t="str">
        <f>IF(Universe!C129&lt;&gt;"",Universe!C129,"")</f>
        <v>GB00BMTS0Z37</v>
      </c>
      <c r="D129" t="str">
        <f>IF(Universe!D129&lt;&gt;"",Universe!D129,"")</f>
        <v>Financials</v>
      </c>
      <c r="E129" t="str">
        <f>Universe!G129</f>
        <v>Exclude</v>
      </c>
      <c r="F129" t="str">
        <f>IF($E129&lt;&gt;"Include","",_xlfn.LET(_xlpm.latest,_xlfn.MAXIFS(Raw_Fund!$C:$C,Raw_Fund!$B:$B,Data!$C129),IF(_xlpm.latest=0,"",_xlpm.latest)))</f>
        <v/>
      </c>
      <c r="G129" t="str">
        <f>IF($F129="","",INDEX(Raw_Fund!$E:$AZ,MATCH($C129&amp;"|"&amp;$F129,Raw_Fund!$A:$A,0),MATCH(G$3,Raw_Fund!$E$1:$AZ$1,0)))</f>
        <v/>
      </c>
      <c r="H129" t="str">
        <f t="shared" si="1"/>
        <v/>
      </c>
      <c r="I129" s="6" t="str">
        <f>_xlfn.LET(
_xlpm.rowNo, MATCH($C129&amp;"|"&amp;
($F129+I$4),Raw_Fund!$A:$A,0),
_xlpm.colNo,
MATCH(I$3,Raw_Fund!$E$1:$AZ$1,0),
_xlpm.val,
INDEX(Raw_Fund!$E:$AZ,_xlpm.rowNo,_xlpm.colNo),
IF(ISNUMBER(_xlpm.val),_xlpm.val*$H129,""))</f>
        <v/>
      </c>
      <c r="J129" s="6" t="str">
        <f>_xlfn.LET(
_xlpm.rowNo, MATCH($C129&amp;"|"&amp;
($F129+J$4),Raw_Fund!$A:$A,0),
_xlpm.colNo,
MATCH(J$3,Raw_Fund!$E$1:$AZ$1,0),
_xlpm.val,
INDEX(Raw_Fund!$E:$AZ,_xlpm.rowNo,_xlpm.colNo),
IF(ISNUMBER(_xlpm.val),_xlpm.val*$H129,""))</f>
        <v/>
      </c>
      <c r="K129" s="6" t="str">
        <f>_xlfn.LET(
_xlpm.rowNo, MATCH($C129&amp;"|"&amp;
($F129+K$4),Raw_Fund!$A:$A,0),
_xlpm.colNo,
MATCH(K$3,Raw_Fund!$E$1:$AZ$1,0),
_xlpm.val,
INDEX(Raw_Fund!$E:$AZ,_xlpm.rowNo,_xlpm.colNo),
IF(ISNUMBER(_xlpm.val),_xlpm.val*$H129,""))</f>
        <v/>
      </c>
      <c r="L129" s="6" t="str">
        <f>_xlfn.LET(
_xlpm.rowNo, MATCH($C129&amp;"|"&amp;
($F129+L$4),Raw_Fund!$A:$A,0),
_xlpm.colNo,
MATCH(L$3,Raw_Fund!$E$1:$AZ$1,0),
_xlpm.val,
INDEX(Raw_Fund!$E:$AZ,_xlpm.rowNo,_xlpm.colNo),
IF(ISNUMBER(_xlpm.val),_xlpm.val*$H129,""))</f>
        <v/>
      </c>
      <c r="M129" s="6" t="str">
        <f>_xlfn.LET(
_xlpm.rowNo, MATCH($C129&amp;"|"&amp;
($F129+M$4),Raw_Fund!$A:$A,0),
_xlpm.colNo,
MATCH(M$3,Raw_Fund!$E$1:$AZ$1,0),
_xlpm.val,
INDEX(Raw_Fund!$E:$AZ,_xlpm.rowNo,_xlpm.colNo),
IF(ISNUMBER(_xlpm.val),_xlpm.val*$H129,""))</f>
        <v/>
      </c>
      <c r="N129" s="6" t="str">
        <f>_xlfn.LET(
_xlpm.rowNo, MATCH($C129&amp;"|"&amp;
($F129+N$4),Raw_Fund!$A:$A,0),
_xlpm.colNo,
MATCH(N$3,Raw_Fund!$E$1:$AZ$1,0),
_xlpm.val,
INDEX(Raw_Fund!$E:$AZ,_xlpm.rowNo,_xlpm.colNo),
IF(ISNUMBER(_xlpm.val),_xlpm.val*$H129,""))</f>
        <v/>
      </c>
      <c r="O129" s="6" t="str">
        <f>_xlfn.LET(
_xlpm.rowNo, MATCH($C129&amp;"|"&amp;
($F129+O$4),Raw_Fund!$A:$A,0),
_xlpm.colNo,
MATCH(O$3,Raw_Fund!$E$1:$AZ$1,0),
_xlpm.val,
INDEX(Raw_Fund!$E:$AZ,_xlpm.rowNo,_xlpm.colNo),
IF(ISNUMBER(_xlpm.val),_xlpm.val*$H129,""))</f>
        <v/>
      </c>
      <c r="P129" s="6" t="str">
        <f>_xlfn.LET(
_xlpm.rowNo, MATCH($C129&amp;"|"&amp;
($F129+P$4),Raw_Fund!$A:$A,0),
_xlpm.colNo,
MATCH(P$3,Raw_Fund!$E$1:$AZ$1,0),
_xlpm.val,
INDEX(Raw_Fund!$E:$AZ,_xlpm.rowNo,_xlpm.colNo),
IF(ISNUMBER(_xlpm.val),_xlpm.val*$H129,""))</f>
        <v/>
      </c>
      <c r="Q129" s="6" t="str">
        <f>_xlfn.LET(
_xlpm.rowNo, MATCH($C129&amp;"|"&amp;
($F129+Q$4),Raw_Fund!$A:$A,0),
_xlpm.colNo,
MATCH(Q$3,Raw_Fund!$E$1:$AZ$1,0),
_xlpm.val,
INDEX(Raw_Fund!$E:$AZ,_xlpm.rowNo,_xlpm.colNo),
IF(ISNUMBER(_xlpm.val),_xlpm.val*$H129,""))</f>
        <v/>
      </c>
      <c r="R129" s="6" t="str">
        <f>_xlfn.LET(
_xlpm.rowNo, MATCH($C129&amp;"|"&amp;
($F129+R$4),Raw_Fund!$A:$A,0),
_xlpm.colNo,
MATCH(R$3,Raw_Fund!$E$1:$AZ$1,0),
_xlpm.val,
INDEX(Raw_Fund!$E:$AZ,_xlpm.rowNo,_xlpm.colNo),
IF(ISNUMBER(_xlpm.val),_xlpm.val*$H129,""))</f>
        <v/>
      </c>
      <c r="S129" s="6" t="str">
        <f>_xlfn.LET(
_xlpm.rowNo, MATCH($C129&amp;"|"&amp;
($F129+S$4),Raw_Fund!$A:$A,0),
_xlpm.colNo,
MATCH(S$3,Raw_Fund!$E$1:$AZ$1,0),
_xlpm.val,
INDEX(Raw_Fund!$E:$AZ,_xlpm.rowNo,_xlpm.colNo),
IF(ISNUMBER(_xlpm.val),_xlpm.val*$H129,""))</f>
        <v/>
      </c>
      <c r="T129" s="6" t="str">
        <f>_xlfn.LET(
_xlpm.rowNo, MATCH($C129&amp;"|"&amp;
($F129+T$4),Raw_Fund!$A:$A,0),
_xlpm.colNo,
MATCH(T$3,Raw_Fund!$E$1:$AZ$1,0),
_xlpm.val,
INDEX(Raw_Fund!$E:$AZ,_xlpm.rowNo,_xlpm.colNo),
IF(ISNUMBER(_xlpm.val),_xlpm.val*$H129,""))</f>
        <v/>
      </c>
      <c r="U129" s="6" t="str">
        <f>_xlfn.LET(
_xlpm.rowNo, MATCH($C129&amp;"|"&amp;
($F129+U$4),Raw_Fund!$A:$A,0),
_xlpm.colNo,
MATCH(U$3,Raw_Fund!$E$1:$AZ$1,0),
_xlpm.val,
INDEX(Raw_Fund!$E:$AZ,_xlpm.rowNo,_xlpm.colNo),
IF(ISNUMBER(_xlpm.val),_xlpm.val*$H129,""))</f>
        <v/>
      </c>
      <c r="V129" s="6" t="str">
        <f>_xlfn.LET(
_xlpm.rowNo, MATCH($C129&amp;"|"&amp;
($F129+V$4),Raw_Fund!$A:$A,0),
_xlpm.colNo,
MATCH(V$3,Raw_Fund!$E$1:$AZ$1,0),
_xlpm.val,
INDEX(Raw_Fund!$E:$AZ,_xlpm.rowNo,_xlpm.colNo),
IF(ISNUMBER(_xlpm.val),_xlpm.val*$H129,""))</f>
        <v/>
      </c>
      <c r="W129" s="6" t="str">
        <f>_xlfn.LET(
_xlpm.rowNo, MATCH($C129&amp;"|"&amp;
($F129+W$4),Raw_Fund!$A:$A,0),
_xlpm.colNo,
MATCH(W$3,Raw_Fund!$E$1:$AZ$1,0),
_xlpm.val,
INDEX(Raw_Fund!$E:$AZ,_xlpm.rowNo,_xlpm.colNo),
IF(ISNUMBER(_xlpm.val),_xlpm.val*$H129,""))</f>
        <v/>
      </c>
      <c r="X129" s="6" t="str">
        <f>_xlfn.LET(
_xlpm.rowNo, MATCH($C129&amp;"|"&amp;
($F129+X$4),Raw_Fund!$A:$A,0),
_xlpm.colNo,
MATCH(X$3,Raw_Fund!$E$1:$AZ$1,0),
_xlpm.val,
INDEX(Raw_Fund!$E:$AZ,_xlpm.rowNo,_xlpm.colNo),
IF(ISNUMBER(_xlpm.val),_xlpm.val*$H129,""))</f>
        <v/>
      </c>
      <c r="Y129" s="6" t="str">
        <f>_xlfn.LET(
_xlpm.rowNo, MATCH($C129&amp;"|"&amp;
($F129+Y$4),Raw_Fund!$A:$A,0),
_xlpm.colNo,
MATCH(Y$3,Raw_Fund!$E$1:$AZ$1,0),
_xlpm.val,
INDEX(Raw_Fund!$E:$AZ,_xlpm.rowNo,_xlpm.colNo),
IF(ISNUMBER(_xlpm.val),_xlpm.val*$H129,""))</f>
        <v/>
      </c>
      <c r="Z129" s="6" t="str">
        <f>IF($E129&lt;&gt;"Include","",_xlfn.XLOOKUP($C129,Raw_Mkt!$A:$A,Raw_Mkt!$B:$B))</f>
        <v/>
      </c>
    </row>
    <row r="130" spans="1:26" x14ac:dyDescent="0.4">
      <c r="A130" t="str">
        <f>IF(Universe!A130&lt;&gt;"",Universe!A130,"")</f>
        <v>JEGI</v>
      </c>
      <c r="B130" t="str">
        <f>IF(Universe!B130&lt;&gt;"",Universe!B130,"")</f>
        <v>JPMorgan European Growth &amp; Income</v>
      </c>
      <c r="C130" t="str">
        <f>IF(Universe!C130&lt;&gt;"",Universe!C130,"")</f>
        <v>GB00BPR9Y246</v>
      </c>
      <c r="D130" t="str">
        <f>IF(Universe!D130&lt;&gt;"",Universe!D130,"")</f>
        <v>Financials</v>
      </c>
      <c r="E130" t="str">
        <f>Universe!G130</f>
        <v>Exclude</v>
      </c>
      <c r="F130" t="str">
        <f>IF($E130&lt;&gt;"Include","",_xlfn.LET(_xlpm.latest,_xlfn.MAXIFS(Raw_Fund!$C:$C,Raw_Fund!$B:$B,Data!$C130),IF(_xlpm.latest=0,"",_xlpm.latest)))</f>
        <v/>
      </c>
      <c r="G130" t="str">
        <f>IF($F130="","",INDEX(Raw_Fund!$E:$AZ,MATCH($C130&amp;"|"&amp;$F130,Raw_Fund!$A:$A,0),MATCH(G$3,Raw_Fund!$E$1:$AZ$1,0)))</f>
        <v/>
      </c>
      <c r="H130" t="str">
        <f t="shared" si="1"/>
        <v/>
      </c>
      <c r="I130" s="6" t="str">
        <f>_xlfn.LET(
_xlpm.rowNo, MATCH($C130&amp;"|"&amp;
($F130+I$4),Raw_Fund!$A:$A,0),
_xlpm.colNo,
MATCH(I$3,Raw_Fund!$E$1:$AZ$1,0),
_xlpm.val,
INDEX(Raw_Fund!$E:$AZ,_xlpm.rowNo,_xlpm.colNo),
IF(ISNUMBER(_xlpm.val),_xlpm.val*$H130,""))</f>
        <v/>
      </c>
      <c r="J130" s="6" t="str">
        <f>_xlfn.LET(
_xlpm.rowNo, MATCH($C130&amp;"|"&amp;
($F130+J$4),Raw_Fund!$A:$A,0),
_xlpm.colNo,
MATCH(J$3,Raw_Fund!$E$1:$AZ$1,0),
_xlpm.val,
INDEX(Raw_Fund!$E:$AZ,_xlpm.rowNo,_xlpm.colNo),
IF(ISNUMBER(_xlpm.val),_xlpm.val*$H130,""))</f>
        <v/>
      </c>
      <c r="K130" s="6" t="str">
        <f>_xlfn.LET(
_xlpm.rowNo, MATCH($C130&amp;"|"&amp;
($F130+K$4),Raw_Fund!$A:$A,0),
_xlpm.colNo,
MATCH(K$3,Raw_Fund!$E$1:$AZ$1,0),
_xlpm.val,
INDEX(Raw_Fund!$E:$AZ,_xlpm.rowNo,_xlpm.colNo),
IF(ISNUMBER(_xlpm.val),_xlpm.val*$H130,""))</f>
        <v/>
      </c>
      <c r="L130" s="6" t="str">
        <f>_xlfn.LET(
_xlpm.rowNo, MATCH($C130&amp;"|"&amp;
($F130+L$4),Raw_Fund!$A:$A,0),
_xlpm.colNo,
MATCH(L$3,Raw_Fund!$E$1:$AZ$1,0),
_xlpm.val,
INDEX(Raw_Fund!$E:$AZ,_xlpm.rowNo,_xlpm.colNo),
IF(ISNUMBER(_xlpm.val),_xlpm.val*$H130,""))</f>
        <v/>
      </c>
      <c r="M130" s="6" t="str">
        <f>_xlfn.LET(
_xlpm.rowNo, MATCH($C130&amp;"|"&amp;
($F130+M$4),Raw_Fund!$A:$A,0),
_xlpm.colNo,
MATCH(M$3,Raw_Fund!$E$1:$AZ$1,0),
_xlpm.val,
INDEX(Raw_Fund!$E:$AZ,_xlpm.rowNo,_xlpm.colNo),
IF(ISNUMBER(_xlpm.val),_xlpm.val*$H130,""))</f>
        <v/>
      </c>
      <c r="N130" s="6" t="str">
        <f>_xlfn.LET(
_xlpm.rowNo, MATCH($C130&amp;"|"&amp;
($F130+N$4),Raw_Fund!$A:$A,0),
_xlpm.colNo,
MATCH(N$3,Raw_Fund!$E$1:$AZ$1,0),
_xlpm.val,
INDEX(Raw_Fund!$E:$AZ,_xlpm.rowNo,_xlpm.colNo),
IF(ISNUMBER(_xlpm.val),_xlpm.val*$H130,""))</f>
        <v/>
      </c>
      <c r="O130" s="6" t="str">
        <f>_xlfn.LET(
_xlpm.rowNo, MATCH($C130&amp;"|"&amp;
($F130+O$4),Raw_Fund!$A:$A,0),
_xlpm.colNo,
MATCH(O$3,Raw_Fund!$E$1:$AZ$1,0),
_xlpm.val,
INDEX(Raw_Fund!$E:$AZ,_xlpm.rowNo,_xlpm.colNo),
IF(ISNUMBER(_xlpm.val),_xlpm.val*$H130,""))</f>
        <v/>
      </c>
      <c r="P130" s="6" t="str">
        <f>_xlfn.LET(
_xlpm.rowNo, MATCH($C130&amp;"|"&amp;
($F130+P$4),Raw_Fund!$A:$A,0),
_xlpm.colNo,
MATCH(P$3,Raw_Fund!$E$1:$AZ$1,0),
_xlpm.val,
INDEX(Raw_Fund!$E:$AZ,_xlpm.rowNo,_xlpm.colNo),
IF(ISNUMBER(_xlpm.val),_xlpm.val*$H130,""))</f>
        <v/>
      </c>
      <c r="Q130" s="6" t="str">
        <f>_xlfn.LET(
_xlpm.rowNo, MATCH($C130&amp;"|"&amp;
($F130+Q$4),Raw_Fund!$A:$A,0),
_xlpm.colNo,
MATCH(Q$3,Raw_Fund!$E$1:$AZ$1,0),
_xlpm.val,
INDEX(Raw_Fund!$E:$AZ,_xlpm.rowNo,_xlpm.colNo),
IF(ISNUMBER(_xlpm.val),_xlpm.val*$H130,""))</f>
        <v/>
      </c>
      <c r="R130" s="6" t="str">
        <f>_xlfn.LET(
_xlpm.rowNo, MATCH($C130&amp;"|"&amp;
($F130+R$4),Raw_Fund!$A:$A,0),
_xlpm.colNo,
MATCH(R$3,Raw_Fund!$E$1:$AZ$1,0),
_xlpm.val,
INDEX(Raw_Fund!$E:$AZ,_xlpm.rowNo,_xlpm.colNo),
IF(ISNUMBER(_xlpm.val),_xlpm.val*$H130,""))</f>
        <v/>
      </c>
      <c r="S130" s="6" t="str">
        <f>_xlfn.LET(
_xlpm.rowNo, MATCH($C130&amp;"|"&amp;
($F130+S$4),Raw_Fund!$A:$A,0),
_xlpm.colNo,
MATCH(S$3,Raw_Fund!$E$1:$AZ$1,0),
_xlpm.val,
INDEX(Raw_Fund!$E:$AZ,_xlpm.rowNo,_xlpm.colNo),
IF(ISNUMBER(_xlpm.val),_xlpm.val*$H130,""))</f>
        <v/>
      </c>
      <c r="T130" s="6" t="str">
        <f>_xlfn.LET(
_xlpm.rowNo, MATCH($C130&amp;"|"&amp;
($F130+T$4),Raw_Fund!$A:$A,0),
_xlpm.colNo,
MATCH(T$3,Raw_Fund!$E$1:$AZ$1,0),
_xlpm.val,
INDEX(Raw_Fund!$E:$AZ,_xlpm.rowNo,_xlpm.colNo),
IF(ISNUMBER(_xlpm.val),_xlpm.val*$H130,""))</f>
        <v/>
      </c>
      <c r="U130" s="6" t="str">
        <f>_xlfn.LET(
_xlpm.rowNo, MATCH($C130&amp;"|"&amp;
($F130+U$4),Raw_Fund!$A:$A,0),
_xlpm.colNo,
MATCH(U$3,Raw_Fund!$E$1:$AZ$1,0),
_xlpm.val,
INDEX(Raw_Fund!$E:$AZ,_xlpm.rowNo,_xlpm.colNo),
IF(ISNUMBER(_xlpm.val),_xlpm.val*$H130,""))</f>
        <v/>
      </c>
      <c r="V130" s="6" t="str">
        <f>_xlfn.LET(
_xlpm.rowNo, MATCH($C130&amp;"|"&amp;
($F130+V$4),Raw_Fund!$A:$A,0),
_xlpm.colNo,
MATCH(V$3,Raw_Fund!$E$1:$AZ$1,0),
_xlpm.val,
INDEX(Raw_Fund!$E:$AZ,_xlpm.rowNo,_xlpm.colNo),
IF(ISNUMBER(_xlpm.val),_xlpm.val*$H130,""))</f>
        <v/>
      </c>
      <c r="W130" s="6" t="str">
        <f>_xlfn.LET(
_xlpm.rowNo, MATCH($C130&amp;"|"&amp;
($F130+W$4),Raw_Fund!$A:$A,0),
_xlpm.colNo,
MATCH(W$3,Raw_Fund!$E$1:$AZ$1,0),
_xlpm.val,
INDEX(Raw_Fund!$E:$AZ,_xlpm.rowNo,_xlpm.colNo),
IF(ISNUMBER(_xlpm.val),_xlpm.val*$H130,""))</f>
        <v/>
      </c>
      <c r="X130" s="6" t="str">
        <f>_xlfn.LET(
_xlpm.rowNo, MATCH($C130&amp;"|"&amp;
($F130+X$4),Raw_Fund!$A:$A,0),
_xlpm.colNo,
MATCH(X$3,Raw_Fund!$E$1:$AZ$1,0),
_xlpm.val,
INDEX(Raw_Fund!$E:$AZ,_xlpm.rowNo,_xlpm.colNo),
IF(ISNUMBER(_xlpm.val),_xlpm.val*$H130,""))</f>
        <v/>
      </c>
      <c r="Y130" s="6" t="str">
        <f>_xlfn.LET(
_xlpm.rowNo, MATCH($C130&amp;"|"&amp;
($F130+Y$4),Raw_Fund!$A:$A,0),
_xlpm.colNo,
MATCH(Y$3,Raw_Fund!$E$1:$AZ$1,0),
_xlpm.val,
INDEX(Raw_Fund!$E:$AZ,_xlpm.rowNo,_xlpm.colNo),
IF(ISNUMBER(_xlpm.val),_xlpm.val*$H130,""))</f>
        <v/>
      </c>
      <c r="Z130" s="6" t="str">
        <f>IF($E130&lt;&gt;"Include","",_xlfn.XLOOKUP($C130,Raw_Mkt!$A:$A,Raw_Mkt!$B:$B))</f>
        <v/>
      </c>
    </row>
    <row r="131" spans="1:26" x14ac:dyDescent="0.4">
      <c r="A131" t="str">
        <f>IF(Universe!A131&lt;&gt;"",Universe!A131,"")</f>
        <v>JGGI</v>
      </c>
      <c r="B131" t="str">
        <f>IF(Universe!B131&lt;&gt;"",Universe!B131,"")</f>
        <v>JPMorgan Global Growth &amp; Income</v>
      </c>
      <c r="C131" t="str">
        <f>IF(Universe!C131&lt;&gt;"",Universe!C131,"")</f>
        <v>GB00BYMKY695</v>
      </c>
      <c r="D131" t="str">
        <f>IF(Universe!D131&lt;&gt;"",Universe!D131,"")</f>
        <v>Financials</v>
      </c>
      <c r="E131" t="str">
        <f>Universe!G131</f>
        <v>Exclude</v>
      </c>
      <c r="F131" t="str">
        <f>IF($E131&lt;&gt;"Include","",_xlfn.LET(_xlpm.latest,_xlfn.MAXIFS(Raw_Fund!$C:$C,Raw_Fund!$B:$B,Data!$C131),IF(_xlpm.latest=0,"",_xlpm.latest)))</f>
        <v/>
      </c>
      <c r="G131" t="str">
        <f>IF($F131="","",INDEX(Raw_Fund!$E:$AZ,MATCH($C131&amp;"|"&amp;$F131,Raw_Fund!$A:$A,0),MATCH(G$3,Raw_Fund!$E$1:$AZ$1,0)))</f>
        <v/>
      </c>
      <c r="H131" t="str">
        <f t="shared" si="1"/>
        <v/>
      </c>
      <c r="I131" s="6" t="str">
        <f>_xlfn.LET(
_xlpm.rowNo, MATCH($C131&amp;"|"&amp;
($F131+I$4),Raw_Fund!$A:$A,0),
_xlpm.colNo,
MATCH(I$3,Raw_Fund!$E$1:$AZ$1,0),
_xlpm.val,
INDEX(Raw_Fund!$E:$AZ,_xlpm.rowNo,_xlpm.colNo),
IF(ISNUMBER(_xlpm.val),_xlpm.val*$H131,""))</f>
        <v/>
      </c>
      <c r="J131" s="6" t="str">
        <f>_xlfn.LET(
_xlpm.rowNo, MATCH($C131&amp;"|"&amp;
($F131+J$4),Raw_Fund!$A:$A,0),
_xlpm.colNo,
MATCH(J$3,Raw_Fund!$E$1:$AZ$1,0),
_xlpm.val,
INDEX(Raw_Fund!$E:$AZ,_xlpm.rowNo,_xlpm.colNo),
IF(ISNUMBER(_xlpm.val),_xlpm.val*$H131,""))</f>
        <v/>
      </c>
      <c r="K131" s="6" t="str">
        <f>_xlfn.LET(
_xlpm.rowNo, MATCH($C131&amp;"|"&amp;
($F131+K$4),Raw_Fund!$A:$A,0),
_xlpm.colNo,
MATCH(K$3,Raw_Fund!$E$1:$AZ$1,0),
_xlpm.val,
INDEX(Raw_Fund!$E:$AZ,_xlpm.rowNo,_xlpm.colNo),
IF(ISNUMBER(_xlpm.val),_xlpm.val*$H131,""))</f>
        <v/>
      </c>
      <c r="L131" s="6" t="str">
        <f>_xlfn.LET(
_xlpm.rowNo, MATCH($C131&amp;"|"&amp;
($F131+L$4),Raw_Fund!$A:$A,0),
_xlpm.colNo,
MATCH(L$3,Raw_Fund!$E$1:$AZ$1,0),
_xlpm.val,
INDEX(Raw_Fund!$E:$AZ,_xlpm.rowNo,_xlpm.colNo),
IF(ISNUMBER(_xlpm.val),_xlpm.val*$H131,""))</f>
        <v/>
      </c>
      <c r="M131" s="6" t="str">
        <f>_xlfn.LET(
_xlpm.rowNo, MATCH($C131&amp;"|"&amp;
($F131+M$4),Raw_Fund!$A:$A,0),
_xlpm.colNo,
MATCH(M$3,Raw_Fund!$E$1:$AZ$1,0),
_xlpm.val,
INDEX(Raw_Fund!$E:$AZ,_xlpm.rowNo,_xlpm.colNo),
IF(ISNUMBER(_xlpm.val),_xlpm.val*$H131,""))</f>
        <v/>
      </c>
      <c r="N131" s="6" t="str">
        <f>_xlfn.LET(
_xlpm.rowNo, MATCH($C131&amp;"|"&amp;
($F131+N$4),Raw_Fund!$A:$A,0),
_xlpm.colNo,
MATCH(N$3,Raw_Fund!$E$1:$AZ$1,0),
_xlpm.val,
INDEX(Raw_Fund!$E:$AZ,_xlpm.rowNo,_xlpm.colNo),
IF(ISNUMBER(_xlpm.val),_xlpm.val*$H131,""))</f>
        <v/>
      </c>
      <c r="O131" s="6" t="str">
        <f>_xlfn.LET(
_xlpm.rowNo, MATCH($C131&amp;"|"&amp;
($F131+O$4),Raw_Fund!$A:$A,0),
_xlpm.colNo,
MATCH(O$3,Raw_Fund!$E$1:$AZ$1,0),
_xlpm.val,
INDEX(Raw_Fund!$E:$AZ,_xlpm.rowNo,_xlpm.colNo),
IF(ISNUMBER(_xlpm.val),_xlpm.val*$H131,""))</f>
        <v/>
      </c>
      <c r="P131" s="6" t="str">
        <f>_xlfn.LET(
_xlpm.rowNo, MATCH($C131&amp;"|"&amp;
($F131+P$4),Raw_Fund!$A:$A,0),
_xlpm.colNo,
MATCH(P$3,Raw_Fund!$E$1:$AZ$1,0),
_xlpm.val,
INDEX(Raw_Fund!$E:$AZ,_xlpm.rowNo,_xlpm.colNo),
IF(ISNUMBER(_xlpm.val),_xlpm.val*$H131,""))</f>
        <v/>
      </c>
      <c r="Q131" s="6" t="str">
        <f>_xlfn.LET(
_xlpm.rowNo, MATCH($C131&amp;"|"&amp;
($F131+Q$4),Raw_Fund!$A:$A,0),
_xlpm.colNo,
MATCH(Q$3,Raw_Fund!$E$1:$AZ$1,0),
_xlpm.val,
INDEX(Raw_Fund!$E:$AZ,_xlpm.rowNo,_xlpm.colNo),
IF(ISNUMBER(_xlpm.val),_xlpm.val*$H131,""))</f>
        <v/>
      </c>
      <c r="R131" s="6" t="str">
        <f>_xlfn.LET(
_xlpm.rowNo, MATCH($C131&amp;"|"&amp;
($F131+R$4),Raw_Fund!$A:$A,0),
_xlpm.colNo,
MATCH(R$3,Raw_Fund!$E$1:$AZ$1,0),
_xlpm.val,
INDEX(Raw_Fund!$E:$AZ,_xlpm.rowNo,_xlpm.colNo),
IF(ISNUMBER(_xlpm.val),_xlpm.val*$H131,""))</f>
        <v/>
      </c>
      <c r="S131" s="6" t="str">
        <f>_xlfn.LET(
_xlpm.rowNo, MATCH($C131&amp;"|"&amp;
($F131+S$4),Raw_Fund!$A:$A,0),
_xlpm.colNo,
MATCH(S$3,Raw_Fund!$E$1:$AZ$1,0),
_xlpm.val,
INDEX(Raw_Fund!$E:$AZ,_xlpm.rowNo,_xlpm.colNo),
IF(ISNUMBER(_xlpm.val),_xlpm.val*$H131,""))</f>
        <v/>
      </c>
      <c r="T131" s="6" t="str">
        <f>_xlfn.LET(
_xlpm.rowNo, MATCH($C131&amp;"|"&amp;
($F131+T$4),Raw_Fund!$A:$A,0),
_xlpm.colNo,
MATCH(T$3,Raw_Fund!$E$1:$AZ$1,0),
_xlpm.val,
INDEX(Raw_Fund!$E:$AZ,_xlpm.rowNo,_xlpm.colNo),
IF(ISNUMBER(_xlpm.val),_xlpm.val*$H131,""))</f>
        <v/>
      </c>
      <c r="U131" s="6" t="str">
        <f>_xlfn.LET(
_xlpm.rowNo, MATCH($C131&amp;"|"&amp;
($F131+U$4),Raw_Fund!$A:$A,0),
_xlpm.colNo,
MATCH(U$3,Raw_Fund!$E$1:$AZ$1,0),
_xlpm.val,
INDEX(Raw_Fund!$E:$AZ,_xlpm.rowNo,_xlpm.colNo),
IF(ISNUMBER(_xlpm.val),_xlpm.val*$H131,""))</f>
        <v/>
      </c>
      <c r="V131" s="6" t="str">
        <f>_xlfn.LET(
_xlpm.rowNo, MATCH($C131&amp;"|"&amp;
($F131+V$4),Raw_Fund!$A:$A,0),
_xlpm.colNo,
MATCH(V$3,Raw_Fund!$E$1:$AZ$1,0),
_xlpm.val,
INDEX(Raw_Fund!$E:$AZ,_xlpm.rowNo,_xlpm.colNo),
IF(ISNUMBER(_xlpm.val),_xlpm.val*$H131,""))</f>
        <v/>
      </c>
      <c r="W131" s="6" t="str">
        <f>_xlfn.LET(
_xlpm.rowNo, MATCH($C131&amp;"|"&amp;
($F131+W$4),Raw_Fund!$A:$A,0),
_xlpm.colNo,
MATCH(W$3,Raw_Fund!$E$1:$AZ$1,0),
_xlpm.val,
INDEX(Raw_Fund!$E:$AZ,_xlpm.rowNo,_xlpm.colNo),
IF(ISNUMBER(_xlpm.val),_xlpm.val*$H131,""))</f>
        <v/>
      </c>
      <c r="X131" s="6" t="str">
        <f>_xlfn.LET(
_xlpm.rowNo, MATCH($C131&amp;"|"&amp;
($F131+X$4),Raw_Fund!$A:$A,0),
_xlpm.colNo,
MATCH(X$3,Raw_Fund!$E$1:$AZ$1,0),
_xlpm.val,
INDEX(Raw_Fund!$E:$AZ,_xlpm.rowNo,_xlpm.colNo),
IF(ISNUMBER(_xlpm.val),_xlpm.val*$H131,""))</f>
        <v/>
      </c>
      <c r="Y131" s="6" t="str">
        <f>_xlfn.LET(
_xlpm.rowNo, MATCH($C131&amp;"|"&amp;
($F131+Y$4),Raw_Fund!$A:$A,0),
_xlpm.colNo,
MATCH(Y$3,Raw_Fund!$E$1:$AZ$1,0),
_xlpm.val,
INDEX(Raw_Fund!$E:$AZ,_xlpm.rowNo,_xlpm.colNo),
IF(ISNUMBER(_xlpm.val),_xlpm.val*$H131,""))</f>
        <v/>
      </c>
      <c r="Z131" s="6" t="str">
        <f>IF($E131&lt;&gt;"Include","",_xlfn.XLOOKUP($C131,Raw_Mkt!$A:$A,Raw_Mkt!$B:$B))</f>
        <v/>
      </c>
    </row>
    <row r="132" spans="1:26" x14ac:dyDescent="0.4">
      <c r="A132" t="str">
        <f>IF(Universe!A132&lt;&gt;"",Universe!A132,"")</f>
        <v>JFJ</v>
      </c>
      <c r="B132" t="str">
        <f>IF(Universe!B132&lt;&gt;"",Universe!B132,"")</f>
        <v>JPMorgan Japanese Investment Trust</v>
      </c>
      <c r="C132" t="str">
        <f>IF(Universe!C132&lt;&gt;"",Universe!C132,"")</f>
        <v>GB0001740025</v>
      </c>
      <c r="D132" t="str">
        <f>IF(Universe!D132&lt;&gt;"",Universe!D132,"")</f>
        <v>Financials</v>
      </c>
      <c r="E132" t="str">
        <f>Universe!G132</f>
        <v>Exclude</v>
      </c>
      <c r="F132" t="str">
        <f>IF($E132&lt;&gt;"Include","",_xlfn.LET(_xlpm.latest,_xlfn.MAXIFS(Raw_Fund!$C:$C,Raw_Fund!$B:$B,Data!$C132),IF(_xlpm.latest=0,"",_xlpm.latest)))</f>
        <v/>
      </c>
      <c r="G132" t="str">
        <f>IF($F132="","",INDEX(Raw_Fund!$E:$AZ,MATCH($C132&amp;"|"&amp;$F132,Raw_Fund!$A:$A,0),MATCH(G$3,Raw_Fund!$E$1:$AZ$1,0)))</f>
        <v/>
      </c>
      <c r="H132" t="str">
        <f t="shared" si="1"/>
        <v/>
      </c>
      <c r="I132" s="6" t="str">
        <f>_xlfn.LET(
_xlpm.rowNo, MATCH($C132&amp;"|"&amp;
($F132+I$4),Raw_Fund!$A:$A,0),
_xlpm.colNo,
MATCH(I$3,Raw_Fund!$E$1:$AZ$1,0),
_xlpm.val,
INDEX(Raw_Fund!$E:$AZ,_xlpm.rowNo,_xlpm.colNo),
IF(ISNUMBER(_xlpm.val),_xlpm.val*$H132,""))</f>
        <v/>
      </c>
      <c r="J132" s="6" t="str">
        <f>_xlfn.LET(
_xlpm.rowNo, MATCH($C132&amp;"|"&amp;
($F132+J$4),Raw_Fund!$A:$A,0),
_xlpm.colNo,
MATCH(J$3,Raw_Fund!$E$1:$AZ$1,0),
_xlpm.val,
INDEX(Raw_Fund!$E:$AZ,_xlpm.rowNo,_xlpm.colNo),
IF(ISNUMBER(_xlpm.val),_xlpm.val*$H132,""))</f>
        <v/>
      </c>
      <c r="K132" s="6" t="str">
        <f>_xlfn.LET(
_xlpm.rowNo, MATCH($C132&amp;"|"&amp;
($F132+K$4),Raw_Fund!$A:$A,0),
_xlpm.colNo,
MATCH(K$3,Raw_Fund!$E$1:$AZ$1,0),
_xlpm.val,
INDEX(Raw_Fund!$E:$AZ,_xlpm.rowNo,_xlpm.colNo),
IF(ISNUMBER(_xlpm.val),_xlpm.val*$H132,""))</f>
        <v/>
      </c>
      <c r="L132" s="6" t="str">
        <f>_xlfn.LET(
_xlpm.rowNo, MATCH($C132&amp;"|"&amp;
($F132+L$4),Raw_Fund!$A:$A,0),
_xlpm.colNo,
MATCH(L$3,Raw_Fund!$E$1:$AZ$1,0),
_xlpm.val,
INDEX(Raw_Fund!$E:$AZ,_xlpm.rowNo,_xlpm.colNo),
IF(ISNUMBER(_xlpm.val),_xlpm.val*$H132,""))</f>
        <v/>
      </c>
      <c r="M132" s="6" t="str">
        <f>_xlfn.LET(
_xlpm.rowNo, MATCH($C132&amp;"|"&amp;
($F132+M$4),Raw_Fund!$A:$A,0),
_xlpm.colNo,
MATCH(M$3,Raw_Fund!$E$1:$AZ$1,0),
_xlpm.val,
INDEX(Raw_Fund!$E:$AZ,_xlpm.rowNo,_xlpm.colNo),
IF(ISNUMBER(_xlpm.val),_xlpm.val*$H132,""))</f>
        <v/>
      </c>
      <c r="N132" s="6" t="str">
        <f>_xlfn.LET(
_xlpm.rowNo, MATCH($C132&amp;"|"&amp;
($F132+N$4),Raw_Fund!$A:$A,0),
_xlpm.colNo,
MATCH(N$3,Raw_Fund!$E$1:$AZ$1,0),
_xlpm.val,
INDEX(Raw_Fund!$E:$AZ,_xlpm.rowNo,_xlpm.colNo),
IF(ISNUMBER(_xlpm.val),_xlpm.val*$H132,""))</f>
        <v/>
      </c>
      <c r="O132" s="6" t="str">
        <f>_xlfn.LET(
_xlpm.rowNo, MATCH($C132&amp;"|"&amp;
($F132+O$4),Raw_Fund!$A:$A,0),
_xlpm.colNo,
MATCH(O$3,Raw_Fund!$E$1:$AZ$1,0),
_xlpm.val,
INDEX(Raw_Fund!$E:$AZ,_xlpm.rowNo,_xlpm.colNo),
IF(ISNUMBER(_xlpm.val),_xlpm.val*$H132,""))</f>
        <v/>
      </c>
      <c r="P132" s="6" t="str">
        <f>_xlfn.LET(
_xlpm.rowNo, MATCH($C132&amp;"|"&amp;
($F132+P$4),Raw_Fund!$A:$A,0),
_xlpm.colNo,
MATCH(P$3,Raw_Fund!$E$1:$AZ$1,0),
_xlpm.val,
INDEX(Raw_Fund!$E:$AZ,_xlpm.rowNo,_xlpm.colNo),
IF(ISNUMBER(_xlpm.val),_xlpm.val*$H132,""))</f>
        <v/>
      </c>
      <c r="Q132" s="6" t="str">
        <f>_xlfn.LET(
_xlpm.rowNo, MATCH($C132&amp;"|"&amp;
($F132+Q$4),Raw_Fund!$A:$A,0),
_xlpm.colNo,
MATCH(Q$3,Raw_Fund!$E$1:$AZ$1,0),
_xlpm.val,
INDEX(Raw_Fund!$E:$AZ,_xlpm.rowNo,_xlpm.colNo),
IF(ISNUMBER(_xlpm.val),_xlpm.val*$H132,""))</f>
        <v/>
      </c>
      <c r="R132" s="6" t="str">
        <f>_xlfn.LET(
_xlpm.rowNo, MATCH($C132&amp;"|"&amp;
($F132+R$4),Raw_Fund!$A:$A,0),
_xlpm.colNo,
MATCH(R$3,Raw_Fund!$E$1:$AZ$1,0),
_xlpm.val,
INDEX(Raw_Fund!$E:$AZ,_xlpm.rowNo,_xlpm.colNo),
IF(ISNUMBER(_xlpm.val),_xlpm.val*$H132,""))</f>
        <v/>
      </c>
      <c r="S132" s="6" t="str">
        <f>_xlfn.LET(
_xlpm.rowNo, MATCH($C132&amp;"|"&amp;
($F132+S$4),Raw_Fund!$A:$A,0),
_xlpm.colNo,
MATCH(S$3,Raw_Fund!$E$1:$AZ$1,0),
_xlpm.val,
INDEX(Raw_Fund!$E:$AZ,_xlpm.rowNo,_xlpm.colNo),
IF(ISNUMBER(_xlpm.val),_xlpm.val*$H132,""))</f>
        <v/>
      </c>
      <c r="T132" s="6" t="str">
        <f>_xlfn.LET(
_xlpm.rowNo, MATCH($C132&amp;"|"&amp;
($F132+T$4),Raw_Fund!$A:$A,0),
_xlpm.colNo,
MATCH(T$3,Raw_Fund!$E$1:$AZ$1,0),
_xlpm.val,
INDEX(Raw_Fund!$E:$AZ,_xlpm.rowNo,_xlpm.colNo),
IF(ISNUMBER(_xlpm.val),_xlpm.val*$H132,""))</f>
        <v/>
      </c>
      <c r="U132" s="6" t="str">
        <f>_xlfn.LET(
_xlpm.rowNo, MATCH($C132&amp;"|"&amp;
($F132+U$4),Raw_Fund!$A:$A,0),
_xlpm.colNo,
MATCH(U$3,Raw_Fund!$E$1:$AZ$1,0),
_xlpm.val,
INDEX(Raw_Fund!$E:$AZ,_xlpm.rowNo,_xlpm.colNo),
IF(ISNUMBER(_xlpm.val),_xlpm.val*$H132,""))</f>
        <v/>
      </c>
      <c r="V132" s="6" t="str">
        <f>_xlfn.LET(
_xlpm.rowNo, MATCH($C132&amp;"|"&amp;
($F132+V$4),Raw_Fund!$A:$A,0),
_xlpm.colNo,
MATCH(V$3,Raw_Fund!$E$1:$AZ$1,0),
_xlpm.val,
INDEX(Raw_Fund!$E:$AZ,_xlpm.rowNo,_xlpm.colNo),
IF(ISNUMBER(_xlpm.val),_xlpm.val*$H132,""))</f>
        <v/>
      </c>
      <c r="W132" s="6" t="str">
        <f>_xlfn.LET(
_xlpm.rowNo, MATCH($C132&amp;"|"&amp;
($F132+W$4),Raw_Fund!$A:$A,0),
_xlpm.colNo,
MATCH(W$3,Raw_Fund!$E$1:$AZ$1,0),
_xlpm.val,
INDEX(Raw_Fund!$E:$AZ,_xlpm.rowNo,_xlpm.colNo),
IF(ISNUMBER(_xlpm.val),_xlpm.val*$H132,""))</f>
        <v/>
      </c>
      <c r="X132" s="6" t="str">
        <f>_xlfn.LET(
_xlpm.rowNo, MATCH($C132&amp;"|"&amp;
($F132+X$4),Raw_Fund!$A:$A,0),
_xlpm.colNo,
MATCH(X$3,Raw_Fund!$E$1:$AZ$1,0),
_xlpm.val,
INDEX(Raw_Fund!$E:$AZ,_xlpm.rowNo,_xlpm.colNo),
IF(ISNUMBER(_xlpm.val),_xlpm.val*$H132,""))</f>
        <v/>
      </c>
      <c r="Y132" s="6" t="str">
        <f>_xlfn.LET(
_xlpm.rowNo, MATCH($C132&amp;"|"&amp;
($F132+Y$4),Raw_Fund!$A:$A,0),
_xlpm.colNo,
MATCH(Y$3,Raw_Fund!$E$1:$AZ$1,0),
_xlpm.val,
INDEX(Raw_Fund!$E:$AZ,_xlpm.rowNo,_xlpm.colNo),
IF(ISNUMBER(_xlpm.val),_xlpm.val*$H132,""))</f>
        <v/>
      </c>
      <c r="Z132" s="6" t="str">
        <f>IF($E132&lt;&gt;"Include","",_xlfn.XLOOKUP($C132,Raw_Mkt!$A:$A,Raw_Mkt!$B:$B))</f>
        <v/>
      </c>
    </row>
    <row r="133" spans="1:26" x14ac:dyDescent="0.4">
      <c r="A133" t="str">
        <f>IF(Universe!A133&lt;&gt;"",Universe!A133,"")</f>
        <v>JUP</v>
      </c>
      <c r="B133" t="str">
        <f>IF(Universe!B133&lt;&gt;"",Universe!B133,"")</f>
        <v>Jupiter Fund Management</v>
      </c>
      <c r="C133" t="str">
        <f>IF(Universe!C133&lt;&gt;"",Universe!C133,"")</f>
        <v>GB00B53P2009</v>
      </c>
      <c r="D133" t="str">
        <f>IF(Universe!D133&lt;&gt;"",Universe!D133,"")</f>
        <v>Financials</v>
      </c>
      <c r="E133" t="str">
        <f>Universe!G133</f>
        <v>Exclude</v>
      </c>
      <c r="F133" t="str">
        <f>IF($E133&lt;&gt;"Include","",_xlfn.LET(_xlpm.latest,_xlfn.MAXIFS(Raw_Fund!$C:$C,Raw_Fund!$B:$B,Data!$C133),IF(_xlpm.latest=0,"",_xlpm.latest)))</f>
        <v/>
      </c>
      <c r="G133" t="str">
        <f>IF($F133="","",INDEX(Raw_Fund!$E:$AZ,MATCH($C133&amp;"|"&amp;$F133,Raw_Fund!$A:$A,0),MATCH(G$3,Raw_Fund!$E$1:$AZ$1,0)))</f>
        <v/>
      </c>
      <c r="H133" t="str">
        <f t="shared" si="1"/>
        <v/>
      </c>
      <c r="I133" s="6" t="str">
        <f>_xlfn.LET(
_xlpm.rowNo, MATCH($C133&amp;"|"&amp;
($F133+I$4),Raw_Fund!$A:$A,0),
_xlpm.colNo,
MATCH(I$3,Raw_Fund!$E$1:$AZ$1,0),
_xlpm.val,
INDEX(Raw_Fund!$E:$AZ,_xlpm.rowNo,_xlpm.colNo),
IF(ISNUMBER(_xlpm.val),_xlpm.val*$H133,""))</f>
        <v/>
      </c>
      <c r="J133" s="6" t="str">
        <f>_xlfn.LET(
_xlpm.rowNo, MATCH($C133&amp;"|"&amp;
($F133+J$4),Raw_Fund!$A:$A,0),
_xlpm.colNo,
MATCH(J$3,Raw_Fund!$E$1:$AZ$1,0),
_xlpm.val,
INDEX(Raw_Fund!$E:$AZ,_xlpm.rowNo,_xlpm.colNo),
IF(ISNUMBER(_xlpm.val),_xlpm.val*$H133,""))</f>
        <v/>
      </c>
      <c r="K133" s="6" t="str">
        <f>_xlfn.LET(
_xlpm.rowNo, MATCH($C133&amp;"|"&amp;
($F133+K$4),Raw_Fund!$A:$A,0),
_xlpm.colNo,
MATCH(K$3,Raw_Fund!$E$1:$AZ$1,0),
_xlpm.val,
INDEX(Raw_Fund!$E:$AZ,_xlpm.rowNo,_xlpm.colNo),
IF(ISNUMBER(_xlpm.val),_xlpm.val*$H133,""))</f>
        <v/>
      </c>
      <c r="L133" s="6" t="str">
        <f>_xlfn.LET(
_xlpm.rowNo, MATCH($C133&amp;"|"&amp;
($F133+L$4),Raw_Fund!$A:$A,0),
_xlpm.colNo,
MATCH(L$3,Raw_Fund!$E$1:$AZ$1,0),
_xlpm.val,
INDEX(Raw_Fund!$E:$AZ,_xlpm.rowNo,_xlpm.colNo),
IF(ISNUMBER(_xlpm.val),_xlpm.val*$H133,""))</f>
        <v/>
      </c>
      <c r="M133" s="6" t="str">
        <f>_xlfn.LET(
_xlpm.rowNo, MATCH($C133&amp;"|"&amp;
($F133+M$4),Raw_Fund!$A:$A,0),
_xlpm.colNo,
MATCH(M$3,Raw_Fund!$E$1:$AZ$1,0),
_xlpm.val,
INDEX(Raw_Fund!$E:$AZ,_xlpm.rowNo,_xlpm.colNo),
IF(ISNUMBER(_xlpm.val),_xlpm.val*$H133,""))</f>
        <v/>
      </c>
      <c r="N133" s="6" t="str">
        <f>_xlfn.LET(
_xlpm.rowNo, MATCH($C133&amp;"|"&amp;
($F133+N$4),Raw_Fund!$A:$A,0),
_xlpm.colNo,
MATCH(N$3,Raw_Fund!$E$1:$AZ$1,0),
_xlpm.val,
INDEX(Raw_Fund!$E:$AZ,_xlpm.rowNo,_xlpm.colNo),
IF(ISNUMBER(_xlpm.val),_xlpm.val*$H133,""))</f>
        <v/>
      </c>
      <c r="O133" s="6" t="str">
        <f>_xlfn.LET(
_xlpm.rowNo, MATCH($C133&amp;"|"&amp;
($F133+O$4),Raw_Fund!$A:$A,0),
_xlpm.colNo,
MATCH(O$3,Raw_Fund!$E$1:$AZ$1,0),
_xlpm.val,
INDEX(Raw_Fund!$E:$AZ,_xlpm.rowNo,_xlpm.colNo),
IF(ISNUMBER(_xlpm.val),_xlpm.val*$H133,""))</f>
        <v/>
      </c>
      <c r="P133" s="6" t="str">
        <f>_xlfn.LET(
_xlpm.rowNo, MATCH($C133&amp;"|"&amp;
($F133+P$4),Raw_Fund!$A:$A,0),
_xlpm.colNo,
MATCH(P$3,Raw_Fund!$E$1:$AZ$1,0),
_xlpm.val,
INDEX(Raw_Fund!$E:$AZ,_xlpm.rowNo,_xlpm.colNo),
IF(ISNUMBER(_xlpm.val),_xlpm.val*$H133,""))</f>
        <v/>
      </c>
      <c r="Q133" s="6" t="str">
        <f>_xlfn.LET(
_xlpm.rowNo, MATCH($C133&amp;"|"&amp;
($F133+Q$4),Raw_Fund!$A:$A,0),
_xlpm.colNo,
MATCH(Q$3,Raw_Fund!$E$1:$AZ$1,0),
_xlpm.val,
INDEX(Raw_Fund!$E:$AZ,_xlpm.rowNo,_xlpm.colNo),
IF(ISNUMBER(_xlpm.val),_xlpm.val*$H133,""))</f>
        <v/>
      </c>
      <c r="R133" s="6" t="str">
        <f>_xlfn.LET(
_xlpm.rowNo, MATCH($C133&amp;"|"&amp;
($F133+R$4),Raw_Fund!$A:$A,0),
_xlpm.colNo,
MATCH(R$3,Raw_Fund!$E$1:$AZ$1,0),
_xlpm.val,
INDEX(Raw_Fund!$E:$AZ,_xlpm.rowNo,_xlpm.colNo),
IF(ISNUMBER(_xlpm.val),_xlpm.val*$H133,""))</f>
        <v/>
      </c>
      <c r="S133" s="6" t="str">
        <f>_xlfn.LET(
_xlpm.rowNo, MATCH($C133&amp;"|"&amp;
($F133+S$4),Raw_Fund!$A:$A,0),
_xlpm.colNo,
MATCH(S$3,Raw_Fund!$E$1:$AZ$1,0),
_xlpm.val,
INDEX(Raw_Fund!$E:$AZ,_xlpm.rowNo,_xlpm.colNo),
IF(ISNUMBER(_xlpm.val),_xlpm.val*$H133,""))</f>
        <v/>
      </c>
      <c r="T133" s="6" t="str">
        <f>_xlfn.LET(
_xlpm.rowNo, MATCH($C133&amp;"|"&amp;
($F133+T$4),Raw_Fund!$A:$A,0),
_xlpm.colNo,
MATCH(T$3,Raw_Fund!$E$1:$AZ$1,0),
_xlpm.val,
INDEX(Raw_Fund!$E:$AZ,_xlpm.rowNo,_xlpm.colNo),
IF(ISNUMBER(_xlpm.val),_xlpm.val*$H133,""))</f>
        <v/>
      </c>
      <c r="U133" s="6" t="str">
        <f>_xlfn.LET(
_xlpm.rowNo, MATCH($C133&amp;"|"&amp;
($F133+U$4),Raw_Fund!$A:$A,0),
_xlpm.colNo,
MATCH(U$3,Raw_Fund!$E$1:$AZ$1,0),
_xlpm.val,
INDEX(Raw_Fund!$E:$AZ,_xlpm.rowNo,_xlpm.colNo),
IF(ISNUMBER(_xlpm.val),_xlpm.val*$H133,""))</f>
        <v/>
      </c>
      <c r="V133" s="6" t="str">
        <f>_xlfn.LET(
_xlpm.rowNo, MATCH($C133&amp;"|"&amp;
($F133+V$4),Raw_Fund!$A:$A,0),
_xlpm.colNo,
MATCH(V$3,Raw_Fund!$E$1:$AZ$1,0),
_xlpm.val,
INDEX(Raw_Fund!$E:$AZ,_xlpm.rowNo,_xlpm.colNo),
IF(ISNUMBER(_xlpm.val),_xlpm.val*$H133,""))</f>
        <v/>
      </c>
      <c r="W133" s="6" t="str">
        <f>_xlfn.LET(
_xlpm.rowNo, MATCH($C133&amp;"|"&amp;
($F133+W$4),Raw_Fund!$A:$A,0),
_xlpm.colNo,
MATCH(W$3,Raw_Fund!$E$1:$AZ$1,0),
_xlpm.val,
INDEX(Raw_Fund!$E:$AZ,_xlpm.rowNo,_xlpm.colNo),
IF(ISNUMBER(_xlpm.val),_xlpm.val*$H133,""))</f>
        <v/>
      </c>
      <c r="X133" s="6" t="str">
        <f>_xlfn.LET(
_xlpm.rowNo, MATCH($C133&amp;"|"&amp;
($F133+X$4),Raw_Fund!$A:$A,0),
_xlpm.colNo,
MATCH(X$3,Raw_Fund!$E$1:$AZ$1,0),
_xlpm.val,
INDEX(Raw_Fund!$E:$AZ,_xlpm.rowNo,_xlpm.colNo),
IF(ISNUMBER(_xlpm.val),_xlpm.val*$H133,""))</f>
        <v/>
      </c>
      <c r="Y133" s="6" t="str">
        <f>_xlfn.LET(
_xlpm.rowNo, MATCH($C133&amp;"|"&amp;
($F133+Y$4),Raw_Fund!$A:$A,0),
_xlpm.colNo,
MATCH(Y$3,Raw_Fund!$E$1:$AZ$1,0),
_xlpm.val,
INDEX(Raw_Fund!$E:$AZ,_xlpm.rowNo,_xlpm.colNo),
IF(ISNUMBER(_xlpm.val),_xlpm.val*$H133,""))</f>
        <v/>
      </c>
      <c r="Z133" s="6" t="str">
        <f>IF($E133&lt;&gt;"Include","",_xlfn.XLOOKUP($C133,Raw_Mkt!$A:$A,Raw_Mkt!$B:$B))</f>
        <v/>
      </c>
    </row>
    <row r="134" spans="1:26" x14ac:dyDescent="0.4">
      <c r="A134" t="str">
        <f>IF(Universe!A134&lt;&gt;"",Universe!A134,"")</f>
        <v>KNOS</v>
      </c>
      <c r="B134" t="str">
        <f>IF(Universe!B134&lt;&gt;"",Universe!B134,"")</f>
        <v>Kainos</v>
      </c>
      <c r="C134" t="str">
        <f>IF(Universe!C134&lt;&gt;"",Universe!C134,"")</f>
        <v>GB00BZ0D6727</v>
      </c>
      <c r="D134" t="str">
        <f>IF(Universe!D134&lt;&gt;"",Universe!D134,"")</f>
        <v>Technology</v>
      </c>
      <c r="E134" t="str">
        <f>Universe!G134</f>
        <v>Include</v>
      </c>
      <c r="F134" t="str">
        <f>IF($E134&lt;&gt;"Include","",_xlfn.LET(_xlpm.latest,_xlfn.MAXIFS(Raw_Fund!$C:$C,Raw_Fund!$B:$B,Data!$C134),IF(_xlpm.latest=0,"",_xlpm.latest)))</f>
        <v/>
      </c>
      <c r="G134" t="str">
        <f>IF($F134="","",INDEX(Raw_Fund!$E:$AZ,MATCH($C134&amp;"|"&amp;$F134,Raw_Fund!$A:$A,0),MATCH(G$3,Raw_Fund!$E$1:$AZ$1,0)))</f>
        <v/>
      </c>
      <c r="H134" t="str">
        <f t="shared" ref="H134:H197" si="2">IF($G134="","",_xlfn.XLOOKUP($G134,FX_Ccy,FX_Rate,"Missing FX"))</f>
        <v/>
      </c>
      <c r="I134" s="6" t="str">
        <f>_xlfn.LET(
_xlpm.rowNo, MATCH($C134&amp;"|"&amp;
($F134+I$4),Raw_Fund!$A:$A,0),
_xlpm.colNo,
MATCH(I$3,Raw_Fund!$E$1:$AZ$1,0),
_xlpm.val,
INDEX(Raw_Fund!$E:$AZ,_xlpm.rowNo,_xlpm.colNo),
IF(ISNUMBER(_xlpm.val),_xlpm.val*$H134,""))</f>
        <v/>
      </c>
      <c r="J134" s="6" t="str">
        <f>_xlfn.LET(
_xlpm.rowNo, MATCH($C134&amp;"|"&amp;
($F134+J$4),Raw_Fund!$A:$A,0),
_xlpm.colNo,
MATCH(J$3,Raw_Fund!$E$1:$AZ$1,0),
_xlpm.val,
INDEX(Raw_Fund!$E:$AZ,_xlpm.rowNo,_xlpm.colNo),
IF(ISNUMBER(_xlpm.val),_xlpm.val*$H134,""))</f>
        <v/>
      </c>
      <c r="K134" s="6" t="str">
        <f>_xlfn.LET(
_xlpm.rowNo, MATCH($C134&amp;"|"&amp;
($F134+K$4),Raw_Fund!$A:$A,0),
_xlpm.colNo,
MATCH(K$3,Raw_Fund!$E$1:$AZ$1,0),
_xlpm.val,
INDEX(Raw_Fund!$E:$AZ,_xlpm.rowNo,_xlpm.colNo),
IF(ISNUMBER(_xlpm.val),_xlpm.val*$H134,""))</f>
        <v/>
      </c>
      <c r="L134" s="6" t="str">
        <f>_xlfn.LET(
_xlpm.rowNo, MATCH($C134&amp;"|"&amp;
($F134+L$4),Raw_Fund!$A:$A,0),
_xlpm.colNo,
MATCH(L$3,Raw_Fund!$E$1:$AZ$1,0),
_xlpm.val,
INDEX(Raw_Fund!$E:$AZ,_xlpm.rowNo,_xlpm.colNo),
IF(ISNUMBER(_xlpm.val),_xlpm.val*$H134,""))</f>
        <v/>
      </c>
      <c r="M134" s="6" t="str">
        <f>_xlfn.LET(
_xlpm.rowNo, MATCH($C134&amp;"|"&amp;
($F134+M$4),Raw_Fund!$A:$A,0),
_xlpm.colNo,
MATCH(M$3,Raw_Fund!$E$1:$AZ$1,0),
_xlpm.val,
INDEX(Raw_Fund!$E:$AZ,_xlpm.rowNo,_xlpm.colNo),
IF(ISNUMBER(_xlpm.val),_xlpm.val*$H134,""))</f>
        <v/>
      </c>
      <c r="N134" s="6" t="str">
        <f>_xlfn.LET(
_xlpm.rowNo, MATCH($C134&amp;"|"&amp;
($F134+N$4),Raw_Fund!$A:$A,0),
_xlpm.colNo,
MATCH(N$3,Raw_Fund!$E$1:$AZ$1,0),
_xlpm.val,
INDEX(Raw_Fund!$E:$AZ,_xlpm.rowNo,_xlpm.colNo),
IF(ISNUMBER(_xlpm.val),_xlpm.val*$H134,""))</f>
        <v/>
      </c>
      <c r="O134" s="6" t="str">
        <f>_xlfn.LET(
_xlpm.rowNo, MATCH($C134&amp;"|"&amp;
($F134+O$4),Raw_Fund!$A:$A,0),
_xlpm.colNo,
MATCH(O$3,Raw_Fund!$E$1:$AZ$1,0),
_xlpm.val,
INDEX(Raw_Fund!$E:$AZ,_xlpm.rowNo,_xlpm.colNo),
IF(ISNUMBER(_xlpm.val),_xlpm.val*$H134,""))</f>
        <v/>
      </c>
      <c r="P134" s="6" t="str">
        <f>_xlfn.LET(
_xlpm.rowNo, MATCH($C134&amp;"|"&amp;
($F134+P$4),Raw_Fund!$A:$A,0),
_xlpm.colNo,
MATCH(P$3,Raw_Fund!$E$1:$AZ$1,0),
_xlpm.val,
INDEX(Raw_Fund!$E:$AZ,_xlpm.rowNo,_xlpm.colNo),
IF(ISNUMBER(_xlpm.val),_xlpm.val*$H134,""))</f>
        <v/>
      </c>
      <c r="Q134" s="6" t="str">
        <f>_xlfn.LET(
_xlpm.rowNo, MATCH($C134&amp;"|"&amp;
($F134+Q$4),Raw_Fund!$A:$A,0),
_xlpm.colNo,
MATCH(Q$3,Raw_Fund!$E$1:$AZ$1,0),
_xlpm.val,
INDEX(Raw_Fund!$E:$AZ,_xlpm.rowNo,_xlpm.colNo),
IF(ISNUMBER(_xlpm.val),_xlpm.val*$H134,""))</f>
        <v/>
      </c>
      <c r="R134" s="6" t="str">
        <f>_xlfn.LET(
_xlpm.rowNo, MATCH($C134&amp;"|"&amp;
($F134+R$4),Raw_Fund!$A:$A,0),
_xlpm.colNo,
MATCH(R$3,Raw_Fund!$E$1:$AZ$1,0),
_xlpm.val,
INDEX(Raw_Fund!$E:$AZ,_xlpm.rowNo,_xlpm.colNo),
IF(ISNUMBER(_xlpm.val),_xlpm.val*$H134,""))</f>
        <v/>
      </c>
      <c r="S134" s="6" t="str">
        <f>_xlfn.LET(
_xlpm.rowNo, MATCH($C134&amp;"|"&amp;
($F134+S$4),Raw_Fund!$A:$A,0),
_xlpm.colNo,
MATCH(S$3,Raw_Fund!$E$1:$AZ$1,0),
_xlpm.val,
INDEX(Raw_Fund!$E:$AZ,_xlpm.rowNo,_xlpm.colNo),
IF(ISNUMBER(_xlpm.val),_xlpm.val*$H134,""))</f>
        <v/>
      </c>
      <c r="T134" s="6" t="str">
        <f>_xlfn.LET(
_xlpm.rowNo, MATCH($C134&amp;"|"&amp;
($F134+T$4),Raw_Fund!$A:$A,0),
_xlpm.colNo,
MATCH(T$3,Raw_Fund!$E$1:$AZ$1,0),
_xlpm.val,
INDEX(Raw_Fund!$E:$AZ,_xlpm.rowNo,_xlpm.colNo),
IF(ISNUMBER(_xlpm.val),_xlpm.val*$H134,""))</f>
        <v/>
      </c>
      <c r="U134" s="6" t="str">
        <f>_xlfn.LET(
_xlpm.rowNo, MATCH($C134&amp;"|"&amp;
($F134+U$4),Raw_Fund!$A:$A,0),
_xlpm.colNo,
MATCH(U$3,Raw_Fund!$E$1:$AZ$1,0),
_xlpm.val,
INDEX(Raw_Fund!$E:$AZ,_xlpm.rowNo,_xlpm.colNo),
IF(ISNUMBER(_xlpm.val),_xlpm.val*$H134,""))</f>
        <v/>
      </c>
      <c r="V134" s="6" t="str">
        <f>_xlfn.LET(
_xlpm.rowNo, MATCH($C134&amp;"|"&amp;
($F134+V$4),Raw_Fund!$A:$A,0),
_xlpm.colNo,
MATCH(V$3,Raw_Fund!$E$1:$AZ$1,0),
_xlpm.val,
INDEX(Raw_Fund!$E:$AZ,_xlpm.rowNo,_xlpm.colNo),
IF(ISNUMBER(_xlpm.val),_xlpm.val*$H134,""))</f>
        <v/>
      </c>
      <c r="W134" s="6" t="str">
        <f>_xlfn.LET(
_xlpm.rowNo, MATCH($C134&amp;"|"&amp;
($F134+W$4),Raw_Fund!$A:$A,0),
_xlpm.colNo,
MATCH(W$3,Raw_Fund!$E$1:$AZ$1,0),
_xlpm.val,
INDEX(Raw_Fund!$E:$AZ,_xlpm.rowNo,_xlpm.colNo),
IF(ISNUMBER(_xlpm.val),_xlpm.val*$H134,""))</f>
        <v/>
      </c>
      <c r="X134" s="6" t="str">
        <f>_xlfn.LET(
_xlpm.rowNo, MATCH($C134&amp;"|"&amp;
($F134+X$4),Raw_Fund!$A:$A,0),
_xlpm.colNo,
MATCH(X$3,Raw_Fund!$E$1:$AZ$1,0),
_xlpm.val,
INDEX(Raw_Fund!$E:$AZ,_xlpm.rowNo,_xlpm.colNo),
IF(ISNUMBER(_xlpm.val),_xlpm.val*$H134,""))</f>
        <v/>
      </c>
      <c r="Y134" s="6" t="str">
        <f>_xlfn.LET(
_xlpm.rowNo, MATCH($C134&amp;"|"&amp;
($F134+Y$4),Raw_Fund!$A:$A,0),
_xlpm.colNo,
MATCH(Y$3,Raw_Fund!$E$1:$AZ$1,0),
_xlpm.val,
INDEX(Raw_Fund!$E:$AZ,_xlpm.rowNo,_xlpm.colNo),
IF(ISNUMBER(_xlpm.val),_xlpm.val*$H134,""))</f>
        <v/>
      </c>
      <c r="Z134" s="6" t="e">
        <f>IF($E134&lt;&gt;"Include","",_xlfn.XLOOKUP($C134,Raw_Mkt!$A:$A,Raw_Mkt!$B:$B))</f>
        <v>#N/A</v>
      </c>
    </row>
    <row r="135" spans="1:26" x14ac:dyDescent="0.4">
      <c r="A135" t="str">
        <f>IF(Universe!A135&lt;&gt;"",Universe!A135,"")</f>
        <v>KLR</v>
      </c>
      <c r="B135" t="str">
        <f>IF(Universe!B135&lt;&gt;"",Universe!B135,"")</f>
        <v>Keller Group</v>
      </c>
      <c r="C135" t="str">
        <f>IF(Universe!C135&lt;&gt;"",Universe!C135,"")</f>
        <v>GB0004866223</v>
      </c>
      <c r="D135" t="str">
        <f>IF(Universe!D135&lt;&gt;"",Universe!D135,"")</f>
        <v>Industrials</v>
      </c>
      <c r="E135" t="str">
        <f>Universe!G135</f>
        <v>Include</v>
      </c>
      <c r="F135" t="str">
        <f>IF($E135&lt;&gt;"Include","",_xlfn.LET(_xlpm.latest,_xlfn.MAXIFS(Raw_Fund!$C:$C,Raw_Fund!$B:$B,Data!$C135),IF(_xlpm.latest=0,"",_xlpm.latest)))</f>
        <v/>
      </c>
      <c r="G135" t="str">
        <f>IF($F135="","",INDEX(Raw_Fund!$E:$AZ,MATCH($C135&amp;"|"&amp;$F135,Raw_Fund!$A:$A,0),MATCH(G$3,Raw_Fund!$E$1:$AZ$1,0)))</f>
        <v/>
      </c>
      <c r="H135" t="str">
        <f t="shared" si="2"/>
        <v/>
      </c>
      <c r="I135" s="6" t="str">
        <f>_xlfn.LET(
_xlpm.rowNo, MATCH($C135&amp;"|"&amp;
($F135+I$4),Raw_Fund!$A:$A,0),
_xlpm.colNo,
MATCH(I$3,Raw_Fund!$E$1:$AZ$1,0),
_xlpm.val,
INDEX(Raw_Fund!$E:$AZ,_xlpm.rowNo,_xlpm.colNo),
IF(ISNUMBER(_xlpm.val),_xlpm.val*$H135,""))</f>
        <v/>
      </c>
      <c r="J135" s="6" t="str">
        <f>_xlfn.LET(
_xlpm.rowNo, MATCH($C135&amp;"|"&amp;
($F135+J$4),Raw_Fund!$A:$A,0),
_xlpm.colNo,
MATCH(J$3,Raw_Fund!$E$1:$AZ$1,0),
_xlpm.val,
INDEX(Raw_Fund!$E:$AZ,_xlpm.rowNo,_xlpm.colNo),
IF(ISNUMBER(_xlpm.val),_xlpm.val*$H135,""))</f>
        <v/>
      </c>
      <c r="K135" s="6" t="str">
        <f>_xlfn.LET(
_xlpm.rowNo, MATCH($C135&amp;"|"&amp;
($F135+K$4),Raw_Fund!$A:$A,0),
_xlpm.colNo,
MATCH(K$3,Raw_Fund!$E$1:$AZ$1,0),
_xlpm.val,
INDEX(Raw_Fund!$E:$AZ,_xlpm.rowNo,_xlpm.colNo),
IF(ISNUMBER(_xlpm.val),_xlpm.val*$H135,""))</f>
        <v/>
      </c>
      <c r="L135" s="6" t="str">
        <f>_xlfn.LET(
_xlpm.rowNo, MATCH($C135&amp;"|"&amp;
($F135+L$4),Raw_Fund!$A:$A,0),
_xlpm.colNo,
MATCH(L$3,Raw_Fund!$E$1:$AZ$1,0),
_xlpm.val,
INDEX(Raw_Fund!$E:$AZ,_xlpm.rowNo,_xlpm.colNo),
IF(ISNUMBER(_xlpm.val),_xlpm.val*$H135,""))</f>
        <v/>
      </c>
      <c r="M135" s="6" t="str">
        <f>_xlfn.LET(
_xlpm.rowNo, MATCH($C135&amp;"|"&amp;
($F135+M$4),Raw_Fund!$A:$A,0),
_xlpm.colNo,
MATCH(M$3,Raw_Fund!$E$1:$AZ$1,0),
_xlpm.val,
INDEX(Raw_Fund!$E:$AZ,_xlpm.rowNo,_xlpm.colNo),
IF(ISNUMBER(_xlpm.val),_xlpm.val*$H135,""))</f>
        <v/>
      </c>
      <c r="N135" s="6" t="str">
        <f>_xlfn.LET(
_xlpm.rowNo, MATCH($C135&amp;"|"&amp;
($F135+N$4),Raw_Fund!$A:$A,0),
_xlpm.colNo,
MATCH(N$3,Raw_Fund!$E$1:$AZ$1,0),
_xlpm.val,
INDEX(Raw_Fund!$E:$AZ,_xlpm.rowNo,_xlpm.colNo),
IF(ISNUMBER(_xlpm.val),_xlpm.val*$H135,""))</f>
        <v/>
      </c>
      <c r="O135" s="6" t="str">
        <f>_xlfn.LET(
_xlpm.rowNo, MATCH($C135&amp;"|"&amp;
($F135+O$4),Raw_Fund!$A:$A,0),
_xlpm.colNo,
MATCH(O$3,Raw_Fund!$E$1:$AZ$1,0),
_xlpm.val,
INDEX(Raw_Fund!$E:$AZ,_xlpm.rowNo,_xlpm.colNo),
IF(ISNUMBER(_xlpm.val),_xlpm.val*$H135,""))</f>
        <v/>
      </c>
      <c r="P135" s="6" t="str">
        <f>_xlfn.LET(
_xlpm.rowNo, MATCH($C135&amp;"|"&amp;
($F135+P$4),Raw_Fund!$A:$A,0),
_xlpm.colNo,
MATCH(P$3,Raw_Fund!$E$1:$AZ$1,0),
_xlpm.val,
INDEX(Raw_Fund!$E:$AZ,_xlpm.rowNo,_xlpm.colNo),
IF(ISNUMBER(_xlpm.val),_xlpm.val*$H135,""))</f>
        <v/>
      </c>
      <c r="Q135" s="6" t="str">
        <f>_xlfn.LET(
_xlpm.rowNo, MATCH($C135&amp;"|"&amp;
($F135+Q$4),Raw_Fund!$A:$A,0),
_xlpm.colNo,
MATCH(Q$3,Raw_Fund!$E$1:$AZ$1,0),
_xlpm.val,
INDEX(Raw_Fund!$E:$AZ,_xlpm.rowNo,_xlpm.colNo),
IF(ISNUMBER(_xlpm.val),_xlpm.val*$H135,""))</f>
        <v/>
      </c>
      <c r="R135" s="6" t="str">
        <f>_xlfn.LET(
_xlpm.rowNo, MATCH($C135&amp;"|"&amp;
($F135+R$4),Raw_Fund!$A:$A,0),
_xlpm.colNo,
MATCH(R$3,Raw_Fund!$E$1:$AZ$1,0),
_xlpm.val,
INDEX(Raw_Fund!$E:$AZ,_xlpm.rowNo,_xlpm.colNo),
IF(ISNUMBER(_xlpm.val),_xlpm.val*$H135,""))</f>
        <v/>
      </c>
      <c r="S135" s="6" t="str">
        <f>_xlfn.LET(
_xlpm.rowNo, MATCH($C135&amp;"|"&amp;
($F135+S$4),Raw_Fund!$A:$A,0),
_xlpm.colNo,
MATCH(S$3,Raw_Fund!$E$1:$AZ$1,0),
_xlpm.val,
INDEX(Raw_Fund!$E:$AZ,_xlpm.rowNo,_xlpm.colNo),
IF(ISNUMBER(_xlpm.val),_xlpm.val*$H135,""))</f>
        <v/>
      </c>
      <c r="T135" s="6" t="str">
        <f>_xlfn.LET(
_xlpm.rowNo, MATCH($C135&amp;"|"&amp;
($F135+T$4),Raw_Fund!$A:$A,0),
_xlpm.colNo,
MATCH(T$3,Raw_Fund!$E$1:$AZ$1,0),
_xlpm.val,
INDEX(Raw_Fund!$E:$AZ,_xlpm.rowNo,_xlpm.colNo),
IF(ISNUMBER(_xlpm.val),_xlpm.val*$H135,""))</f>
        <v/>
      </c>
      <c r="U135" s="6" t="str">
        <f>_xlfn.LET(
_xlpm.rowNo, MATCH($C135&amp;"|"&amp;
($F135+U$4),Raw_Fund!$A:$A,0),
_xlpm.colNo,
MATCH(U$3,Raw_Fund!$E$1:$AZ$1,0),
_xlpm.val,
INDEX(Raw_Fund!$E:$AZ,_xlpm.rowNo,_xlpm.colNo),
IF(ISNUMBER(_xlpm.val),_xlpm.val*$H135,""))</f>
        <v/>
      </c>
      <c r="V135" s="6" t="str">
        <f>_xlfn.LET(
_xlpm.rowNo, MATCH($C135&amp;"|"&amp;
($F135+V$4),Raw_Fund!$A:$A,0),
_xlpm.colNo,
MATCH(V$3,Raw_Fund!$E$1:$AZ$1,0),
_xlpm.val,
INDEX(Raw_Fund!$E:$AZ,_xlpm.rowNo,_xlpm.colNo),
IF(ISNUMBER(_xlpm.val),_xlpm.val*$H135,""))</f>
        <v/>
      </c>
      <c r="W135" s="6" t="str">
        <f>_xlfn.LET(
_xlpm.rowNo, MATCH($C135&amp;"|"&amp;
($F135+W$4),Raw_Fund!$A:$A,0),
_xlpm.colNo,
MATCH(W$3,Raw_Fund!$E$1:$AZ$1,0),
_xlpm.val,
INDEX(Raw_Fund!$E:$AZ,_xlpm.rowNo,_xlpm.colNo),
IF(ISNUMBER(_xlpm.val),_xlpm.val*$H135,""))</f>
        <v/>
      </c>
      <c r="X135" s="6" t="str">
        <f>_xlfn.LET(
_xlpm.rowNo, MATCH($C135&amp;"|"&amp;
($F135+X$4),Raw_Fund!$A:$A,0),
_xlpm.colNo,
MATCH(X$3,Raw_Fund!$E$1:$AZ$1,0),
_xlpm.val,
INDEX(Raw_Fund!$E:$AZ,_xlpm.rowNo,_xlpm.colNo),
IF(ISNUMBER(_xlpm.val),_xlpm.val*$H135,""))</f>
        <v/>
      </c>
      <c r="Y135" s="6" t="str">
        <f>_xlfn.LET(
_xlpm.rowNo, MATCH($C135&amp;"|"&amp;
($F135+Y$4),Raw_Fund!$A:$A,0),
_xlpm.colNo,
MATCH(Y$3,Raw_Fund!$E$1:$AZ$1,0),
_xlpm.val,
INDEX(Raw_Fund!$E:$AZ,_xlpm.rowNo,_xlpm.colNo),
IF(ISNUMBER(_xlpm.val),_xlpm.val*$H135,""))</f>
        <v/>
      </c>
      <c r="Z135" s="6" t="e">
        <f>IF($E135&lt;&gt;"Include","",_xlfn.XLOOKUP($C135,Raw_Mkt!$A:$A,Raw_Mkt!$B:$B))</f>
        <v>#N/A</v>
      </c>
    </row>
    <row r="136" spans="1:26" x14ac:dyDescent="0.4">
      <c r="A136" t="str">
        <f>IF(Universe!A136&lt;&gt;"",Universe!A136,"")</f>
        <v>KIE</v>
      </c>
      <c r="B136" t="str">
        <f>IF(Universe!B136&lt;&gt;"",Universe!B136,"")</f>
        <v>Kier Group</v>
      </c>
      <c r="C136" t="str">
        <f>IF(Universe!C136&lt;&gt;"",Universe!C136,"")</f>
        <v>GB0004915632</v>
      </c>
      <c r="D136" t="str">
        <f>IF(Universe!D136&lt;&gt;"",Universe!D136,"")</f>
        <v>Industrials</v>
      </c>
      <c r="E136" t="str">
        <f>Universe!G136</f>
        <v>Include</v>
      </c>
      <c r="F136" t="str">
        <f>IF($E136&lt;&gt;"Include","",_xlfn.LET(_xlpm.latest,_xlfn.MAXIFS(Raw_Fund!$C:$C,Raw_Fund!$B:$B,Data!$C136),IF(_xlpm.latest=0,"",_xlpm.latest)))</f>
        <v/>
      </c>
      <c r="G136" t="str">
        <f>IF($F136="","",INDEX(Raw_Fund!$E:$AZ,MATCH($C136&amp;"|"&amp;$F136,Raw_Fund!$A:$A,0),MATCH(G$3,Raw_Fund!$E$1:$AZ$1,0)))</f>
        <v/>
      </c>
      <c r="H136" t="str">
        <f t="shared" si="2"/>
        <v/>
      </c>
      <c r="I136" s="6" t="str">
        <f>_xlfn.LET(
_xlpm.rowNo, MATCH($C136&amp;"|"&amp;
($F136+I$4),Raw_Fund!$A:$A,0),
_xlpm.colNo,
MATCH(I$3,Raw_Fund!$E$1:$AZ$1,0),
_xlpm.val,
INDEX(Raw_Fund!$E:$AZ,_xlpm.rowNo,_xlpm.colNo),
IF(ISNUMBER(_xlpm.val),_xlpm.val*$H136,""))</f>
        <v/>
      </c>
      <c r="J136" s="6" t="str">
        <f>_xlfn.LET(
_xlpm.rowNo, MATCH($C136&amp;"|"&amp;
($F136+J$4),Raw_Fund!$A:$A,0),
_xlpm.colNo,
MATCH(J$3,Raw_Fund!$E$1:$AZ$1,0),
_xlpm.val,
INDEX(Raw_Fund!$E:$AZ,_xlpm.rowNo,_xlpm.colNo),
IF(ISNUMBER(_xlpm.val),_xlpm.val*$H136,""))</f>
        <v/>
      </c>
      <c r="K136" s="6" t="str">
        <f>_xlfn.LET(
_xlpm.rowNo, MATCH($C136&amp;"|"&amp;
($F136+K$4),Raw_Fund!$A:$A,0),
_xlpm.colNo,
MATCH(K$3,Raw_Fund!$E$1:$AZ$1,0),
_xlpm.val,
INDEX(Raw_Fund!$E:$AZ,_xlpm.rowNo,_xlpm.colNo),
IF(ISNUMBER(_xlpm.val),_xlpm.val*$H136,""))</f>
        <v/>
      </c>
      <c r="L136" s="6" t="str">
        <f>_xlfn.LET(
_xlpm.rowNo, MATCH($C136&amp;"|"&amp;
($F136+L$4),Raw_Fund!$A:$A,0),
_xlpm.colNo,
MATCH(L$3,Raw_Fund!$E$1:$AZ$1,0),
_xlpm.val,
INDEX(Raw_Fund!$E:$AZ,_xlpm.rowNo,_xlpm.colNo),
IF(ISNUMBER(_xlpm.val),_xlpm.val*$H136,""))</f>
        <v/>
      </c>
      <c r="M136" s="6" t="str">
        <f>_xlfn.LET(
_xlpm.rowNo, MATCH($C136&amp;"|"&amp;
($F136+M$4),Raw_Fund!$A:$A,0),
_xlpm.colNo,
MATCH(M$3,Raw_Fund!$E$1:$AZ$1,0),
_xlpm.val,
INDEX(Raw_Fund!$E:$AZ,_xlpm.rowNo,_xlpm.colNo),
IF(ISNUMBER(_xlpm.val),_xlpm.val*$H136,""))</f>
        <v/>
      </c>
      <c r="N136" s="6" t="str">
        <f>_xlfn.LET(
_xlpm.rowNo, MATCH($C136&amp;"|"&amp;
($F136+N$4),Raw_Fund!$A:$A,0),
_xlpm.colNo,
MATCH(N$3,Raw_Fund!$E$1:$AZ$1,0),
_xlpm.val,
INDEX(Raw_Fund!$E:$AZ,_xlpm.rowNo,_xlpm.colNo),
IF(ISNUMBER(_xlpm.val),_xlpm.val*$H136,""))</f>
        <v/>
      </c>
      <c r="O136" s="6" t="str">
        <f>_xlfn.LET(
_xlpm.rowNo, MATCH($C136&amp;"|"&amp;
($F136+O$4),Raw_Fund!$A:$A,0),
_xlpm.colNo,
MATCH(O$3,Raw_Fund!$E$1:$AZ$1,0),
_xlpm.val,
INDEX(Raw_Fund!$E:$AZ,_xlpm.rowNo,_xlpm.colNo),
IF(ISNUMBER(_xlpm.val),_xlpm.val*$H136,""))</f>
        <v/>
      </c>
      <c r="P136" s="6" t="str">
        <f>_xlfn.LET(
_xlpm.rowNo, MATCH($C136&amp;"|"&amp;
($F136+P$4),Raw_Fund!$A:$A,0),
_xlpm.colNo,
MATCH(P$3,Raw_Fund!$E$1:$AZ$1,0),
_xlpm.val,
INDEX(Raw_Fund!$E:$AZ,_xlpm.rowNo,_xlpm.colNo),
IF(ISNUMBER(_xlpm.val),_xlpm.val*$H136,""))</f>
        <v/>
      </c>
      <c r="Q136" s="6" t="str">
        <f>_xlfn.LET(
_xlpm.rowNo, MATCH($C136&amp;"|"&amp;
($F136+Q$4),Raw_Fund!$A:$A,0),
_xlpm.colNo,
MATCH(Q$3,Raw_Fund!$E$1:$AZ$1,0),
_xlpm.val,
INDEX(Raw_Fund!$E:$AZ,_xlpm.rowNo,_xlpm.colNo),
IF(ISNUMBER(_xlpm.val),_xlpm.val*$H136,""))</f>
        <v/>
      </c>
      <c r="R136" s="6" t="str">
        <f>_xlfn.LET(
_xlpm.rowNo, MATCH($C136&amp;"|"&amp;
($F136+R$4),Raw_Fund!$A:$A,0),
_xlpm.colNo,
MATCH(R$3,Raw_Fund!$E$1:$AZ$1,0),
_xlpm.val,
INDEX(Raw_Fund!$E:$AZ,_xlpm.rowNo,_xlpm.colNo),
IF(ISNUMBER(_xlpm.val),_xlpm.val*$H136,""))</f>
        <v/>
      </c>
      <c r="S136" s="6" t="str">
        <f>_xlfn.LET(
_xlpm.rowNo, MATCH($C136&amp;"|"&amp;
($F136+S$4),Raw_Fund!$A:$A,0),
_xlpm.colNo,
MATCH(S$3,Raw_Fund!$E$1:$AZ$1,0),
_xlpm.val,
INDEX(Raw_Fund!$E:$AZ,_xlpm.rowNo,_xlpm.colNo),
IF(ISNUMBER(_xlpm.val),_xlpm.val*$H136,""))</f>
        <v/>
      </c>
      <c r="T136" s="6" t="str">
        <f>_xlfn.LET(
_xlpm.rowNo, MATCH($C136&amp;"|"&amp;
($F136+T$4),Raw_Fund!$A:$A,0),
_xlpm.colNo,
MATCH(T$3,Raw_Fund!$E$1:$AZ$1,0),
_xlpm.val,
INDEX(Raw_Fund!$E:$AZ,_xlpm.rowNo,_xlpm.colNo),
IF(ISNUMBER(_xlpm.val),_xlpm.val*$H136,""))</f>
        <v/>
      </c>
      <c r="U136" s="6" t="str">
        <f>_xlfn.LET(
_xlpm.rowNo, MATCH($C136&amp;"|"&amp;
($F136+U$4),Raw_Fund!$A:$A,0),
_xlpm.colNo,
MATCH(U$3,Raw_Fund!$E$1:$AZ$1,0),
_xlpm.val,
INDEX(Raw_Fund!$E:$AZ,_xlpm.rowNo,_xlpm.colNo),
IF(ISNUMBER(_xlpm.val),_xlpm.val*$H136,""))</f>
        <v/>
      </c>
      <c r="V136" s="6" t="str">
        <f>_xlfn.LET(
_xlpm.rowNo, MATCH($C136&amp;"|"&amp;
($F136+V$4),Raw_Fund!$A:$A,0),
_xlpm.colNo,
MATCH(V$3,Raw_Fund!$E$1:$AZ$1,0),
_xlpm.val,
INDEX(Raw_Fund!$E:$AZ,_xlpm.rowNo,_xlpm.colNo),
IF(ISNUMBER(_xlpm.val),_xlpm.val*$H136,""))</f>
        <v/>
      </c>
      <c r="W136" s="6" t="str">
        <f>_xlfn.LET(
_xlpm.rowNo, MATCH($C136&amp;"|"&amp;
($F136+W$4),Raw_Fund!$A:$A,0),
_xlpm.colNo,
MATCH(W$3,Raw_Fund!$E$1:$AZ$1,0),
_xlpm.val,
INDEX(Raw_Fund!$E:$AZ,_xlpm.rowNo,_xlpm.colNo),
IF(ISNUMBER(_xlpm.val),_xlpm.val*$H136,""))</f>
        <v/>
      </c>
      <c r="X136" s="6" t="str">
        <f>_xlfn.LET(
_xlpm.rowNo, MATCH($C136&amp;"|"&amp;
($F136+X$4),Raw_Fund!$A:$A,0),
_xlpm.colNo,
MATCH(X$3,Raw_Fund!$E$1:$AZ$1,0),
_xlpm.val,
INDEX(Raw_Fund!$E:$AZ,_xlpm.rowNo,_xlpm.colNo),
IF(ISNUMBER(_xlpm.val),_xlpm.val*$H136,""))</f>
        <v/>
      </c>
      <c r="Y136" s="6" t="str">
        <f>_xlfn.LET(
_xlpm.rowNo, MATCH($C136&amp;"|"&amp;
($F136+Y$4),Raw_Fund!$A:$A,0),
_xlpm.colNo,
MATCH(Y$3,Raw_Fund!$E$1:$AZ$1,0),
_xlpm.val,
INDEX(Raw_Fund!$E:$AZ,_xlpm.rowNo,_xlpm.colNo),
IF(ISNUMBER(_xlpm.val),_xlpm.val*$H136,""))</f>
        <v/>
      </c>
      <c r="Z136" s="6" t="e">
        <f>IF($E136&lt;&gt;"Include","",_xlfn.XLOOKUP($C136,Raw_Mkt!$A:$A,Raw_Mkt!$B:$B))</f>
        <v>#N/A</v>
      </c>
    </row>
    <row r="137" spans="1:26" x14ac:dyDescent="0.4">
      <c r="A137" t="str">
        <f>IF(Universe!A137&lt;&gt;"",Universe!A137,"")</f>
        <v>LRE</v>
      </c>
      <c r="B137" t="str">
        <f>IF(Universe!B137&lt;&gt;"",Universe!B137,"")</f>
        <v>Lancashire Holdings</v>
      </c>
      <c r="C137" t="str">
        <f>IF(Universe!C137&lt;&gt;"",Universe!C137,"")</f>
        <v>BMG5361W1047</v>
      </c>
      <c r="D137" t="str">
        <f>IF(Universe!D137&lt;&gt;"",Universe!D137,"")</f>
        <v>Financials</v>
      </c>
      <c r="E137" t="str">
        <f>Universe!G137</f>
        <v>Exclude</v>
      </c>
      <c r="F137" t="str">
        <f>IF($E137&lt;&gt;"Include","",_xlfn.LET(_xlpm.latest,_xlfn.MAXIFS(Raw_Fund!$C:$C,Raw_Fund!$B:$B,Data!$C137),IF(_xlpm.latest=0,"",_xlpm.latest)))</f>
        <v/>
      </c>
      <c r="G137" t="str">
        <f>IF($F137="","",INDEX(Raw_Fund!$E:$AZ,MATCH($C137&amp;"|"&amp;$F137,Raw_Fund!$A:$A,0),MATCH(G$3,Raw_Fund!$E$1:$AZ$1,0)))</f>
        <v/>
      </c>
      <c r="H137" t="str">
        <f t="shared" si="2"/>
        <v/>
      </c>
      <c r="I137" s="6" t="str">
        <f>_xlfn.LET(
_xlpm.rowNo, MATCH($C137&amp;"|"&amp;
($F137+I$4),Raw_Fund!$A:$A,0),
_xlpm.colNo,
MATCH(I$3,Raw_Fund!$E$1:$AZ$1,0),
_xlpm.val,
INDEX(Raw_Fund!$E:$AZ,_xlpm.rowNo,_xlpm.colNo),
IF(ISNUMBER(_xlpm.val),_xlpm.val*$H137,""))</f>
        <v/>
      </c>
      <c r="J137" s="6" t="str">
        <f>_xlfn.LET(
_xlpm.rowNo, MATCH($C137&amp;"|"&amp;
($F137+J$4),Raw_Fund!$A:$A,0),
_xlpm.colNo,
MATCH(J$3,Raw_Fund!$E$1:$AZ$1,0),
_xlpm.val,
INDEX(Raw_Fund!$E:$AZ,_xlpm.rowNo,_xlpm.colNo),
IF(ISNUMBER(_xlpm.val),_xlpm.val*$H137,""))</f>
        <v/>
      </c>
      <c r="K137" s="6" t="str">
        <f>_xlfn.LET(
_xlpm.rowNo, MATCH($C137&amp;"|"&amp;
($F137+K$4),Raw_Fund!$A:$A,0),
_xlpm.colNo,
MATCH(K$3,Raw_Fund!$E$1:$AZ$1,0),
_xlpm.val,
INDEX(Raw_Fund!$E:$AZ,_xlpm.rowNo,_xlpm.colNo),
IF(ISNUMBER(_xlpm.val),_xlpm.val*$H137,""))</f>
        <v/>
      </c>
      <c r="L137" s="6" t="str">
        <f>_xlfn.LET(
_xlpm.rowNo, MATCH($C137&amp;"|"&amp;
($F137+L$4),Raw_Fund!$A:$A,0),
_xlpm.colNo,
MATCH(L$3,Raw_Fund!$E$1:$AZ$1,0),
_xlpm.val,
INDEX(Raw_Fund!$E:$AZ,_xlpm.rowNo,_xlpm.colNo),
IF(ISNUMBER(_xlpm.val),_xlpm.val*$H137,""))</f>
        <v/>
      </c>
      <c r="M137" s="6" t="str">
        <f>_xlfn.LET(
_xlpm.rowNo, MATCH($C137&amp;"|"&amp;
($F137+M$4),Raw_Fund!$A:$A,0),
_xlpm.colNo,
MATCH(M$3,Raw_Fund!$E$1:$AZ$1,0),
_xlpm.val,
INDEX(Raw_Fund!$E:$AZ,_xlpm.rowNo,_xlpm.colNo),
IF(ISNUMBER(_xlpm.val),_xlpm.val*$H137,""))</f>
        <v/>
      </c>
      <c r="N137" s="6" t="str">
        <f>_xlfn.LET(
_xlpm.rowNo, MATCH($C137&amp;"|"&amp;
($F137+N$4),Raw_Fund!$A:$A,0),
_xlpm.colNo,
MATCH(N$3,Raw_Fund!$E$1:$AZ$1,0),
_xlpm.val,
INDEX(Raw_Fund!$E:$AZ,_xlpm.rowNo,_xlpm.colNo),
IF(ISNUMBER(_xlpm.val),_xlpm.val*$H137,""))</f>
        <v/>
      </c>
      <c r="O137" s="6" t="str">
        <f>_xlfn.LET(
_xlpm.rowNo, MATCH($C137&amp;"|"&amp;
($F137+O$4),Raw_Fund!$A:$A,0),
_xlpm.colNo,
MATCH(O$3,Raw_Fund!$E$1:$AZ$1,0),
_xlpm.val,
INDEX(Raw_Fund!$E:$AZ,_xlpm.rowNo,_xlpm.colNo),
IF(ISNUMBER(_xlpm.val),_xlpm.val*$H137,""))</f>
        <v/>
      </c>
      <c r="P137" s="6" t="str">
        <f>_xlfn.LET(
_xlpm.rowNo, MATCH($C137&amp;"|"&amp;
($F137+P$4),Raw_Fund!$A:$A,0),
_xlpm.colNo,
MATCH(P$3,Raw_Fund!$E$1:$AZ$1,0),
_xlpm.val,
INDEX(Raw_Fund!$E:$AZ,_xlpm.rowNo,_xlpm.colNo),
IF(ISNUMBER(_xlpm.val),_xlpm.val*$H137,""))</f>
        <v/>
      </c>
      <c r="Q137" s="6" t="str">
        <f>_xlfn.LET(
_xlpm.rowNo, MATCH($C137&amp;"|"&amp;
($F137+Q$4),Raw_Fund!$A:$A,0),
_xlpm.colNo,
MATCH(Q$3,Raw_Fund!$E$1:$AZ$1,0),
_xlpm.val,
INDEX(Raw_Fund!$E:$AZ,_xlpm.rowNo,_xlpm.colNo),
IF(ISNUMBER(_xlpm.val),_xlpm.val*$H137,""))</f>
        <v/>
      </c>
      <c r="R137" s="6" t="str">
        <f>_xlfn.LET(
_xlpm.rowNo, MATCH($C137&amp;"|"&amp;
($F137+R$4),Raw_Fund!$A:$A,0),
_xlpm.colNo,
MATCH(R$3,Raw_Fund!$E$1:$AZ$1,0),
_xlpm.val,
INDEX(Raw_Fund!$E:$AZ,_xlpm.rowNo,_xlpm.colNo),
IF(ISNUMBER(_xlpm.val),_xlpm.val*$H137,""))</f>
        <v/>
      </c>
      <c r="S137" s="6" t="str">
        <f>_xlfn.LET(
_xlpm.rowNo, MATCH($C137&amp;"|"&amp;
($F137+S$4),Raw_Fund!$A:$A,0),
_xlpm.colNo,
MATCH(S$3,Raw_Fund!$E$1:$AZ$1,0),
_xlpm.val,
INDEX(Raw_Fund!$E:$AZ,_xlpm.rowNo,_xlpm.colNo),
IF(ISNUMBER(_xlpm.val),_xlpm.val*$H137,""))</f>
        <v/>
      </c>
      <c r="T137" s="6" t="str">
        <f>_xlfn.LET(
_xlpm.rowNo, MATCH($C137&amp;"|"&amp;
($F137+T$4),Raw_Fund!$A:$A,0),
_xlpm.colNo,
MATCH(T$3,Raw_Fund!$E$1:$AZ$1,0),
_xlpm.val,
INDEX(Raw_Fund!$E:$AZ,_xlpm.rowNo,_xlpm.colNo),
IF(ISNUMBER(_xlpm.val),_xlpm.val*$H137,""))</f>
        <v/>
      </c>
      <c r="U137" s="6" t="str">
        <f>_xlfn.LET(
_xlpm.rowNo, MATCH($C137&amp;"|"&amp;
($F137+U$4),Raw_Fund!$A:$A,0),
_xlpm.colNo,
MATCH(U$3,Raw_Fund!$E$1:$AZ$1,0),
_xlpm.val,
INDEX(Raw_Fund!$E:$AZ,_xlpm.rowNo,_xlpm.colNo),
IF(ISNUMBER(_xlpm.val),_xlpm.val*$H137,""))</f>
        <v/>
      </c>
      <c r="V137" s="6" t="str">
        <f>_xlfn.LET(
_xlpm.rowNo, MATCH($C137&amp;"|"&amp;
($F137+V$4),Raw_Fund!$A:$A,0),
_xlpm.colNo,
MATCH(V$3,Raw_Fund!$E$1:$AZ$1,0),
_xlpm.val,
INDEX(Raw_Fund!$E:$AZ,_xlpm.rowNo,_xlpm.colNo),
IF(ISNUMBER(_xlpm.val),_xlpm.val*$H137,""))</f>
        <v/>
      </c>
      <c r="W137" s="6" t="str">
        <f>_xlfn.LET(
_xlpm.rowNo, MATCH($C137&amp;"|"&amp;
($F137+W$4),Raw_Fund!$A:$A,0),
_xlpm.colNo,
MATCH(W$3,Raw_Fund!$E$1:$AZ$1,0),
_xlpm.val,
INDEX(Raw_Fund!$E:$AZ,_xlpm.rowNo,_xlpm.colNo),
IF(ISNUMBER(_xlpm.val),_xlpm.val*$H137,""))</f>
        <v/>
      </c>
      <c r="X137" s="6" t="str">
        <f>_xlfn.LET(
_xlpm.rowNo, MATCH($C137&amp;"|"&amp;
($F137+X$4),Raw_Fund!$A:$A,0),
_xlpm.colNo,
MATCH(X$3,Raw_Fund!$E$1:$AZ$1,0),
_xlpm.val,
INDEX(Raw_Fund!$E:$AZ,_xlpm.rowNo,_xlpm.colNo),
IF(ISNUMBER(_xlpm.val),_xlpm.val*$H137,""))</f>
        <v/>
      </c>
      <c r="Y137" s="6" t="str">
        <f>_xlfn.LET(
_xlpm.rowNo, MATCH($C137&amp;"|"&amp;
($F137+Y$4),Raw_Fund!$A:$A,0),
_xlpm.colNo,
MATCH(Y$3,Raw_Fund!$E$1:$AZ$1,0),
_xlpm.val,
INDEX(Raw_Fund!$E:$AZ,_xlpm.rowNo,_xlpm.colNo),
IF(ISNUMBER(_xlpm.val),_xlpm.val*$H137,""))</f>
        <v/>
      </c>
      <c r="Z137" s="6" t="str">
        <f>IF($E137&lt;&gt;"Include","",_xlfn.XLOOKUP($C137,Raw_Mkt!$A:$A,Raw_Mkt!$B:$B))</f>
        <v/>
      </c>
    </row>
    <row r="138" spans="1:26" x14ac:dyDescent="0.4">
      <c r="A138" t="str">
        <f>IF(Universe!A138&lt;&gt;"",Universe!A138,"")</f>
        <v>LWDB</v>
      </c>
      <c r="B138" t="str">
        <f>IF(Universe!B138&lt;&gt;"",Universe!B138,"")</f>
        <v>Law Debenture</v>
      </c>
      <c r="C138" t="str">
        <f>IF(Universe!C138&lt;&gt;"",Universe!C138,"")</f>
        <v>GB0031429219</v>
      </c>
      <c r="D138" t="str">
        <f>IF(Universe!D138&lt;&gt;"",Universe!D138,"")</f>
        <v>Financials</v>
      </c>
      <c r="E138" t="str">
        <f>Universe!G138</f>
        <v>Exclude</v>
      </c>
      <c r="F138" t="str">
        <f>IF($E138&lt;&gt;"Include","",_xlfn.LET(_xlpm.latest,_xlfn.MAXIFS(Raw_Fund!$C:$C,Raw_Fund!$B:$B,Data!$C138),IF(_xlpm.latest=0,"",_xlpm.latest)))</f>
        <v/>
      </c>
      <c r="G138" t="str">
        <f>IF($F138="","",INDEX(Raw_Fund!$E:$AZ,MATCH($C138&amp;"|"&amp;$F138,Raw_Fund!$A:$A,0),MATCH(G$3,Raw_Fund!$E$1:$AZ$1,0)))</f>
        <v/>
      </c>
      <c r="H138" t="str">
        <f t="shared" si="2"/>
        <v/>
      </c>
      <c r="I138" s="6" t="str">
        <f>_xlfn.LET(
_xlpm.rowNo, MATCH($C138&amp;"|"&amp;
($F138+I$4),Raw_Fund!$A:$A,0),
_xlpm.colNo,
MATCH(I$3,Raw_Fund!$E$1:$AZ$1,0),
_xlpm.val,
INDEX(Raw_Fund!$E:$AZ,_xlpm.rowNo,_xlpm.colNo),
IF(ISNUMBER(_xlpm.val),_xlpm.val*$H138,""))</f>
        <v/>
      </c>
      <c r="J138" s="6" t="str">
        <f>_xlfn.LET(
_xlpm.rowNo, MATCH($C138&amp;"|"&amp;
($F138+J$4),Raw_Fund!$A:$A,0),
_xlpm.colNo,
MATCH(J$3,Raw_Fund!$E$1:$AZ$1,0),
_xlpm.val,
INDEX(Raw_Fund!$E:$AZ,_xlpm.rowNo,_xlpm.colNo),
IF(ISNUMBER(_xlpm.val),_xlpm.val*$H138,""))</f>
        <v/>
      </c>
      <c r="K138" s="6" t="str">
        <f>_xlfn.LET(
_xlpm.rowNo, MATCH($C138&amp;"|"&amp;
($F138+K$4),Raw_Fund!$A:$A,0),
_xlpm.colNo,
MATCH(K$3,Raw_Fund!$E$1:$AZ$1,0),
_xlpm.val,
INDEX(Raw_Fund!$E:$AZ,_xlpm.rowNo,_xlpm.colNo),
IF(ISNUMBER(_xlpm.val),_xlpm.val*$H138,""))</f>
        <v/>
      </c>
      <c r="L138" s="6" t="str">
        <f>_xlfn.LET(
_xlpm.rowNo, MATCH($C138&amp;"|"&amp;
($F138+L$4),Raw_Fund!$A:$A,0),
_xlpm.colNo,
MATCH(L$3,Raw_Fund!$E$1:$AZ$1,0),
_xlpm.val,
INDEX(Raw_Fund!$E:$AZ,_xlpm.rowNo,_xlpm.colNo),
IF(ISNUMBER(_xlpm.val),_xlpm.val*$H138,""))</f>
        <v/>
      </c>
      <c r="M138" s="6" t="str">
        <f>_xlfn.LET(
_xlpm.rowNo, MATCH($C138&amp;"|"&amp;
($F138+M$4),Raw_Fund!$A:$A,0),
_xlpm.colNo,
MATCH(M$3,Raw_Fund!$E$1:$AZ$1,0),
_xlpm.val,
INDEX(Raw_Fund!$E:$AZ,_xlpm.rowNo,_xlpm.colNo),
IF(ISNUMBER(_xlpm.val),_xlpm.val*$H138,""))</f>
        <v/>
      </c>
      <c r="N138" s="6" t="str">
        <f>_xlfn.LET(
_xlpm.rowNo, MATCH($C138&amp;"|"&amp;
($F138+N$4),Raw_Fund!$A:$A,0),
_xlpm.colNo,
MATCH(N$3,Raw_Fund!$E$1:$AZ$1,0),
_xlpm.val,
INDEX(Raw_Fund!$E:$AZ,_xlpm.rowNo,_xlpm.colNo),
IF(ISNUMBER(_xlpm.val),_xlpm.val*$H138,""))</f>
        <v/>
      </c>
      <c r="O138" s="6" t="str">
        <f>_xlfn.LET(
_xlpm.rowNo, MATCH($C138&amp;"|"&amp;
($F138+O$4),Raw_Fund!$A:$A,0),
_xlpm.colNo,
MATCH(O$3,Raw_Fund!$E$1:$AZ$1,0),
_xlpm.val,
INDEX(Raw_Fund!$E:$AZ,_xlpm.rowNo,_xlpm.colNo),
IF(ISNUMBER(_xlpm.val),_xlpm.val*$H138,""))</f>
        <v/>
      </c>
      <c r="P138" s="6" t="str">
        <f>_xlfn.LET(
_xlpm.rowNo, MATCH($C138&amp;"|"&amp;
($F138+P$4),Raw_Fund!$A:$A,0),
_xlpm.colNo,
MATCH(P$3,Raw_Fund!$E$1:$AZ$1,0),
_xlpm.val,
INDEX(Raw_Fund!$E:$AZ,_xlpm.rowNo,_xlpm.colNo),
IF(ISNUMBER(_xlpm.val),_xlpm.val*$H138,""))</f>
        <v/>
      </c>
      <c r="Q138" s="6" t="str">
        <f>_xlfn.LET(
_xlpm.rowNo, MATCH($C138&amp;"|"&amp;
($F138+Q$4),Raw_Fund!$A:$A,0),
_xlpm.colNo,
MATCH(Q$3,Raw_Fund!$E$1:$AZ$1,0),
_xlpm.val,
INDEX(Raw_Fund!$E:$AZ,_xlpm.rowNo,_xlpm.colNo),
IF(ISNUMBER(_xlpm.val),_xlpm.val*$H138,""))</f>
        <v/>
      </c>
      <c r="R138" s="6" t="str">
        <f>_xlfn.LET(
_xlpm.rowNo, MATCH($C138&amp;"|"&amp;
($F138+R$4),Raw_Fund!$A:$A,0),
_xlpm.colNo,
MATCH(R$3,Raw_Fund!$E$1:$AZ$1,0),
_xlpm.val,
INDEX(Raw_Fund!$E:$AZ,_xlpm.rowNo,_xlpm.colNo),
IF(ISNUMBER(_xlpm.val),_xlpm.val*$H138,""))</f>
        <v/>
      </c>
      <c r="S138" s="6" t="str">
        <f>_xlfn.LET(
_xlpm.rowNo, MATCH($C138&amp;"|"&amp;
($F138+S$4),Raw_Fund!$A:$A,0),
_xlpm.colNo,
MATCH(S$3,Raw_Fund!$E$1:$AZ$1,0),
_xlpm.val,
INDEX(Raw_Fund!$E:$AZ,_xlpm.rowNo,_xlpm.colNo),
IF(ISNUMBER(_xlpm.val),_xlpm.val*$H138,""))</f>
        <v/>
      </c>
      <c r="T138" s="6" t="str">
        <f>_xlfn.LET(
_xlpm.rowNo, MATCH($C138&amp;"|"&amp;
($F138+T$4),Raw_Fund!$A:$A,0),
_xlpm.colNo,
MATCH(T$3,Raw_Fund!$E$1:$AZ$1,0),
_xlpm.val,
INDEX(Raw_Fund!$E:$AZ,_xlpm.rowNo,_xlpm.colNo),
IF(ISNUMBER(_xlpm.val),_xlpm.val*$H138,""))</f>
        <v/>
      </c>
      <c r="U138" s="6" t="str">
        <f>_xlfn.LET(
_xlpm.rowNo, MATCH($C138&amp;"|"&amp;
($F138+U$4),Raw_Fund!$A:$A,0),
_xlpm.colNo,
MATCH(U$3,Raw_Fund!$E$1:$AZ$1,0),
_xlpm.val,
INDEX(Raw_Fund!$E:$AZ,_xlpm.rowNo,_xlpm.colNo),
IF(ISNUMBER(_xlpm.val),_xlpm.val*$H138,""))</f>
        <v/>
      </c>
      <c r="V138" s="6" t="str">
        <f>_xlfn.LET(
_xlpm.rowNo, MATCH($C138&amp;"|"&amp;
($F138+V$4),Raw_Fund!$A:$A,0),
_xlpm.colNo,
MATCH(V$3,Raw_Fund!$E$1:$AZ$1,0),
_xlpm.val,
INDEX(Raw_Fund!$E:$AZ,_xlpm.rowNo,_xlpm.colNo),
IF(ISNUMBER(_xlpm.val),_xlpm.val*$H138,""))</f>
        <v/>
      </c>
      <c r="W138" s="6" t="str">
        <f>_xlfn.LET(
_xlpm.rowNo, MATCH($C138&amp;"|"&amp;
($F138+W$4),Raw_Fund!$A:$A,0),
_xlpm.colNo,
MATCH(W$3,Raw_Fund!$E$1:$AZ$1,0),
_xlpm.val,
INDEX(Raw_Fund!$E:$AZ,_xlpm.rowNo,_xlpm.colNo),
IF(ISNUMBER(_xlpm.val),_xlpm.val*$H138,""))</f>
        <v/>
      </c>
      <c r="X138" s="6" t="str">
        <f>_xlfn.LET(
_xlpm.rowNo, MATCH($C138&amp;"|"&amp;
($F138+X$4),Raw_Fund!$A:$A,0),
_xlpm.colNo,
MATCH(X$3,Raw_Fund!$E$1:$AZ$1,0),
_xlpm.val,
INDEX(Raw_Fund!$E:$AZ,_xlpm.rowNo,_xlpm.colNo),
IF(ISNUMBER(_xlpm.val),_xlpm.val*$H138,""))</f>
        <v/>
      </c>
      <c r="Y138" s="6" t="str">
        <f>_xlfn.LET(
_xlpm.rowNo, MATCH($C138&amp;"|"&amp;
($F138+Y$4),Raw_Fund!$A:$A,0),
_xlpm.colNo,
MATCH(Y$3,Raw_Fund!$E$1:$AZ$1,0),
_xlpm.val,
INDEX(Raw_Fund!$E:$AZ,_xlpm.rowNo,_xlpm.colNo),
IF(ISNUMBER(_xlpm.val),_xlpm.val*$H138,""))</f>
        <v/>
      </c>
      <c r="Z138" s="6" t="str">
        <f>IF($E138&lt;&gt;"Include","",_xlfn.XLOOKUP($C138,Raw_Mkt!$A:$A,Raw_Mkt!$B:$B))</f>
        <v/>
      </c>
    </row>
    <row r="139" spans="1:26" x14ac:dyDescent="0.4">
      <c r="A139" t="str">
        <f>IF(Universe!A139&lt;&gt;"",Universe!A139,"")</f>
        <v>EMG</v>
      </c>
      <c r="B139" t="str">
        <f>IF(Universe!B139&lt;&gt;"",Universe!B139,"")</f>
        <v>Man Group</v>
      </c>
      <c r="C139" t="str">
        <f>IF(Universe!C139&lt;&gt;"",Universe!C139,"")</f>
        <v>JE00BJ1DLW90</v>
      </c>
      <c r="D139" t="str">
        <f>IF(Universe!D139&lt;&gt;"",Universe!D139,"")</f>
        <v>Financials</v>
      </c>
      <c r="E139" t="str">
        <f>Universe!G139</f>
        <v>Exclude</v>
      </c>
      <c r="F139" t="str">
        <f>IF($E139&lt;&gt;"Include","",_xlfn.LET(_xlpm.latest,_xlfn.MAXIFS(Raw_Fund!$C:$C,Raw_Fund!$B:$B,Data!$C139),IF(_xlpm.latest=0,"",_xlpm.latest)))</f>
        <v/>
      </c>
      <c r="G139" t="str">
        <f>IF($F139="","",INDEX(Raw_Fund!$E:$AZ,MATCH($C139&amp;"|"&amp;$F139,Raw_Fund!$A:$A,0),MATCH(G$3,Raw_Fund!$E$1:$AZ$1,0)))</f>
        <v/>
      </c>
      <c r="H139" t="str">
        <f t="shared" si="2"/>
        <v/>
      </c>
      <c r="I139" s="6" t="str">
        <f>_xlfn.LET(
_xlpm.rowNo, MATCH($C139&amp;"|"&amp;
($F139+I$4),Raw_Fund!$A:$A,0),
_xlpm.colNo,
MATCH(I$3,Raw_Fund!$E$1:$AZ$1,0),
_xlpm.val,
INDEX(Raw_Fund!$E:$AZ,_xlpm.rowNo,_xlpm.colNo),
IF(ISNUMBER(_xlpm.val),_xlpm.val*$H139,""))</f>
        <v/>
      </c>
      <c r="J139" s="6" t="str">
        <f>_xlfn.LET(
_xlpm.rowNo, MATCH($C139&amp;"|"&amp;
($F139+J$4),Raw_Fund!$A:$A,0),
_xlpm.colNo,
MATCH(J$3,Raw_Fund!$E$1:$AZ$1,0),
_xlpm.val,
INDEX(Raw_Fund!$E:$AZ,_xlpm.rowNo,_xlpm.colNo),
IF(ISNUMBER(_xlpm.val),_xlpm.val*$H139,""))</f>
        <v/>
      </c>
      <c r="K139" s="6" t="str">
        <f>_xlfn.LET(
_xlpm.rowNo, MATCH($C139&amp;"|"&amp;
($F139+K$4),Raw_Fund!$A:$A,0),
_xlpm.colNo,
MATCH(K$3,Raw_Fund!$E$1:$AZ$1,0),
_xlpm.val,
INDEX(Raw_Fund!$E:$AZ,_xlpm.rowNo,_xlpm.colNo),
IF(ISNUMBER(_xlpm.val),_xlpm.val*$H139,""))</f>
        <v/>
      </c>
      <c r="L139" s="6" t="str">
        <f>_xlfn.LET(
_xlpm.rowNo, MATCH($C139&amp;"|"&amp;
($F139+L$4),Raw_Fund!$A:$A,0),
_xlpm.colNo,
MATCH(L$3,Raw_Fund!$E$1:$AZ$1,0),
_xlpm.val,
INDEX(Raw_Fund!$E:$AZ,_xlpm.rowNo,_xlpm.colNo),
IF(ISNUMBER(_xlpm.val),_xlpm.val*$H139,""))</f>
        <v/>
      </c>
      <c r="M139" s="6" t="str">
        <f>_xlfn.LET(
_xlpm.rowNo, MATCH($C139&amp;"|"&amp;
($F139+M$4),Raw_Fund!$A:$A,0),
_xlpm.colNo,
MATCH(M$3,Raw_Fund!$E$1:$AZ$1,0),
_xlpm.val,
INDEX(Raw_Fund!$E:$AZ,_xlpm.rowNo,_xlpm.colNo),
IF(ISNUMBER(_xlpm.val),_xlpm.val*$H139,""))</f>
        <v/>
      </c>
      <c r="N139" s="6" t="str">
        <f>_xlfn.LET(
_xlpm.rowNo, MATCH($C139&amp;"|"&amp;
($F139+N$4),Raw_Fund!$A:$A,0),
_xlpm.colNo,
MATCH(N$3,Raw_Fund!$E$1:$AZ$1,0),
_xlpm.val,
INDEX(Raw_Fund!$E:$AZ,_xlpm.rowNo,_xlpm.colNo),
IF(ISNUMBER(_xlpm.val),_xlpm.val*$H139,""))</f>
        <v/>
      </c>
      <c r="O139" s="6" t="str">
        <f>_xlfn.LET(
_xlpm.rowNo, MATCH($C139&amp;"|"&amp;
($F139+O$4),Raw_Fund!$A:$A,0),
_xlpm.colNo,
MATCH(O$3,Raw_Fund!$E$1:$AZ$1,0),
_xlpm.val,
INDEX(Raw_Fund!$E:$AZ,_xlpm.rowNo,_xlpm.colNo),
IF(ISNUMBER(_xlpm.val),_xlpm.val*$H139,""))</f>
        <v/>
      </c>
      <c r="P139" s="6" t="str">
        <f>_xlfn.LET(
_xlpm.rowNo, MATCH($C139&amp;"|"&amp;
($F139+P$4),Raw_Fund!$A:$A,0),
_xlpm.colNo,
MATCH(P$3,Raw_Fund!$E$1:$AZ$1,0),
_xlpm.val,
INDEX(Raw_Fund!$E:$AZ,_xlpm.rowNo,_xlpm.colNo),
IF(ISNUMBER(_xlpm.val),_xlpm.val*$H139,""))</f>
        <v/>
      </c>
      <c r="Q139" s="6" t="str">
        <f>_xlfn.LET(
_xlpm.rowNo, MATCH($C139&amp;"|"&amp;
($F139+Q$4),Raw_Fund!$A:$A,0),
_xlpm.colNo,
MATCH(Q$3,Raw_Fund!$E$1:$AZ$1,0),
_xlpm.val,
INDEX(Raw_Fund!$E:$AZ,_xlpm.rowNo,_xlpm.colNo),
IF(ISNUMBER(_xlpm.val),_xlpm.val*$H139,""))</f>
        <v/>
      </c>
      <c r="R139" s="6" t="str">
        <f>_xlfn.LET(
_xlpm.rowNo, MATCH($C139&amp;"|"&amp;
($F139+R$4),Raw_Fund!$A:$A,0),
_xlpm.colNo,
MATCH(R$3,Raw_Fund!$E$1:$AZ$1,0),
_xlpm.val,
INDEX(Raw_Fund!$E:$AZ,_xlpm.rowNo,_xlpm.colNo),
IF(ISNUMBER(_xlpm.val),_xlpm.val*$H139,""))</f>
        <v/>
      </c>
      <c r="S139" s="6" t="str">
        <f>_xlfn.LET(
_xlpm.rowNo, MATCH($C139&amp;"|"&amp;
($F139+S$4),Raw_Fund!$A:$A,0),
_xlpm.colNo,
MATCH(S$3,Raw_Fund!$E$1:$AZ$1,0),
_xlpm.val,
INDEX(Raw_Fund!$E:$AZ,_xlpm.rowNo,_xlpm.colNo),
IF(ISNUMBER(_xlpm.val),_xlpm.val*$H139,""))</f>
        <v/>
      </c>
      <c r="T139" s="6" t="str">
        <f>_xlfn.LET(
_xlpm.rowNo, MATCH($C139&amp;"|"&amp;
($F139+T$4),Raw_Fund!$A:$A,0),
_xlpm.colNo,
MATCH(T$3,Raw_Fund!$E$1:$AZ$1,0),
_xlpm.val,
INDEX(Raw_Fund!$E:$AZ,_xlpm.rowNo,_xlpm.colNo),
IF(ISNUMBER(_xlpm.val),_xlpm.val*$H139,""))</f>
        <v/>
      </c>
      <c r="U139" s="6" t="str">
        <f>_xlfn.LET(
_xlpm.rowNo, MATCH($C139&amp;"|"&amp;
($F139+U$4),Raw_Fund!$A:$A,0),
_xlpm.colNo,
MATCH(U$3,Raw_Fund!$E$1:$AZ$1,0),
_xlpm.val,
INDEX(Raw_Fund!$E:$AZ,_xlpm.rowNo,_xlpm.colNo),
IF(ISNUMBER(_xlpm.val),_xlpm.val*$H139,""))</f>
        <v/>
      </c>
      <c r="V139" s="6" t="str">
        <f>_xlfn.LET(
_xlpm.rowNo, MATCH($C139&amp;"|"&amp;
($F139+V$4),Raw_Fund!$A:$A,0),
_xlpm.colNo,
MATCH(V$3,Raw_Fund!$E$1:$AZ$1,0),
_xlpm.val,
INDEX(Raw_Fund!$E:$AZ,_xlpm.rowNo,_xlpm.colNo),
IF(ISNUMBER(_xlpm.val),_xlpm.val*$H139,""))</f>
        <v/>
      </c>
      <c r="W139" s="6" t="str">
        <f>_xlfn.LET(
_xlpm.rowNo, MATCH($C139&amp;"|"&amp;
($F139+W$4),Raw_Fund!$A:$A,0),
_xlpm.colNo,
MATCH(W$3,Raw_Fund!$E$1:$AZ$1,0),
_xlpm.val,
INDEX(Raw_Fund!$E:$AZ,_xlpm.rowNo,_xlpm.colNo),
IF(ISNUMBER(_xlpm.val),_xlpm.val*$H139,""))</f>
        <v/>
      </c>
      <c r="X139" s="6" t="str">
        <f>_xlfn.LET(
_xlpm.rowNo, MATCH($C139&amp;"|"&amp;
($F139+X$4),Raw_Fund!$A:$A,0),
_xlpm.colNo,
MATCH(X$3,Raw_Fund!$E$1:$AZ$1,0),
_xlpm.val,
INDEX(Raw_Fund!$E:$AZ,_xlpm.rowNo,_xlpm.colNo),
IF(ISNUMBER(_xlpm.val),_xlpm.val*$H139,""))</f>
        <v/>
      </c>
      <c r="Y139" s="6" t="str">
        <f>_xlfn.LET(
_xlpm.rowNo, MATCH($C139&amp;"|"&amp;
($F139+Y$4),Raw_Fund!$A:$A,0),
_xlpm.colNo,
MATCH(Y$3,Raw_Fund!$E$1:$AZ$1,0),
_xlpm.val,
INDEX(Raw_Fund!$E:$AZ,_xlpm.rowNo,_xlpm.colNo),
IF(ISNUMBER(_xlpm.val),_xlpm.val*$H139,""))</f>
        <v/>
      </c>
      <c r="Z139" s="6" t="str">
        <f>IF($E139&lt;&gt;"Include","",_xlfn.XLOOKUP($C139,Raw_Mkt!$A:$A,Raw_Mkt!$B:$B))</f>
        <v/>
      </c>
    </row>
    <row r="140" spans="1:26" x14ac:dyDescent="0.4">
      <c r="A140" t="str">
        <f>IF(Universe!A140&lt;&gt;"",Universe!A140,"")</f>
        <v>MEGP</v>
      </c>
      <c r="B140" t="str">
        <f>IF(Universe!B140&lt;&gt;"",Universe!B140,"")</f>
        <v>ME Group International</v>
      </c>
      <c r="C140" t="str">
        <f>IF(Universe!C140&lt;&gt;"",Universe!C140,"")</f>
        <v>GB0008481250</v>
      </c>
      <c r="D140" t="str">
        <f>IF(Universe!D140&lt;&gt;"",Universe!D140,"")</f>
        <v>Consumer Discretionary</v>
      </c>
      <c r="E140" t="str">
        <f>Universe!G140</f>
        <v>Include</v>
      </c>
      <c r="F140" t="str">
        <f>IF($E140&lt;&gt;"Include","",_xlfn.LET(_xlpm.latest,_xlfn.MAXIFS(Raw_Fund!$C:$C,Raw_Fund!$B:$B,Data!$C140),IF(_xlpm.latest=0,"",_xlpm.latest)))</f>
        <v/>
      </c>
      <c r="G140" t="str">
        <f>IF($F140="","",INDEX(Raw_Fund!$E:$AZ,MATCH($C140&amp;"|"&amp;$F140,Raw_Fund!$A:$A,0),MATCH(G$3,Raw_Fund!$E$1:$AZ$1,0)))</f>
        <v/>
      </c>
      <c r="H140" t="str">
        <f t="shared" si="2"/>
        <v/>
      </c>
      <c r="I140" s="6" t="str">
        <f>_xlfn.LET(
_xlpm.rowNo, MATCH($C140&amp;"|"&amp;
($F140+I$4),Raw_Fund!$A:$A,0),
_xlpm.colNo,
MATCH(I$3,Raw_Fund!$E$1:$AZ$1,0),
_xlpm.val,
INDEX(Raw_Fund!$E:$AZ,_xlpm.rowNo,_xlpm.colNo),
IF(ISNUMBER(_xlpm.val),_xlpm.val*$H140,""))</f>
        <v/>
      </c>
      <c r="J140" s="6" t="str">
        <f>_xlfn.LET(
_xlpm.rowNo, MATCH($C140&amp;"|"&amp;
($F140+J$4),Raw_Fund!$A:$A,0),
_xlpm.colNo,
MATCH(J$3,Raw_Fund!$E$1:$AZ$1,0),
_xlpm.val,
INDEX(Raw_Fund!$E:$AZ,_xlpm.rowNo,_xlpm.colNo),
IF(ISNUMBER(_xlpm.val),_xlpm.val*$H140,""))</f>
        <v/>
      </c>
      <c r="K140" s="6" t="str">
        <f>_xlfn.LET(
_xlpm.rowNo, MATCH($C140&amp;"|"&amp;
($F140+K$4),Raw_Fund!$A:$A,0),
_xlpm.colNo,
MATCH(K$3,Raw_Fund!$E$1:$AZ$1,0),
_xlpm.val,
INDEX(Raw_Fund!$E:$AZ,_xlpm.rowNo,_xlpm.colNo),
IF(ISNUMBER(_xlpm.val),_xlpm.val*$H140,""))</f>
        <v/>
      </c>
      <c r="L140" s="6" t="str">
        <f>_xlfn.LET(
_xlpm.rowNo, MATCH($C140&amp;"|"&amp;
($F140+L$4),Raw_Fund!$A:$A,0),
_xlpm.colNo,
MATCH(L$3,Raw_Fund!$E$1:$AZ$1,0),
_xlpm.val,
INDEX(Raw_Fund!$E:$AZ,_xlpm.rowNo,_xlpm.colNo),
IF(ISNUMBER(_xlpm.val),_xlpm.val*$H140,""))</f>
        <v/>
      </c>
      <c r="M140" s="6" t="str">
        <f>_xlfn.LET(
_xlpm.rowNo, MATCH($C140&amp;"|"&amp;
($F140+M$4),Raw_Fund!$A:$A,0),
_xlpm.colNo,
MATCH(M$3,Raw_Fund!$E$1:$AZ$1,0),
_xlpm.val,
INDEX(Raw_Fund!$E:$AZ,_xlpm.rowNo,_xlpm.colNo),
IF(ISNUMBER(_xlpm.val),_xlpm.val*$H140,""))</f>
        <v/>
      </c>
      <c r="N140" s="6" t="str">
        <f>_xlfn.LET(
_xlpm.rowNo, MATCH($C140&amp;"|"&amp;
($F140+N$4),Raw_Fund!$A:$A,0),
_xlpm.colNo,
MATCH(N$3,Raw_Fund!$E$1:$AZ$1,0),
_xlpm.val,
INDEX(Raw_Fund!$E:$AZ,_xlpm.rowNo,_xlpm.colNo),
IF(ISNUMBER(_xlpm.val),_xlpm.val*$H140,""))</f>
        <v/>
      </c>
      <c r="O140" s="6" t="str">
        <f>_xlfn.LET(
_xlpm.rowNo, MATCH($C140&amp;"|"&amp;
($F140+O$4),Raw_Fund!$A:$A,0),
_xlpm.colNo,
MATCH(O$3,Raw_Fund!$E$1:$AZ$1,0),
_xlpm.val,
INDEX(Raw_Fund!$E:$AZ,_xlpm.rowNo,_xlpm.colNo),
IF(ISNUMBER(_xlpm.val),_xlpm.val*$H140,""))</f>
        <v/>
      </c>
      <c r="P140" s="6" t="str">
        <f>_xlfn.LET(
_xlpm.rowNo, MATCH($C140&amp;"|"&amp;
($F140+P$4),Raw_Fund!$A:$A,0),
_xlpm.colNo,
MATCH(P$3,Raw_Fund!$E$1:$AZ$1,0),
_xlpm.val,
INDEX(Raw_Fund!$E:$AZ,_xlpm.rowNo,_xlpm.colNo),
IF(ISNUMBER(_xlpm.val),_xlpm.val*$H140,""))</f>
        <v/>
      </c>
      <c r="Q140" s="6" t="str">
        <f>_xlfn.LET(
_xlpm.rowNo, MATCH($C140&amp;"|"&amp;
($F140+Q$4),Raw_Fund!$A:$A,0),
_xlpm.colNo,
MATCH(Q$3,Raw_Fund!$E$1:$AZ$1,0),
_xlpm.val,
INDEX(Raw_Fund!$E:$AZ,_xlpm.rowNo,_xlpm.colNo),
IF(ISNUMBER(_xlpm.val),_xlpm.val*$H140,""))</f>
        <v/>
      </c>
      <c r="R140" s="6" t="str">
        <f>_xlfn.LET(
_xlpm.rowNo, MATCH($C140&amp;"|"&amp;
($F140+R$4),Raw_Fund!$A:$A,0),
_xlpm.colNo,
MATCH(R$3,Raw_Fund!$E$1:$AZ$1,0),
_xlpm.val,
INDEX(Raw_Fund!$E:$AZ,_xlpm.rowNo,_xlpm.colNo),
IF(ISNUMBER(_xlpm.val),_xlpm.val*$H140,""))</f>
        <v/>
      </c>
      <c r="S140" s="6" t="str">
        <f>_xlfn.LET(
_xlpm.rowNo, MATCH($C140&amp;"|"&amp;
($F140+S$4),Raw_Fund!$A:$A,0),
_xlpm.colNo,
MATCH(S$3,Raw_Fund!$E$1:$AZ$1,0),
_xlpm.val,
INDEX(Raw_Fund!$E:$AZ,_xlpm.rowNo,_xlpm.colNo),
IF(ISNUMBER(_xlpm.val),_xlpm.val*$H140,""))</f>
        <v/>
      </c>
      <c r="T140" s="6" t="str">
        <f>_xlfn.LET(
_xlpm.rowNo, MATCH($C140&amp;"|"&amp;
($F140+T$4),Raw_Fund!$A:$A,0),
_xlpm.colNo,
MATCH(T$3,Raw_Fund!$E$1:$AZ$1,0),
_xlpm.val,
INDEX(Raw_Fund!$E:$AZ,_xlpm.rowNo,_xlpm.colNo),
IF(ISNUMBER(_xlpm.val),_xlpm.val*$H140,""))</f>
        <v/>
      </c>
      <c r="U140" s="6" t="str">
        <f>_xlfn.LET(
_xlpm.rowNo, MATCH($C140&amp;"|"&amp;
($F140+U$4),Raw_Fund!$A:$A,0),
_xlpm.colNo,
MATCH(U$3,Raw_Fund!$E$1:$AZ$1,0),
_xlpm.val,
INDEX(Raw_Fund!$E:$AZ,_xlpm.rowNo,_xlpm.colNo),
IF(ISNUMBER(_xlpm.val),_xlpm.val*$H140,""))</f>
        <v/>
      </c>
      <c r="V140" s="6" t="str">
        <f>_xlfn.LET(
_xlpm.rowNo, MATCH($C140&amp;"|"&amp;
($F140+V$4),Raw_Fund!$A:$A,0),
_xlpm.colNo,
MATCH(V$3,Raw_Fund!$E$1:$AZ$1,0),
_xlpm.val,
INDEX(Raw_Fund!$E:$AZ,_xlpm.rowNo,_xlpm.colNo),
IF(ISNUMBER(_xlpm.val),_xlpm.val*$H140,""))</f>
        <v/>
      </c>
      <c r="W140" s="6" t="str">
        <f>_xlfn.LET(
_xlpm.rowNo, MATCH($C140&amp;"|"&amp;
($F140+W$4),Raw_Fund!$A:$A,0),
_xlpm.colNo,
MATCH(W$3,Raw_Fund!$E$1:$AZ$1,0),
_xlpm.val,
INDEX(Raw_Fund!$E:$AZ,_xlpm.rowNo,_xlpm.colNo),
IF(ISNUMBER(_xlpm.val),_xlpm.val*$H140,""))</f>
        <v/>
      </c>
      <c r="X140" s="6" t="str">
        <f>_xlfn.LET(
_xlpm.rowNo, MATCH($C140&amp;"|"&amp;
($F140+X$4),Raw_Fund!$A:$A,0),
_xlpm.colNo,
MATCH(X$3,Raw_Fund!$E$1:$AZ$1,0),
_xlpm.val,
INDEX(Raw_Fund!$E:$AZ,_xlpm.rowNo,_xlpm.colNo),
IF(ISNUMBER(_xlpm.val),_xlpm.val*$H140,""))</f>
        <v/>
      </c>
      <c r="Y140" s="6" t="str">
        <f>_xlfn.LET(
_xlpm.rowNo, MATCH($C140&amp;"|"&amp;
($F140+Y$4),Raw_Fund!$A:$A,0),
_xlpm.colNo,
MATCH(Y$3,Raw_Fund!$E$1:$AZ$1,0),
_xlpm.val,
INDEX(Raw_Fund!$E:$AZ,_xlpm.rowNo,_xlpm.colNo),
IF(ISNUMBER(_xlpm.val),_xlpm.val*$H140,""))</f>
        <v/>
      </c>
      <c r="Z140" s="6" t="e">
        <f>IF($E140&lt;&gt;"Include","",_xlfn.XLOOKUP($C140,Raw_Mkt!$A:$A,Raw_Mkt!$B:$B))</f>
        <v>#N/A</v>
      </c>
    </row>
    <row r="141" spans="1:26" x14ac:dyDescent="0.4">
      <c r="A141" t="str">
        <f>IF(Universe!A141&lt;&gt;"",Universe!A141,"")</f>
        <v>MRC</v>
      </c>
      <c r="B141" t="str">
        <f>IF(Universe!B141&lt;&gt;"",Universe!B141,"")</f>
        <v>Mercantile Investment Trust</v>
      </c>
      <c r="C141" t="str">
        <f>IF(Universe!C141&lt;&gt;"",Universe!C141,"")</f>
        <v>GB00BF4JDH58</v>
      </c>
      <c r="D141" t="str">
        <f>IF(Universe!D141&lt;&gt;"",Universe!D141,"")</f>
        <v>Financials</v>
      </c>
      <c r="E141" t="str">
        <f>Universe!G141</f>
        <v>Exclude</v>
      </c>
      <c r="F141" t="str">
        <f>IF($E141&lt;&gt;"Include","",_xlfn.LET(_xlpm.latest,_xlfn.MAXIFS(Raw_Fund!$C:$C,Raw_Fund!$B:$B,Data!$C141),IF(_xlpm.latest=0,"",_xlpm.latest)))</f>
        <v/>
      </c>
      <c r="G141" t="str">
        <f>IF($F141="","",INDEX(Raw_Fund!$E:$AZ,MATCH($C141&amp;"|"&amp;$F141,Raw_Fund!$A:$A,0),MATCH(G$3,Raw_Fund!$E$1:$AZ$1,0)))</f>
        <v/>
      </c>
      <c r="H141" t="str">
        <f t="shared" si="2"/>
        <v/>
      </c>
      <c r="I141" s="6" t="str">
        <f>_xlfn.LET(
_xlpm.rowNo, MATCH($C141&amp;"|"&amp;
($F141+I$4),Raw_Fund!$A:$A,0),
_xlpm.colNo,
MATCH(I$3,Raw_Fund!$E$1:$AZ$1,0),
_xlpm.val,
INDEX(Raw_Fund!$E:$AZ,_xlpm.rowNo,_xlpm.colNo),
IF(ISNUMBER(_xlpm.val),_xlpm.val*$H141,""))</f>
        <v/>
      </c>
      <c r="J141" s="6" t="str">
        <f>_xlfn.LET(
_xlpm.rowNo, MATCH($C141&amp;"|"&amp;
($F141+J$4),Raw_Fund!$A:$A,0),
_xlpm.colNo,
MATCH(J$3,Raw_Fund!$E$1:$AZ$1,0),
_xlpm.val,
INDEX(Raw_Fund!$E:$AZ,_xlpm.rowNo,_xlpm.colNo),
IF(ISNUMBER(_xlpm.val),_xlpm.val*$H141,""))</f>
        <v/>
      </c>
      <c r="K141" s="6" t="str">
        <f>_xlfn.LET(
_xlpm.rowNo, MATCH($C141&amp;"|"&amp;
($F141+K$4),Raw_Fund!$A:$A,0),
_xlpm.colNo,
MATCH(K$3,Raw_Fund!$E$1:$AZ$1,0),
_xlpm.val,
INDEX(Raw_Fund!$E:$AZ,_xlpm.rowNo,_xlpm.colNo),
IF(ISNUMBER(_xlpm.val),_xlpm.val*$H141,""))</f>
        <v/>
      </c>
      <c r="L141" s="6" t="str">
        <f>_xlfn.LET(
_xlpm.rowNo, MATCH($C141&amp;"|"&amp;
($F141+L$4),Raw_Fund!$A:$A,0),
_xlpm.colNo,
MATCH(L$3,Raw_Fund!$E$1:$AZ$1,0),
_xlpm.val,
INDEX(Raw_Fund!$E:$AZ,_xlpm.rowNo,_xlpm.colNo),
IF(ISNUMBER(_xlpm.val),_xlpm.val*$H141,""))</f>
        <v/>
      </c>
      <c r="M141" s="6" t="str">
        <f>_xlfn.LET(
_xlpm.rowNo, MATCH($C141&amp;"|"&amp;
($F141+M$4),Raw_Fund!$A:$A,0),
_xlpm.colNo,
MATCH(M$3,Raw_Fund!$E$1:$AZ$1,0),
_xlpm.val,
INDEX(Raw_Fund!$E:$AZ,_xlpm.rowNo,_xlpm.colNo),
IF(ISNUMBER(_xlpm.val),_xlpm.val*$H141,""))</f>
        <v/>
      </c>
      <c r="N141" s="6" t="str">
        <f>_xlfn.LET(
_xlpm.rowNo, MATCH($C141&amp;"|"&amp;
($F141+N$4),Raw_Fund!$A:$A,0),
_xlpm.colNo,
MATCH(N$3,Raw_Fund!$E$1:$AZ$1,0),
_xlpm.val,
INDEX(Raw_Fund!$E:$AZ,_xlpm.rowNo,_xlpm.colNo),
IF(ISNUMBER(_xlpm.val),_xlpm.val*$H141,""))</f>
        <v/>
      </c>
      <c r="O141" s="6" t="str">
        <f>_xlfn.LET(
_xlpm.rowNo, MATCH($C141&amp;"|"&amp;
($F141+O$4),Raw_Fund!$A:$A,0),
_xlpm.colNo,
MATCH(O$3,Raw_Fund!$E$1:$AZ$1,0),
_xlpm.val,
INDEX(Raw_Fund!$E:$AZ,_xlpm.rowNo,_xlpm.colNo),
IF(ISNUMBER(_xlpm.val),_xlpm.val*$H141,""))</f>
        <v/>
      </c>
      <c r="P141" s="6" t="str">
        <f>_xlfn.LET(
_xlpm.rowNo, MATCH($C141&amp;"|"&amp;
($F141+P$4),Raw_Fund!$A:$A,0),
_xlpm.colNo,
MATCH(P$3,Raw_Fund!$E$1:$AZ$1,0),
_xlpm.val,
INDEX(Raw_Fund!$E:$AZ,_xlpm.rowNo,_xlpm.colNo),
IF(ISNUMBER(_xlpm.val),_xlpm.val*$H141,""))</f>
        <v/>
      </c>
      <c r="Q141" s="6" t="str">
        <f>_xlfn.LET(
_xlpm.rowNo, MATCH($C141&amp;"|"&amp;
($F141+Q$4),Raw_Fund!$A:$A,0),
_xlpm.colNo,
MATCH(Q$3,Raw_Fund!$E$1:$AZ$1,0),
_xlpm.val,
INDEX(Raw_Fund!$E:$AZ,_xlpm.rowNo,_xlpm.colNo),
IF(ISNUMBER(_xlpm.val),_xlpm.val*$H141,""))</f>
        <v/>
      </c>
      <c r="R141" s="6" t="str">
        <f>_xlfn.LET(
_xlpm.rowNo, MATCH($C141&amp;"|"&amp;
($F141+R$4),Raw_Fund!$A:$A,0),
_xlpm.colNo,
MATCH(R$3,Raw_Fund!$E$1:$AZ$1,0),
_xlpm.val,
INDEX(Raw_Fund!$E:$AZ,_xlpm.rowNo,_xlpm.colNo),
IF(ISNUMBER(_xlpm.val),_xlpm.val*$H141,""))</f>
        <v/>
      </c>
      <c r="S141" s="6" t="str">
        <f>_xlfn.LET(
_xlpm.rowNo, MATCH($C141&amp;"|"&amp;
($F141+S$4),Raw_Fund!$A:$A,0),
_xlpm.colNo,
MATCH(S$3,Raw_Fund!$E$1:$AZ$1,0),
_xlpm.val,
INDEX(Raw_Fund!$E:$AZ,_xlpm.rowNo,_xlpm.colNo),
IF(ISNUMBER(_xlpm.val),_xlpm.val*$H141,""))</f>
        <v/>
      </c>
      <c r="T141" s="6" t="str">
        <f>_xlfn.LET(
_xlpm.rowNo, MATCH($C141&amp;"|"&amp;
($F141+T$4),Raw_Fund!$A:$A,0),
_xlpm.colNo,
MATCH(T$3,Raw_Fund!$E$1:$AZ$1,0),
_xlpm.val,
INDEX(Raw_Fund!$E:$AZ,_xlpm.rowNo,_xlpm.colNo),
IF(ISNUMBER(_xlpm.val),_xlpm.val*$H141,""))</f>
        <v/>
      </c>
      <c r="U141" s="6" t="str">
        <f>_xlfn.LET(
_xlpm.rowNo, MATCH($C141&amp;"|"&amp;
($F141+U$4),Raw_Fund!$A:$A,0),
_xlpm.colNo,
MATCH(U$3,Raw_Fund!$E$1:$AZ$1,0),
_xlpm.val,
INDEX(Raw_Fund!$E:$AZ,_xlpm.rowNo,_xlpm.colNo),
IF(ISNUMBER(_xlpm.val),_xlpm.val*$H141,""))</f>
        <v/>
      </c>
      <c r="V141" s="6" t="str">
        <f>_xlfn.LET(
_xlpm.rowNo, MATCH($C141&amp;"|"&amp;
($F141+V$4),Raw_Fund!$A:$A,0),
_xlpm.colNo,
MATCH(V$3,Raw_Fund!$E$1:$AZ$1,0),
_xlpm.val,
INDEX(Raw_Fund!$E:$AZ,_xlpm.rowNo,_xlpm.colNo),
IF(ISNUMBER(_xlpm.val),_xlpm.val*$H141,""))</f>
        <v/>
      </c>
      <c r="W141" s="6" t="str">
        <f>_xlfn.LET(
_xlpm.rowNo, MATCH($C141&amp;"|"&amp;
($F141+W$4),Raw_Fund!$A:$A,0),
_xlpm.colNo,
MATCH(W$3,Raw_Fund!$E$1:$AZ$1,0),
_xlpm.val,
INDEX(Raw_Fund!$E:$AZ,_xlpm.rowNo,_xlpm.colNo),
IF(ISNUMBER(_xlpm.val),_xlpm.val*$H141,""))</f>
        <v/>
      </c>
      <c r="X141" s="6" t="str">
        <f>_xlfn.LET(
_xlpm.rowNo, MATCH($C141&amp;"|"&amp;
($F141+X$4),Raw_Fund!$A:$A,0),
_xlpm.colNo,
MATCH(X$3,Raw_Fund!$E$1:$AZ$1,0),
_xlpm.val,
INDEX(Raw_Fund!$E:$AZ,_xlpm.rowNo,_xlpm.colNo),
IF(ISNUMBER(_xlpm.val),_xlpm.val*$H141,""))</f>
        <v/>
      </c>
      <c r="Y141" s="6" t="str">
        <f>_xlfn.LET(
_xlpm.rowNo, MATCH($C141&amp;"|"&amp;
($F141+Y$4),Raw_Fund!$A:$A,0),
_xlpm.colNo,
MATCH(Y$3,Raw_Fund!$E$1:$AZ$1,0),
_xlpm.val,
INDEX(Raw_Fund!$E:$AZ,_xlpm.rowNo,_xlpm.colNo),
IF(ISNUMBER(_xlpm.val),_xlpm.val*$H141,""))</f>
        <v/>
      </c>
      <c r="Z141" s="6" t="str">
        <f>IF($E141&lt;&gt;"Include","",_xlfn.XLOOKUP($C141,Raw_Mkt!$A:$A,Raw_Mkt!$B:$B))</f>
        <v/>
      </c>
    </row>
    <row r="142" spans="1:26" x14ac:dyDescent="0.4">
      <c r="A142" t="str">
        <f>IF(Universe!A142&lt;&gt;"",Universe!A142,"")</f>
        <v>MRCH</v>
      </c>
      <c r="B142" t="str">
        <f>IF(Universe!B142&lt;&gt;"",Universe!B142,"")</f>
        <v>Merchants Trust</v>
      </c>
      <c r="C142" t="str">
        <f>IF(Universe!C142&lt;&gt;"",Universe!C142,"")</f>
        <v>GB0005800296</v>
      </c>
      <c r="D142" t="str">
        <f>IF(Universe!D142&lt;&gt;"",Universe!D142,"")</f>
        <v>Financials</v>
      </c>
      <c r="E142" t="str">
        <f>Universe!G142</f>
        <v>Exclude</v>
      </c>
      <c r="F142" t="str">
        <f>IF($E142&lt;&gt;"Include","",_xlfn.LET(_xlpm.latest,_xlfn.MAXIFS(Raw_Fund!$C:$C,Raw_Fund!$B:$B,Data!$C142),IF(_xlpm.latest=0,"",_xlpm.latest)))</f>
        <v/>
      </c>
      <c r="G142" t="str">
        <f>IF($F142="","",INDEX(Raw_Fund!$E:$AZ,MATCH($C142&amp;"|"&amp;$F142,Raw_Fund!$A:$A,0),MATCH(G$3,Raw_Fund!$E$1:$AZ$1,0)))</f>
        <v/>
      </c>
      <c r="H142" t="str">
        <f t="shared" si="2"/>
        <v/>
      </c>
      <c r="I142" s="6" t="str">
        <f>_xlfn.LET(
_xlpm.rowNo, MATCH($C142&amp;"|"&amp;
($F142+I$4),Raw_Fund!$A:$A,0),
_xlpm.colNo,
MATCH(I$3,Raw_Fund!$E$1:$AZ$1,0),
_xlpm.val,
INDEX(Raw_Fund!$E:$AZ,_xlpm.rowNo,_xlpm.colNo),
IF(ISNUMBER(_xlpm.val),_xlpm.val*$H142,""))</f>
        <v/>
      </c>
      <c r="J142" s="6" t="str">
        <f>_xlfn.LET(
_xlpm.rowNo, MATCH($C142&amp;"|"&amp;
($F142+J$4),Raw_Fund!$A:$A,0),
_xlpm.colNo,
MATCH(J$3,Raw_Fund!$E$1:$AZ$1,0),
_xlpm.val,
INDEX(Raw_Fund!$E:$AZ,_xlpm.rowNo,_xlpm.colNo),
IF(ISNUMBER(_xlpm.val),_xlpm.val*$H142,""))</f>
        <v/>
      </c>
      <c r="K142" s="6" t="str">
        <f>_xlfn.LET(
_xlpm.rowNo, MATCH($C142&amp;"|"&amp;
($F142+K$4),Raw_Fund!$A:$A,0),
_xlpm.colNo,
MATCH(K$3,Raw_Fund!$E$1:$AZ$1,0),
_xlpm.val,
INDEX(Raw_Fund!$E:$AZ,_xlpm.rowNo,_xlpm.colNo),
IF(ISNUMBER(_xlpm.val),_xlpm.val*$H142,""))</f>
        <v/>
      </c>
      <c r="L142" s="6" t="str">
        <f>_xlfn.LET(
_xlpm.rowNo, MATCH($C142&amp;"|"&amp;
($F142+L$4),Raw_Fund!$A:$A,0),
_xlpm.colNo,
MATCH(L$3,Raw_Fund!$E$1:$AZ$1,0),
_xlpm.val,
INDEX(Raw_Fund!$E:$AZ,_xlpm.rowNo,_xlpm.colNo),
IF(ISNUMBER(_xlpm.val),_xlpm.val*$H142,""))</f>
        <v/>
      </c>
      <c r="M142" s="6" t="str">
        <f>_xlfn.LET(
_xlpm.rowNo, MATCH($C142&amp;"|"&amp;
($F142+M$4),Raw_Fund!$A:$A,0),
_xlpm.colNo,
MATCH(M$3,Raw_Fund!$E$1:$AZ$1,0),
_xlpm.val,
INDEX(Raw_Fund!$E:$AZ,_xlpm.rowNo,_xlpm.colNo),
IF(ISNUMBER(_xlpm.val),_xlpm.val*$H142,""))</f>
        <v/>
      </c>
      <c r="N142" s="6" t="str">
        <f>_xlfn.LET(
_xlpm.rowNo, MATCH($C142&amp;"|"&amp;
($F142+N$4),Raw_Fund!$A:$A,0),
_xlpm.colNo,
MATCH(N$3,Raw_Fund!$E$1:$AZ$1,0),
_xlpm.val,
INDEX(Raw_Fund!$E:$AZ,_xlpm.rowNo,_xlpm.colNo),
IF(ISNUMBER(_xlpm.val),_xlpm.val*$H142,""))</f>
        <v/>
      </c>
      <c r="O142" s="6" t="str">
        <f>_xlfn.LET(
_xlpm.rowNo, MATCH($C142&amp;"|"&amp;
($F142+O$4),Raw_Fund!$A:$A,0),
_xlpm.colNo,
MATCH(O$3,Raw_Fund!$E$1:$AZ$1,0),
_xlpm.val,
INDEX(Raw_Fund!$E:$AZ,_xlpm.rowNo,_xlpm.colNo),
IF(ISNUMBER(_xlpm.val),_xlpm.val*$H142,""))</f>
        <v/>
      </c>
      <c r="P142" s="6" t="str">
        <f>_xlfn.LET(
_xlpm.rowNo, MATCH($C142&amp;"|"&amp;
($F142+P$4),Raw_Fund!$A:$A,0),
_xlpm.colNo,
MATCH(P$3,Raw_Fund!$E$1:$AZ$1,0),
_xlpm.val,
INDEX(Raw_Fund!$E:$AZ,_xlpm.rowNo,_xlpm.colNo),
IF(ISNUMBER(_xlpm.val),_xlpm.val*$H142,""))</f>
        <v/>
      </c>
      <c r="Q142" s="6" t="str">
        <f>_xlfn.LET(
_xlpm.rowNo, MATCH($C142&amp;"|"&amp;
($F142+Q$4),Raw_Fund!$A:$A,0),
_xlpm.colNo,
MATCH(Q$3,Raw_Fund!$E$1:$AZ$1,0),
_xlpm.val,
INDEX(Raw_Fund!$E:$AZ,_xlpm.rowNo,_xlpm.colNo),
IF(ISNUMBER(_xlpm.val),_xlpm.val*$H142,""))</f>
        <v/>
      </c>
      <c r="R142" s="6" t="str">
        <f>_xlfn.LET(
_xlpm.rowNo, MATCH($C142&amp;"|"&amp;
($F142+R$4),Raw_Fund!$A:$A,0),
_xlpm.colNo,
MATCH(R$3,Raw_Fund!$E$1:$AZ$1,0),
_xlpm.val,
INDEX(Raw_Fund!$E:$AZ,_xlpm.rowNo,_xlpm.colNo),
IF(ISNUMBER(_xlpm.val),_xlpm.val*$H142,""))</f>
        <v/>
      </c>
      <c r="S142" s="6" t="str">
        <f>_xlfn.LET(
_xlpm.rowNo, MATCH($C142&amp;"|"&amp;
($F142+S$4),Raw_Fund!$A:$A,0),
_xlpm.colNo,
MATCH(S$3,Raw_Fund!$E$1:$AZ$1,0),
_xlpm.val,
INDEX(Raw_Fund!$E:$AZ,_xlpm.rowNo,_xlpm.colNo),
IF(ISNUMBER(_xlpm.val),_xlpm.val*$H142,""))</f>
        <v/>
      </c>
      <c r="T142" s="6" t="str">
        <f>_xlfn.LET(
_xlpm.rowNo, MATCH($C142&amp;"|"&amp;
($F142+T$4),Raw_Fund!$A:$A,0),
_xlpm.colNo,
MATCH(T$3,Raw_Fund!$E$1:$AZ$1,0),
_xlpm.val,
INDEX(Raw_Fund!$E:$AZ,_xlpm.rowNo,_xlpm.colNo),
IF(ISNUMBER(_xlpm.val),_xlpm.val*$H142,""))</f>
        <v/>
      </c>
      <c r="U142" s="6" t="str">
        <f>_xlfn.LET(
_xlpm.rowNo, MATCH($C142&amp;"|"&amp;
($F142+U$4),Raw_Fund!$A:$A,0),
_xlpm.colNo,
MATCH(U$3,Raw_Fund!$E$1:$AZ$1,0),
_xlpm.val,
INDEX(Raw_Fund!$E:$AZ,_xlpm.rowNo,_xlpm.colNo),
IF(ISNUMBER(_xlpm.val),_xlpm.val*$H142,""))</f>
        <v/>
      </c>
      <c r="V142" s="6" t="str">
        <f>_xlfn.LET(
_xlpm.rowNo, MATCH($C142&amp;"|"&amp;
($F142+V$4),Raw_Fund!$A:$A,0),
_xlpm.colNo,
MATCH(V$3,Raw_Fund!$E$1:$AZ$1,0),
_xlpm.val,
INDEX(Raw_Fund!$E:$AZ,_xlpm.rowNo,_xlpm.colNo),
IF(ISNUMBER(_xlpm.val),_xlpm.val*$H142,""))</f>
        <v/>
      </c>
      <c r="W142" s="6" t="str">
        <f>_xlfn.LET(
_xlpm.rowNo, MATCH($C142&amp;"|"&amp;
($F142+W$4),Raw_Fund!$A:$A,0),
_xlpm.colNo,
MATCH(W$3,Raw_Fund!$E$1:$AZ$1,0),
_xlpm.val,
INDEX(Raw_Fund!$E:$AZ,_xlpm.rowNo,_xlpm.colNo),
IF(ISNUMBER(_xlpm.val),_xlpm.val*$H142,""))</f>
        <v/>
      </c>
      <c r="X142" s="6" t="str">
        <f>_xlfn.LET(
_xlpm.rowNo, MATCH($C142&amp;"|"&amp;
($F142+X$4),Raw_Fund!$A:$A,0),
_xlpm.colNo,
MATCH(X$3,Raw_Fund!$E$1:$AZ$1,0),
_xlpm.val,
INDEX(Raw_Fund!$E:$AZ,_xlpm.rowNo,_xlpm.colNo),
IF(ISNUMBER(_xlpm.val),_xlpm.val*$H142,""))</f>
        <v/>
      </c>
      <c r="Y142" s="6" t="str">
        <f>_xlfn.LET(
_xlpm.rowNo, MATCH($C142&amp;"|"&amp;
($F142+Y$4),Raw_Fund!$A:$A,0),
_xlpm.colNo,
MATCH(Y$3,Raw_Fund!$E$1:$AZ$1,0),
_xlpm.val,
INDEX(Raw_Fund!$E:$AZ,_xlpm.rowNo,_xlpm.colNo),
IF(ISNUMBER(_xlpm.val),_xlpm.val*$H142,""))</f>
        <v/>
      </c>
      <c r="Z142" s="6" t="str">
        <f>IF($E142&lt;&gt;"Include","",_xlfn.XLOOKUP($C142,Raw_Mkt!$A:$A,Raw_Mkt!$B:$B))</f>
        <v/>
      </c>
    </row>
    <row r="143" spans="1:26" x14ac:dyDescent="0.4">
      <c r="A143" t="str">
        <f>IF(Universe!A143&lt;&gt;"",Universe!A143,"")</f>
        <v>MNO</v>
      </c>
      <c r="B143" t="str">
        <f>IF(Universe!B143&lt;&gt;"",Universe!B143,"")</f>
        <v>Meridian Mining</v>
      </c>
      <c r="C143" t="str">
        <f>IF(Universe!C143&lt;&gt;"",Universe!C143,"")</f>
        <v>GB00BVPND783</v>
      </c>
      <c r="D143" t="str">
        <f>IF(Universe!D143&lt;&gt;"",Universe!D143,"")</f>
        <v>Basic Materials</v>
      </c>
      <c r="E143" t="str">
        <f>Universe!G143</f>
        <v>Exclude</v>
      </c>
      <c r="F143" t="str">
        <f>IF($E143&lt;&gt;"Include","",_xlfn.LET(_xlpm.latest,_xlfn.MAXIFS(Raw_Fund!$C:$C,Raw_Fund!$B:$B,Data!$C143),IF(_xlpm.latest=0,"",_xlpm.latest)))</f>
        <v/>
      </c>
      <c r="G143" t="str">
        <f>IF($F143="","",INDEX(Raw_Fund!$E:$AZ,MATCH($C143&amp;"|"&amp;$F143,Raw_Fund!$A:$A,0),MATCH(G$3,Raw_Fund!$E$1:$AZ$1,0)))</f>
        <v/>
      </c>
      <c r="H143" t="str">
        <f t="shared" si="2"/>
        <v/>
      </c>
      <c r="I143" s="6" t="str">
        <f>_xlfn.LET(
_xlpm.rowNo, MATCH($C143&amp;"|"&amp;
($F143+I$4),Raw_Fund!$A:$A,0),
_xlpm.colNo,
MATCH(I$3,Raw_Fund!$E$1:$AZ$1,0),
_xlpm.val,
INDEX(Raw_Fund!$E:$AZ,_xlpm.rowNo,_xlpm.colNo),
IF(ISNUMBER(_xlpm.val),_xlpm.val*$H143,""))</f>
        <v/>
      </c>
      <c r="J143" s="6" t="str">
        <f>_xlfn.LET(
_xlpm.rowNo, MATCH($C143&amp;"|"&amp;
($F143+J$4),Raw_Fund!$A:$A,0),
_xlpm.colNo,
MATCH(J$3,Raw_Fund!$E$1:$AZ$1,0),
_xlpm.val,
INDEX(Raw_Fund!$E:$AZ,_xlpm.rowNo,_xlpm.colNo),
IF(ISNUMBER(_xlpm.val),_xlpm.val*$H143,""))</f>
        <v/>
      </c>
      <c r="K143" s="6" t="str">
        <f>_xlfn.LET(
_xlpm.rowNo, MATCH($C143&amp;"|"&amp;
($F143+K$4),Raw_Fund!$A:$A,0),
_xlpm.colNo,
MATCH(K$3,Raw_Fund!$E$1:$AZ$1,0),
_xlpm.val,
INDEX(Raw_Fund!$E:$AZ,_xlpm.rowNo,_xlpm.colNo),
IF(ISNUMBER(_xlpm.val),_xlpm.val*$H143,""))</f>
        <v/>
      </c>
      <c r="L143" s="6" t="str">
        <f>_xlfn.LET(
_xlpm.rowNo, MATCH($C143&amp;"|"&amp;
($F143+L$4),Raw_Fund!$A:$A,0),
_xlpm.colNo,
MATCH(L$3,Raw_Fund!$E$1:$AZ$1,0),
_xlpm.val,
INDEX(Raw_Fund!$E:$AZ,_xlpm.rowNo,_xlpm.colNo),
IF(ISNUMBER(_xlpm.val),_xlpm.val*$H143,""))</f>
        <v/>
      </c>
      <c r="M143" s="6" t="str">
        <f>_xlfn.LET(
_xlpm.rowNo, MATCH($C143&amp;"|"&amp;
($F143+M$4),Raw_Fund!$A:$A,0),
_xlpm.colNo,
MATCH(M$3,Raw_Fund!$E$1:$AZ$1,0),
_xlpm.val,
INDEX(Raw_Fund!$E:$AZ,_xlpm.rowNo,_xlpm.colNo),
IF(ISNUMBER(_xlpm.val),_xlpm.val*$H143,""))</f>
        <v/>
      </c>
      <c r="N143" s="6" t="str">
        <f>_xlfn.LET(
_xlpm.rowNo, MATCH($C143&amp;"|"&amp;
($F143+N$4),Raw_Fund!$A:$A,0),
_xlpm.colNo,
MATCH(N$3,Raw_Fund!$E$1:$AZ$1,0),
_xlpm.val,
INDEX(Raw_Fund!$E:$AZ,_xlpm.rowNo,_xlpm.colNo),
IF(ISNUMBER(_xlpm.val),_xlpm.val*$H143,""))</f>
        <v/>
      </c>
      <c r="O143" s="6" t="str">
        <f>_xlfn.LET(
_xlpm.rowNo, MATCH($C143&amp;"|"&amp;
($F143+O$4),Raw_Fund!$A:$A,0),
_xlpm.colNo,
MATCH(O$3,Raw_Fund!$E$1:$AZ$1,0),
_xlpm.val,
INDEX(Raw_Fund!$E:$AZ,_xlpm.rowNo,_xlpm.colNo),
IF(ISNUMBER(_xlpm.val),_xlpm.val*$H143,""))</f>
        <v/>
      </c>
      <c r="P143" s="6" t="str">
        <f>_xlfn.LET(
_xlpm.rowNo, MATCH($C143&amp;"|"&amp;
($F143+P$4),Raw_Fund!$A:$A,0),
_xlpm.colNo,
MATCH(P$3,Raw_Fund!$E$1:$AZ$1,0),
_xlpm.val,
INDEX(Raw_Fund!$E:$AZ,_xlpm.rowNo,_xlpm.colNo),
IF(ISNUMBER(_xlpm.val),_xlpm.val*$H143,""))</f>
        <v/>
      </c>
      <c r="Q143" s="6" t="str">
        <f>_xlfn.LET(
_xlpm.rowNo, MATCH($C143&amp;"|"&amp;
($F143+Q$4),Raw_Fund!$A:$A,0),
_xlpm.colNo,
MATCH(Q$3,Raw_Fund!$E$1:$AZ$1,0),
_xlpm.val,
INDEX(Raw_Fund!$E:$AZ,_xlpm.rowNo,_xlpm.colNo),
IF(ISNUMBER(_xlpm.val),_xlpm.val*$H143,""))</f>
        <v/>
      </c>
      <c r="R143" s="6" t="str">
        <f>_xlfn.LET(
_xlpm.rowNo, MATCH($C143&amp;"|"&amp;
($F143+R$4),Raw_Fund!$A:$A,0),
_xlpm.colNo,
MATCH(R$3,Raw_Fund!$E$1:$AZ$1,0),
_xlpm.val,
INDEX(Raw_Fund!$E:$AZ,_xlpm.rowNo,_xlpm.colNo),
IF(ISNUMBER(_xlpm.val),_xlpm.val*$H143,""))</f>
        <v/>
      </c>
      <c r="S143" s="6" t="str">
        <f>_xlfn.LET(
_xlpm.rowNo, MATCH($C143&amp;"|"&amp;
($F143+S$4),Raw_Fund!$A:$A,0),
_xlpm.colNo,
MATCH(S$3,Raw_Fund!$E$1:$AZ$1,0),
_xlpm.val,
INDEX(Raw_Fund!$E:$AZ,_xlpm.rowNo,_xlpm.colNo),
IF(ISNUMBER(_xlpm.val),_xlpm.val*$H143,""))</f>
        <v/>
      </c>
      <c r="T143" s="6" t="str">
        <f>_xlfn.LET(
_xlpm.rowNo, MATCH($C143&amp;"|"&amp;
($F143+T$4),Raw_Fund!$A:$A,0),
_xlpm.colNo,
MATCH(T$3,Raw_Fund!$E$1:$AZ$1,0),
_xlpm.val,
INDEX(Raw_Fund!$E:$AZ,_xlpm.rowNo,_xlpm.colNo),
IF(ISNUMBER(_xlpm.val),_xlpm.val*$H143,""))</f>
        <v/>
      </c>
      <c r="U143" s="6" t="str">
        <f>_xlfn.LET(
_xlpm.rowNo, MATCH($C143&amp;"|"&amp;
($F143+U$4),Raw_Fund!$A:$A,0),
_xlpm.colNo,
MATCH(U$3,Raw_Fund!$E$1:$AZ$1,0),
_xlpm.val,
INDEX(Raw_Fund!$E:$AZ,_xlpm.rowNo,_xlpm.colNo),
IF(ISNUMBER(_xlpm.val),_xlpm.val*$H143,""))</f>
        <v/>
      </c>
      <c r="V143" s="6" t="str">
        <f>_xlfn.LET(
_xlpm.rowNo, MATCH($C143&amp;"|"&amp;
($F143+V$4),Raw_Fund!$A:$A,0),
_xlpm.colNo,
MATCH(V$3,Raw_Fund!$E$1:$AZ$1,0),
_xlpm.val,
INDEX(Raw_Fund!$E:$AZ,_xlpm.rowNo,_xlpm.colNo),
IF(ISNUMBER(_xlpm.val),_xlpm.val*$H143,""))</f>
        <v/>
      </c>
      <c r="W143" s="6" t="str">
        <f>_xlfn.LET(
_xlpm.rowNo, MATCH($C143&amp;"|"&amp;
($F143+W$4),Raw_Fund!$A:$A,0),
_xlpm.colNo,
MATCH(W$3,Raw_Fund!$E$1:$AZ$1,0),
_xlpm.val,
INDEX(Raw_Fund!$E:$AZ,_xlpm.rowNo,_xlpm.colNo),
IF(ISNUMBER(_xlpm.val),_xlpm.val*$H143,""))</f>
        <v/>
      </c>
      <c r="X143" s="6" t="str">
        <f>_xlfn.LET(
_xlpm.rowNo, MATCH($C143&amp;"|"&amp;
($F143+X$4),Raw_Fund!$A:$A,0),
_xlpm.colNo,
MATCH(X$3,Raw_Fund!$E$1:$AZ$1,0),
_xlpm.val,
INDEX(Raw_Fund!$E:$AZ,_xlpm.rowNo,_xlpm.colNo),
IF(ISNUMBER(_xlpm.val),_xlpm.val*$H143,""))</f>
        <v/>
      </c>
      <c r="Y143" s="6" t="str">
        <f>_xlfn.LET(
_xlpm.rowNo, MATCH($C143&amp;"|"&amp;
($F143+Y$4),Raw_Fund!$A:$A,0),
_xlpm.colNo,
MATCH(Y$3,Raw_Fund!$E$1:$AZ$1,0),
_xlpm.val,
INDEX(Raw_Fund!$E:$AZ,_xlpm.rowNo,_xlpm.colNo),
IF(ISNUMBER(_xlpm.val),_xlpm.val*$H143,""))</f>
        <v/>
      </c>
      <c r="Z143" s="6" t="str">
        <f>IF($E143&lt;&gt;"Include","",_xlfn.XLOOKUP($C143,Raw_Mkt!$A:$A,Raw_Mkt!$B:$B))</f>
        <v/>
      </c>
    </row>
    <row r="144" spans="1:26" x14ac:dyDescent="0.4">
      <c r="A144" t="str">
        <f>IF(Universe!A144&lt;&gt;"",Universe!A144,"")</f>
        <v>MTRO</v>
      </c>
      <c r="B144" t="str">
        <f>IF(Universe!B144&lt;&gt;"",Universe!B144,"")</f>
        <v>Metro Bank</v>
      </c>
      <c r="C144" t="str">
        <f>IF(Universe!C144&lt;&gt;"",Universe!C144,"")</f>
        <v>GB00BMX3W479</v>
      </c>
      <c r="D144" t="str">
        <f>IF(Universe!D144&lt;&gt;"",Universe!D144,"")</f>
        <v>Financials</v>
      </c>
      <c r="E144" t="str">
        <f>Universe!G144</f>
        <v>Exclude</v>
      </c>
      <c r="F144" t="str">
        <f>IF($E144&lt;&gt;"Include","",_xlfn.LET(_xlpm.latest,_xlfn.MAXIFS(Raw_Fund!$C:$C,Raw_Fund!$B:$B,Data!$C144),IF(_xlpm.latest=0,"",_xlpm.latest)))</f>
        <v/>
      </c>
      <c r="G144" t="str">
        <f>IF($F144="","",INDEX(Raw_Fund!$E:$AZ,MATCH($C144&amp;"|"&amp;$F144,Raw_Fund!$A:$A,0),MATCH(G$3,Raw_Fund!$E$1:$AZ$1,0)))</f>
        <v/>
      </c>
      <c r="H144" t="str">
        <f t="shared" si="2"/>
        <v/>
      </c>
      <c r="I144" s="6" t="str">
        <f>_xlfn.LET(
_xlpm.rowNo, MATCH($C144&amp;"|"&amp;
($F144+I$4),Raw_Fund!$A:$A,0),
_xlpm.colNo,
MATCH(I$3,Raw_Fund!$E$1:$AZ$1,0),
_xlpm.val,
INDEX(Raw_Fund!$E:$AZ,_xlpm.rowNo,_xlpm.colNo),
IF(ISNUMBER(_xlpm.val),_xlpm.val*$H144,""))</f>
        <v/>
      </c>
      <c r="J144" s="6" t="str">
        <f>_xlfn.LET(
_xlpm.rowNo, MATCH($C144&amp;"|"&amp;
($F144+J$4),Raw_Fund!$A:$A,0),
_xlpm.colNo,
MATCH(J$3,Raw_Fund!$E$1:$AZ$1,0),
_xlpm.val,
INDEX(Raw_Fund!$E:$AZ,_xlpm.rowNo,_xlpm.colNo),
IF(ISNUMBER(_xlpm.val),_xlpm.val*$H144,""))</f>
        <v/>
      </c>
      <c r="K144" s="6" t="str">
        <f>_xlfn.LET(
_xlpm.rowNo, MATCH($C144&amp;"|"&amp;
($F144+K$4),Raw_Fund!$A:$A,0),
_xlpm.colNo,
MATCH(K$3,Raw_Fund!$E$1:$AZ$1,0),
_xlpm.val,
INDEX(Raw_Fund!$E:$AZ,_xlpm.rowNo,_xlpm.colNo),
IF(ISNUMBER(_xlpm.val),_xlpm.val*$H144,""))</f>
        <v/>
      </c>
      <c r="L144" s="6" t="str">
        <f>_xlfn.LET(
_xlpm.rowNo, MATCH($C144&amp;"|"&amp;
($F144+L$4),Raw_Fund!$A:$A,0),
_xlpm.colNo,
MATCH(L$3,Raw_Fund!$E$1:$AZ$1,0),
_xlpm.val,
INDEX(Raw_Fund!$E:$AZ,_xlpm.rowNo,_xlpm.colNo),
IF(ISNUMBER(_xlpm.val),_xlpm.val*$H144,""))</f>
        <v/>
      </c>
      <c r="M144" s="6" t="str">
        <f>_xlfn.LET(
_xlpm.rowNo, MATCH($C144&amp;"|"&amp;
($F144+M$4),Raw_Fund!$A:$A,0),
_xlpm.colNo,
MATCH(M$3,Raw_Fund!$E$1:$AZ$1,0),
_xlpm.val,
INDEX(Raw_Fund!$E:$AZ,_xlpm.rowNo,_xlpm.colNo),
IF(ISNUMBER(_xlpm.val),_xlpm.val*$H144,""))</f>
        <v/>
      </c>
      <c r="N144" s="6" t="str">
        <f>_xlfn.LET(
_xlpm.rowNo, MATCH($C144&amp;"|"&amp;
($F144+N$4),Raw_Fund!$A:$A,0),
_xlpm.colNo,
MATCH(N$3,Raw_Fund!$E$1:$AZ$1,0),
_xlpm.val,
INDEX(Raw_Fund!$E:$AZ,_xlpm.rowNo,_xlpm.colNo),
IF(ISNUMBER(_xlpm.val),_xlpm.val*$H144,""))</f>
        <v/>
      </c>
      <c r="O144" s="6" t="str">
        <f>_xlfn.LET(
_xlpm.rowNo, MATCH($C144&amp;"|"&amp;
($F144+O$4),Raw_Fund!$A:$A,0),
_xlpm.colNo,
MATCH(O$3,Raw_Fund!$E$1:$AZ$1,0),
_xlpm.val,
INDEX(Raw_Fund!$E:$AZ,_xlpm.rowNo,_xlpm.colNo),
IF(ISNUMBER(_xlpm.val),_xlpm.val*$H144,""))</f>
        <v/>
      </c>
      <c r="P144" s="6" t="str">
        <f>_xlfn.LET(
_xlpm.rowNo, MATCH($C144&amp;"|"&amp;
($F144+P$4),Raw_Fund!$A:$A,0),
_xlpm.colNo,
MATCH(P$3,Raw_Fund!$E$1:$AZ$1,0),
_xlpm.val,
INDEX(Raw_Fund!$E:$AZ,_xlpm.rowNo,_xlpm.colNo),
IF(ISNUMBER(_xlpm.val),_xlpm.val*$H144,""))</f>
        <v/>
      </c>
      <c r="Q144" s="6" t="str">
        <f>_xlfn.LET(
_xlpm.rowNo, MATCH($C144&amp;"|"&amp;
($F144+Q$4),Raw_Fund!$A:$A,0),
_xlpm.colNo,
MATCH(Q$3,Raw_Fund!$E$1:$AZ$1,0),
_xlpm.val,
INDEX(Raw_Fund!$E:$AZ,_xlpm.rowNo,_xlpm.colNo),
IF(ISNUMBER(_xlpm.val),_xlpm.val*$H144,""))</f>
        <v/>
      </c>
      <c r="R144" s="6" t="str">
        <f>_xlfn.LET(
_xlpm.rowNo, MATCH($C144&amp;"|"&amp;
($F144+R$4),Raw_Fund!$A:$A,0),
_xlpm.colNo,
MATCH(R$3,Raw_Fund!$E$1:$AZ$1,0),
_xlpm.val,
INDEX(Raw_Fund!$E:$AZ,_xlpm.rowNo,_xlpm.colNo),
IF(ISNUMBER(_xlpm.val),_xlpm.val*$H144,""))</f>
        <v/>
      </c>
      <c r="S144" s="6" t="str">
        <f>_xlfn.LET(
_xlpm.rowNo, MATCH($C144&amp;"|"&amp;
($F144+S$4),Raw_Fund!$A:$A,0),
_xlpm.colNo,
MATCH(S$3,Raw_Fund!$E$1:$AZ$1,0),
_xlpm.val,
INDEX(Raw_Fund!$E:$AZ,_xlpm.rowNo,_xlpm.colNo),
IF(ISNUMBER(_xlpm.val),_xlpm.val*$H144,""))</f>
        <v/>
      </c>
      <c r="T144" s="6" t="str">
        <f>_xlfn.LET(
_xlpm.rowNo, MATCH($C144&amp;"|"&amp;
($F144+T$4),Raw_Fund!$A:$A,0),
_xlpm.colNo,
MATCH(T$3,Raw_Fund!$E$1:$AZ$1,0),
_xlpm.val,
INDEX(Raw_Fund!$E:$AZ,_xlpm.rowNo,_xlpm.colNo),
IF(ISNUMBER(_xlpm.val),_xlpm.val*$H144,""))</f>
        <v/>
      </c>
      <c r="U144" s="6" t="str">
        <f>_xlfn.LET(
_xlpm.rowNo, MATCH($C144&amp;"|"&amp;
($F144+U$4),Raw_Fund!$A:$A,0),
_xlpm.colNo,
MATCH(U$3,Raw_Fund!$E$1:$AZ$1,0),
_xlpm.val,
INDEX(Raw_Fund!$E:$AZ,_xlpm.rowNo,_xlpm.colNo),
IF(ISNUMBER(_xlpm.val),_xlpm.val*$H144,""))</f>
        <v/>
      </c>
      <c r="V144" s="6" t="str">
        <f>_xlfn.LET(
_xlpm.rowNo, MATCH($C144&amp;"|"&amp;
($F144+V$4),Raw_Fund!$A:$A,0),
_xlpm.colNo,
MATCH(V$3,Raw_Fund!$E$1:$AZ$1,0),
_xlpm.val,
INDEX(Raw_Fund!$E:$AZ,_xlpm.rowNo,_xlpm.colNo),
IF(ISNUMBER(_xlpm.val),_xlpm.val*$H144,""))</f>
        <v/>
      </c>
      <c r="W144" s="6" t="str">
        <f>_xlfn.LET(
_xlpm.rowNo, MATCH($C144&amp;"|"&amp;
($F144+W$4),Raw_Fund!$A:$A,0),
_xlpm.colNo,
MATCH(W$3,Raw_Fund!$E$1:$AZ$1,0),
_xlpm.val,
INDEX(Raw_Fund!$E:$AZ,_xlpm.rowNo,_xlpm.colNo),
IF(ISNUMBER(_xlpm.val),_xlpm.val*$H144,""))</f>
        <v/>
      </c>
      <c r="X144" s="6" t="str">
        <f>_xlfn.LET(
_xlpm.rowNo, MATCH($C144&amp;"|"&amp;
($F144+X$4),Raw_Fund!$A:$A,0),
_xlpm.colNo,
MATCH(X$3,Raw_Fund!$E$1:$AZ$1,0),
_xlpm.val,
INDEX(Raw_Fund!$E:$AZ,_xlpm.rowNo,_xlpm.colNo),
IF(ISNUMBER(_xlpm.val),_xlpm.val*$H144,""))</f>
        <v/>
      </c>
      <c r="Y144" s="6" t="str">
        <f>_xlfn.LET(
_xlpm.rowNo, MATCH($C144&amp;"|"&amp;
($F144+Y$4),Raw_Fund!$A:$A,0),
_xlpm.colNo,
MATCH(Y$3,Raw_Fund!$E$1:$AZ$1,0),
_xlpm.val,
INDEX(Raw_Fund!$E:$AZ,_xlpm.rowNo,_xlpm.colNo),
IF(ISNUMBER(_xlpm.val),_xlpm.val*$H144,""))</f>
        <v/>
      </c>
      <c r="Z144" s="6" t="str">
        <f>IF($E144&lt;&gt;"Include","",_xlfn.XLOOKUP($C144,Raw_Mkt!$A:$A,Raw_Mkt!$B:$B))</f>
        <v/>
      </c>
    </row>
    <row r="145" spans="1:26" x14ac:dyDescent="0.4">
      <c r="A145" t="str">
        <f>IF(Universe!A145&lt;&gt;"",Universe!A145,"")</f>
        <v>PAGE</v>
      </c>
      <c r="B145" t="str">
        <f>IF(Universe!B145&lt;&gt;"",Universe!B145,"")</f>
        <v>Michael Page</v>
      </c>
      <c r="C145" t="str">
        <f>IF(Universe!C145&lt;&gt;"",Universe!C145,"")</f>
        <v>GB0030232317</v>
      </c>
      <c r="D145" t="str">
        <f>IF(Universe!D145&lt;&gt;"",Universe!D145,"")</f>
        <v>Industrials</v>
      </c>
      <c r="E145" t="str">
        <f>Universe!G145</f>
        <v>Include</v>
      </c>
      <c r="F145" t="str">
        <f>IF($E145&lt;&gt;"Include","",_xlfn.LET(_xlpm.latest,_xlfn.MAXIFS(Raw_Fund!$C:$C,Raw_Fund!$B:$B,Data!$C145),IF(_xlpm.latest=0,"",_xlpm.latest)))</f>
        <v/>
      </c>
      <c r="G145" t="str">
        <f>IF($F145="","",INDEX(Raw_Fund!$E:$AZ,MATCH($C145&amp;"|"&amp;$F145,Raw_Fund!$A:$A,0),MATCH(G$3,Raw_Fund!$E$1:$AZ$1,0)))</f>
        <v/>
      </c>
      <c r="H145" t="str">
        <f t="shared" si="2"/>
        <v/>
      </c>
      <c r="I145" s="6" t="str">
        <f>_xlfn.LET(
_xlpm.rowNo, MATCH($C145&amp;"|"&amp;
($F145+I$4),Raw_Fund!$A:$A,0),
_xlpm.colNo,
MATCH(I$3,Raw_Fund!$E$1:$AZ$1,0),
_xlpm.val,
INDEX(Raw_Fund!$E:$AZ,_xlpm.rowNo,_xlpm.colNo),
IF(ISNUMBER(_xlpm.val),_xlpm.val*$H145,""))</f>
        <v/>
      </c>
      <c r="J145" s="6" t="str">
        <f>_xlfn.LET(
_xlpm.rowNo, MATCH($C145&amp;"|"&amp;
($F145+J$4),Raw_Fund!$A:$A,0),
_xlpm.colNo,
MATCH(J$3,Raw_Fund!$E$1:$AZ$1,0),
_xlpm.val,
INDEX(Raw_Fund!$E:$AZ,_xlpm.rowNo,_xlpm.colNo),
IF(ISNUMBER(_xlpm.val),_xlpm.val*$H145,""))</f>
        <v/>
      </c>
      <c r="K145" s="6" t="str">
        <f>_xlfn.LET(
_xlpm.rowNo, MATCH($C145&amp;"|"&amp;
($F145+K$4),Raw_Fund!$A:$A,0),
_xlpm.colNo,
MATCH(K$3,Raw_Fund!$E$1:$AZ$1,0),
_xlpm.val,
INDEX(Raw_Fund!$E:$AZ,_xlpm.rowNo,_xlpm.colNo),
IF(ISNUMBER(_xlpm.val),_xlpm.val*$H145,""))</f>
        <v/>
      </c>
      <c r="L145" s="6" t="str">
        <f>_xlfn.LET(
_xlpm.rowNo, MATCH($C145&amp;"|"&amp;
($F145+L$4),Raw_Fund!$A:$A,0),
_xlpm.colNo,
MATCH(L$3,Raw_Fund!$E$1:$AZ$1,0),
_xlpm.val,
INDEX(Raw_Fund!$E:$AZ,_xlpm.rowNo,_xlpm.colNo),
IF(ISNUMBER(_xlpm.val),_xlpm.val*$H145,""))</f>
        <v/>
      </c>
      <c r="M145" s="6" t="str">
        <f>_xlfn.LET(
_xlpm.rowNo, MATCH($C145&amp;"|"&amp;
($F145+M$4),Raw_Fund!$A:$A,0),
_xlpm.colNo,
MATCH(M$3,Raw_Fund!$E$1:$AZ$1,0),
_xlpm.val,
INDEX(Raw_Fund!$E:$AZ,_xlpm.rowNo,_xlpm.colNo),
IF(ISNUMBER(_xlpm.val),_xlpm.val*$H145,""))</f>
        <v/>
      </c>
      <c r="N145" s="6" t="str">
        <f>_xlfn.LET(
_xlpm.rowNo, MATCH($C145&amp;"|"&amp;
($F145+N$4),Raw_Fund!$A:$A,0),
_xlpm.colNo,
MATCH(N$3,Raw_Fund!$E$1:$AZ$1,0),
_xlpm.val,
INDEX(Raw_Fund!$E:$AZ,_xlpm.rowNo,_xlpm.colNo),
IF(ISNUMBER(_xlpm.val),_xlpm.val*$H145,""))</f>
        <v/>
      </c>
      <c r="O145" s="6" t="str">
        <f>_xlfn.LET(
_xlpm.rowNo, MATCH($C145&amp;"|"&amp;
($F145+O$4),Raw_Fund!$A:$A,0),
_xlpm.colNo,
MATCH(O$3,Raw_Fund!$E$1:$AZ$1,0),
_xlpm.val,
INDEX(Raw_Fund!$E:$AZ,_xlpm.rowNo,_xlpm.colNo),
IF(ISNUMBER(_xlpm.val),_xlpm.val*$H145,""))</f>
        <v/>
      </c>
      <c r="P145" s="6" t="str">
        <f>_xlfn.LET(
_xlpm.rowNo, MATCH($C145&amp;"|"&amp;
($F145+P$4),Raw_Fund!$A:$A,0),
_xlpm.colNo,
MATCH(P$3,Raw_Fund!$E$1:$AZ$1,0),
_xlpm.val,
INDEX(Raw_Fund!$E:$AZ,_xlpm.rowNo,_xlpm.colNo),
IF(ISNUMBER(_xlpm.val),_xlpm.val*$H145,""))</f>
        <v/>
      </c>
      <c r="Q145" s="6" t="str">
        <f>_xlfn.LET(
_xlpm.rowNo, MATCH($C145&amp;"|"&amp;
($F145+Q$4),Raw_Fund!$A:$A,0),
_xlpm.colNo,
MATCH(Q$3,Raw_Fund!$E$1:$AZ$1,0),
_xlpm.val,
INDEX(Raw_Fund!$E:$AZ,_xlpm.rowNo,_xlpm.colNo),
IF(ISNUMBER(_xlpm.val),_xlpm.val*$H145,""))</f>
        <v/>
      </c>
      <c r="R145" s="6" t="str">
        <f>_xlfn.LET(
_xlpm.rowNo, MATCH($C145&amp;"|"&amp;
($F145+R$4),Raw_Fund!$A:$A,0),
_xlpm.colNo,
MATCH(R$3,Raw_Fund!$E$1:$AZ$1,0),
_xlpm.val,
INDEX(Raw_Fund!$E:$AZ,_xlpm.rowNo,_xlpm.colNo),
IF(ISNUMBER(_xlpm.val),_xlpm.val*$H145,""))</f>
        <v/>
      </c>
      <c r="S145" s="6" t="str">
        <f>_xlfn.LET(
_xlpm.rowNo, MATCH($C145&amp;"|"&amp;
($F145+S$4),Raw_Fund!$A:$A,0),
_xlpm.colNo,
MATCH(S$3,Raw_Fund!$E$1:$AZ$1,0),
_xlpm.val,
INDEX(Raw_Fund!$E:$AZ,_xlpm.rowNo,_xlpm.colNo),
IF(ISNUMBER(_xlpm.val),_xlpm.val*$H145,""))</f>
        <v/>
      </c>
      <c r="T145" s="6" t="str">
        <f>_xlfn.LET(
_xlpm.rowNo, MATCH($C145&amp;"|"&amp;
($F145+T$4),Raw_Fund!$A:$A,0),
_xlpm.colNo,
MATCH(T$3,Raw_Fund!$E$1:$AZ$1,0),
_xlpm.val,
INDEX(Raw_Fund!$E:$AZ,_xlpm.rowNo,_xlpm.colNo),
IF(ISNUMBER(_xlpm.val),_xlpm.val*$H145,""))</f>
        <v/>
      </c>
      <c r="U145" s="6" t="str">
        <f>_xlfn.LET(
_xlpm.rowNo, MATCH($C145&amp;"|"&amp;
($F145+U$4),Raw_Fund!$A:$A,0),
_xlpm.colNo,
MATCH(U$3,Raw_Fund!$E$1:$AZ$1,0),
_xlpm.val,
INDEX(Raw_Fund!$E:$AZ,_xlpm.rowNo,_xlpm.colNo),
IF(ISNUMBER(_xlpm.val),_xlpm.val*$H145,""))</f>
        <v/>
      </c>
      <c r="V145" s="6" t="str">
        <f>_xlfn.LET(
_xlpm.rowNo, MATCH($C145&amp;"|"&amp;
($F145+V$4),Raw_Fund!$A:$A,0),
_xlpm.colNo,
MATCH(V$3,Raw_Fund!$E$1:$AZ$1,0),
_xlpm.val,
INDEX(Raw_Fund!$E:$AZ,_xlpm.rowNo,_xlpm.colNo),
IF(ISNUMBER(_xlpm.val),_xlpm.val*$H145,""))</f>
        <v/>
      </c>
      <c r="W145" s="6" t="str">
        <f>_xlfn.LET(
_xlpm.rowNo, MATCH($C145&amp;"|"&amp;
($F145+W$4),Raw_Fund!$A:$A,0),
_xlpm.colNo,
MATCH(W$3,Raw_Fund!$E$1:$AZ$1,0),
_xlpm.val,
INDEX(Raw_Fund!$E:$AZ,_xlpm.rowNo,_xlpm.colNo),
IF(ISNUMBER(_xlpm.val),_xlpm.val*$H145,""))</f>
        <v/>
      </c>
      <c r="X145" s="6" t="str">
        <f>_xlfn.LET(
_xlpm.rowNo, MATCH($C145&amp;"|"&amp;
($F145+X$4),Raw_Fund!$A:$A,0),
_xlpm.colNo,
MATCH(X$3,Raw_Fund!$E$1:$AZ$1,0),
_xlpm.val,
INDEX(Raw_Fund!$E:$AZ,_xlpm.rowNo,_xlpm.colNo),
IF(ISNUMBER(_xlpm.val),_xlpm.val*$H145,""))</f>
        <v/>
      </c>
      <c r="Y145" s="6" t="str">
        <f>_xlfn.LET(
_xlpm.rowNo, MATCH($C145&amp;"|"&amp;
($F145+Y$4),Raw_Fund!$A:$A,0),
_xlpm.colNo,
MATCH(Y$3,Raw_Fund!$E$1:$AZ$1,0),
_xlpm.val,
INDEX(Raw_Fund!$E:$AZ,_xlpm.rowNo,_xlpm.colNo),
IF(ISNUMBER(_xlpm.val),_xlpm.val*$H145,""))</f>
        <v/>
      </c>
      <c r="Z145" s="6" t="e">
        <f>IF($E145&lt;&gt;"Include","",_xlfn.XLOOKUP($C145,Raw_Mkt!$A:$A,Raw_Mkt!$B:$B))</f>
        <v>#N/A</v>
      </c>
    </row>
    <row r="146" spans="1:26" x14ac:dyDescent="0.4">
      <c r="A146" t="str">
        <f>IF(Universe!A146&lt;&gt;"",Universe!A146,"")</f>
        <v>MAB</v>
      </c>
      <c r="B146" t="str">
        <f>IF(Universe!B146&lt;&gt;"",Universe!B146,"")</f>
        <v>Mitchells &amp; Butlers</v>
      </c>
      <c r="C146" t="str">
        <f>IF(Universe!C146&lt;&gt;"",Universe!C146,"")</f>
        <v>GB00B1FP6H53</v>
      </c>
      <c r="D146" t="str">
        <f>IF(Universe!D146&lt;&gt;"",Universe!D146,"")</f>
        <v>Consumer Discretionary</v>
      </c>
      <c r="E146" t="str">
        <f>Universe!G146</f>
        <v>Include</v>
      </c>
      <c r="F146" t="str">
        <f>IF($E146&lt;&gt;"Include","",_xlfn.LET(_xlpm.latest,_xlfn.MAXIFS(Raw_Fund!$C:$C,Raw_Fund!$B:$B,Data!$C146),IF(_xlpm.latest=0,"",_xlpm.latest)))</f>
        <v/>
      </c>
      <c r="G146" t="str">
        <f>IF($F146="","",INDEX(Raw_Fund!$E:$AZ,MATCH($C146&amp;"|"&amp;$F146,Raw_Fund!$A:$A,0),MATCH(G$3,Raw_Fund!$E$1:$AZ$1,0)))</f>
        <v/>
      </c>
      <c r="H146" t="str">
        <f t="shared" si="2"/>
        <v/>
      </c>
      <c r="I146" s="6" t="str">
        <f>_xlfn.LET(
_xlpm.rowNo, MATCH($C146&amp;"|"&amp;
($F146+I$4),Raw_Fund!$A:$A,0),
_xlpm.colNo,
MATCH(I$3,Raw_Fund!$E$1:$AZ$1,0),
_xlpm.val,
INDEX(Raw_Fund!$E:$AZ,_xlpm.rowNo,_xlpm.colNo),
IF(ISNUMBER(_xlpm.val),_xlpm.val*$H146,""))</f>
        <v/>
      </c>
      <c r="J146" s="6" t="str">
        <f>_xlfn.LET(
_xlpm.rowNo, MATCH($C146&amp;"|"&amp;
($F146+J$4),Raw_Fund!$A:$A,0),
_xlpm.colNo,
MATCH(J$3,Raw_Fund!$E$1:$AZ$1,0),
_xlpm.val,
INDEX(Raw_Fund!$E:$AZ,_xlpm.rowNo,_xlpm.colNo),
IF(ISNUMBER(_xlpm.val),_xlpm.val*$H146,""))</f>
        <v/>
      </c>
      <c r="K146" s="6" t="str">
        <f>_xlfn.LET(
_xlpm.rowNo, MATCH($C146&amp;"|"&amp;
($F146+K$4),Raw_Fund!$A:$A,0),
_xlpm.colNo,
MATCH(K$3,Raw_Fund!$E$1:$AZ$1,0),
_xlpm.val,
INDEX(Raw_Fund!$E:$AZ,_xlpm.rowNo,_xlpm.colNo),
IF(ISNUMBER(_xlpm.val),_xlpm.val*$H146,""))</f>
        <v/>
      </c>
      <c r="L146" s="6" t="str">
        <f>_xlfn.LET(
_xlpm.rowNo, MATCH($C146&amp;"|"&amp;
($F146+L$4),Raw_Fund!$A:$A,0),
_xlpm.colNo,
MATCH(L$3,Raw_Fund!$E$1:$AZ$1,0),
_xlpm.val,
INDEX(Raw_Fund!$E:$AZ,_xlpm.rowNo,_xlpm.colNo),
IF(ISNUMBER(_xlpm.val),_xlpm.val*$H146,""))</f>
        <v/>
      </c>
      <c r="M146" s="6" t="str">
        <f>_xlfn.LET(
_xlpm.rowNo, MATCH($C146&amp;"|"&amp;
($F146+M$4),Raw_Fund!$A:$A,0),
_xlpm.colNo,
MATCH(M$3,Raw_Fund!$E$1:$AZ$1,0),
_xlpm.val,
INDEX(Raw_Fund!$E:$AZ,_xlpm.rowNo,_xlpm.colNo),
IF(ISNUMBER(_xlpm.val),_xlpm.val*$H146,""))</f>
        <v/>
      </c>
      <c r="N146" s="6" t="str">
        <f>_xlfn.LET(
_xlpm.rowNo, MATCH($C146&amp;"|"&amp;
($F146+N$4),Raw_Fund!$A:$A,0),
_xlpm.colNo,
MATCH(N$3,Raw_Fund!$E$1:$AZ$1,0),
_xlpm.val,
INDEX(Raw_Fund!$E:$AZ,_xlpm.rowNo,_xlpm.colNo),
IF(ISNUMBER(_xlpm.val),_xlpm.val*$H146,""))</f>
        <v/>
      </c>
      <c r="O146" s="6" t="str">
        <f>_xlfn.LET(
_xlpm.rowNo, MATCH($C146&amp;"|"&amp;
($F146+O$4),Raw_Fund!$A:$A,0),
_xlpm.colNo,
MATCH(O$3,Raw_Fund!$E$1:$AZ$1,0),
_xlpm.val,
INDEX(Raw_Fund!$E:$AZ,_xlpm.rowNo,_xlpm.colNo),
IF(ISNUMBER(_xlpm.val),_xlpm.val*$H146,""))</f>
        <v/>
      </c>
      <c r="P146" s="6" t="str">
        <f>_xlfn.LET(
_xlpm.rowNo, MATCH($C146&amp;"|"&amp;
($F146+P$4),Raw_Fund!$A:$A,0),
_xlpm.colNo,
MATCH(P$3,Raw_Fund!$E$1:$AZ$1,0),
_xlpm.val,
INDEX(Raw_Fund!$E:$AZ,_xlpm.rowNo,_xlpm.colNo),
IF(ISNUMBER(_xlpm.val),_xlpm.val*$H146,""))</f>
        <v/>
      </c>
      <c r="Q146" s="6" t="str">
        <f>_xlfn.LET(
_xlpm.rowNo, MATCH($C146&amp;"|"&amp;
($F146+Q$4),Raw_Fund!$A:$A,0),
_xlpm.colNo,
MATCH(Q$3,Raw_Fund!$E$1:$AZ$1,0),
_xlpm.val,
INDEX(Raw_Fund!$E:$AZ,_xlpm.rowNo,_xlpm.colNo),
IF(ISNUMBER(_xlpm.val),_xlpm.val*$H146,""))</f>
        <v/>
      </c>
      <c r="R146" s="6" t="str">
        <f>_xlfn.LET(
_xlpm.rowNo, MATCH($C146&amp;"|"&amp;
($F146+R$4),Raw_Fund!$A:$A,0),
_xlpm.colNo,
MATCH(R$3,Raw_Fund!$E$1:$AZ$1,0),
_xlpm.val,
INDEX(Raw_Fund!$E:$AZ,_xlpm.rowNo,_xlpm.colNo),
IF(ISNUMBER(_xlpm.val),_xlpm.val*$H146,""))</f>
        <v/>
      </c>
      <c r="S146" s="6" t="str">
        <f>_xlfn.LET(
_xlpm.rowNo, MATCH($C146&amp;"|"&amp;
($F146+S$4),Raw_Fund!$A:$A,0),
_xlpm.colNo,
MATCH(S$3,Raw_Fund!$E$1:$AZ$1,0),
_xlpm.val,
INDEX(Raw_Fund!$E:$AZ,_xlpm.rowNo,_xlpm.colNo),
IF(ISNUMBER(_xlpm.val),_xlpm.val*$H146,""))</f>
        <v/>
      </c>
      <c r="T146" s="6" t="str">
        <f>_xlfn.LET(
_xlpm.rowNo, MATCH($C146&amp;"|"&amp;
($F146+T$4),Raw_Fund!$A:$A,0),
_xlpm.colNo,
MATCH(T$3,Raw_Fund!$E$1:$AZ$1,0),
_xlpm.val,
INDEX(Raw_Fund!$E:$AZ,_xlpm.rowNo,_xlpm.colNo),
IF(ISNUMBER(_xlpm.val),_xlpm.val*$H146,""))</f>
        <v/>
      </c>
      <c r="U146" s="6" t="str">
        <f>_xlfn.LET(
_xlpm.rowNo, MATCH($C146&amp;"|"&amp;
($F146+U$4),Raw_Fund!$A:$A,0),
_xlpm.colNo,
MATCH(U$3,Raw_Fund!$E$1:$AZ$1,0),
_xlpm.val,
INDEX(Raw_Fund!$E:$AZ,_xlpm.rowNo,_xlpm.colNo),
IF(ISNUMBER(_xlpm.val),_xlpm.val*$H146,""))</f>
        <v/>
      </c>
      <c r="V146" s="6" t="str">
        <f>_xlfn.LET(
_xlpm.rowNo, MATCH($C146&amp;"|"&amp;
($F146+V$4),Raw_Fund!$A:$A,0),
_xlpm.colNo,
MATCH(V$3,Raw_Fund!$E$1:$AZ$1,0),
_xlpm.val,
INDEX(Raw_Fund!$E:$AZ,_xlpm.rowNo,_xlpm.colNo),
IF(ISNUMBER(_xlpm.val),_xlpm.val*$H146,""))</f>
        <v/>
      </c>
      <c r="W146" s="6" t="str">
        <f>_xlfn.LET(
_xlpm.rowNo, MATCH($C146&amp;"|"&amp;
($F146+W$4),Raw_Fund!$A:$A,0),
_xlpm.colNo,
MATCH(W$3,Raw_Fund!$E$1:$AZ$1,0),
_xlpm.val,
INDEX(Raw_Fund!$E:$AZ,_xlpm.rowNo,_xlpm.colNo),
IF(ISNUMBER(_xlpm.val),_xlpm.val*$H146,""))</f>
        <v/>
      </c>
      <c r="X146" s="6" t="str">
        <f>_xlfn.LET(
_xlpm.rowNo, MATCH($C146&amp;"|"&amp;
($F146+X$4),Raw_Fund!$A:$A,0),
_xlpm.colNo,
MATCH(X$3,Raw_Fund!$E$1:$AZ$1,0),
_xlpm.val,
INDEX(Raw_Fund!$E:$AZ,_xlpm.rowNo,_xlpm.colNo),
IF(ISNUMBER(_xlpm.val),_xlpm.val*$H146,""))</f>
        <v/>
      </c>
      <c r="Y146" s="6" t="str">
        <f>_xlfn.LET(
_xlpm.rowNo, MATCH($C146&amp;"|"&amp;
($F146+Y$4),Raw_Fund!$A:$A,0),
_xlpm.colNo,
MATCH(Y$3,Raw_Fund!$E$1:$AZ$1,0),
_xlpm.val,
INDEX(Raw_Fund!$E:$AZ,_xlpm.rowNo,_xlpm.colNo),
IF(ISNUMBER(_xlpm.val),_xlpm.val*$H146,""))</f>
        <v/>
      </c>
      <c r="Z146" s="6" t="e">
        <f>IF($E146&lt;&gt;"Include","",_xlfn.XLOOKUP($C146,Raw_Mkt!$A:$A,Raw_Mkt!$B:$B))</f>
        <v>#N/A</v>
      </c>
    </row>
    <row r="147" spans="1:26" x14ac:dyDescent="0.4">
      <c r="A147" t="str">
        <f>IF(Universe!A147&lt;&gt;"",Universe!A147,"")</f>
        <v>MTO</v>
      </c>
      <c r="B147" t="str">
        <f>IF(Universe!B147&lt;&gt;"",Universe!B147,"")</f>
        <v>Mitie</v>
      </c>
      <c r="C147" t="str">
        <f>IF(Universe!C147&lt;&gt;"",Universe!C147,"")</f>
        <v>GB0004657408</v>
      </c>
      <c r="D147" t="str">
        <f>IF(Universe!D147&lt;&gt;"",Universe!D147,"")</f>
        <v>Industrials</v>
      </c>
      <c r="E147" t="str">
        <f>Universe!G147</f>
        <v>Include</v>
      </c>
      <c r="F147" t="str">
        <f>IF($E147&lt;&gt;"Include","",_xlfn.LET(_xlpm.latest,_xlfn.MAXIFS(Raw_Fund!$C:$C,Raw_Fund!$B:$B,Data!$C147),IF(_xlpm.latest=0,"",_xlpm.latest)))</f>
        <v/>
      </c>
      <c r="G147" t="str">
        <f>IF($F147="","",INDEX(Raw_Fund!$E:$AZ,MATCH($C147&amp;"|"&amp;$F147,Raw_Fund!$A:$A,0),MATCH(G$3,Raw_Fund!$E$1:$AZ$1,0)))</f>
        <v/>
      </c>
      <c r="H147" t="str">
        <f t="shared" si="2"/>
        <v/>
      </c>
      <c r="I147" s="6" t="str">
        <f>_xlfn.LET(
_xlpm.rowNo, MATCH($C147&amp;"|"&amp;
($F147+I$4),Raw_Fund!$A:$A,0),
_xlpm.colNo,
MATCH(I$3,Raw_Fund!$E$1:$AZ$1,0),
_xlpm.val,
INDEX(Raw_Fund!$E:$AZ,_xlpm.rowNo,_xlpm.colNo),
IF(ISNUMBER(_xlpm.val),_xlpm.val*$H147,""))</f>
        <v/>
      </c>
      <c r="J147" s="6" t="str">
        <f>_xlfn.LET(
_xlpm.rowNo, MATCH($C147&amp;"|"&amp;
($F147+J$4),Raw_Fund!$A:$A,0),
_xlpm.colNo,
MATCH(J$3,Raw_Fund!$E$1:$AZ$1,0),
_xlpm.val,
INDEX(Raw_Fund!$E:$AZ,_xlpm.rowNo,_xlpm.colNo),
IF(ISNUMBER(_xlpm.val),_xlpm.val*$H147,""))</f>
        <v/>
      </c>
      <c r="K147" s="6" t="str">
        <f>_xlfn.LET(
_xlpm.rowNo, MATCH($C147&amp;"|"&amp;
($F147+K$4),Raw_Fund!$A:$A,0),
_xlpm.colNo,
MATCH(K$3,Raw_Fund!$E$1:$AZ$1,0),
_xlpm.val,
INDEX(Raw_Fund!$E:$AZ,_xlpm.rowNo,_xlpm.colNo),
IF(ISNUMBER(_xlpm.val),_xlpm.val*$H147,""))</f>
        <v/>
      </c>
      <c r="L147" s="6" t="str">
        <f>_xlfn.LET(
_xlpm.rowNo, MATCH($C147&amp;"|"&amp;
($F147+L$4),Raw_Fund!$A:$A,0),
_xlpm.colNo,
MATCH(L$3,Raw_Fund!$E$1:$AZ$1,0),
_xlpm.val,
INDEX(Raw_Fund!$E:$AZ,_xlpm.rowNo,_xlpm.colNo),
IF(ISNUMBER(_xlpm.val),_xlpm.val*$H147,""))</f>
        <v/>
      </c>
      <c r="M147" s="6" t="str">
        <f>_xlfn.LET(
_xlpm.rowNo, MATCH($C147&amp;"|"&amp;
($F147+M$4),Raw_Fund!$A:$A,0),
_xlpm.colNo,
MATCH(M$3,Raw_Fund!$E$1:$AZ$1,0),
_xlpm.val,
INDEX(Raw_Fund!$E:$AZ,_xlpm.rowNo,_xlpm.colNo),
IF(ISNUMBER(_xlpm.val),_xlpm.val*$H147,""))</f>
        <v/>
      </c>
      <c r="N147" s="6" t="str">
        <f>_xlfn.LET(
_xlpm.rowNo, MATCH($C147&amp;"|"&amp;
($F147+N$4),Raw_Fund!$A:$A,0),
_xlpm.colNo,
MATCH(N$3,Raw_Fund!$E$1:$AZ$1,0),
_xlpm.val,
INDEX(Raw_Fund!$E:$AZ,_xlpm.rowNo,_xlpm.colNo),
IF(ISNUMBER(_xlpm.val),_xlpm.val*$H147,""))</f>
        <v/>
      </c>
      <c r="O147" s="6" t="str">
        <f>_xlfn.LET(
_xlpm.rowNo, MATCH($C147&amp;"|"&amp;
($F147+O$4),Raw_Fund!$A:$A,0),
_xlpm.colNo,
MATCH(O$3,Raw_Fund!$E$1:$AZ$1,0),
_xlpm.val,
INDEX(Raw_Fund!$E:$AZ,_xlpm.rowNo,_xlpm.colNo),
IF(ISNUMBER(_xlpm.val),_xlpm.val*$H147,""))</f>
        <v/>
      </c>
      <c r="P147" s="6" t="str">
        <f>_xlfn.LET(
_xlpm.rowNo, MATCH($C147&amp;"|"&amp;
($F147+P$4),Raw_Fund!$A:$A,0),
_xlpm.colNo,
MATCH(P$3,Raw_Fund!$E$1:$AZ$1,0),
_xlpm.val,
INDEX(Raw_Fund!$E:$AZ,_xlpm.rowNo,_xlpm.colNo),
IF(ISNUMBER(_xlpm.val),_xlpm.val*$H147,""))</f>
        <v/>
      </c>
      <c r="Q147" s="6" t="str">
        <f>_xlfn.LET(
_xlpm.rowNo, MATCH($C147&amp;"|"&amp;
($F147+Q$4),Raw_Fund!$A:$A,0),
_xlpm.colNo,
MATCH(Q$3,Raw_Fund!$E$1:$AZ$1,0),
_xlpm.val,
INDEX(Raw_Fund!$E:$AZ,_xlpm.rowNo,_xlpm.colNo),
IF(ISNUMBER(_xlpm.val),_xlpm.val*$H147,""))</f>
        <v/>
      </c>
      <c r="R147" s="6" t="str">
        <f>_xlfn.LET(
_xlpm.rowNo, MATCH($C147&amp;"|"&amp;
($F147+R$4),Raw_Fund!$A:$A,0),
_xlpm.colNo,
MATCH(R$3,Raw_Fund!$E$1:$AZ$1,0),
_xlpm.val,
INDEX(Raw_Fund!$E:$AZ,_xlpm.rowNo,_xlpm.colNo),
IF(ISNUMBER(_xlpm.val),_xlpm.val*$H147,""))</f>
        <v/>
      </c>
      <c r="S147" s="6" t="str">
        <f>_xlfn.LET(
_xlpm.rowNo, MATCH($C147&amp;"|"&amp;
($F147+S$4),Raw_Fund!$A:$A,0),
_xlpm.colNo,
MATCH(S$3,Raw_Fund!$E$1:$AZ$1,0),
_xlpm.val,
INDEX(Raw_Fund!$E:$AZ,_xlpm.rowNo,_xlpm.colNo),
IF(ISNUMBER(_xlpm.val),_xlpm.val*$H147,""))</f>
        <v/>
      </c>
      <c r="T147" s="6" t="str">
        <f>_xlfn.LET(
_xlpm.rowNo, MATCH($C147&amp;"|"&amp;
($F147+T$4),Raw_Fund!$A:$A,0),
_xlpm.colNo,
MATCH(T$3,Raw_Fund!$E$1:$AZ$1,0),
_xlpm.val,
INDEX(Raw_Fund!$E:$AZ,_xlpm.rowNo,_xlpm.colNo),
IF(ISNUMBER(_xlpm.val),_xlpm.val*$H147,""))</f>
        <v/>
      </c>
      <c r="U147" s="6" t="str">
        <f>_xlfn.LET(
_xlpm.rowNo, MATCH($C147&amp;"|"&amp;
($F147+U$4),Raw_Fund!$A:$A,0),
_xlpm.colNo,
MATCH(U$3,Raw_Fund!$E$1:$AZ$1,0),
_xlpm.val,
INDEX(Raw_Fund!$E:$AZ,_xlpm.rowNo,_xlpm.colNo),
IF(ISNUMBER(_xlpm.val),_xlpm.val*$H147,""))</f>
        <v/>
      </c>
      <c r="V147" s="6" t="str">
        <f>_xlfn.LET(
_xlpm.rowNo, MATCH($C147&amp;"|"&amp;
($F147+V$4),Raw_Fund!$A:$A,0),
_xlpm.colNo,
MATCH(V$3,Raw_Fund!$E$1:$AZ$1,0),
_xlpm.val,
INDEX(Raw_Fund!$E:$AZ,_xlpm.rowNo,_xlpm.colNo),
IF(ISNUMBER(_xlpm.val),_xlpm.val*$H147,""))</f>
        <v/>
      </c>
      <c r="W147" s="6" t="str">
        <f>_xlfn.LET(
_xlpm.rowNo, MATCH($C147&amp;"|"&amp;
($F147+W$4),Raw_Fund!$A:$A,0),
_xlpm.colNo,
MATCH(W$3,Raw_Fund!$E$1:$AZ$1,0),
_xlpm.val,
INDEX(Raw_Fund!$E:$AZ,_xlpm.rowNo,_xlpm.colNo),
IF(ISNUMBER(_xlpm.val),_xlpm.val*$H147,""))</f>
        <v/>
      </c>
      <c r="X147" s="6" t="str">
        <f>_xlfn.LET(
_xlpm.rowNo, MATCH($C147&amp;"|"&amp;
($F147+X$4),Raw_Fund!$A:$A,0),
_xlpm.colNo,
MATCH(X$3,Raw_Fund!$E$1:$AZ$1,0),
_xlpm.val,
INDEX(Raw_Fund!$E:$AZ,_xlpm.rowNo,_xlpm.colNo),
IF(ISNUMBER(_xlpm.val),_xlpm.val*$H147,""))</f>
        <v/>
      </c>
      <c r="Y147" s="6" t="str">
        <f>_xlfn.LET(
_xlpm.rowNo, MATCH($C147&amp;"|"&amp;
($F147+Y$4),Raw_Fund!$A:$A,0),
_xlpm.colNo,
MATCH(Y$3,Raw_Fund!$E$1:$AZ$1,0),
_xlpm.val,
INDEX(Raw_Fund!$E:$AZ,_xlpm.rowNo,_xlpm.colNo),
IF(ISNUMBER(_xlpm.val),_xlpm.val*$H147,""))</f>
        <v/>
      </c>
      <c r="Z147" s="6" t="e">
        <f>IF($E147&lt;&gt;"Include","",_xlfn.XLOOKUP($C147,Raw_Mkt!$A:$A,Raw_Mkt!$B:$B))</f>
        <v>#N/A</v>
      </c>
    </row>
    <row r="148" spans="1:26" x14ac:dyDescent="0.4">
      <c r="A148" t="str">
        <f>IF(Universe!A148&lt;&gt;"",Universe!A148,"")</f>
        <v>GROW</v>
      </c>
      <c r="B148" t="str">
        <f>IF(Universe!B148&lt;&gt;"",Universe!B148,"")</f>
        <v>Molten Ventures</v>
      </c>
      <c r="C148" t="str">
        <f>IF(Universe!C148&lt;&gt;"",Universe!C148,"")</f>
        <v>GB00BY7QYJ50</v>
      </c>
      <c r="D148" t="str">
        <f>IF(Universe!D148&lt;&gt;"",Universe!D148,"")</f>
        <v>Financials</v>
      </c>
      <c r="E148" t="str">
        <f>Universe!G148</f>
        <v>Exclude</v>
      </c>
      <c r="F148" t="str">
        <f>IF($E148&lt;&gt;"Include","",_xlfn.LET(_xlpm.latest,_xlfn.MAXIFS(Raw_Fund!$C:$C,Raw_Fund!$B:$B,Data!$C148),IF(_xlpm.latest=0,"",_xlpm.latest)))</f>
        <v/>
      </c>
      <c r="G148" t="str">
        <f>IF($F148="","",INDEX(Raw_Fund!$E:$AZ,MATCH($C148&amp;"|"&amp;$F148,Raw_Fund!$A:$A,0),MATCH(G$3,Raw_Fund!$E$1:$AZ$1,0)))</f>
        <v/>
      </c>
      <c r="H148" t="str">
        <f t="shared" si="2"/>
        <v/>
      </c>
      <c r="I148" s="6" t="str">
        <f>_xlfn.LET(
_xlpm.rowNo, MATCH($C148&amp;"|"&amp;
($F148+I$4),Raw_Fund!$A:$A,0),
_xlpm.colNo,
MATCH(I$3,Raw_Fund!$E$1:$AZ$1,0),
_xlpm.val,
INDEX(Raw_Fund!$E:$AZ,_xlpm.rowNo,_xlpm.colNo),
IF(ISNUMBER(_xlpm.val),_xlpm.val*$H148,""))</f>
        <v/>
      </c>
      <c r="J148" s="6" t="str">
        <f>_xlfn.LET(
_xlpm.rowNo, MATCH($C148&amp;"|"&amp;
($F148+J$4),Raw_Fund!$A:$A,0),
_xlpm.colNo,
MATCH(J$3,Raw_Fund!$E$1:$AZ$1,0),
_xlpm.val,
INDEX(Raw_Fund!$E:$AZ,_xlpm.rowNo,_xlpm.colNo),
IF(ISNUMBER(_xlpm.val),_xlpm.val*$H148,""))</f>
        <v/>
      </c>
      <c r="K148" s="6" t="str">
        <f>_xlfn.LET(
_xlpm.rowNo, MATCH($C148&amp;"|"&amp;
($F148+K$4),Raw_Fund!$A:$A,0),
_xlpm.colNo,
MATCH(K$3,Raw_Fund!$E$1:$AZ$1,0),
_xlpm.val,
INDEX(Raw_Fund!$E:$AZ,_xlpm.rowNo,_xlpm.colNo),
IF(ISNUMBER(_xlpm.val),_xlpm.val*$H148,""))</f>
        <v/>
      </c>
      <c r="L148" s="6" t="str">
        <f>_xlfn.LET(
_xlpm.rowNo, MATCH($C148&amp;"|"&amp;
($F148+L$4),Raw_Fund!$A:$A,0),
_xlpm.colNo,
MATCH(L$3,Raw_Fund!$E$1:$AZ$1,0),
_xlpm.val,
INDEX(Raw_Fund!$E:$AZ,_xlpm.rowNo,_xlpm.colNo),
IF(ISNUMBER(_xlpm.val),_xlpm.val*$H148,""))</f>
        <v/>
      </c>
      <c r="M148" s="6" t="str">
        <f>_xlfn.LET(
_xlpm.rowNo, MATCH($C148&amp;"|"&amp;
($F148+M$4),Raw_Fund!$A:$A,0),
_xlpm.colNo,
MATCH(M$3,Raw_Fund!$E$1:$AZ$1,0),
_xlpm.val,
INDEX(Raw_Fund!$E:$AZ,_xlpm.rowNo,_xlpm.colNo),
IF(ISNUMBER(_xlpm.val),_xlpm.val*$H148,""))</f>
        <v/>
      </c>
      <c r="N148" s="6" t="str">
        <f>_xlfn.LET(
_xlpm.rowNo, MATCH($C148&amp;"|"&amp;
($F148+N$4),Raw_Fund!$A:$A,0),
_xlpm.colNo,
MATCH(N$3,Raw_Fund!$E$1:$AZ$1,0),
_xlpm.val,
INDEX(Raw_Fund!$E:$AZ,_xlpm.rowNo,_xlpm.colNo),
IF(ISNUMBER(_xlpm.val),_xlpm.val*$H148,""))</f>
        <v/>
      </c>
      <c r="O148" s="6" t="str">
        <f>_xlfn.LET(
_xlpm.rowNo, MATCH($C148&amp;"|"&amp;
($F148+O$4),Raw_Fund!$A:$A,0),
_xlpm.colNo,
MATCH(O$3,Raw_Fund!$E$1:$AZ$1,0),
_xlpm.val,
INDEX(Raw_Fund!$E:$AZ,_xlpm.rowNo,_xlpm.colNo),
IF(ISNUMBER(_xlpm.val),_xlpm.val*$H148,""))</f>
        <v/>
      </c>
      <c r="P148" s="6" t="str">
        <f>_xlfn.LET(
_xlpm.rowNo, MATCH($C148&amp;"|"&amp;
($F148+P$4),Raw_Fund!$A:$A,0),
_xlpm.colNo,
MATCH(P$3,Raw_Fund!$E$1:$AZ$1,0),
_xlpm.val,
INDEX(Raw_Fund!$E:$AZ,_xlpm.rowNo,_xlpm.colNo),
IF(ISNUMBER(_xlpm.val),_xlpm.val*$H148,""))</f>
        <v/>
      </c>
      <c r="Q148" s="6" t="str">
        <f>_xlfn.LET(
_xlpm.rowNo, MATCH($C148&amp;"|"&amp;
($F148+Q$4),Raw_Fund!$A:$A,0),
_xlpm.colNo,
MATCH(Q$3,Raw_Fund!$E$1:$AZ$1,0),
_xlpm.val,
INDEX(Raw_Fund!$E:$AZ,_xlpm.rowNo,_xlpm.colNo),
IF(ISNUMBER(_xlpm.val),_xlpm.val*$H148,""))</f>
        <v/>
      </c>
      <c r="R148" s="6" t="str">
        <f>_xlfn.LET(
_xlpm.rowNo, MATCH($C148&amp;"|"&amp;
($F148+R$4),Raw_Fund!$A:$A,0),
_xlpm.colNo,
MATCH(R$3,Raw_Fund!$E$1:$AZ$1,0),
_xlpm.val,
INDEX(Raw_Fund!$E:$AZ,_xlpm.rowNo,_xlpm.colNo),
IF(ISNUMBER(_xlpm.val),_xlpm.val*$H148,""))</f>
        <v/>
      </c>
      <c r="S148" s="6" t="str">
        <f>_xlfn.LET(
_xlpm.rowNo, MATCH($C148&amp;"|"&amp;
($F148+S$4),Raw_Fund!$A:$A,0),
_xlpm.colNo,
MATCH(S$3,Raw_Fund!$E$1:$AZ$1,0),
_xlpm.val,
INDEX(Raw_Fund!$E:$AZ,_xlpm.rowNo,_xlpm.colNo),
IF(ISNUMBER(_xlpm.val),_xlpm.val*$H148,""))</f>
        <v/>
      </c>
      <c r="T148" s="6" t="str">
        <f>_xlfn.LET(
_xlpm.rowNo, MATCH($C148&amp;"|"&amp;
($F148+T$4),Raw_Fund!$A:$A,0),
_xlpm.colNo,
MATCH(T$3,Raw_Fund!$E$1:$AZ$1,0),
_xlpm.val,
INDEX(Raw_Fund!$E:$AZ,_xlpm.rowNo,_xlpm.colNo),
IF(ISNUMBER(_xlpm.val),_xlpm.val*$H148,""))</f>
        <v/>
      </c>
      <c r="U148" s="6" t="str">
        <f>_xlfn.LET(
_xlpm.rowNo, MATCH($C148&amp;"|"&amp;
($F148+U$4),Raw_Fund!$A:$A,0),
_xlpm.colNo,
MATCH(U$3,Raw_Fund!$E$1:$AZ$1,0),
_xlpm.val,
INDEX(Raw_Fund!$E:$AZ,_xlpm.rowNo,_xlpm.colNo),
IF(ISNUMBER(_xlpm.val),_xlpm.val*$H148,""))</f>
        <v/>
      </c>
      <c r="V148" s="6" t="str">
        <f>_xlfn.LET(
_xlpm.rowNo, MATCH($C148&amp;"|"&amp;
($F148+V$4),Raw_Fund!$A:$A,0),
_xlpm.colNo,
MATCH(V$3,Raw_Fund!$E$1:$AZ$1,0),
_xlpm.val,
INDEX(Raw_Fund!$E:$AZ,_xlpm.rowNo,_xlpm.colNo),
IF(ISNUMBER(_xlpm.val),_xlpm.val*$H148,""))</f>
        <v/>
      </c>
      <c r="W148" s="6" t="str">
        <f>_xlfn.LET(
_xlpm.rowNo, MATCH($C148&amp;"|"&amp;
($F148+W$4),Raw_Fund!$A:$A,0),
_xlpm.colNo,
MATCH(W$3,Raw_Fund!$E$1:$AZ$1,0),
_xlpm.val,
INDEX(Raw_Fund!$E:$AZ,_xlpm.rowNo,_xlpm.colNo),
IF(ISNUMBER(_xlpm.val),_xlpm.val*$H148,""))</f>
        <v/>
      </c>
      <c r="X148" s="6" t="str">
        <f>_xlfn.LET(
_xlpm.rowNo, MATCH($C148&amp;"|"&amp;
($F148+X$4),Raw_Fund!$A:$A,0),
_xlpm.colNo,
MATCH(X$3,Raw_Fund!$E$1:$AZ$1,0),
_xlpm.val,
INDEX(Raw_Fund!$E:$AZ,_xlpm.rowNo,_xlpm.colNo),
IF(ISNUMBER(_xlpm.val),_xlpm.val*$H148,""))</f>
        <v/>
      </c>
      <c r="Y148" s="6" t="str">
        <f>_xlfn.LET(
_xlpm.rowNo, MATCH($C148&amp;"|"&amp;
($F148+Y$4),Raw_Fund!$A:$A,0),
_xlpm.colNo,
MATCH(Y$3,Raw_Fund!$E$1:$AZ$1,0),
_xlpm.val,
INDEX(Raw_Fund!$E:$AZ,_xlpm.rowNo,_xlpm.colNo),
IF(ISNUMBER(_xlpm.val),_xlpm.val*$H148,""))</f>
        <v/>
      </c>
      <c r="Z148" s="6" t="str">
        <f>IF($E148&lt;&gt;"Include","",_xlfn.XLOOKUP($C148,Raw_Mkt!$A:$A,Raw_Mkt!$B:$B))</f>
        <v/>
      </c>
    </row>
    <row r="149" spans="1:26" x14ac:dyDescent="0.4">
      <c r="A149" t="str">
        <f>IF(Universe!A149&lt;&gt;"",Universe!A149,"")</f>
        <v>MNDI</v>
      </c>
      <c r="B149" t="str">
        <f>IF(Universe!B149&lt;&gt;"",Universe!B149,"")</f>
        <v>Mondi</v>
      </c>
      <c r="C149" t="str">
        <f>IF(Universe!C149&lt;&gt;"",Universe!C149,"")</f>
        <v>GB00BMWC6P49</v>
      </c>
      <c r="D149" t="str">
        <f>IF(Universe!D149&lt;&gt;"",Universe!D149,"")</f>
        <v>Industrials</v>
      </c>
      <c r="E149" t="str">
        <f>Universe!G149</f>
        <v>Include</v>
      </c>
      <c r="F149" t="str">
        <f>IF($E149&lt;&gt;"Include","",_xlfn.LET(_xlpm.latest,_xlfn.MAXIFS(Raw_Fund!$C:$C,Raw_Fund!$B:$B,Data!$C149),IF(_xlpm.latest=0,"",_xlpm.latest)))</f>
        <v/>
      </c>
      <c r="G149" t="str">
        <f>IF($F149="","",INDEX(Raw_Fund!$E:$AZ,MATCH($C149&amp;"|"&amp;$F149,Raw_Fund!$A:$A,0),MATCH(G$3,Raw_Fund!$E$1:$AZ$1,0)))</f>
        <v/>
      </c>
      <c r="H149" t="str">
        <f t="shared" si="2"/>
        <v/>
      </c>
      <c r="I149" s="6" t="str">
        <f>_xlfn.LET(
_xlpm.rowNo, MATCH($C149&amp;"|"&amp;
($F149+I$4),Raw_Fund!$A:$A,0),
_xlpm.colNo,
MATCH(I$3,Raw_Fund!$E$1:$AZ$1,0),
_xlpm.val,
INDEX(Raw_Fund!$E:$AZ,_xlpm.rowNo,_xlpm.colNo),
IF(ISNUMBER(_xlpm.val),_xlpm.val*$H149,""))</f>
        <v/>
      </c>
      <c r="J149" s="6" t="str">
        <f>_xlfn.LET(
_xlpm.rowNo, MATCH($C149&amp;"|"&amp;
($F149+J$4),Raw_Fund!$A:$A,0),
_xlpm.colNo,
MATCH(J$3,Raw_Fund!$E$1:$AZ$1,0),
_xlpm.val,
INDEX(Raw_Fund!$E:$AZ,_xlpm.rowNo,_xlpm.colNo),
IF(ISNUMBER(_xlpm.val),_xlpm.val*$H149,""))</f>
        <v/>
      </c>
      <c r="K149" s="6" t="str">
        <f>_xlfn.LET(
_xlpm.rowNo, MATCH($C149&amp;"|"&amp;
($F149+K$4),Raw_Fund!$A:$A,0),
_xlpm.colNo,
MATCH(K$3,Raw_Fund!$E$1:$AZ$1,0),
_xlpm.val,
INDEX(Raw_Fund!$E:$AZ,_xlpm.rowNo,_xlpm.colNo),
IF(ISNUMBER(_xlpm.val),_xlpm.val*$H149,""))</f>
        <v/>
      </c>
      <c r="L149" s="6" t="str">
        <f>_xlfn.LET(
_xlpm.rowNo, MATCH($C149&amp;"|"&amp;
($F149+L$4),Raw_Fund!$A:$A,0),
_xlpm.colNo,
MATCH(L$3,Raw_Fund!$E$1:$AZ$1,0),
_xlpm.val,
INDEX(Raw_Fund!$E:$AZ,_xlpm.rowNo,_xlpm.colNo),
IF(ISNUMBER(_xlpm.val),_xlpm.val*$H149,""))</f>
        <v/>
      </c>
      <c r="M149" s="6" t="str">
        <f>_xlfn.LET(
_xlpm.rowNo, MATCH($C149&amp;"|"&amp;
($F149+M$4),Raw_Fund!$A:$A,0),
_xlpm.colNo,
MATCH(M$3,Raw_Fund!$E$1:$AZ$1,0),
_xlpm.val,
INDEX(Raw_Fund!$E:$AZ,_xlpm.rowNo,_xlpm.colNo),
IF(ISNUMBER(_xlpm.val),_xlpm.val*$H149,""))</f>
        <v/>
      </c>
      <c r="N149" s="6" t="str">
        <f>_xlfn.LET(
_xlpm.rowNo, MATCH($C149&amp;"|"&amp;
($F149+N$4),Raw_Fund!$A:$A,0),
_xlpm.colNo,
MATCH(N$3,Raw_Fund!$E$1:$AZ$1,0),
_xlpm.val,
INDEX(Raw_Fund!$E:$AZ,_xlpm.rowNo,_xlpm.colNo),
IF(ISNUMBER(_xlpm.val),_xlpm.val*$H149,""))</f>
        <v/>
      </c>
      <c r="O149" s="6" t="str">
        <f>_xlfn.LET(
_xlpm.rowNo, MATCH($C149&amp;"|"&amp;
($F149+O$4),Raw_Fund!$A:$A,0),
_xlpm.colNo,
MATCH(O$3,Raw_Fund!$E$1:$AZ$1,0),
_xlpm.val,
INDEX(Raw_Fund!$E:$AZ,_xlpm.rowNo,_xlpm.colNo),
IF(ISNUMBER(_xlpm.val),_xlpm.val*$H149,""))</f>
        <v/>
      </c>
      <c r="P149" s="6" t="str">
        <f>_xlfn.LET(
_xlpm.rowNo, MATCH($C149&amp;"|"&amp;
($F149+P$4),Raw_Fund!$A:$A,0),
_xlpm.colNo,
MATCH(P$3,Raw_Fund!$E$1:$AZ$1,0),
_xlpm.val,
INDEX(Raw_Fund!$E:$AZ,_xlpm.rowNo,_xlpm.colNo),
IF(ISNUMBER(_xlpm.val),_xlpm.val*$H149,""))</f>
        <v/>
      </c>
      <c r="Q149" s="6" t="str">
        <f>_xlfn.LET(
_xlpm.rowNo, MATCH($C149&amp;"|"&amp;
($F149+Q$4),Raw_Fund!$A:$A,0),
_xlpm.colNo,
MATCH(Q$3,Raw_Fund!$E$1:$AZ$1,0),
_xlpm.val,
INDEX(Raw_Fund!$E:$AZ,_xlpm.rowNo,_xlpm.colNo),
IF(ISNUMBER(_xlpm.val),_xlpm.val*$H149,""))</f>
        <v/>
      </c>
      <c r="R149" s="6" t="str">
        <f>_xlfn.LET(
_xlpm.rowNo, MATCH($C149&amp;"|"&amp;
($F149+R$4),Raw_Fund!$A:$A,0),
_xlpm.colNo,
MATCH(R$3,Raw_Fund!$E$1:$AZ$1,0),
_xlpm.val,
INDEX(Raw_Fund!$E:$AZ,_xlpm.rowNo,_xlpm.colNo),
IF(ISNUMBER(_xlpm.val),_xlpm.val*$H149,""))</f>
        <v/>
      </c>
      <c r="S149" s="6" t="str">
        <f>_xlfn.LET(
_xlpm.rowNo, MATCH($C149&amp;"|"&amp;
($F149+S$4),Raw_Fund!$A:$A,0),
_xlpm.colNo,
MATCH(S$3,Raw_Fund!$E$1:$AZ$1,0),
_xlpm.val,
INDEX(Raw_Fund!$E:$AZ,_xlpm.rowNo,_xlpm.colNo),
IF(ISNUMBER(_xlpm.val),_xlpm.val*$H149,""))</f>
        <v/>
      </c>
      <c r="T149" s="6" t="str">
        <f>_xlfn.LET(
_xlpm.rowNo, MATCH($C149&amp;"|"&amp;
($F149+T$4),Raw_Fund!$A:$A,0),
_xlpm.colNo,
MATCH(T$3,Raw_Fund!$E$1:$AZ$1,0),
_xlpm.val,
INDEX(Raw_Fund!$E:$AZ,_xlpm.rowNo,_xlpm.colNo),
IF(ISNUMBER(_xlpm.val),_xlpm.val*$H149,""))</f>
        <v/>
      </c>
      <c r="U149" s="6" t="str">
        <f>_xlfn.LET(
_xlpm.rowNo, MATCH($C149&amp;"|"&amp;
($F149+U$4),Raw_Fund!$A:$A,0),
_xlpm.colNo,
MATCH(U$3,Raw_Fund!$E$1:$AZ$1,0),
_xlpm.val,
INDEX(Raw_Fund!$E:$AZ,_xlpm.rowNo,_xlpm.colNo),
IF(ISNUMBER(_xlpm.val),_xlpm.val*$H149,""))</f>
        <v/>
      </c>
      <c r="V149" s="6" t="str">
        <f>_xlfn.LET(
_xlpm.rowNo, MATCH($C149&amp;"|"&amp;
($F149+V$4),Raw_Fund!$A:$A,0),
_xlpm.colNo,
MATCH(V$3,Raw_Fund!$E$1:$AZ$1,0),
_xlpm.val,
INDEX(Raw_Fund!$E:$AZ,_xlpm.rowNo,_xlpm.colNo),
IF(ISNUMBER(_xlpm.val),_xlpm.val*$H149,""))</f>
        <v/>
      </c>
      <c r="W149" s="6" t="str">
        <f>_xlfn.LET(
_xlpm.rowNo, MATCH($C149&amp;"|"&amp;
($F149+W$4),Raw_Fund!$A:$A,0),
_xlpm.colNo,
MATCH(W$3,Raw_Fund!$E$1:$AZ$1,0),
_xlpm.val,
INDEX(Raw_Fund!$E:$AZ,_xlpm.rowNo,_xlpm.colNo),
IF(ISNUMBER(_xlpm.val),_xlpm.val*$H149,""))</f>
        <v/>
      </c>
      <c r="X149" s="6" t="str">
        <f>_xlfn.LET(
_xlpm.rowNo, MATCH($C149&amp;"|"&amp;
($F149+X$4),Raw_Fund!$A:$A,0),
_xlpm.colNo,
MATCH(X$3,Raw_Fund!$E$1:$AZ$1,0),
_xlpm.val,
INDEX(Raw_Fund!$E:$AZ,_xlpm.rowNo,_xlpm.colNo),
IF(ISNUMBER(_xlpm.val),_xlpm.val*$H149,""))</f>
        <v/>
      </c>
      <c r="Y149" s="6" t="str">
        <f>_xlfn.LET(
_xlpm.rowNo, MATCH($C149&amp;"|"&amp;
($F149+Y$4),Raw_Fund!$A:$A,0),
_xlpm.colNo,
MATCH(Y$3,Raw_Fund!$E$1:$AZ$1,0),
_xlpm.val,
INDEX(Raw_Fund!$E:$AZ,_xlpm.rowNo,_xlpm.colNo),
IF(ISNUMBER(_xlpm.val),_xlpm.val*$H149,""))</f>
        <v/>
      </c>
      <c r="Z149" s="6" t="e">
        <f>IF($E149&lt;&gt;"Include","",_xlfn.XLOOKUP($C149,Raw_Mkt!$A:$A,Raw_Mkt!$B:$B))</f>
        <v>#N/A</v>
      </c>
    </row>
    <row r="150" spans="1:26" x14ac:dyDescent="0.4">
      <c r="A150" t="str">
        <f>IF(Universe!A150&lt;&gt;"",Universe!A150,"")</f>
        <v>MNKS</v>
      </c>
      <c r="B150" t="str">
        <f>IF(Universe!B150&lt;&gt;"",Universe!B150,"")</f>
        <v>Monks Investment Trust</v>
      </c>
      <c r="C150" t="str">
        <f>IF(Universe!C150&lt;&gt;"",Universe!C150,"")</f>
        <v>GB0030517261</v>
      </c>
      <c r="D150" t="str">
        <f>IF(Universe!D150&lt;&gt;"",Universe!D150,"")</f>
        <v>Financials</v>
      </c>
      <c r="E150" t="str">
        <f>Universe!G150</f>
        <v>Exclude</v>
      </c>
      <c r="F150" t="str">
        <f>IF($E150&lt;&gt;"Include","",_xlfn.LET(_xlpm.latest,_xlfn.MAXIFS(Raw_Fund!$C:$C,Raw_Fund!$B:$B,Data!$C150),IF(_xlpm.latest=0,"",_xlpm.latest)))</f>
        <v/>
      </c>
      <c r="G150" t="str">
        <f>IF($F150="","",INDEX(Raw_Fund!$E:$AZ,MATCH($C150&amp;"|"&amp;$F150,Raw_Fund!$A:$A,0),MATCH(G$3,Raw_Fund!$E$1:$AZ$1,0)))</f>
        <v/>
      </c>
      <c r="H150" t="str">
        <f t="shared" si="2"/>
        <v/>
      </c>
      <c r="I150" s="6" t="str">
        <f>_xlfn.LET(
_xlpm.rowNo, MATCH($C150&amp;"|"&amp;
($F150+I$4),Raw_Fund!$A:$A,0),
_xlpm.colNo,
MATCH(I$3,Raw_Fund!$E$1:$AZ$1,0),
_xlpm.val,
INDEX(Raw_Fund!$E:$AZ,_xlpm.rowNo,_xlpm.colNo),
IF(ISNUMBER(_xlpm.val),_xlpm.val*$H150,""))</f>
        <v/>
      </c>
      <c r="J150" s="6" t="str">
        <f>_xlfn.LET(
_xlpm.rowNo, MATCH($C150&amp;"|"&amp;
($F150+J$4),Raw_Fund!$A:$A,0),
_xlpm.colNo,
MATCH(J$3,Raw_Fund!$E$1:$AZ$1,0),
_xlpm.val,
INDEX(Raw_Fund!$E:$AZ,_xlpm.rowNo,_xlpm.colNo),
IF(ISNUMBER(_xlpm.val),_xlpm.val*$H150,""))</f>
        <v/>
      </c>
      <c r="K150" s="6" t="str">
        <f>_xlfn.LET(
_xlpm.rowNo, MATCH($C150&amp;"|"&amp;
($F150+K$4),Raw_Fund!$A:$A,0),
_xlpm.colNo,
MATCH(K$3,Raw_Fund!$E$1:$AZ$1,0),
_xlpm.val,
INDEX(Raw_Fund!$E:$AZ,_xlpm.rowNo,_xlpm.colNo),
IF(ISNUMBER(_xlpm.val),_xlpm.val*$H150,""))</f>
        <v/>
      </c>
      <c r="L150" s="6" t="str">
        <f>_xlfn.LET(
_xlpm.rowNo, MATCH($C150&amp;"|"&amp;
($F150+L$4),Raw_Fund!$A:$A,0),
_xlpm.colNo,
MATCH(L$3,Raw_Fund!$E$1:$AZ$1,0),
_xlpm.val,
INDEX(Raw_Fund!$E:$AZ,_xlpm.rowNo,_xlpm.colNo),
IF(ISNUMBER(_xlpm.val),_xlpm.val*$H150,""))</f>
        <v/>
      </c>
      <c r="M150" s="6" t="str">
        <f>_xlfn.LET(
_xlpm.rowNo, MATCH($C150&amp;"|"&amp;
($F150+M$4),Raw_Fund!$A:$A,0),
_xlpm.colNo,
MATCH(M$3,Raw_Fund!$E$1:$AZ$1,0),
_xlpm.val,
INDEX(Raw_Fund!$E:$AZ,_xlpm.rowNo,_xlpm.colNo),
IF(ISNUMBER(_xlpm.val),_xlpm.val*$H150,""))</f>
        <v/>
      </c>
      <c r="N150" s="6" t="str">
        <f>_xlfn.LET(
_xlpm.rowNo, MATCH($C150&amp;"|"&amp;
($F150+N$4),Raw_Fund!$A:$A,0),
_xlpm.colNo,
MATCH(N$3,Raw_Fund!$E$1:$AZ$1,0),
_xlpm.val,
INDEX(Raw_Fund!$E:$AZ,_xlpm.rowNo,_xlpm.colNo),
IF(ISNUMBER(_xlpm.val),_xlpm.val*$H150,""))</f>
        <v/>
      </c>
      <c r="O150" s="6" t="str">
        <f>_xlfn.LET(
_xlpm.rowNo, MATCH($C150&amp;"|"&amp;
($F150+O$4),Raw_Fund!$A:$A,0),
_xlpm.colNo,
MATCH(O$3,Raw_Fund!$E$1:$AZ$1,0),
_xlpm.val,
INDEX(Raw_Fund!$E:$AZ,_xlpm.rowNo,_xlpm.colNo),
IF(ISNUMBER(_xlpm.val),_xlpm.val*$H150,""))</f>
        <v/>
      </c>
      <c r="P150" s="6" t="str">
        <f>_xlfn.LET(
_xlpm.rowNo, MATCH($C150&amp;"|"&amp;
($F150+P$4),Raw_Fund!$A:$A,0),
_xlpm.colNo,
MATCH(P$3,Raw_Fund!$E$1:$AZ$1,0),
_xlpm.val,
INDEX(Raw_Fund!$E:$AZ,_xlpm.rowNo,_xlpm.colNo),
IF(ISNUMBER(_xlpm.val),_xlpm.val*$H150,""))</f>
        <v/>
      </c>
      <c r="Q150" s="6" t="str">
        <f>_xlfn.LET(
_xlpm.rowNo, MATCH($C150&amp;"|"&amp;
($F150+Q$4),Raw_Fund!$A:$A,0),
_xlpm.colNo,
MATCH(Q$3,Raw_Fund!$E$1:$AZ$1,0),
_xlpm.val,
INDEX(Raw_Fund!$E:$AZ,_xlpm.rowNo,_xlpm.colNo),
IF(ISNUMBER(_xlpm.val),_xlpm.val*$H150,""))</f>
        <v/>
      </c>
      <c r="R150" s="6" t="str">
        <f>_xlfn.LET(
_xlpm.rowNo, MATCH($C150&amp;"|"&amp;
($F150+R$4),Raw_Fund!$A:$A,0),
_xlpm.colNo,
MATCH(R$3,Raw_Fund!$E$1:$AZ$1,0),
_xlpm.val,
INDEX(Raw_Fund!$E:$AZ,_xlpm.rowNo,_xlpm.colNo),
IF(ISNUMBER(_xlpm.val),_xlpm.val*$H150,""))</f>
        <v/>
      </c>
      <c r="S150" s="6" t="str">
        <f>_xlfn.LET(
_xlpm.rowNo, MATCH($C150&amp;"|"&amp;
($F150+S$4),Raw_Fund!$A:$A,0),
_xlpm.colNo,
MATCH(S$3,Raw_Fund!$E$1:$AZ$1,0),
_xlpm.val,
INDEX(Raw_Fund!$E:$AZ,_xlpm.rowNo,_xlpm.colNo),
IF(ISNUMBER(_xlpm.val),_xlpm.val*$H150,""))</f>
        <v/>
      </c>
      <c r="T150" s="6" t="str">
        <f>_xlfn.LET(
_xlpm.rowNo, MATCH($C150&amp;"|"&amp;
($F150+T$4),Raw_Fund!$A:$A,0),
_xlpm.colNo,
MATCH(T$3,Raw_Fund!$E$1:$AZ$1,0),
_xlpm.val,
INDEX(Raw_Fund!$E:$AZ,_xlpm.rowNo,_xlpm.colNo),
IF(ISNUMBER(_xlpm.val),_xlpm.val*$H150,""))</f>
        <v/>
      </c>
      <c r="U150" s="6" t="str">
        <f>_xlfn.LET(
_xlpm.rowNo, MATCH($C150&amp;"|"&amp;
($F150+U$4),Raw_Fund!$A:$A,0),
_xlpm.colNo,
MATCH(U$3,Raw_Fund!$E$1:$AZ$1,0),
_xlpm.val,
INDEX(Raw_Fund!$E:$AZ,_xlpm.rowNo,_xlpm.colNo),
IF(ISNUMBER(_xlpm.val),_xlpm.val*$H150,""))</f>
        <v/>
      </c>
      <c r="V150" s="6" t="str">
        <f>_xlfn.LET(
_xlpm.rowNo, MATCH($C150&amp;"|"&amp;
($F150+V$4),Raw_Fund!$A:$A,0),
_xlpm.colNo,
MATCH(V$3,Raw_Fund!$E$1:$AZ$1,0),
_xlpm.val,
INDEX(Raw_Fund!$E:$AZ,_xlpm.rowNo,_xlpm.colNo),
IF(ISNUMBER(_xlpm.val),_xlpm.val*$H150,""))</f>
        <v/>
      </c>
      <c r="W150" s="6" t="str">
        <f>_xlfn.LET(
_xlpm.rowNo, MATCH($C150&amp;"|"&amp;
($F150+W$4),Raw_Fund!$A:$A,0),
_xlpm.colNo,
MATCH(W$3,Raw_Fund!$E$1:$AZ$1,0),
_xlpm.val,
INDEX(Raw_Fund!$E:$AZ,_xlpm.rowNo,_xlpm.colNo),
IF(ISNUMBER(_xlpm.val),_xlpm.val*$H150,""))</f>
        <v/>
      </c>
      <c r="X150" s="6" t="str">
        <f>_xlfn.LET(
_xlpm.rowNo, MATCH($C150&amp;"|"&amp;
($F150+X$4),Raw_Fund!$A:$A,0),
_xlpm.colNo,
MATCH(X$3,Raw_Fund!$E$1:$AZ$1,0),
_xlpm.val,
INDEX(Raw_Fund!$E:$AZ,_xlpm.rowNo,_xlpm.colNo),
IF(ISNUMBER(_xlpm.val),_xlpm.val*$H150,""))</f>
        <v/>
      </c>
      <c r="Y150" s="6" t="str">
        <f>_xlfn.LET(
_xlpm.rowNo, MATCH($C150&amp;"|"&amp;
($F150+Y$4),Raw_Fund!$A:$A,0),
_xlpm.colNo,
MATCH(Y$3,Raw_Fund!$E$1:$AZ$1,0),
_xlpm.val,
INDEX(Raw_Fund!$E:$AZ,_xlpm.rowNo,_xlpm.colNo),
IF(ISNUMBER(_xlpm.val),_xlpm.val*$H150,""))</f>
        <v/>
      </c>
      <c r="Z150" s="6" t="str">
        <f>IF($E150&lt;&gt;"Include","",_xlfn.XLOOKUP($C150,Raw_Mkt!$A:$A,Raw_Mkt!$B:$B))</f>
        <v/>
      </c>
    </row>
    <row r="151" spans="1:26" x14ac:dyDescent="0.4">
      <c r="A151" t="str">
        <f>IF(Universe!A151&lt;&gt;"",Universe!A151,"")</f>
        <v>MONY</v>
      </c>
      <c r="B151" t="str">
        <f>IF(Universe!B151&lt;&gt;"",Universe!B151,"")</f>
        <v>MONY Group</v>
      </c>
      <c r="C151" t="str">
        <f>IF(Universe!C151&lt;&gt;"",Universe!C151,"")</f>
        <v>GB00B1ZBKY84</v>
      </c>
      <c r="D151" t="str">
        <f>IF(Universe!D151&lt;&gt;"",Universe!D151,"")</f>
        <v>Consumer Discretionary</v>
      </c>
      <c r="E151" t="str">
        <f>Universe!G151</f>
        <v>Include</v>
      </c>
      <c r="F151" t="str">
        <f>IF($E151&lt;&gt;"Include","",_xlfn.LET(_xlpm.latest,_xlfn.MAXIFS(Raw_Fund!$C:$C,Raw_Fund!$B:$B,Data!$C151),IF(_xlpm.latest=0,"",_xlpm.latest)))</f>
        <v/>
      </c>
      <c r="G151" t="str">
        <f>IF($F151="","",INDEX(Raw_Fund!$E:$AZ,MATCH($C151&amp;"|"&amp;$F151,Raw_Fund!$A:$A,0),MATCH(G$3,Raw_Fund!$E$1:$AZ$1,0)))</f>
        <v/>
      </c>
      <c r="H151" t="str">
        <f t="shared" si="2"/>
        <v/>
      </c>
      <c r="I151" s="6" t="str">
        <f>_xlfn.LET(
_xlpm.rowNo, MATCH($C151&amp;"|"&amp;
($F151+I$4),Raw_Fund!$A:$A,0),
_xlpm.colNo,
MATCH(I$3,Raw_Fund!$E$1:$AZ$1,0),
_xlpm.val,
INDEX(Raw_Fund!$E:$AZ,_xlpm.rowNo,_xlpm.colNo),
IF(ISNUMBER(_xlpm.val),_xlpm.val*$H151,""))</f>
        <v/>
      </c>
      <c r="J151" s="6" t="str">
        <f>_xlfn.LET(
_xlpm.rowNo, MATCH($C151&amp;"|"&amp;
($F151+J$4),Raw_Fund!$A:$A,0),
_xlpm.colNo,
MATCH(J$3,Raw_Fund!$E$1:$AZ$1,0),
_xlpm.val,
INDEX(Raw_Fund!$E:$AZ,_xlpm.rowNo,_xlpm.colNo),
IF(ISNUMBER(_xlpm.val),_xlpm.val*$H151,""))</f>
        <v/>
      </c>
      <c r="K151" s="6" t="str">
        <f>_xlfn.LET(
_xlpm.rowNo, MATCH($C151&amp;"|"&amp;
($F151+K$4),Raw_Fund!$A:$A,0),
_xlpm.colNo,
MATCH(K$3,Raw_Fund!$E$1:$AZ$1,0),
_xlpm.val,
INDEX(Raw_Fund!$E:$AZ,_xlpm.rowNo,_xlpm.colNo),
IF(ISNUMBER(_xlpm.val),_xlpm.val*$H151,""))</f>
        <v/>
      </c>
      <c r="L151" s="6" t="str">
        <f>_xlfn.LET(
_xlpm.rowNo, MATCH($C151&amp;"|"&amp;
($F151+L$4),Raw_Fund!$A:$A,0),
_xlpm.colNo,
MATCH(L$3,Raw_Fund!$E$1:$AZ$1,0),
_xlpm.val,
INDEX(Raw_Fund!$E:$AZ,_xlpm.rowNo,_xlpm.colNo),
IF(ISNUMBER(_xlpm.val),_xlpm.val*$H151,""))</f>
        <v/>
      </c>
      <c r="M151" s="6" t="str">
        <f>_xlfn.LET(
_xlpm.rowNo, MATCH($C151&amp;"|"&amp;
($F151+M$4),Raw_Fund!$A:$A,0),
_xlpm.colNo,
MATCH(M$3,Raw_Fund!$E$1:$AZ$1,0),
_xlpm.val,
INDEX(Raw_Fund!$E:$AZ,_xlpm.rowNo,_xlpm.colNo),
IF(ISNUMBER(_xlpm.val),_xlpm.val*$H151,""))</f>
        <v/>
      </c>
      <c r="N151" s="6" t="str">
        <f>_xlfn.LET(
_xlpm.rowNo, MATCH($C151&amp;"|"&amp;
($F151+N$4),Raw_Fund!$A:$A,0),
_xlpm.colNo,
MATCH(N$3,Raw_Fund!$E$1:$AZ$1,0),
_xlpm.val,
INDEX(Raw_Fund!$E:$AZ,_xlpm.rowNo,_xlpm.colNo),
IF(ISNUMBER(_xlpm.val),_xlpm.val*$H151,""))</f>
        <v/>
      </c>
      <c r="O151" s="6" t="str">
        <f>_xlfn.LET(
_xlpm.rowNo, MATCH($C151&amp;"|"&amp;
($F151+O$4),Raw_Fund!$A:$A,0),
_xlpm.colNo,
MATCH(O$3,Raw_Fund!$E$1:$AZ$1,0),
_xlpm.val,
INDEX(Raw_Fund!$E:$AZ,_xlpm.rowNo,_xlpm.colNo),
IF(ISNUMBER(_xlpm.val),_xlpm.val*$H151,""))</f>
        <v/>
      </c>
      <c r="P151" s="6" t="str">
        <f>_xlfn.LET(
_xlpm.rowNo, MATCH($C151&amp;"|"&amp;
($F151+P$4),Raw_Fund!$A:$A,0),
_xlpm.colNo,
MATCH(P$3,Raw_Fund!$E$1:$AZ$1,0),
_xlpm.val,
INDEX(Raw_Fund!$E:$AZ,_xlpm.rowNo,_xlpm.colNo),
IF(ISNUMBER(_xlpm.val),_xlpm.val*$H151,""))</f>
        <v/>
      </c>
      <c r="Q151" s="6" t="str">
        <f>_xlfn.LET(
_xlpm.rowNo, MATCH($C151&amp;"|"&amp;
($F151+Q$4),Raw_Fund!$A:$A,0),
_xlpm.colNo,
MATCH(Q$3,Raw_Fund!$E$1:$AZ$1,0),
_xlpm.val,
INDEX(Raw_Fund!$E:$AZ,_xlpm.rowNo,_xlpm.colNo),
IF(ISNUMBER(_xlpm.val),_xlpm.val*$H151,""))</f>
        <v/>
      </c>
      <c r="R151" s="6" t="str">
        <f>_xlfn.LET(
_xlpm.rowNo, MATCH($C151&amp;"|"&amp;
($F151+R$4),Raw_Fund!$A:$A,0),
_xlpm.colNo,
MATCH(R$3,Raw_Fund!$E$1:$AZ$1,0),
_xlpm.val,
INDEX(Raw_Fund!$E:$AZ,_xlpm.rowNo,_xlpm.colNo),
IF(ISNUMBER(_xlpm.val),_xlpm.val*$H151,""))</f>
        <v/>
      </c>
      <c r="S151" s="6" t="str">
        <f>_xlfn.LET(
_xlpm.rowNo, MATCH($C151&amp;"|"&amp;
($F151+S$4),Raw_Fund!$A:$A,0),
_xlpm.colNo,
MATCH(S$3,Raw_Fund!$E$1:$AZ$1,0),
_xlpm.val,
INDEX(Raw_Fund!$E:$AZ,_xlpm.rowNo,_xlpm.colNo),
IF(ISNUMBER(_xlpm.val),_xlpm.val*$H151,""))</f>
        <v/>
      </c>
      <c r="T151" s="6" t="str">
        <f>_xlfn.LET(
_xlpm.rowNo, MATCH($C151&amp;"|"&amp;
($F151+T$4),Raw_Fund!$A:$A,0),
_xlpm.colNo,
MATCH(T$3,Raw_Fund!$E$1:$AZ$1,0),
_xlpm.val,
INDEX(Raw_Fund!$E:$AZ,_xlpm.rowNo,_xlpm.colNo),
IF(ISNUMBER(_xlpm.val),_xlpm.val*$H151,""))</f>
        <v/>
      </c>
      <c r="U151" s="6" t="str">
        <f>_xlfn.LET(
_xlpm.rowNo, MATCH($C151&amp;"|"&amp;
($F151+U$4),Raw_Fund!$A:$A,0),
_xlpm.colNo,
MATCH(U$3,Raw_Fund!$E$1:$AZ$1,0),
_xlpm.val,
INDEX(Raw_Fund!$E:$AZ,_xlpm.rowNo,_xlpm.colNo),
IF(ISNUMBER(_xlpm.val),_xlpm.val*$H151,""))</f>
        <v/>
      </c>
      <c r="V151" s="6" t="str">
        <f>_xlfn.LET(
_xlpm.rowNo, MATCH($C151&amp;"|"&amp;
($F151+V$4),Raw_Fund!$A:$A,0),
_xlpm.colNo,
MATCH(V$3,Raw_Fund!$E$1:$AZ$1,0),
_xlpm.val,
INDEX(Raw_Fund!$E:$AZ,_xlpm.rowNo,_xlpm.colNo),
IF(ISNUMBER(_xlpm.val),_xlpm.val*$H151,""))</f>
        <v/>
      </c>
      <c r="W151" s="6" t="str">
        <f>_xlfn.LET(
_xlpm.rowNo, MATCH($C151&amp;"|"&amp;
($F151+W$4),Raw_Fund!$A:$A,0),
_xlpm.colNo,
MATCH(W$3,Raw_Fund!$E$1:$AZ$1,0),
_xlpm.val,
INDEX(Raw_Fund!$E:$AZ,_xlpm.rowNo,_xlpm.colNo),
IF(ISNUMBER(_xlpm.val),_xlpm.val*$H151,""))</f>
        <v/>
      </c>
      <c r="X151" s="6" t="str">
        <f>_xlfn.LET(
_xlpm.rowNo, MATCH($C151&amp;"|"&amp;
($F151+X$4),Raw_Fund!$A:$A,0),
_xlpm.colNo,
MATCH(X$3,Raw_Fund!$E$1:$AZ$1,0),
_xlpm.val,
INDEX(Raw_Fund!$E:$AZ,_xlpm.rowNo,_xlpm.colNo),
IF(ISNUMBER(_xlpm.val),_xlpm.val*$H151,""))</f>
        <v/>
      </c>
      <c r="Y151" s="6" t="str">
        <f>_xlfn.LET(
_xlpm.rowNo, MATCH($C151&amp;"|"&amp;
($F151+Y$4),Raw_Fund!$A:$A,0),
_xlpm.colNo,
MATCH(Y$3,Raw_Fund!$E$1:$AZ$1,0),
_xlpm.val,
INDEX(Raw_Fund!$E:$AZ,_xlpm.rowNo,_xlpm.colNo),
IF(ISNUMBER(_xlpm.val),_xlpm.val*$H151,""))</f>
        <v/>
      </c>
      <c r="Z151" s="6" t="e">
        <f>IF($E151&lt;&gt;"Include","",_xlfn.XLOOKUP($C151,Raw_Mkt!$A:$A,Raw_Mkt!$B:$B))</f>
        <v>#N/A</v>
      </c>
    </row>
    <row r="152" spans="1:26" x14ac:dyDescent="0.4">
      <c r="A152" t="str">
        <f>IF(Universe!A152&lt;&gt;"",Universe!A152,"")</f>
        <v>MOON</v>
      </c>
      <c r="B152" t="str">
        <f>IF(Universe!B152&lt;&gt;"",Universe!B152,"")</f>
        <v>Moonpig</v>
      </c>
      <c r="C152" t="str">
        <f>IF(Universe!C152&lt;&gt;"",Universe!C152,"")</f>
        <v>GB00BMT9K014</v>
      </c>
      <c r="D152" t="str">
        <f>IF(Universe!D152&lt;&gt;"",Universe!D152,"")</f>
        <v>Consumer Discretionary</v>
      </c>
      <c r="E152" t="str">
        <f>Universe!G152</f>
        <v>Include</v>
      </c>
      <c r="F152" t="str">
        <f>IF($E152&lt;&gt;"Include","",_xlfn.LET(_xlpm.latest,_xlfn.MAXIFS(Raw_Fund!$C:$C,Raw_Fund!$B:$B,Data!$C152),IF(_xlpm.latest=0,"",_xlpm.latest)))</f>
        <v/>
      </c>
      <c r="G152" t="str">
        <f>IF($F152="","",INDEX(Raw_Fund!$E:$AZ,MATCH($C152&amp;"|"&amp;$F152,Raw_Fund!$A:$A,0),MATCH(G$3,Raw_Fund!$E$1:$AZ$1,0)))</f>
        <v/>
      </c>
      <c r="H152" t="str">
        <f t="shared" si="2"/>
        <v/>
      </c>
      <c r="I152" s="6" t="str">
        <f>_xlfn.LET(
_xlpm.rowNo, MATCH($C152&amp;"|"&amp;
($F152+I$4),Raw_Fund!$A:$A,0),
_xlpm.colNo,
MATCH(I$3,Raw_Fund!$E$1:$AZ$1,0),
_xlpm.val,
INDEX(Raw_Fund!$E:$AZ,_xlpm.rowNo,_xlpm.colNo),
IF(ISNUMBER(_xlpm.val),_xlpm.val*$H152,""))</f>
        <v/>
      </c>
      <c r="J152" s="6" t="str">
        <f>_xlfn.LET(
_xlpm.rowNo, MATCH($C152&amp;"|"&amp;
($F152+J$4),Raw_Fund!$A:$A,0),
_xlpm.colNo,
MATCH(J$3,Raw_Fund!$E$1:$AZ$1,0),
_xlpm.val,
INDEX(Raw_Fund!$E:$AZ,_xlpm.rowNo,_xlpm.colNo),
IF(ISNUMBER(_xlpm.val),_xlpm.val*$H152,""))</f>
        <v/>
      </c>
      <c r="K152" s="6" t="str">
        <f>_xlfn.LET(
_xlpm.rowNo, MATCH($C152&amp;"|"&amp;
($F152+K$4),Raw_Fund!$A:$A,0),
_xlpm.colNo,
MATCH(K$3,Raw_Fund!$E$1:$AZ$1,0),
_xlpm.val,
INDEX(Raw_Fund!$E:$AZ,_xlpm.rowNo,_xlpm.colNo),
IF(ISNUMBER(_xlpm.val),_xlpm.val*$H152,""))</f>
        <v/>
      </c>
      <c r="L152" s="6" t="str">
        <f>_xlfn.LET(
_xlpm.rowNo, MATCH($C152&amp;"|"&amp;
($F152+L$4),Raw_Fund!$A:$A,0),
_xlpm.colNo,
MATCH(L$3,Raw_Fund!$E$1:$AZ$1,0),
_xlpm.val,
INDEX(Raw_Fund!$E:$AZ,_xlpm.rowNo,_xlpm.colNo),
IF(ISNUMBER(_xlpm.val),_xlpm.val*$H152,""))</f>
        <v/>
      </c>
      <c r="M152" s="6" t="str">
        <f>_xlfn.LET(
_xlpm.rowNo, MATCH($C152&amp;"|"&amp;
($F152+M$4),Raw_Fund!$A:$A,0),
_xlpm.colNo,
MATCH(M$3,Raw_Fund!$E$1:$AZ$1,0),
_xlpm.val,
INDEX(Raw_Fund!$E:$AZ,_xlpm.rowNo,_xlpm.colNo),
IF(ISNUMBER(_xlpm.val),_xlpm.val*$H152,""))</f>
        <v/>
      </c>
      <c r="N152" s="6" t="str">
        <f>_xlfn.LET(
_xlpm.rowNo, MATCH($C152&amp;"|"&amp;
($F152+N$4),Raw_Fund!$A:$A,0),
_xlpm.colNo,
MATCH(N$3,Raw_Fund!$E$1:$AZ$1,0),
_xlpm.val,
INDEX(Raw_Fund!$E:$AZ,_xlpm.rowNo,_xlpm.colNo),
IF(ISNUMBER(_xlpm.val),_xlpm.val*$H152,""))</f>
        <v/>
      </c>
      <c r="O152" s="6" t="str">
        <f>_xlfn.LET(
_xlpm.rowNo, MATCH($C152&amp;"|"&amp;
($F152+O$4),Raw_Fund!$A:$A,0),
_xlpm.colNo,
MATCH(O$3,Raw_Fund!$E$1:$AZ$1,0),
_xlpm.val,
INDEX(Raw_Fund!$E:$AZ,_xlpm.rowNo,_xlpm.colNo),
IF(ISNUMBER(_xlpm.val),_xlpm.val*$H152,""))</f>
        <v/>
      </c>
      <c r="P152" s="6" t="str">
        <f>_xlfn.LET(
_xlpm.rowNo, MATCH($C152&amp;"|"&amp;
($F152+P$4),Raw_Fund!$A:$A,0),
_xlpm.colNo,
MATCH(P$3,Raw_Fund!$E$1:$AZ$1,0),
_xlpm.val,
INDEX(Raw_Fund!$E:$AZ,_xlpm.rowNo,_xlpm.colNo),
IF(ISNUMBER(_xlpm.val),_xlpm.val*$H152,""))</f>
        <v/>
      </c>
      <c r="Q152" s="6" t="str">
        <f>_xlfn.LET(
_xlpm.rowNo, MATCH($C152&amp;"|"&amp;
($F152+Q$4),Raw_Fund!$A:$A,0),
_xlpm.colNo,
MATCH(Q$3,Raw_Fund!$E$1:$AZ$1,0),
_xlpm.val,
INDEX(Raw_Fund!$E:$AZ,_xlpm.rowNo,_xlpm.colNo),
IF(ISNUMBER(_xlpm.val),_xlpm.val*$H152,""))</f>
        <v/>
      </c>
      <c r="R152" s="6" t="str">
        <f>_xlfn.LET(
_xlpm.rowNo, MATCH($C152&amp;"|"&amp;
($F152+R$4),Raw_Fund!$A:$A,0),
_xlpm.colNo,
MATCH(R$3,Raw_Fund!$E$1:$AZ$1,0),
_xlpm.val,
INDEX(Raw_Fund!$E:$AZ,_xlpm.rowNo,_xlpm.colNo),
IF(ISNUMBER(_xlpm.val),_xlpm.val*$H152,""))</f>
        <v/>
      </c>
      <c r="S152" s="6" t="str">
        <f>_xlfn.LET(
_xlpm.rowNo, MATCH($C152&amp;"|"&amp;
($F152+S$4),Raw_Fund!$A:$A,0),
_xlpm.colNo,
MATCH(S$3,Raw_Fund!$E$1:$AZ$1,0),
_xlpm.val,
INDEX(Raw_Fund!$E:$AZ,_xlpm.rowNo,_xlpm.colNo),
IF(ISNUMBER(_xlpm.val),_xlpm.val*$H152,""))</f>
        <v/>
      </c>
      <c r="T152" s="6" t="str">
        <f>_xlfn.LET(
_xlpm.rowNo, MATCH($C152&amp;"|"&amp;
($F152+T$4),Raw_Fund!$A:$A,0),
_xlpm.colNo,
MATCH(T$3,Raw_Fund!$E$1:$AZ$1,0),
_xlpm.val,
INDEX(Raw_Fund!$E:$AZ,_xlpm.rowNo,_xlpm.colNo),
IF(ISNUMBER(_xlpm.val),_xlpm.val*$H152,""))</f>
        <v/>
      </c>
      <c r="U152" s="6" t="str">
        <f>_xlfn.LET(
_xlpm.rowNo, MATCH($C152&amp;"|"&amp;
($F152+U$4),Raw_Fund!$A:$A,0),
_xlpm.colNo,
MATCH(U$3,Raw_Fund!$E$1:$AZ$1,0),
_xlpm.val,
INDEX(Raw_Fund!$E:$AZ,_xlpm.rowNo,_xlpm.colNo),
IF(ISNUMBER(_xlpm.val),_xlpm.val*$H152,""))</f>
        <v/>
      </c>
      <c r="V152" s="6" t="str">
        <f>_xlfn.LET(
_xlpm.rowNo, MATCH($C152&amp;"|"&amp;
($F152+V$4),Raw_Fund!$A:$A,0),
_xlpm.colNo,
MATCH(V$3,Raw_Fund!$E$1:$AZ$1,0),
_xlpm.val,
INDEX(Raw_Fund!$E:$AZ,_xlpm.rowNo,_xlpm.colNo),
IF(ISNUMBER(_xlpm.val),_xlpm.val*$H152,""))</f>
        <v/>
      </c>
      <c r="W152" s="6" t="str">
        <f>_xlfn.LET(
_xlpm.rowNo, MATCH($C152&amp;"|"&amp;
($F152+W$4),Raw_Fund!$A:$A,0),
_xlpm.colNo,
MATCH(W$3,Raw_Fund!$E$1:$AZ$1,0),
_xlpm.val,
INDEX(Raw_Fund!$E:$AZ,_xlpm.rowNo,_xlpm.colNo),
IF(ISNUMBER(_xlpm.val),_xlpm.val*$H152,""))</f>
        <v/>
      </c>
      <c r="X152" s="6" t="str">
        <f>_xlfn.LET(
_xlpm.rowNo, MATCH($C152&amp;"|"&amp;
($F152+X$4),Raw_Fund!$A:$A,0),
_xlpm.colNo,
MATCH(X$3,Raw_Fund!$E$1:$AZ$1,0),
_xlpm.val,
INDEX(Raw_Fund!$E:$AZ,_xlpm.rowNo,_xlpm.colNo),
IF(ISNUMBER(_xlpm.val),_xlpm.val*$H152,""))</f>
        <v/>
      </c>
      <c r="Y152" s="6" t="str">
        <f>_xlfn.LET(
_xlpm.rowNo, MATCH($C152&amp;"|"&amp;
($F152+Y$4),Raw_Fund!$A:$A,0),
_xlpm.colNo,
MATCH(Y$3,Raw_Fund!$E$1:$AZ$1,0),
_xlpm.val,
INDEX(Raw_Fund!$E:$AZ,_xlpm.rowNo,_xlpm.colNo),
IF(ISNUMBER(_xlpm.val),_xlpm.val*$H152,""))</f>
        <v/>
      </c>
      <c r="Z152" s="6" t="e">
        <f>IF($E152&lt;&gt;"Include","",_xlfn.XLOOKUP($C152,Raw_Mkt!$A:$A,Raw_Mkt!$B:$B))</f>
        <v>#N/A</v>
      </c>
    </row>
    <row r="153" spans="1:26" x14ac:dyDescent="0.4">
      <c r="A153" t="str">
        <f>IF(Universe!A153&lt;&gt;"",Universe!A153,"")</f>
        <v>MGAM</v>
      </c>
      <c r="B153" t="str">
        <f>IF(Universe!B153&lt;&gt;"",Universe!B153,"")</f>
        <v>Morgan Advanced Materials</v>
      </c>
      <c r="C153" t="str">
        <f>IF(Universe!C153&lt;&gt;"",Universe!C153,"")</f>
        <v>GB0006027295</v>
      </c>
      <c r="D153" t="str">
        <f>IF(Universe!D153&lt;&gt;"",Universe!D153,"")</f>
        <v>Industrials</v>
      </c>
      <c r="E153" t="str">
        <f>Universe!G153</f>
        <v>Include</v>
      </c>
      <c r="F153" t="str">
        <f>IF($E153&lt;&gt;"Include","",_xlfn.LET(_xlpm.latest,_xlfn.MAXIFS(Raw_Fund!$C:$C,Raw_Fund!$B:$B,Data!$C153),IF(_xlpm.latest=0,"",_xlpm.latest)))</f>
        <v/>
      </c>
      <c r="G153" t="str">
        <f>IF($F153="","",INDEX(Raw_Fund!$E:$AZ,MATCH($C153&amp;"|"&amp;$F153,Raw_Fund!$A:$A,0),MATCH(G$3,Raw_Fund!$E$1:$AZ$1,0)))</f>
        <v/>
      </c>
      <c r="H153" t="str">
        <f t="shared" si="2"/>
        <v/>
      </c>
      <c r="I153" s="6" t="str">
        <f>_xlfn.LET(
_xlpm.rowNo, MATCH($C153&amp;"|"&amp;
($F153+I$4),Raw_Fund!$A:$A,0),
_xlpm.colNo,
MATCH(I$3,Raw_Fund!$E$1:$AZ$1,0),
_xlpm.val,
INDEX(Raw_Fund!$E:$AZ,_xlpm.rowNo,_xlpm.colNo),
IF(ISNUMBER(_xlpm.val),_xlpm.val*$H153,""))</f>
        <v/>
      </c>
      <c r="J153" s="6" t="str">
        <f>_xlfn.LET(
_xlpm.rowNo, MATCH($C153&amp;"|"&amp;
($F153+J$4),Raw_Fund!$A:$A,0),
_xlpm.colNo,
MATCH(J$3,Raw_Fund!$E$1:$AZ$1,0),
_xlpm.val,
INDEX(Raw_Fund!$E:$AZ,_xlpm.rowNo,_xlpm.colNo),
IF(ISNUMBER(_xlpm.val),_xlpm.val*$H153,""))</f>
        <v/>
      </c>
      <c r="K153" s="6" t="str">
        <f>_xlfn.LET(
_xlpm.rowNo, MATCH($C153&amp;"|"&amp;
($F153+K$4),Raw_Fund!$A:$A,0),
_xlpm.colNo,
MATCH(K$3,Raw_Fund!$E$1:$AZ$1,0),
_xlpm.val,
INDEX(Raw_Fund!$E:$AZ,_xlpm.rowNo,_xlpm.colNo),
IF(ISNUMBER(_xlpm.val),_xlpm.val*$H153,""))</f>
        <v/>
      </c>
      <c r="L153" s="6" t="str">
        <f>_xlfn.LET(
_xlpm.rowNo, MATCH($C153&amp;"|"&amp;
($F153+L$4),Raw_Fund!$A:$A,0),
_xlpm.colNo,
MATCH(L$3,Raw_Fund!$E$1:$AZ$1,0),
_xlpm.val,
INDEX(Raw_Fund!$E:$AZ,_xlpm.rowNo,_xlpm.colNo),
IF(ISNUMBER(_xlpm.val),_xlpm.val*$H153,""))</f>
        <v/>
      </c>
      <c r="M153" s="6" t="str">
        <f>_xlfn.LET(
_xlpm.rowNo, MATCH($C153&amp;"|"&amp;
($F153+M$4),Raw_Fund!$A:$A,0),
_xlpm.colNo,
MATCH(M$3,Raw_Fund!$E$1:$AZ$1,0),
_xlpm.val,
INDEX(Raw_Fund!$E:$AZ,_xlpm.rowNo,_xlpm.colNo),
IF(ISNUMBER(_xlpm.val),_xlpm.val*$H153,""))</f>
        <v/>
      </c>
      <c r="N153" s="6" t="str">
        <f>_xlfn.LET(
_xlpm.rowNo, MATCH($C153&amp;"|"&amp;
($F153+N$4),Raw_Fund!$A:$A,0),
_xlpm.colNo,
MATCH(N$3,Raw_Fund!$E$1:$AZ$1,0),
_xlpm.val,
INDEX(Raw_Fund!$E:$AZ,_xlpm.rowNo,_xlpm.colNo),
IF(ISNUMBER(_xlpm.val),_xlpm.val*$H153,""))</f>
        <v/>
      </c>
      <c r="O153" s="6" t="str">
        <f>_xlfn.LET(
_xlpm.rowNo, MATCH($C153&amp;"|"&amp;
($F153+O$4),Raw_Fund!$A:$A,0),
_xlpm.colNo,
MATCH(O$3,Raw_Fund!$E$1:$AZ$1,0),
_xlpm.val,
INDEX(Raw_Fund!$E:$AZ,_xlpm.rowNo,_xlpm.colNo),
IF(ISNUMBER(_xlpm.val),_xlpm.val*$H153,""))</f>
        <v/>
      </c>
      <c r="P153" s="6" t="str">
        <f>_xlfn.LET(
_xlpm.rowNo, MATCH($C153&amp;"|"&amp;
($F153+P$4),Raw_Fund!$A:$A,0),
_xlpm.colNo,
MATCH(P$3,Raw_Fund!$E$1:$AZ$1,0),
_xlpm.val,
INDEX(Raw_Fund!$E:$AZ,_xlpm.rowNo,_xlpm.colNo),
IF(ISNUMBER(_xlpm.val),_xlpm.val*$H153,""))</f>
        <v/>
      </c>
      <c r="Q153" s="6" t="str">
        <f>_xlfn.LET(
_xlpm.rowNo, MATCH($C153&amp;"|"&amp;
($F153+Q$4),Raw_Fund!$A:$A,0),
_xlpm.colNo,
MATCH(Q$3,Raw_Fund!$E$1:$AZ$1,0),
_xlpm.val,
INDEX(Raw_Fund!$E:$AZ,_xlpm.rowNo,_xlpm.colNo),
IF(ISNUMBER(_xlpm.val),_xlpm.val*$H153,""))</f>
        <v/>
      </c>
      <c r="R153" s="6" t="str">
        <f>_xlfn.LET(
_xlpm.rowNo, MATCH($C153&amp;"|"&amp;
($F153+R$4),Raw_Fund!$A:$A,0),
_xlpm.colNo,
MATCH(R$3,Raw_Fund!$E$1:$AZ$1,0),
_xlpm.val,
INDEX(Raw_Fund!$E:$AZ,_xlpm.rowNo,_xlpm.colNo),
IF(ISNUMBER(_xlpm.val),_xlpm.val*$H153,""))</f>
        <v/>
      </c>
      <c r="S153" s="6" t="str">
        <f>_xlfn.LET(
_xlpm.rowNo, MATCH($C153&amp;"|"&amp;
($F153+S$4),Raw_Fund!$A:$A,0),
_xlpm.colNo,
MATCH(S$3,Raw_Fund!$E$1:$AZ$1,0),
_xlpm.val,
INDEX(Raw_Fund!$E:$AZ,_xlpm.rowNo,_xlpm.colNo),
IF(ISNUMBER(_xlpm.val),_xlpm.val*$H153,""))</f>
        <v/>
      </c>
      <c r="T153" s="6" t="str">
        <f>_xlfn.LET(
_xlpm.rowNo, MATCH($C153&amp;"|"&amp;
($F153+T$4),Raw_Fund!$A:$A,0),
_xlpm.colNo,
MATCH(T$3,Raw_Fund!$E$1:$AZ$1,0),
_xlpm.val,
INDEX(Raw_Fund!$E:$AZ,_xlpm.rowNo,_xlpm.colNo),
IF(ISNUMBER(_xlpm.val),_xlpm.val*$H153,""))</f>
        <v/>
      </c>
      <c r="U153" s="6" t="str">
        <f>_xlfn.LET(
_xlpm.rowNo, MATCH($C153&amp;"|"&amp;
($F153+U$4),Raw_Fund!$A:$A,0),
_xlpm.colNo,
MATCH(U$3,Raw_Fund!$E$1:$AZ$1,0),
_xlpm.val,
INDEX(Raw_Fund!$E:$AZ,_xlpm.rowNo,_xlpm.colNo),
IF(ISNUMBER(_xlpm.val),_xlpm.val*$H153,""))</f>
        <v/>
      </c>
      <c r="V153" s="6" t="str">
        <f>_xlfn.LET(
_xlpm.rowNo, MATCH($C153&amp;"|"&amp;
($F153+V$4),Raw_Fund!$A:$A,0),
_xlpm.colNo,
MATCH(V$3,Raw_Fund!$E$1:$AZ$1,0),
_xlpm.val,
INDEX(Raw_Fund!$E:$AZ,_xlpm.rowNo,_xlpm.colNo),
IF(ISNUMBER(_xlpm.val),_xlpm.val*$H153,""))</f>
        <v/>
      </c>
      <c r="W153" s="6" t="str">
        <f>_xlfn.LET(
_xlpm.rowNo, MATCH($C153&amp;"|"&amp;
($F153+W$4),Raw_Fund!$A:$A,0),
_xlpm.colNo,
MATCH(W$3,Raw_Fund!$E$1:$AZ$1,0),
_xlpm.val,
INDEX(Raw_Fund!$E:$AZ,_xlpm.rowNo,_xlpm.colNo),
IF(ISNUMBER(_xlpm.val),_xlpm.val*$H153,""))</f>
        <v/>
      </c>
      <c r="X153" s="6" t="str">
        <f>_xlfn.LET(
_xlpm.rowNo, MATCH($C153&amp;"|"&amp;
($F153+X$4),Raw_Fund!$A:$A,0),
_xlpm.colNo,
MATCH(X$3,Raw_Fund!$E$1:$AZ$1,0),
_xlpm.val,
INDEX(Raw_Fund!$E:$AZ,_xlpm.rowNo,_xlpm.colNo),
IF(ISNUMBER(_xlpm.val),_xlpm.val*$H153,""))</f>
        <v/>
      </c>
      <c r="Y153" s="6" t="str">
        <f>_xlfn.LET(
_xlpm.rowNo, MATCH($C153&amp;"|"&amp;
($F153+Y$4),Raw_Fund!$A:$A,0),
_xlpm.colNo,
MATCH(Y$3,Raw_Fund!$E$1:$AZ$1,0),
_xlpm.val,
INDEX(Raw_Fund!$E:$AZ,_xlpm.rowNo,_xlpm.colNo),
IF(ISNUMBER(_xlpm.val),_xlpm.val*$H153,""))</f>
        <v/>
      </c>
      <c r="Z153" s="6" t="e">
        <f>IF($E153&lt;&gt;"Include","",_xlfn.XLOOKUP($C153,Raw_Mkt!$A:$A,Raw_Mkt!$B:$B))</f>
        <v>#N/A</v>
      </c>
    </row>
    <row r="154" spans="1:26" x14ac:dyDescent="0.4">
      <c r="A154" t="str">
        <f>IF(Universe!A154&lt;&gt;"",Universe!A154,"")</f>
        <v>MGNS</v>
      </c>
      <c r="B154" t="str">
        <f>IF(Universe!B154&lt;&gt;"",Universe!B154,"")</f>
        <v>Morgan Sindall Group</v>
      </c>
      <c r="C154" t="str">
        <f>IF(Universe!C154&lt;&gt;"",Universe!C154,"")</f>
        <v>GB0008085614</v>
      </c>
      <c r="D154" t="str">
        <f>IF(Universe!D154&lt;&gt;"",Universe!D154,"")</f>
        <v>Industrials</v>
      </c>
      <c r="E154" t="str">
        <f>Universe!G154</f>
        <v>Include</v>
      </c>
      <c r="F154" t="str">
        <f>IF($E154&lt;&gt;"Include","",_xlfn.LET(_xlpm.latest,_xlfn.MAXIFS(Raw_Fund!$C:$C,Raw_Fund!$B:$B,Data!$C154),IF(_xlpm.latest=0,"",_xlpm.latest)))</f>
        <v/>
      </c>
      <c r="G154" t="str">
        <f>IF($F154="","",INDEX(Raw_Fund!$E:$AZ,MATCH($C154&amp;"|"&amp;$F154,Raw_Fund!$A:$A,0),MATCH(G$3,Raw_Fund!$E$1:$AZ$1,0)))</f>
        <v/>
      </c>
      <c r="H154" t="str">
        <f t="shared" si="2"/>
        <v/>
      </c>
      <c r="I154" s="6" t="str">
        <f>_xlfn.LET(
_xlpm.rowNo, MATCH($C154&amp;"|"&amp;
($F154+I$4),Raw_Fund!$A:$A,0),
_xlpm.colNo,
MATCH(I$3,Raw_Fund!$E$1:$AZ$1,0),
_xlpm.val,
INDEX(Raw_Fund!$E:$AZ,_xlpm.rowNo,_xlpm.colNo),
IF(ISNUMBER(_xlpm.val),_xlpm.val*$H154,""))</f>
        <v/>
      </c>
      <c r="J154" s="6" t="str">
        <f>_xlfn.LET(
_xlpm.rowNo, MATCH($C154&amp;"|"&amp;
($F154+J$4),Raw_Fund!$A:$A,0),
_xlpm.colNo,
MATCH(J$3,Raw_Fund!$E$1:$AZ$1,0),
_xlpm.val,
INDEX(Raw_Fund!$E:$AZ,_xlpm.rowNo,_xlpm.colNo),
IF(ISNUMBER(_xlpm.val),_xlpm.val*$H154,""))</f>
        <v/>
      </c>
      <c r="K154" s="6" t="str">
        <f>_xlfn.LET(
_xlpm.rowNo, MATCH($C154&amp;"|"&amp;
($F154+K$4),Raw_Fund!$A:$A,0),
_xlpm.colNo,
MATCH(K$3,Raw_Fund!$E$1:$AZ$1,0),
_xlpm.val,
INDEX(Raw_Fund!$E:$AZ,_xlpm.rowNo,_xlpm.colNo),
IF(ISNUMBER(_xlpm.val),_xlpm.val*$H154,""))</f>
        <v/>
      </c>
      <c r="L154" s="6" t="str">
        <f>_xlfn.LET(
_xlpm.rowNo, MATCH($C154&amp;"|"&amp;
($F154+L$4),Raw_Fund!$A:$A,0),
_xlpm.colNo,
MATCH(L$3,Raw_Fund!$E$1:$AZ$1,0),
_xlpm.val,
INDEX(Raw_Fund!$E:$AZ,_xlpm.rowNo,_xlpm.colNo),
IF(ISNUMBER(_xlpm.val),_xlpm.val*$H154,""))</f>
        <v/>
      </c>
      <c r="M154" s="6" t="str">
        <f>_xlfn.LET(
_xlpm.rowNo, MATCH($C154&amp;"|"&amp;
($F154+M$4),Raw_Fund!$A:$A,0),
_xlpm.colNo,
MATCH(M$3,Raw_Fund!$E$1:$AZ$1,0),
_xlpm.val,
INDEX(Raw_Fund!$E:$AZ,_xlpm.rowNo,_xlpm.colNo),
IF(ISNUMBER(_xlpm.val),_xlpm.val*$H154,""))</f>
        <v/>
      </c>
      <c r="N154" s="6" t="str">
        <f>_xlfn.LET(
_xlpm.rowNo, MATCH($C154&amp;"|"&amp;
($F154+N$4),Raw_Fund!$A:$A,0),
_xlpm.colNo,
MATCH(N$3,Raw_Fund!$E$1:$AZ$1,0),
_xlpm.val,
INDEX(Raw_Fund!$E:$AZ,_xlpm.rowNo,_xlpm.colNo),
IF(ISNUMBER(_xlpm.val),_xlpm.val*$H154,""))</f>
        <v/>
      </c>
      <c r="O154" s="6" t="str">
        <f>_xlfn.LET(
_xlpm.rowNo, MATCH($C154&amp;"|"&amp;
($F154+O$4),Raw_Fund!$A:$A,0),
_xlpm.colNo,
MATCH(O$3,Raw_Fund!$E$1:$AZ$1,0),
_xlpm.val,
INDEX(Raw_Fund!$E:$AZ,_xlpm.rowNo,_xlpm.colNo),
IF(ISNUMBER(_xlpm.val),_xlpm.val*$H154,""))</f>
        <v/>
      </c>
      <c r="P154" s="6" t="str">
        <f>_xlfn.LET(
_xlpm.rowNo, MATCH($C154&amp;"|"&amp;
($F154+P$4),Raw_Fund!$A:$A,0),
_xlpm.colNo,
MATCH(P$3,Raw_Fund!$E$1:$AZ$1,0),
_xlpm.val,
INDEX(Raw_Fund!$E:$AZ,_xlpm.rowNo,_xlpm.colNo),
IF(ISNUMBER(_xlpm.val),_xlpm.val*$H154,""))</f>
        <v/>
      </c>
      <c r="Q154" s="6" t="str">
        <f>_xlfn.LET(
_xlpm.rowNo, MATCH($C154&amp;"|"&amp;
($F154+Q$4),Raw_Fund!$A:$A,0),
_xlpm.colNo,
MATCH(Q$3,Raw_Fund!$E$1:$AZ$1,0),
_xlpm.val,
INDEX(Raw_Fund!$E:$AZ,_xlpm.rowNo,_xlpm.colNo),
IF(ISNUMBER(_xlpm.val),_xlpm.val*$H154,""))</f>
        <v/>
      </c>
      <c r="R154" s="6" t="str">
        <f>_xlfn.LET(
_xlpm.rowNo, MATCH($C154&amp;"|"&amp;
($F154+R$4),Raw_Fund!$A:$A,0),
_xlpm.colNo,
MATCH(R$3,Raw_Fund!$E$1:$AZ$1,0),
_xlpm.val,
INDEX(Raw_Fund!$E:$AZ,_xlpm.rowNo,_xlpm.colNo),
IF(ISNUMBER(_xlpm.val),_xlpm.val*$H154,""))</f>
        <v/>
      </c>
      <c r="S154" s="6" t="str">
        <f>_xlfn.LET(
_xlpm.rowNo, MATCH($C154&amp;"|"&amp;
($F154+S$4),Raw_Fund!$A:$A,0),
_xlpm.colNo,
MATCH(S$3,Raw_Fund!$E$1:$AZ$1,0),
_xlpm.val,
INDEX(Raw_Fund!$E:$AZ,_xlpm.rowNo,_xlpm.colNo),
IF(ISNUMBER(_xlpm.val),_xlpm.val*$H154,""))</f>
        <v/>
      </c>
      <c r="T154" s="6" t="str">
        <f>_xlfn.LET(
_xlpm.rowNo, MATCH($C154&amp;"|"&amp;
($F154+T$4),Raw_Fund!$A:$A,0),
_xlpm.colNo,
MATCH(T$3,Raw_Fund!$E$1:$AZ$1,0),
_xlpm.val,
INDEX(Raw_Fund!$E:$AZ,_xlpm.rowNo,_xlpm.colNo),
IF(ISNUMBER(_xlpm.val),_xlpm.val*$H154,""))</f>
        <v/>
      </c>
      <c r="U154" s="6" t="str">
        <f>_xlfn.LET(
_xlpm.rowNo, MATCH($C154&amp;"|"&amp;
($F154+U$4),Raw_Fund!$A:$A,0),
_xlpm.colNo,
MATCH(U$3,Raw_Fund!$E$1:$AZ$1,0),
_xlpm.val,
INDEX(Raw_Fund!$E:$AZ,_xlpm.rowNo,_xlpm.colNo),
IF(ISNUMBER(_xlpm.val),_xlpm.val*$H154,""))</f>
        <v/>
      </c>
      <c r="V154" s="6" t="str">
        <f>_xlfn.LET(
_xlpm.rowNo, MATCH($C154&amp;"|"&amp;
($F154+V$4),Raw_Fund!$A:$A,0),
_xlpm.colNo,
MATCH(V$3,Raw_Fund!$E$1:$AZ$1,0),
_xlpm.val,
INDEX(Raw_Fund!$E:$AZ,_xlpm.rowNo,_xlpm.colNo),
IF(ISNUMBER(_xlpm.val),_xlpm.val*$H154,""))</f>
        <v/>
      </c>
      <c r="W154" s="6" t="str">
        <f>_xlfn.LET(
_xlpm.rowNo, MATCH($C154&amp;"|"&amp;
($F154+W$4),Raw_Fund!$A:$A,0),
_xlpm.colNo,
MATCH(W$3,Raw_Fund!$E$1:$AZ$1,0),
_xlpm.val,
INDEX(Raw_Fund!$E:$AZ,_xlpm.rowNo,_xlpm.colNo),
IF(ISNUMBER(_xlpm.val),_xlpm.val*$H154,""))</f>
        <v/>
      </c>
      <c r="X154" s="6" t="str">
        <f>_xlfn.LET(
_xlpm.rowNo, MATCH($C154&amp;"|"&amp;
($F154+X$4),Raw_Fund!$A:$A,0),
_xlpm.colNo,
MATCH(X$3,Raw_Fund!$E$1:$AZ$1,0),
_xlpm.val,
INDEX(Raw_Fund!$E:$AZ,_xlpm.rowNo,_xlpm.colNo),
IF(ISNUMBER(_xlpm.val),_xlpm.val*$H154,""))</f>
        <v/>
      </c>
      <c r="Y154" s="6" t="str">
        <f>_xlfn.LET(
_xlpm.rowNo, MATCH($C154&amp;"|"&amp;
($F154+Y$4),Raw_Fund!$A:$A,0),
_xlpm.colNo,
MATCH(Y$3,Raw_Fund!$E$1:$AZ$1,0),
_xlpm.val,
INDEX(Raw_Fund!$E:$AZ,_xlpm.rowNo,_xlpm.colNo),
IF(ISNUMBER(_xlpm.val),_xlpm.val*$H154,""))</f>
        <v/>
      </c>
      <c r="Z154" s="6" t="e">
        <f>IF($E154&lt;&gt;"Include","",_xlfn.XLOOKUP($C154,Raw_Mkt!$A:$A,Raw_Mkt!$B:$B))</f>
        <v>#N/A</v>
      </c>
    </row>
    <row r="155" spans="1:26" x14ac:dyDescent="0.4">
      <c r="A155" t="str">
        <f>IF(Universe!A155&lt;&gt;"",Universe!A155,"")</f>
        <v>MUT</v>
      </c>
      <c r="B155" t="str">
        <f>IF(Universe!B155&lt;&gt;"",Universe!B155,"")</f>
        <v>Murray Income Trust</v>
      </c>
      <c r="C155" t="str">
        <f>IF(Universe!C155&lt;&gt;"",Universe!C155,"")</f>
        <v>GB0006111123</v>
      </c>
      <c r="D155" t="str">
        <f>IF(Universe!D155&lt;&gt;"",Universe!D155,"")</f>
        <v>Financials</v>
      </c>
      <c r="E155" t="str">
        <f>Universe!G155</f>
        <v>Exclude</v>
      </c>
      <c r="F155" t="str">
        <f>IF($E155&lt;&gt;"Include","",_xlfn.LET(_xlpm.latest,_xlfn.MAXIFS(Raw_Fund!$C:$C,Raw_Fund!$B:$B,Data!$C155),IF(_xlpm.latest=0,"",_xlpm.latest)))</f>
        <v/>
      </c>
      <c r="G155" t="str">
        <f>IF($F155="","",INDEX(Raw_Fund!$E:$AZ,MATCH($C155&amp;"|"&amp;$F155,Raw_Fund!$A:$A,0),MATCH(G$3,Raw_Fund!$E$1:$AZ$1,0)))</f>
        <v/>
      </c>
      <c r="H155" t="str">
        <f t="shared" si="2"/>
        <v/>
      </c>
      <c r="I155" s="6" t="str">
        <f>_xlfn.LET(
_xlpm.rowNo, MATCH($C155&amp;"|"&amp;
($F155+I$4),Raw_Fund!$A:$A,0),
_xlpm.colNo,
MATCH(I$3,Raw_Fund!$E$1:$AZ$1,0),
_xlpm.val,
INDEX(Raw_Fund!$E:$AZ,_xlpm.rowNo,_xlpm.colNo),
IF(ISNUMBER(_xlpm.val),_xlpm.val*$H155,""))</f>
        <v/>
      </c>
      <c r="J155" s="6" t="str">
        <f>_xlfn.LET(
_xlpm.rowNo, MATCH($C155&amp;"|"&amp;
($F155+J$4),Raw_Fund!$A:$A,0),
_xlpm.colNo,
MATCH(J$3,Raw_Fund!$E$1:$AZ$1,0),
_xlpm.val,
INDEX(Raw_Fund!$E:$AZ,_xlpm.rowNo,_xlpm.colNo),
IF(ISNUMBER(_xlpm.val),_xlpm.val*$H155,""))</f>
        <v/>
      </c>
      <c r="K155" s="6" t="str">
        <f>_xlfn.LET(
_xlpm.rowNo, MATCH($C155&amp;"|"&amp;
($F155+K$4),Raw_Fund!$A:$A,0),
_xlpm.colNo,
MATCH(K$3,Raw_Fund!$E$1:$AZ$1,0),
_xlpm.val,
INDEX(Raw_Fund!$E:$AZ,_xlpm.rowNo,_xlpm.colNo),
IF(ISNUMBER(_xlpm.val),_xlpm.val*$H155,""))</f>
        <v/>
      </c>
      <c r="L155" s="6" t="str">
        <f>_xlfn.LET(
_xlpm.rowNo, MATCH($C155&amp;"|"&amp;
($F155+L$4),Raw_Fund!$A:$A,0),
_xlpm.colNo,
MATCH(L$3,Raw_Fund!$E$1:$AZ$1,0),
_xlpm.val,
INDEX(Raw_Fund!$E:$AZ,_xlpm.rowNo,_xlpm.colNo),
IF(ISNUMBER(_xlpm.val),_xlpm.val*$H155,""))</f>
        <v/>
      </c>
      <c r="M155" s="6" t="str">
        <f>_xlfn.LET(
_xlpm.rowNo, MATCH($C155&amp;"|"&amp;
($F155+M$4),Raw_Fund!$A:$A,0),
_xlpm.colNo,
MATCH(M$3,Raw_Fund!$E$1:$AZ$1,0),
_xlpm.val,
INDEX(Raw_Fund!$E:$AZ,_xlpm.rowNo,_xlpm.colNo),
IF(ISNUMBER(_xlpm.val),_xlpm.val*$H155,""))</f>
        <v/>
      </c>
      <c r="N155" s="6" t="str">
        <f>_xlfn.LET(
_xlpm.rowNo, MATCH($C155&amp;"|"&amp;
($F155+N$4),Raw_Fund!$A:$A,0),
_xlpm.colNo,
MATCH(N$3,Raw_Fund!$E$1:$AZ$1,0),
_xlpm.val,
INDEX(Raw_Fund!$E:$AZ,_xlpm.rowNo,_xlpm.colNo),
IF(ISNUMBER(_xlpm.val),_xlpm.val*$H155,""))</f>
        <v/>
      </c>
      <c r="O155" s="6" t="str">
        <f>_xlfn.LET(
_xlpm.rowNo, MATCH($C155&amp;"|"&amp;
($F155+O$4),Raw_Fund!$A:$A,0),
_xlpm.colNo,
MATCH(O$3,Raw_Fund!$E$1:$AZ$1,0),
_xlpm.val,
INDEX(Raw_Fund!$E:$AZ,_xlpm.rowNo,_xlpm.colNo),
IF(ISNUMBER(_xlpm.val),_xlpm.val*$H155,""))</f>
        <v/>
      </c>
      <c r="P155" s="6" t="str">
        <f>_xlfn.LET(
_xlpm.rowNo, MATCH($C155&amp;"|"&amp;
($F155+P$4),Raw_Fund!$A:$A,0),
_xlpm.colNo,
MATCH(P$3,Raw_Fund!$E$1:$AZ$1,0),
_xlpm.val,
INDEX(Raw_Fund!$E:$AZ,_xlpm.rowNo,_xlpm.colNo),
IF(ISNUMBER(_xlpm.val),_xlpm.val*$H155,""))</f>
        <v/>
      </c>
      <c r="Q155" s="6" t="str">
        <f>_xlfn.LET(
_xlpm.rowNo, MATCH($C155&amp;"|"&amp;
($F155+Q$4),Raw_Fund!$A:$A,0),
_xlpm.colNo,
MATCH(Q$3,Raw_Fund!$E$1:$AZ$1,0),
_xlpm.val,
INDEX(Raw_Fund!$E:$AZ,_xlpm.rowNo,_xlpm.colNo),
IF(ISNUMBER(_xlpm.val),_xlpm.val*$H155,""))</f>
        <v/>
      </c>
      <c r="R155" s="6" t="str">
        <f>_xlfn.LET(
_xlpm.rowNo, MATCH($C155&amp;"|"&amp;
($F155+R$4),Raw_Fund!$A:$A,0),
_xlpm.colNo,
MATCH(R$3,Raw_Fund!$E$1:$AZ$1,0),
_xlpm.val,
INDEX(Raw_Fund!$E:$AZ,_xlpm.rowNo,_xlpm.colNo),
IF(ISNUMBER(_xlpm.val),_xlpm.val*$H155,""))</f>
        <v/>
      </c>
      <c r="S155" s="6" t="str">
        <f>_xlfn.LET(
_xlpm.rowNo, MATCH($C155&amp;"|"&amp;
($F155+S$4),Raw_Fund!$A:$A,0),
_xlpm.colNo,
MATCH(S$3,Raw_Fund!$E$1:$AZ$1,0),
_xlpm.val,
INDEX(Raw_Fund!$E:$AZ,_xlpm.rowNo,_xlpm.colNo),
IF(ISNUMBER(_xlpm.val),_xlpm.val*$H155,""))</f>
        <v/>
      </c>
      <c r="T155" s="6" t="str">
        <f>_xlfn.LET(
_xlpm.rowNo, MATCH($C155&amp;"|"&amp;
($F155+T$4),Raw_Fund!$A:$A,0),
_xlpm.colNo,
MATCH(T$3,Raw_Fund!$E$1:$AZ$1,0),
_xlpm.val,
INDEX(Raw_Fund!$E:$AZ,_xlpm.rowNo,_xlpm.colNo),
IF(ISNUMBER(_xlpm.val),_xlpm.val*$H155,""))</f>
        <v/>
      </c>
      <c r="U155" s="6" t="str">
        <f>_xlfn.LET(
_xlpm.rowNo, MATCH($C155&amp;"|"&amp;
($F155+U$4),Raw_Fund!$A:$A,0),
_xlpm.colNo,
MATCH(U$3,Raw_Fund!$E$1:$AZ$1,0),
_xlpm.val,
INDEX(Raw_Fund!$E:$AZ,_xlpm.rowNo,_xlpm.colNo),
IF(ISNUMBER(_xlpm.val),_xlpm.val*$H155,""))</f>
        <v/>
      </c>
      <c r="V155" s="6" t="str">
        <f>_xlfn.LET(
_xlpm.rowNo, MATCH($C155&amp;"|"&amp;
($F155+V$4),Raw_Fund!$A:$A,0),
_xlpm.colNo,
MATCH(V$3,Raw_Fund!$E$1:$AZ$1,0),
_xlpm.val,
INDEX(Raw_Fund!$E:$AZ,_xlpm.rowNo,_xlpm.colNo),
IF(ISNUMBER(_xlpm.val),_xlpm.val*$H155,""))</f>
        <v/>
      </c>
      <c r="W155" s="6" t="str">
        <f>_xlfn.LET(
_xlpm.rowNo, MATCH($C155&amp;"|"&amp;
($F155+W$4),Raw_Fund!$A:$A,0),
_xlpm.colNo,
MATCH(W$3,Raw_Fund!$E$1:$AZ$1,0),
_xlpm.val,
INDEX(Raw_Fund!$E:$AZ,_xlpm.rowNo,_xlpm.colNo),
IF(ISNUMBER(_xlpm.val),_xlpm.val*$H155,""))</f>
        <v/>
      </c>
      <c r="X155" s="6" t="str">
        <f>_xlfn.LET(
_xlpm.rowNo, MATCH($C155&amp;"|"&amp;
($F155+X$4),Raw_Fund!$A:$A,0),
_xlpm.colNo,
MATCH(X$3,Raw_Fund!$E$1:$AZ$1,0),
_xlpm.val,
INDEX(Raw_Fund!$E:$AZ,_xlpm.rowNo,_xlpm.colNo),
IF(ISNUMBER(_xlpm.val),_xlpm.val*$H155,""))</f>
        <v/>
      </c>
      <c r="Y155" s="6" t="str">
        <f>_xlfn.LET(
_xlpm.rowNo, MATCH($C155&amp;"|"&amp;
($F155+Y$4),Raw_Fund!$A:$A,0),
_xlpm.colNo,
MATCH(Y$3,Raw_Fund!$E$1:$AZ$1,0),
_xlpm.val,
INDEX(Raw_Fund!$E:$AZ,_xlpm.rowNo,_xlpm.colNo),
IF(ISNUMBER(_xlpm.val),_xlpm.val*$H155,""))</f>
        <v/>
      </c>
      <c r="Z155" s="6" t="str">
        <f>IF($E155&lt;&gt;"Include","",_xlfn.XLOOKUP($C155,Raw_Mkt!$A:$A,Raw_Mkt!$B:$B))</f>
        <v/>
      </c>
    </row>
    <row r="156" spans="1:26" x14ac:dyDescent="0.4">
      <c r="A156" t="str">
        <f>IF(Universe!A156&lt;&gt;"",Universe!A156,"")</f>
        <v>MYI</v>
      </c>
      <c r="B156" t="str">
        <f>IF(Universe!B156&lt;&gt;"",Universe!B156,"")</f>
        <v>Murray International Trust</v>
      </c>
      <c r="C156" t="str">
        <f>IF(Universe!C156&lt;&gt;"",Universe!C156,"")</f>
        <v>GB00BQZCCB79</v>
      </c>
      <c r="D156" t="str">
        <f>IF(Universe!D156&lt;&gt;"",Universe!D156,"")</f>
        <v>Financials</v>
      </c>
      <c r="E156" t="str">
        <f>Universe!G156</f>
        <v>Exclude</v>
      </c>
      <c r="F156" t="str">
        <f>IF($E156&lt;&gt;"Include","",_xlfn.LET(_xlpm.latest,_xlfn.MAXIFS(Raw_Fund!$C:$C,Raw_Fund!$B:$B,Data!$C156),IF(_xlpm.latest=0,"",_xlpm.latest)))</f>
        <v/>
      </c>
      <c r="G156" t="str">
        <f>IF($F156="","",INDEX(Raw_Fund!$E:$AZ,MATCH($C156&amp;"|"&amp;$F156,Raw_Fund!$A:$A,0),MATCH(G$3,Raw_Fund!$E$1:$AZ$1,0)))</f>
        <v/>
      </c>
      <c r="H156" t="str">
        <f t="shared" si="2"/>
        <v/>
      </c>
      <c r="I156" s="6" t="str">
        <f>_xlfn.LET(
_xlpm.rowNo, MATCH($C156&amp;"|"&amp;
($F156+I$4),Raw_Fund!$A:$A,0),
_xlpm.colNo,
MATCH(I$3,Raw_Fund!$E$1:$AZ$1,0),
_xlpm.val,
INDEX(Raw_Fund!$E:$AZ,_xlpm.rowNo,_xlpm.colNo),
IF(ISNUMBER(_xlpm.val),_xlpm.val*$H156,""))</f>
        <v/>
      </c>
      <c r="J156" s="6" t="str">
        <f>_xlfn.LET(
_xlpm.rowNo, MATCH($C156&amp;"|"&amp;
($F156+J$4),Raw_Fund!$A:$A,0),
_xlpm.colNo,
MATCH(J$3,Raw_Fund!$E$1:$AZ$1,0),
_xlpm.val,
INDEX(Raw_Fund!$E:$AZ,_xlpm.rowNo,_xlpm.colNo),
IF(ISNUMBER(_xlpm.val),_xlpm.val*$H156,""))</f>
        <v/>
      </c>
      <c r="K156" s="6" t="str">
        <f>_xlfn.LET(
_xlpm.rowNo, MATCH($C156&amp;"|"&amp;
($F156+K$4),Raw_Fund!$A:$A,0),
_xlpm.colNo,
MATCH(K$3,Raw_Fund!$E$1:$AZ$1,0),
_xlpm.val,
INDEX(Raw_Fund!$E:$AZ,_xlpm.rowNo,_xlpm.colNo),
IF(ISNUMBER(_xlpm.val),_xlpm.val*$H156,""))</f>
        <v/>
      </c>
      <c r="L156" s="6" t="str">
        <f>_xlfn.LET(
_xlpm.rowNo, MATCH($C156&amp;"|"&amp;
($F156+L$4),Raw_Fund!$A:$A,0),
_xlpm.colNo,
MATCH(L$3,Raw_Fund!$E$1:$AZ$1,0),
_xlpm.val,
INDEX(Raw_Fund!$E:$AZ,_xlpm.rowNo,_xlpm.colNo),
IF(ISNUMBER(_xlpm.val),_xlpm.val*$H156,""))</f>
        <v/>
      </c>
      <c r="M156" s="6" t="str">
        <f>_xlfn.LET(
_xlpm.rowNo, MATCH($C156&amp;"|"&amp;
($F156+M$4),Raw_Fund!$A:$A,0),
_xlpm.colNo,
MATCH(M$3,Raw_Fund!$E$1:$AZ$1,0),
_xlpm.val,
INDEX(Raw_Fund!$E:$AZ,_xlpm.rowNo,_xlpm.colNo),
IF(ISNUMBER(_xlpm.val),_xlpm.val*$H156,""))</f>
        <v/>
      </c>
      <c r="N156" s="6" t="str">
        <f>_xlfn.LET(
_xlpm.rowNo, MATCH($C156&amp;"|"&amp;
($F156+N$4),Raw_Fund!$A:$A,0),
_xlpm.colNo,
MATCH(N$3,Raw_Fund!$E$1:$AZ$1,0),
_xlpm.val,
INDEX(Raw_Fund!$E:$AZ,_xlpm.rowNo,_xlpm.colNo),
IF(ISNUMBER(_xlpm.val),_xlpm.val*$H156,""))</f>
        <v/>
      </c>
      <c r="O156" s="6" t="str">
        <f>_xlfn.LET(
_xlpm.rowNo, MATCH($C156&amp;"|"&amp;
($F156+O$4),Raw_Fund!$A:$A,0),
_xlpm.colNo,
MATCH(O$3,Raw_Fund!$E$1:$AZ$1,0),
_xlpm.val,
INDEX(Raw_Fund!$E:$AZ,_xlpm.rowNo,_xlpm.colNo),
IF(ISNUMBER(_xlpm.val),_xlpm.val*$H156,""))</f>
        <v/>
      </c>
      <c r="P156" s="6" t="str">
        <f>_xlfn.LET(
_xlpm.rowNo, MATCH($C156&amp;"|"&amp;
($F156+P$4),Raw_Fund!$A:$A,0),
_xlpm.colNo,
MATCH(P$3,Raw_Fund!$E$1:$AZ$1,0),
_xlpm.val,
INDEX(Raw_Fund!$E:$AZ,_xlpm.rowNo,_xlpm.colNo),
IF(ISNUMBER(_xlpm.val),_xlpm.val*$H156,""))</f>
        <v/>
      </c>
      <c r="Q156" s="6" t="str">
        <f>_xlfn.LET(
_xlpm.rowNo, MATCH($C156&amp;"|"&amp;
($F156+Q$4),Raw_Fund!$A:$A,0),
_xlpm.colNo,
MATCH(Q$3,Raw_Fund!$E$1:$AZ$1,0),
_xlpm.val,
INDEX(Raw_Fund!$E:$AZ,_xlpm.rowNo,_xlpm.colNo),
IF(ISNUMBER(_xlpm.val),_xlpm.val*$H156,""))</f>
        <v/>
      </c>
      <c r="R156" s="6" t="str">
        <f>_xlfn.LET(
_xlpm.rowNo, MATCH($C156&amp;"|"&amp;
($F156+R$4),Raw_Fund!$A:$A,0),
_xlpm.colNo,
MATCH(R$3,Raw_Fund!$E$1:$AZ$1,0),
_xlpm.val,
INDEX(Raw_Fund!$E:$AZ,_xlpm.rowNo,_xlpm.colNo),
IF(ISNUMBER(_xlpm.val),_xlpm.val*$H156,""))</f>
        <v/>
      </c>
      <c r="S156" s="6" t="str">
        <f>_xlfn.LET(
_xlpm.rowNo, MATCH($C156&amp;"|"&amp;
($F156+S$4),Raw_Fund!$A:$A,0),
_xlpm.colNo,
MATCH(S$3,Raw_Fund!$E$1:$AZ$1,0),
_xlpm.val,
INDEX(Raw_Fund!$E:$AZ,_xlpm.rowNo,_xlpm.colNo),
IF(ISNUMBER(_xlpm.val),_xlpm.val*$H156,""))</f>
        <v/>
      </c>
      <c r="T156" s="6" t="str">
        <f>_xlfn.LET(
_xlpm.rowNo, MATCH($C156&amp;"|"&amp;
($F156+T$4),Raw_Fund!$A:$A,0),
_xlpm.colNo,
MATCH(T$3,Raw_Fund!$E$1:$AZ$1,0),
_xlpm.val,
INDEX(Raw_Fund!$E:$AZ,_xlpm.rowNo,_xlpm.colNo),
IF(ISNUMBER(_xlpm.val),_xlpm.val*$H156,""))</f>
        <v/>
      </c>
      <c r="U156" s="6" t="str">
        <f>_xlfn.LET(
_xlpm.rowNo, MATCH($C156&amp;"|"&amp;
($F156+U$4),Raw_Fund!$A:$A,0),
_xlpm.colNo,
MATCH(U$3,Raw_Fund!$E$1:$AZ$1,0),
_xlpm.val,
INDEX(Raw_Fund!$E:$AZ,_xlpm.rowNo,_xlpm.colNo),
IF(ISNUMBER(_xlpm.val),_xlpm.val*$H156,""))</f>
        <v/>
      </c>
      <c r="V156" s="6" t="str">
        <f>_xlfn.LET(
_xlpm.rowNo, MATCH($C156&amp;"|"&amp;
($F156+V$4),Raw_Fund!$A:$A,0),
_xlpm.colNo,
MATCH(V$3,Raw_Fund!$E$1:$AZ$1,0),
_xlpm.val,
INDEX(Raw_Fund!$E:$AZ,_xlpm.rowNo,_xlpm.colNo),
IF(ISNUMBER(_xlpm.val),_xlpm.val*$H156,""))</f>
        <v/>
      </c>
      <c r="W156" s="6" t="str">
        <f>_xlfn.LET(
_xlpm.rowNo, MATCH($C156&amp;"|"&amp;
($F156+W$4),Raw_Fund!$A:$A,0),
_xlpm.colNo,
MATCH(W$3,Raw_Fund!$E$1:$AZ$1,0),
_xlpm.val,
INDEX(Raw_Fund!$E:$AZ,_xlpm.rowNo,_xlpm.colNo),
IF(ISNUMBER(_xlpm.val),_xlpm.val*$H156,""))</f>
        <v/>
      </c>
      <c r="X156" s="6" t="str">
        <f>_xlfn.LET(
_xlpm.rowNo, MATCH($C156&amp;"|"&amp;
($F156+X$4),Raw_Fund!$A:$A,0),
_xlpm.colNo,
MATCH(X$3,Raw_Fund!$E$1:$AZ$1,0),
_xlpm.val,
INDEX(Raw_Fund!$E:$AZ,_xlpm.rowNo,_xlpm.colNo),
IF(ISNUMBER(_xlpm.val),_xlpm.val*$H156,""))</f>
        <v/>
      </c>
      <c r="Y156" s="6" t="str">
        <f>_xlfn.LET(
_xlpm.rowNo, MATCH($C156&amp;"|"&amp;
($F156+Y$4),Raw_Fund!$A:$A,0),
_xlpm.colNo,
MATCH(Y$3,Raw_Fund!$E$1:$AZ$1,0),
_xlpm.val,
INDEX(Raw_Fund!$E:$AZ,_xlpm.rowNo,_xlpm.colNo),
IF(ISNUMBER(_xlpm.val),_xlpm.val*$H156,""))</f>
        <v/>
      </c>
      <c r="Z156" s="6" t="str">
        <f>IF($E156&lt;&gt;"Include","",_xlfn.XLOOKUP($C156,Raw_Mkt!$A:$A,Raw_Mkt!$B:$B))</f>
        <v/>
      </c>
    </row>
    <row r="157" spans="1:26" x14ac:dyDescent="0.4">
      <c r="A157" t="str">
        <f>IF(Universe!A157&lt;&gt;"",Universe!A157,"")</f>
        <v>NCC</v>
      </c>
      <c r="B157" t="str">
        <f>IF(Universe!B157&lt;&gt;"",Universe!B157,"")</f>
        <v>NCC Group</v>
      </c>
      <c r="C157" t="str">
        <f>IF(Universe!C157&lt;&gt;"",Universe!C157,"")</f>
        <v>GB00B01QGK86</v>
      </c>
      <c r="D157" t="str">
        <f>IF(Universe!D157&lt;&gt;"",Universe!D157,"")</f>
        <v>Technology</v>
      </c>
      <c r="E157" t="str">
        <f>Universe!G157</f>
        <v>Include</v>
      </c>
      <c r="F157" t="str">
        <f>IF($E157&lt;&gt;"Include","",_xlfn.LET(_xlpm.latest,_xlfn.MAXIFS(Raw_Fund!$C:$C,Raw_Fund!$B:$B,Data!$C157),IF(_xlpm.latest=0,"",_xlpm.latest)))</f>
        <v/>
      </c>
      <c r="G157" t="str">
        <f>IF($F157="","",INDEX(Raw_Fund!$E:$AZ,MATCH($C157&amp;"|"&amp;$F157,Raw_Fund!$A:$A,0),MATCH(G$3,Raw_Fund!$E$1:$AZ$1,0)))</f>
        <v/>
      </c>
      <c r="H157" t="str">
        <f t="shared" si="2"/>
        <v/>
      </c>
      <c r="I157" s="6" t="str">
        <f>_xlfn.LET(
_xlpm.rowNo, MATCH($C157&amp;"|"&amp;
($F157+I$4),Raw_Fund!$A:$A,0),
_xlpm.colNo,
MATCH(I$3,Raw_Fund!$E$1:$AZ$1,0),
_xlpm.val,
INDEX(Raw_Fund!$E:$AZ,_xlpm.rowNo,_xlpm.colNo),
IF(ISNUMBER(_xlpm.val),_xlpm.val*$H157,""))</f>
        <v/>
      </c>
      <c r="J157" s="6" t="str">
        <f>_xlfn.LET(
_xlpm.rowNo, MATCH($C157&amp;"|"&amp;
($F157+J$4),Raw_Fund!$A:$A,0),
_xlpm.colNo,
MATCH(J$3,Raw_Fund!$E$1:$AZ$1,0),
_xlpm.val,
INDEX(Raw_Fund!$E:$AZ,_xlpm.rowNo,_xlpm.colNo),
IF(ISNUMBER(_xlpm.val),_xlpm.val*$H157,""))</f>
        <v/>
      </c>
      <c r="K157" s="6" t="str">
        <f>_xlfn.LET(
_xlpm.rowNo, MATCH($C157&amp;"|"&amp;
($F157+K$4),Raw_Fund!$A:$A,0),
_xlpm.colNo,
MATCH(K$3,Raw_Fund!$E$1:$AZ$1,0),
_xlpm.val,
INDEX(Raw_Fund!$E:$AZ,_xlpm.rowNo,_xlpm.colNo),
IF(ISNUMBER(_xlpm.val),_xlpm.val*$H157,""))</f>
        <v/>
      </c>
      <c r="L157" s="6" t="str">
        <f>_xlfn.LET(
_xlpm.rowNo, MATCH($C157&amp;"|"&amp;
($F157+L$4),Raw_Fund!$A:$A,0),
_xlpm.colNo,
MATCH(L$3,Raw_Fund!$E$1:$AZ$1,0),
_xlpm.val,
INDEX(Raw_Fund!$E:$AZ,_xlpm.rowNo,_xlpm.colNo),
IF(ISNUMBER(_xlpm.val),_xlpm.val*$H157,""))</f>
        <v/>
      </c>
      <c r="M157" s="6" t="str">
        <f>_xlfn.LET(
_xlpm.rowNo, MATCH($C157&amp;"|"&amp;
($F157+M$4),Raw_Fund!$A:$A,0),
_xlpm.colNo,
MATCH(M$3,Raw_Fund!$E$1:$AZ$1,0),
_xlpm.val,
INDEX(Raw_Fund!$E:$AZ,_xlpm.rowNo,_xlpm.colNo),
IF(ISNUMBER(_xlpm.val),_xlpm.val*$H157,""))</f>
        <v/>
      </c>
      <c r="N157" s="6" t="str">
        <f>_xlfn.LET(
_xlpm.rowNo, MATCH($C157&amp;"|"&amp;
($F157+N$4),Raw_Fund!$A:$A,0),
_xlpm.colNo,
MATCH(N$3,Raw_Fund!$E$1:$AZ$1,0),
_xlpm.val,
INDEX(Raw_Fund!$E:$AZ,_xlpm.rowNo,_xlpm.colNo),
IF(ISNUMBER(_xlpm.val),_xlpm.val*$H157,""))</f>
        <v/>
      </c>
      <c r="O157" s="6" t="str">
        <f>_xlfn.LET(
_xlpm.rowNo, MATCH($C157&amp;"|"&amp;
($F157+O$4),Raw_Fund!$A:$A,0),
_xlpm.colNo,
MATCH(O$3,Raw_Fund!$E$1:$AZ$1,0),
_xlpm.val,
INDEX(Raw_Fund!$E:$AZ,_xlpm.rowNo,_xlpm.colNo),
IF(ISNUMBER(_xlpm.val),_xlpm.val*$H157,""))</f>
        <v/>
      </c>
      <c r="P157" s="6" t="str">
        <f>_xlfn.LET(
_xlpm.rowNo, MATCH($C157&amp;"|"&amp;
($F157+P$4),Raw_Fund!$A:$A,0),
_xlpm.colNo,
MATCH(P$3,Raw_Fund!$E$1:$AZ$1,0),
_xlpm.val,
INDEX(Raw_Fund!$E:$AZ,_xlpm.rowNo,_xlpm.colNo),
IF(ISNUMBER(_xlpm.val),_xlpm.val*$H157,""))</f>
        <v/>
      </c>
      <c r="Q157" s="6" t="str">
        <f>_xlfn.LET(
_xlpm.rowNo, MATCH($C157&amp;"|"&amp;
($F157+Q$4),Raw_Fund!$A:$A,0),
_xlpm.colNo,
MATCH(Q$3,Raw_Fund!$E$1:$AZ$1,0),
_xlpm.val,
INDEX(Raw_Fund!$E:$AZ,_xlpm.rowNo,_xlpm.colNo),
IF(ISNUMBER(_xlpm.val),_xlpm.val*$H157,""))</f>
        <v/>
      </c>
      <c r="R157" s="6" t="str">
        <f>_xlfn.LET(
_xlpm.rowNo, MATCH($C157&amp;"|"&amp;
($F157+R$4),Raw_Fund!$A:$A,0),
_xlpm.colNo,
MATCH(R$3,Raw_Fund!$E$1:$AZ$1,0),
_xlpm.val,
INDEX(Raw_Fund!$E:$AZ,_xlpm.rowNo,_xlpm.colNo),
IF(ISNUMBER(_xlpm.val),_xlpm.val*$H157,""))</f>
        <v/>
      </c>
      <c r="S157" s="6" t="str">
        <f>_xlfn.LET(
_xlpm.rowNo, MATCH($C157&amp;"|"&amp;
($F157+S$4),Raw_Fund!$A:$A,0),
_xlpm.colNo,
MATCH(S$3,Raw_Fund!$E$1:$AZ$1,0),
_xlpm.val,
INDEX(Raw_Fund!$E:$AZ,_xlpm.rowNo,_xlpm.colNo),
IF(ISNUMBER(_xlpm.val),_xlpm.val*$H157,""))</f>
        <v/>
      </c>
      <c r="T157" s="6" t="str">
        <f>_xlfn.LET(
_xlpm.rowNo, MATCH($C157&amp;"|"&amp;
($F157+T$4),Raw_Fund!$A:$A,0),
_xlpm.colNo,
MATCH(T$3,Raw_Fund!$E$1:$AZ$1,0),
_xlpm.val,
INDEX(Raw_Fund!$E:$AZ,_xlpm.rowNo,_xlpm.colNo),
IF(ISNUMBER(_xlpm.val),_xlpm.val*$H157,""))</f>
        <v/>
      </c>
      <c r="U157" s="6" t="str">
        <f>_xlfn.LET(
_xlpm.rowNo, MATCH($C157&amp;"|"&amp;
($F157+U$4),Raw_Fund!$A:$A,0),
_xlpm.colNo,
MATCH(U$3,Raw_Fund!$E$1:$AZ$1,0),
_xlpm.val,
INDEX(Raw_Fund!$E:$AZ,_xlpm.rowNo,_xlpm.colNo),
IF(ISNUMBER(_xlpm.val),_xlpm.val*$H157,""))</f>
        <v/>
      </c>
      <c r="V157" s="6" t="str">
        <f>_xlfn.LET(
_xlpm.rowNo, MATCH($C157&amp;"|"&amp;
($F157+V$4),Raw_Fund!$A:$A,0),
_xlpm.colNo,
MATCH(V$3,Raw_Fund!$E$1:$AZ$1,0),
_xlpm.val,
INDEX(Raw_Fund!$E:$AZ,_xlpm.rowNo,_xlpm.colNo),
IF(ISNUMBER(_xlpm.val),_xlpm.val*$H157,""))</f>
        <v/>
      </c>
      <c r="W157" s="6" t="str">
        <f>_xlfn.LET(
_xlpm.rowNo, MATCH($C157&amp;"|"&amp;
($F157+W$4),Raw_Fund!$A:$A,0),
_xlpm.colNo,
MATCH(W$3,Raw_Fund!$E$1:$AZ$1,0),
_xlpm.val,
INDEX(Raw_Fund!$E:$AZ,_xlpm.rowNo,_xlpm.colNo),
IF(ISNUMBER(_xlpm.val),_xlpm.val*$H157,""))</f>
        <v/>
      </c>
      <c r="X157" s="6" t="str">
        <f>_xlfn.LET(
_xlpm.rowNo, MATCH($C157&amp;"|"&amp;
($F157+X$4),Raw_Fund!$A:$A,0),
_xlpm.colNo,
MATCH(X$3,Raw_Fund!$E$1:$AZ$1,0),
_xlpm.val,
INDEX(Raw_Fund!$E:$AZ,_xlpm.rowNo,_xlpm.colNo),
IF(ISNUMBER(_xlpm.val),_xlpm.val*$H157,""))</f>
        <v/>
      </c>
      <c r="Y157" s="6" t="str">
        <f>_xlfn.LET(
_xlpm.rowNo, MATCH($C157&amp;"|"&amp;
($F157+Y$4),Raw_Fund!$A:$A,0),
_xlpm.colNo,
MATCH(Y$3,Raw_Fund!$E$1:$AZ$1,0),
_xlpm.val,
INDEX(Raw_Fund!$E:$AZ,_xlpm.rowNo,_xlpm.colNo),
IF(ISNUMBER(_xlpm.val),_xlpm.val*$H157,""))</f>
        <v/>
      </c>
      <c r="Z157" s="6" t="e">
        <f>IF($E157&lt;&gt;"Include","",_xlfn.XLOOKUP($C157,Raw_Mkt!$A:$A,Raw_Mkt!$B:$B))</f>
        <v>#N/A</v>
      </c>
    </row>
    <row r="158" spans="1:26" x14ac:dyDescent="0.4">
      <c r="A158" t="str">
        <f>IF(Universe!A158&lt;&gt;"",Universe!A158,"")</f>
        <v>NBPE</v>
      </c>
      <c r="B158" t="str">
        <f>IF(Universe!B158&lt;&gt;"",Universe!B158,"")</f>
        <v>Neuberger Private Equity Partners</v>
      </c>
      <c r="C158" t="str">
        <f>IF(Universe!C158&lt;&gt;"",Universe!C158,"")</f>
        <v>GG00B1ZBD492</v>
      </c>
      <c r="D158" t="str">
        <f>IF(Universe!D158&lt;&gt;"",Universe!D158,"")</f>
        <v>Financials</v>
      </c>
      <c r="E158" t="str">
        <f>Universe!G158</f>
        <v>Exclude</v>
      </c>
      <c r="F158" t="str">
        <f>IF($E158&lt;&gt;"Include","",_xlfn.LET(_xlpm.latest,_xlfn.MAXIFS(Raw_Fund!$C:$C,Raw_Fund!$B:$B,Data!$C158),IF(_xlpm.latest=0,"",_xlpm.latest)))</f>
        <v/>
      </c>
      <c r="G158" t="str">
        <f>IF($F158="","",INDEX(Raw_Fund!$E:$AZ,MATCH($C158&amp;"|"&amp;$F158,Raw_Fund!$A:$A,0),MATCH(G$3,Raw_Fund!$E$1:$AZ$1,0)))</f>
        <v/>
      </c>
      <c r="H158" t="str">
        <f t="shared" si="2"/>
        <v/>
      </c>
      <c r="I158" s="6" t="str">
        <f>_xlfn.LET(
_xlpm.rowNo, MATCH($C158&amp;"|"&amp;
($F158+I$4),Raw_Fund!$A:$A,0),
_xlpm.colNo,
MATCH(I$3,Raw_Fund!$E$1:$AZ$1,0),
_xlpm.val,
INDEX(Raw_Fund!$E:$AZ,_xlpm.rowNo,_xlpm.colNo),
IF(ISNUMBER(_xlpm.val),_xlpm.val*$H158,""))</f>
        <v/>
      </c>
      <c r="J158" s="6" t="str">
        <f>_xlfn.LET(
_xlpm.rowNo, MATCH($C158&amp;"|"&amp;
($F158+J$4),Raw_Fund!$A:$A,0),
_xlpm.colNo,
MATCH(J$3,Raw_Fund!$E$1:$AZ$1,0),
_xlpm.val,
INDEX(Raw_Fund!$E:$AZ,_xlpm.rowNo,_xlpm.colNo),
IF(ISNUMBER(_xlpm.val),_xlpm.val*$H158,""))</f>
        <v/>
      </c>
      <c r="K158" s="6" t="str">
        <f>_xlfn.LET(
_xlpm.rowNo, MATCH($C158&amp;"|"&amp;
($F158+K$4),Raw_Fund!$A:$A,0),
_xlpm.colNo,
MATCH(K$3,Raw_Fund!$E$1:$AZ$1,0),
_xlpm.val,
INDEX(Raw_Fund!$E:$AZ,_xlpm.rowNo,_xlpm.colNo),
IF(ISNUMBER(_xlpm.val),_xlpm.val*$H158,""))</f>
        <v/>
      </c>
      <c r="L158" s="6" t="str">
        <f>_xlfn.LET(
_xlpm.rowNo, MATCH($C158&amp;"|"&amp;
($F158+L$4),Raw_Fund!$A:$A,0),
_xlpm.colNo,
MATCH(L$3,Raw_Fund!$E$1:$AZ$1,0),
_xlpm.val,
INDEX(Raw_Fund!$E:$AZ,_xlpm.rowNo,_xlpm.colNo),
IF(ISNUMBER(_xlpm.val),_xlpm.val*$H158,""))</f>
        <v/>
      </c>
      <c r="M158" s="6" t="str">
        <f>_xlfn.LET(
_xlpm.rowNo, MATCH($C158&amp;"|"&amp;
($F158+M$4),Raw_Fund!$A:$A,0),
_xlpm.colNo,
MATCH(M$3,Raw_Fund!$E$1:$AZ$1,0),
_xlpm.val,
INDEX(Raw_Fund!$E:$AZ,_xlpm.rowNo,_xlpm.colNo),
IF(ISNUMBER(_xlpm.val),_xlpm.val*$H158,""))</f>
        <v/>
      </c>
      <c r="N158" s="6" t="str">
        <f>_xlfn.LET(
_xlpm.rowNo, MATCH($C158&amp;"|"&amp;
($F158+N$4),Raw_Fund!$A:$A,0),
_xlpm.colNo,
MATCH(N$3,Raw_Fund!$E$1:$AZ$1,0),
_xlpm.val,
INDEX(Raw_Fund!$E:$AZ,_xlpm.rowNo,_xlpm.colNo),
IF(ISNUMBER(_xlpm.val),_xlpm.val*$H158,""))</f>
        <v/>
      </c>
      <c r="O158" s="6" t="str">
        <f>_xlfn.LET(
_xlpm.rowNo, MATCH($C158&amp;"|"&amp;
($F158+O$4),Raw_Fund!$A:$A,0),
_xlpm.colNo,
MATCH(O$3,Raw_Fund!$E$1:$AZ$1,0),
_xlpm.val,
INDEX(Raw_Fund!$E:$AZ,_xlpm.rowNo,_xlpm.colNo),
IF(ISNUMBER(_xlpm.val),_xlpm.val*$H158,""))</f>
        <v/>
      </c>
      <c r="P158" s="6" t="str">
        <f>_xlfn.LET(
_xlpm.rowNo, MATCH($C158&amp;"|"&amp;
($F158+P$4),Raw_Fund!$A:$A,0),
_xlpm.colNo,
MATCH(P$3,Raw_Fund!$E$1:$AZ$1,0),
_xlpm.val,
INDEX(Raw_Fund!$E:$AZ,_xlpm.rowNo,_xlpm.colNo),
IF(ISNUMBER(_xlpm.val),_xlpm.val*$H158,""))</f>
        <v/>
      </c>
      <c r="Q158" s="6" t="str">
        <f>_xlfn.LET(
_xlpm.rowNo, MATCH($C158&amp;"|"&amp;
($F158+Q$4),Raw_Fund!$A:$A,0),
_xlpm.colNo,
MATCH(Q$3,Raw_Fund!$E$1:$AZ$1,0),
_xlpm.val,
INDEX(Raw_Fund!$E:$AZ,_xlpm.rowNo,_xlpm.colNo),
IF(ISNUMBER(_xlpm.val),_xlpm.val*$H158,""))</f>
        <v/>
      </c>
      <c r="R158" s="6" t="str">
        <f>_xlfn.LET(
_xlpm.rowNo, MATCH($C158&amp;"|"&amp;
($F158+R$4),Raw_Fund!$A:$A,0),
_xlpm.colNo,
MATCH(R$3,Raw_Fund!$E$1:$AZ$1,0),
_xlpm.val,
INDEX(Raw_Fund!$E:$AZ,_xlpm.rowNo,_xlpm.colNo),
IF(ISNUMBER(_xlpm.val),_xlpm.val*$H158,""))</f>
        <v/>
      </c>
      <c r="S158" s="6" t="str">
        <f>_xlfn.LET(
_xlpm.rowNo, MATCH($C158&amp;"|"&amp;
($F158+S$4),Raw_Fund!$A:$A,0),
_xlpm.colNo,
MATCH(S$3,Raw_Fund!$E$1:$AZ$1,0),
_xlpm.val,
INDEX(Raw_Fund!$E:$AZ,_xlpm.rowNo,_xlpm.colNo),
IF(ISNUMBER(_xlpm.val),_xlpm.val*$H158,""))</f>
        <v/>
      </c>
      <c r="T158" s="6" t="str">
        <f>_xlfn.LET(
_xlpm.rowNo, MATCH($C158&amp;"|"&amp;
($F158+T$4),Raw_Fund!$A:$A,0),
_xlpm.colNo,
MATCH(T$3,Raw_Fund!$E$1:$AZ$1,0),
_xlpm.val,
INDEX(Raw_Fund!$E:$AZ,_xlpm.rowNo,_xlpm.colNo),
IF(ISNUMBER(_xlpm.val),_xlpm.val*$H158,""))</f>
        <v/>
      </c>
      <c r="U158" s="6" t="str">
        <f>_xlfn.LET(
_xlpm.rowNo, MATCH($C158&amp;"|"&amp;
($F158+U$4),Raw_Fund!$A:$A,0),
_xlpm.colNo,
MATCH(U$3,Raw_Fund!$E$1:$AZ$1,0),
_xlpm.val,
INDEX(Raw_Fund!$E:$AZ,_xlpm.rowNo,_xlpm.colNo),
IF(ISNUMBER(_xlpm.val),_xlpm.val*$H158,""))</f>
        <v/>
      </c>
      <c r="V158" s="6" t="str">
        <f>_xlfn.LET(
_xlpm.rowNo, MATCH($C158&amp;"|"&amp;
($F158+V$4),Raw_Fund!$A:$A,0),
_xlpm.colNo,
MATCH(V$3,Raw_Fund!$E$1:$AZ$1,0),
_xlpm.val,
INDEX(Raw_Fund!$E:$AZ,_xlpm.rowNo,_xlpm.colNo),
IF(ISNUMBER(_xlpm.val),_xlpm.val*$H158,""))</f>
        <v/>
      </c>
      <c r="W158" s="6" t="str">
        <f>_xlfn.LET(
_xlpm.rowNo, MATCH($C158&amp;"|"&amp;
($F158+W$4),Raw_Fund!$A:$A,0),
_xlpm.colNo,
MATCH(W$3,Raw_Fund!$E$1:$AZ$1,0),
_xlpm.val,
INDEX(Raw_Fund!$E:$AZ,_xlpm.rowNo,_xlpm.colNo),
IF(ISNUMBER(_xlpm.val),_xlpm.val*$H158,""))</f>
        <v/>
      </c>
      <c r="X158" s="6" t="str">
        <f>_xlfn.LET(
_xlpm.rowNo, MATCH($C158&amp;"|"&amp;
($F158+X$4),Raw_Fund!$A:$A,0),
_xlpm.colNo,
MATCH(X$3,Raw_Fund!$E$1:$AZ$1,0),
_xlpm.val,
INDEX(Raw_Fund!$E:$AZ,_xlpm.rowNo,_xlpm.colNo),
IF(ISNUMBER(_xlpm.val),_xlpm.val*$H158,""))</f>
        <v/>
      </c>
      <c r="Y158" s="6" t="str">
        <f>_xlfn.LET(
_xlpm.rowNo, MATCH($C158&amp;"|"&amp;
($F158+Y$4),Raw_Fund!$A:$A,0),
_xlpm.colNo,
MATCH(Y$3,Raw_Fund!$E$1:$AZ$1,0),
_xlpm.val,
INDEX(Raw_Fund!$E:$AZ,_xlpm.rowNo,_xlpm.colNo),
IF(ISNUMBER(_xlpm.val),_xlpm.val*$H158,""))</f>
        <v/>
      </c>
      <c r="Z158" s="6" t="str">
        <f>IF($E158&lt;&gt;"Include","",_xlfn.XLOOKUP($C158,Raw_Mkt!$A:$A,Raw_Mkt!$B:$B))</f>
        <v/>
      </c>
    </row>
    <row r="159" spans="1:26" x14ac:dyDescent="0.4">
      <c r="A159" t="str">
        <f>IF(Universe!A159&lt;&gt;"",Universe!A159,"")</f>
        <v>N91</v>
      </c>
      <c r="B159" t="str">
        <f>IF(Universe!B159&lt;&gt;"",Universe!B159,"")</f>
        <v>Ninety One</v>
      </c>
      <c r="C159" t="str">
        <f>IF(Universe!C159&lt;&gt;"",Universe!C159,"")</f>
        <v>GB00BJHPLV88</v>
      </c>
      <c r="D159" t="str">
        <f>IF(Universe!D159&lt;&gt;"",Universe!D159,"")</f>
        <v>Financials</v>
      </c>
      <c r="E159" t="str">
        <f>Universe!G159</f>
        <v>Exclude</v>
      </c>
      <c r="F159" t="str">
        <f>IF($E159&lt;&gt;"Include","",_xlfn.LET(_xlpm.latest,_xlfn.MAXIFS(Raw_Fund!$C:$C,Raw_Fund!$B:$B,Data!$C159),IF(_xlpm.latest=0,"",_xlpm.latest)))</f>
        <v/>
      </c>
      <c r="G159" t="str">
        <f>IF($F159="","",INDEX(Raw_Fund!$E:$AZ,MATCH($C159&amp;"|"&amp;$F159,Raw_Fund!$A:$A,0),MATCH(G$3,Raw_Fund!$E$1:$AZ$1,0)))</f>
        <v/>
      </c>
      <c r="H159" t="str">
        <f t="shared" si="2"/>
        <v/>
      </c>
      <c r="I159" s="6" t="str">
        <f>_xlfn.LET(
_xlpm.rowNo, MATCH($C159&amp;"|"&amp;
($F159+I$4),Raw_Fund!$A:$A,0),
_xlpm.colNo,
MATCH(I$3,Raw_Fund!$E$1:$AZ$1,0),
_xlpm.val,
INDEX(Raw_Fund!$E:$AZ,_xlpm.rowNo,_xlpm.colNo),
IF(ISNUMBER(_xlpm.val),_xlpm.val*$H159,""))</f>
        <v/>
      </c>
      <c r="J159" s="6" t="str">
        <f>_xlfn.LET(
_xlpm.rowNo, MATCH($C159&amp;"|"&amp;
($F159+J$4),Raw_Fund!$A:$A,0),
_xlpm.colNo,
MATCH(J$3,Raw_Fund!$E$1:$AZ$1,0),
_xlpm.val,
INDEX(Raw_Fund!$E:$AZ,_xlpm.rowNo,_xlpm.colNo),
IF(ISNUMBER(_xlpm.val),_xlpm.val*$H159,""))</f>
        <v/>
      </c>
      <c r="K159" s="6" t="str">
        <f>_xlfn.LET(
_xlpm.rowNo, MATCH($C159&amp;"|"&amp;
($F159+K$4),Raw_Fund!$A:$A,0),
_xlpm.colNo,
MATCH(K$3,Raw_Fund!$E$1:$AZ$1,0),
_xlpm.val,
INDEX(Raw_Fund!$E:$AZ,_xlpm.rowNo,_xlpm.colNo),
IF(ISNUMBER(_xlpm.val),_xlpm.val*$H159,""))</f>
        <v/>
      </c>
      <c r="L159" s="6" t="str">
        <f>_xlfn.LET(
_xlpm.rowNo, MATCH($C159&amp;"|"&amp;
($F159+L$4),Raw_Fund!$A:$A,0),
_xlpm.colNo,
MATCH(L$3,Raw_Fund!$E$1:$AZ$1,0),
_xlpm.val,
INDEX(Raw_Fund!$E:$AZ,_xlpm.rowNo,_xlpm.colNo),
IF(ISNUMBER(_xlpm.val),_xlpm.val*$H159,""))</f>
        <v/>
      </c>
      <c r="M159" s="6" t="str">
        <f>_xlfn.LET(
_xlpm.rowNo, MATCH($C159&amp;"|"&amp;
($F159+M$4),Raw_Fund!$A:$A,0),
_xlpm.colNo,
MATCH(M$3,Raw_Fund!$E$1:$AZ$1,0),
_xlpm.val,
INDEX(Raw_Fund!$E:$AZ,_xlpm.rowNo,_xlpm.colNo),
IF(ISNUMBER(_xlpm.val),_xlpm.val*$H159,""))</f>
        <v/>
      </c>
      <c r="N159" s="6" t="str">
        <f>_xlfn.LET(
_xlpm.rowNo, MATCH($C159&amp;"|"&amp;
($F159+N$4),Raw_Fund!$A:$A,0),
_xlpm.colNo,
MATCH(N$3,Raw_Fund!$E$1:$AZ$1,0),
_xlpm.val,
INDEX(Raw_Fund!$E:$AZ,_xlpm.rowNo,_xlpm.colNo),
IF(ISNUMBER(_xlpm.val),_xlpm.val*$H159,""))</f>
        <v/>
      </c>
      <c r="O159" s="6" t="str">
        <f>_xlfn.LET(
_xlpm.rowNo, MATCH($C159&amp;"|"&amp;
($F159+O$4),Raw_Fund!$A:$A,0),
_xlpm.colNo,
MATCH(O$3,Raw_Fund!$E$1:$AZ$1,0),
_xlpm.val,
INDEX(Raw_Fund!$E:$AZ,_xlpm.rowNo,_xlpm.colNo),
IF(ISNUMBER(_xlpm.val),_xlpm.val*$H159,""))</f>
        <v/>
      </c>
      <c r="P159" s="6" t="str">
        <f>_xlfn.LET(
_xlpm.rowNo, MATCH($C159&amp;"|"&amp;
($F159+P$4),Raw_Fund!$A:$A,0),
_xlpm.colNo,
MATCH(P$3,Raw_Fund!$E$1:$AZ$1,0),
_xlpm.val,
INDEX(Raw_Fund!$E:$AZ,_xlpm.rowNo,_xlpm.colNo),
IF(ISNUMBER(_xlpm.val),_xlpm.val*$H159,""))</f>
        <v/>
      </c>
      <c r="Q159" s="6" t="str">
        <f>_xlfn.LET(
_xlpm.rowNo, MATCH($C159&amp;"|"&amp;
($F159+Q$4),Raw_Fund!$A:$A,0),
_xlpm.colNo,
MATCH(Q$3,Raw_Fund!$E$1:$AZ$1,0),
_xlpm.val,
INDEX(Raw_Fund!$E:$AZ,_xlpm.rowNo,_xlpm.colNo),
IF(ISNUMBER(_xlpm.val),_xlpm.val*$H159,""))</f>
        <v/>
      </c>
      <c r="R159" s="6" t="str">
        <f>_xlfn.LET(
_xlpm.rowNo, MATCH($C159&amp;"|"&amp;
($F159+R$4),Raw_Fund!$A:$A,0),
_xlpm.colNo,
MATCH(R$3,Raw_Fund!$E$1:$AZ$1,0),
_xlpm.val,
INDEX(Raw_Fund!$E:$AZ,_xlpm.rowNo,_xlpm.colNo),
IF(ISNUMBER(_xlpm.val),_xlpm.val*$H159,""))</f>
        <v/>
      </c>
      <c r="S159" s="6" t="str">
        <f>_xlfn.LET(
_xlpm.rowNo, MATCH($C159&amp;"|"&amp;
($F159+S$4),Raw_Fund!$A:$A,0),
_xlpm.colNo,
MATCH(S$3,Raw_Fund!$E$1:$AZ$1,0),
_xlpm.val,
INDEX(Raw_Fund!$E:$AZ,_xlpm.rowNo,_xlpm.colNo),
IF(ISNUMBER(_xlpm.val),_xlpm.val*$H159,""))</f>
        <v/>
      </c>
      <c r="T159" s="6" t="str">
        <f>_xlfn.LET(
_xlpm.rowNo, MATCH($C159&amp;"|"&amp;
($F159+T$4),Raw_Fund!$A:$A,0),
_xlpm.colNo,
MATCH(T$3,Raw_Fund!$E$1:$AZ$1,0),
_xlpm.val,
INDEX(Raw_Fund!$E:$AZ,_xlpm.rowNo,_xlpm.colNo),
IF(ISNUMBER(_xlpm.val),_xlpm.val*$H159,""))</f>
        <v/>
      </c>
      <c r="U159" s="6" t="str">
        <f>_xlfn.LET(
_xlpm.rowNo, MATCH($C159&amp;"|"&amp;
($F159+U$4),Raw_Fund!$A:$A,0),
_xlpm.colNo,
MATCH(U$3,Raw_Fund!$E$1:$AZ$1,0),
_xlpm.val,
INDEX(Raw_Fund!$E:$AZ,_xlpm.rowNo,_xlpm.colNo),
IF(ISNUMBER(_xlpm.val),_xlpm.val*$H159,""))</f>
        <v/>
      </c>
      <c r="V159" s="6" t="str">
        <f>_xlfn.LET(
_xlpm.rowNo, MATCH($C159&amp;"|"&amp;
($F159+V$4),Raw_Fund!$A:$A,0),
_xlpm.colNo,
MATCH(V$3,Raw_Fund!$E$1:$AZ$1,0),
_xlpm.val,
INDEX(Raw_Fund!$E:$AZ,_xlpm.rowNo,_xlpm.colNo),
IF(ISNUMBER(_xlpm.val),_xlpm.val*$H159,""))</f>
        <v/>
      </c>
      <c r="W159" s="6" t="str">
        <f>_xlfn.LET(
_xlpm.rowNo, MATCH($C159&amp;"|"&amp;
($F159+W$4),Raw_Fund!$A:$A,0),
_xlpm.colNo,
MATCH(W$3,Raw_Fund!$E$1:$AZ$1,0),
_xlpm.val,
INDEX(Raw_Fund!$E:$AZ,_xlpm.rowNo,_xlpm.colNo),
IF(ISNUMBER(_xlpm.val),_xlpm.val*$H159,""))</f>
        <v/>
      </c>
      <c r="X159" s="6" t="str">
        <f>_xlfn.LET(
_xlpm.rowNo, MATCH($C159&amp;"|"&amp;
($F159+X$4),Raw_Fund!$A:$A,0),
_xlpm.colNo,
MATCH(X$3,Raw_Fund!$E$1:$AZ$1,0),
_xlpm.val,
INDEX(Raw_Fund!$E:$AZ,_xlpm.rowNo,_xlpm.colNo),
IF(ISNUMBER(_xlpm.val),_xlpm.val*$H159,""))</f>
        <v/>
      </c>
      <c r="Y159" s="6" t="str">
        <f>_xlfn.LET(
_xlpm.rowNo, MATCH($C159&amp;"|"&amp;
($F159+Y$4),Raw_Fund!$A:$A,0),
_xlpm.colNo,
MATCH(Y$3,Raw_Fund!$E$1:$AZ$1,0),
_xlpm.val,
INDEX(Raw_Fund!$E:$AZ,_xlpm.rowNo,_xlpm.colNo),
IF(ISNUMBER(_xlpm.val),_xlpm.val*$H159,""))</f>
        <v/>
      </c>
      <c r="Z159" s="6" t="str">
        <f>IF($E159&lt;&gt;"Include","",_xlfn.XLOOKUP($C159,Raw_Mkt!$A:$A,Raw_Mkt!$B:$B))</f>
        <v/>
      </c>
    </row>
    <row r="160" spans="1:26" x14ac:dyDescent="0.4">
      <c r="A160" t="str">
        <f>IF(Universe!A160&lt;&gt;"",Universe!A160,"")</f>
        <v>NAIT</v>
      </c>
      <c r="B160" t="str">
        <f>IF(Universe!B160&lt;&gt;"",Universe!B160,"")</f>
        <v>North American Income Trust</v>
      </c>
      <c r="C160" t="str">
        <f>IF(Universe!C160&lt;&gt;"",Universe!C160,"")</f>
        <v>GB00BJ00Z303</v>
      </c>
      <c r="D160" t="str">
        <f>IF(Universe!D160&lt;&gt;"",Universe!D160,"")</f>
        <v>Financials</v>
      </c>
      <c r="E160" t="str">
        <f>Universe!G160</f>
        <v>Exclude</v>
      </c>
      <c r="F160" t="str">
        <f>IF($E160&lt;&gt;"Include","",_xlfn.LET(_xlpm.latest,_xlfn.MAXIFS(Raw_Fund!$C:$C,Raw_Fund!$B:$B,Data!$C160),IF(_xlpm.latest=0,"",_xlpm.latest)))</f>
        <v/>
      </c>
      <c r="G160" t="str">
        <f>IF($F160="","",INDEX(Raw_Fund!$E:$AZ,MATCH($C160&amp;"|"&amp;$F160,Raw_Fund!$A:$A,0),MATCH(G$3,Raw_Fund!$E$1:$AZ$1,0)))</f>
        <v/>
      </c>
      <c r="H160" t="str">
        <f t="shared" si="2"/>
        <v/>
      </c>
      <c r="I160" s="6" t="str">
        <f>_xlfn.LET(
_xlpm.rowNo, MATCH($C160&amp;"|"&amp;
($F160+I$4),Raw_Fund!$A:$A,0),
_xlpm.colNo,
MATCH(I$3,Raw_Fund!$E$1:$AZ$1,0),
_xlpm.val,
INDEX(Raw_Fund!$E:$AZ,_xlpm.rowNo,_xlpm.colNo),
IF(ISNUMBER(_xlpm.val),_xlpm.val*$H160,""))</f>
        <v/>
      </c>
      <c r="J160" s="6" t="str">
        <f>_xlfn.LET(
_xlpm.rowNo, MATCH($C160&amp;"|"&amp;
($F160+J$4),Raw_Fund!$A:$A,0),
_xlpm.colNo,
MATCH(J$3,Raw_Fund!$E$1:$AZ$1,0),
_xlpm.val,
INDEX(Raw_Fund!$E:$AZ,_xlpm.rowNo,_xlpm.colNo),
IF(ISNUMBER(_xlpm.val),_xlpm.val*$H160,""))</f>
        <v/>
      </c>
      <c r="K160" s="6" t="str">
        <f>_xlfn.LET(
_xlpm.rowNo, MATCH($C160&amp;"|"&amp;
($F160+K$4),Raw_Fund!$A:$A,0),
_xlpm.colNo,
MATCH(K$3,Raw_Fund!$E$1:$AZ$1,0),
_xlpm.val,
INDEX(Raw_Fund!$E:$AZ,_xlpm.rowNo,_xlpm.colNo),
IF(ISNUMBER(_xlpm.val),_xlpm.val*$H160,""))</f>
        <v/>
      </c>
      <c r="L160" s="6" t="str">
        <f>_xlfn.LET(
_xlpm.rowNo, MATCH($C160&amp;"|"&amp;
($F160+L$4),Raw_Fund!$A:$A,0),
_xlpm.colNo,
MATCH(L$3,Raw_Fund!$E$1:$AZ$1,0),
_xlpm.val,
INDEX(Raw_Fund!$E:$AZ,_xlpm.rowNo,_xlpm.colNo),
IF(ISNUMBER(_xlpm.val),_xlpm.val*$H160,""))</f>
        <v/>
      </c>
      <c r="M160" s="6" t="str">
        <f>_xlfn.LET(
_xlpm.rowNo, MATCH($C160&amp;"|"&amp;
($F160+M$4),Raw_Fund!$A:$A,0),
_xlpm.colNo,
MATCH(M$3,Raw_Fund!$E$1:$AZ$1,0),
_xlpm.val,
INDEX(Raw_Fund!$E:$AZ,_xlpm.rowNo,_xlpm.colNo),
IF(ISNUMBER(_xlpm.val),_xlpm.val*$H160,""))</f>
        <v/>
      </c>
      <c r="N160" s="6" t="str">
        <f>_xlfn.LET(
_xlpm.rowNo, MATCH($C160&amp;"|"&amp;
($F160+N$4),Raw_Fund!$A:$A,0),
_xlpm.colNo,
MATCH(N$3,Raw_Fund!$E$1:$AZ$1,0),
_xlpm.val,
INDEX(Raw_Fund!$E:$AZ,_xlpm.rowNo,_xlpm.colNo),
IF(ISNUMBER(_xlpm.val),_xlpm.val*$H160,""))</f>
        <v/>
      </c>
      <c r="O160" s="6" t="str">
        <f>_xlfn.LET(
_xlpm.rowNo, MATCH($C160&amp;"|"&amp;
($F160+O$4),Raw_Fund!$A:$A,0),
_xlpm.colNo,
MATCH(O$3,Raw_Fund!$E$1:$AZ$1,0),
_xlpm.val,
INDEX(Raw_Fund!$E:$AZ,_xlpm.rowNo,_xlpm.colNo),
IF(ISNUMBER(_xlpm.val),_xlpm.val*$H160,""))</f>
        <v/>
      </c>
      <c r="P160" s="6" t="str">
        <f>_xlfn.LET(
_xlpm.rowNo, MATCH($C160&amp;"|"&amp;
($F160+P$4),Raw_Fund!$A:$A,0),
_xlpm.colNo,
MATCH(P$3,Raw_Fund!$E$1:$AZ$1,0),
_xlpm.val,
INDEX(Raw_Fund!$E:$AZ,_xlpm.rowNo,_xlpm.colNo),
IF(ISNUMBER(_xlpm.val),_xlpm.val*$H160,""))</f>
        <v/>
      </c>
      <c r="Q160" s="6" t="str">
        <f>_xlfn.LET(
_xlpm.rowNo, MATCH($C160&amp;"|"&amp;
($F160+Q$4),Raw_Fund!$A:$A,0),
_xlpm.colNo,
MATCH(Q$3,Raw_Fund!$E$1:$AZ$1,0),
_xlpm.val,
INDEX(Raw_Fund!$E:$AZ,_xlpm.rowNo,_xlpm.colNo),
IF(ISNUMBER(_xlpm.val),_xlpm.val*$H160,""))</f>
        <v/>
      </c>
      <c r="R160" s="6" t="str">
        <f>_xlfn.LET(
_xlpm.rowNo, MATCH($C160&amp;"|"&amp;
($F160+R$4),Raw_Fund!$A:$A,0),
_xlpm.colNo,
MATCH(R$3,Raw_Fund!$E$1:$AZ$1,0),
_xlpm.val,
INDEX(Raw_Fund!$E:$AZ,_xlpm.rowNo,_xlpm.colNo),
IF(ISNUMBER(_xlpm.val),_xlpm.val*$H160,""))</f>
        <v/>
      </c>
      <c r="S160" s="6" t="str">
        <f>_xlfn.LET(
_xlpm.rowNo, MATCH($C160&amp;"|"&amp;
($F160+S$4),Raw_Fund!$A:$A,0),
_xlpm.colNo,
MATCH(S$3,Raw_Fund!$E$1:$AZ$1,0),
_xlpm.val,
INDEX(Raw_Fund!$E:$AZ,_xlpm.rowNo,_xlpm.colNo),
IF(ISNUMBER(_xlpm.val),_xlpm.val*$H160,""))</f>
        <v/>
      </c>
      <c r="T160" s="6" t="str">
        <f>_xlfn.LET(
_xlpm.rowNo, MATCH($C160&amp;"|"&amp;
($F160+T$4),Raw_Fund!$A:$A,0),
_xlpm.colNo,
MATCH(T$3,Raw_Fund!$E$1:$AZ$1,0),
_xlpm.val,
INDEX(Raw_Fund!$E:$AZ,_xlpm.rowNo,_xlpm.colNo),
IF(ISNUMBER(_xlpm.val),_xlpm.val*$H160,""))</f>
        <v/>
      </c>
      <c r="U160" s="6" t="str">
        <f>_xlfn.LET(
_xlpm.rowNo, MATCH($C160&amp;"|"&amp;
($F160+U$4),Raw_Fund!$A:$A,0),
_xlpm.colNo,
MATCH(U$3,Raw_Fund!$E$1:$AZ$1,0),
_xlpm.val,
INDEX(Raw_Fund!$E:$AZ,_xlpm.rowNo,_xlpm.colNo),
IF(ISNUMBER(_xlpm.val),_xlpm.val*$H160,""))</f>
        <v/>
      </c>
      <c r="V160" s="6" t="str">
        <f>_xlfn.LET(
_xlpm.rowNo, MATCH($C160&amp;"|"&amp;
($F160+V$4),Raw_Fund!$A:$A,0),
_xlpm.colNo,
MATCH(V$3,Raw_Fund!$E$1:$AZ$1,0),
_xlpm.val,
INDEX(Raw_Fund!$E:$AZ,_xlpm.rowNo,_xlpm.colNo),
IF(ISNUMBER(_xlpm.val),_xlpm.val*$H160,""))</f>
        <v/>
      </c>
      <c r="W160" s="6" t="str">
        <f>_xlfn.LET(
_xlpm.rowNo, MATCH($C160&amp;"|"&amp;
($F160+W$4),Raw_Fund!$A:$A,0),
_xlpm.colNo,
MATCH(W$3,Raw_Fund!$E$1:$AZ$1,0),
_xlpm.val,
INDEX(Raw_Fund!$E:$AZ,_xlpm.rowNo,_xlpm.colNo),
IF(ISNUMBER(_xlpm.val),_xlpm.val*$H160,""))</f>
        <v/>
      </c>
      <c r="X160" s="6" t="str">
        <f>_xlfn.LET(
_xlpm.rowNo, MATCH($C160&amp;"|"&amp;
($F160+X$4),Raw_Fund!$A:$A,0),
_xlpm.colNo,
MATCH(X$3,Raw_Fund!$E$1:$AZ$1,0),
_xlpm.val,
INDEX(Raw_Fund!$E:$AZ,_xlpm.rowNo,_xlpm.colNo),
IF(ISNUMBER(_xlpm.val),_xlpm.val*$H160,""))</f>
        <v/>
      </c>
      <c r="Y160" s="6" t="str">
        <f>_xlfn.LET(
_xlpm.rowNo, MATCH($C160&amp;"|"&amp;
($F160+Y$4),Raw_Fund!$A:$A,0),
_xlpm.colNo,
MATCH(Y$3,Raw_Fund!$E$1:$AZ$1,0),
_xlpm.val,
INDEX(Raw_Fund!$E:$AZ,_xlpm.rowNo,_xlpm.colNo),
IF(ISNUMBER(_xlpm.val),_xlpm.val*$H160,""))</f>
        <v/>
      </c>
      <c r="Z160" s="6" t="str">
        <f>IF($E160&lt;&gt;"Include","",_xlfn.XLOOKUP($C160,Raw_Mkt!$A:$A,Raw_Mkt!$B:$B))</f>
        <v/>
      </c>
    </row>
    <row r="161" spans="1:26" x14ac:dyDescent="0.4">
      <c r="A161" t="str">
        <f>IF(Universe!A161&lt;&gt;"",Universe!A161,"")</f>
        <v>NAS</v>
      </c>
      <c r="B161" t="str">
        <f>IF(Universe!B161&lt;&gt;"",Universe!B161,"")</f>
        <v>North Atlantic Smaller Companies Investment Trust</v>
      </c>
      <c r="C161" t="str">
        <f>IF(Universe!C161&lt;&gt;"",Universe!C161,"")</f>
        <v>GB00BRDXZ870</v>
      </c>
      <c r="D161" t="str">
        <f>IF(Universe!D161&lt;&gt;"",Universe!D161,"")</f>
        <v>Financials</v>
      </c>
      <c r="E161" t="str">
        <f>Universe!G161</f>
        <v>Exclude</v>
      </c>
      <c r="F161" t="str">
        <f>IF($E161&lt;&gt;"Include","",_xlfn.LET(_xlpm.latest,_xlfn.MAXIFS(Raw_Fund!$C:$C,Raw_Fund!$B:$B,Data!$C161),IF(_xlpm.latest=0,"",_xlpm.latest)))</f>
        <v/>
      </c>
      <c r="G161" t="str">
        <f>IF($F161="","",INDEX(Raw_Fund!$E:$AZ,MATCH($C161&amp;"|"&amp;$F161,Raw_Fund!$A:$A,0),MATCH(G$3,Raw_Fund!$E$1:$AZ$1,0)))</f>
        <v/>
      </c>
      <c r="H161" t="str">
        <f t="shared" si="2"/>
        <v/>
      </c>
      <c r="I161" s="6" t="str">
        <f>_xlfn.LET(
_xlpm.rowNo, MATCH($C161&amp;"|"&amp;
($F161+I$4),Raw_Fund!$A:$A,0),
_xlpm.colNo,
MATCH(I$3,Raw_Fund!$E$1:$AZ$1,0),
_xlpm.val,
INDEX(Raw_Fund!$E:$AZ,_xlpm.rowNo,_xlpm.colNo),
IF(ISNUMBER(_xlpm.val),_xlpm.val*$H161,""))</f>
        <v/>
      </c>
      <c r="J161" s="6" t="str">
        <f>_xlfn.LET(
_xlpm.rowNo, MATCH($C161&amp;"|"&amp;
($F161+J$4),Raw_Fund!$A:$A,0),
_xlpm.colNo,
MATCH(J$3,Raw_Fund!$E$1:$AZ$1,0),
_xlpm.val,
INDEX(Raw_Fund!$E:$AZ,_xlpm.rowNo,_xlpm.colNo),
IF(ISNUMBER(_xlpm.val),_xlpm.val*$H161,""))</f>
        <v/>
      </c>
      <c r="K161" s="6" t="str">
        <f>_xlfn.LET(
_xlpm.rowNo, MATCH($C161&amp;"|"&amp;
($F161+K$4),Raw_Fund!$A:$A,0),
_xlpm.colNo,
MATCH(K$3,Raw_Fund!$E$1:$AZ$1,0),
_xlpm.val,
INDEX(Raw_Fund!$E:$AZ,_xlpm.rowNo,_xlpm.colNo),
IF(ISNUMBER(_xlpm.val),_xlpm.val*$H161,""))</f>
        <v/>
      </c>
      <c r="L161" s="6" t="str">
        <f>_xlfn.LET(
_xlpm.rowNo, MATCH($C161&amp;"|"&amp;
($F161+L$4),Raw_Fund!$A:$A,0),
_xlpm.colNo,
MATCH(L$3,Raw_Fund!$E$1:$AZ$1,0),
_xlpm.val,
INDEX(Raw_Fund!$E:$AZ,_xlpm.rowNo,_xlpm.colNo),
IF(ISNUMBER(_xlpm.val),_xlpm.val*$H161,""))</f>
        <v/>
      </c>
      <c r="M161" s="6" t="str">
        <f>_xlfn.LET(
_xlpm.rowNo, MATCH($C161&amp;"|"&amp;
($F161+M$4),Raw_Fund!$A:$A,0),
_xlpm.colNo,
MATCH(M$3,Raw_Fund!$E$1:$AZ$1,0),
_xlpm.val,
INDEX(Raw_Fund!$E:$AZ,_xlpm.rowNo,_xlpm.colNo),
IF(ISNUMBER(_xlpm.val),_xlpm.val*$H161,""))</f>
        <v/>
      </c>
      <c r="N161" s="6" t="str">
        <f>_xlfn.LET(
_xlpm.rowNo, MATCH($C161&amp;"|"&amp;
($F161+N$4),Raw_Fund!$A:$A,0),
_xlpm.colNo,
MATCH(N$3,Raw_Fund!$E$1:$AZ$1,0),
_xlpm.val,
INDEX(Raw_Fund!$E:$AZ,_xlpm.rowNo,_xlpm.colNo),
IF(ISNUMBER(_xlpm.val),_xlpm.val*$H161,""))</f>
        <v/>
      </c>
      <c r="O161" s="6" t="str">
        <f>_xlfn.LET(
_xlpm.rowNo, MATCH($C161&amp;"|"&amp;
($F161+O$4),Raw_Fund!$A:$A,0),
_xlpm.colNo,
MATCH(O$3,Raw_Fund!$E$1:$AZ$1,0),
_xlpm.val,
INDEX(Raw_Fund!$E:$AZ,_xlpm.rowNo,_xlpm.colNo),
IF(ISNUMBER(_xlpm.val),_xlpm.val*$H161,""))</f>
        <v/>
      </c>
      <c r="P161" s="6" t="str">
        <f>_xlfn.LET(
_xlpm.rowNo, MATCH($C161&amp;"|"&amp;
($F161+P$4),Raw_Fund!$A:$A,0),
_xlpm.colNo,
MATCH(P$3,Raw_Fund!$E$1:$AZ$1,0),
_xlpm.val,
INDEX(Raw_Fund!$E:$AZ,_xlpm.rowNo,_xlpm.colNo),
IF(ISNUMBER(_xlpm.val),_xlpm.val*$H161,""))</f>
        <v/>
      </c>
      <c r="Q161" s="6" t="str">
        <f>_xlfn.LET(
_xlpm.rowNo, MATCH($C161&amp;"|"&amp;
($F161+Q$4),Raw_Fund!$A:$A,0),
_xlpm.colNo,
MATCH(Q$3,Raw_Fund!$E$1:$AZ$1,0),
_xlpm.val,
INDEX(Raw_Fund!$E:$AZ,_xlpm.rowNo,_xlpm.colNo),
IF(ISNUMBER(_xlpm.val),_xlpm.val*$H161,""))</f>
        <v/>
      </c>
      <c r="R161" s="6" t="str">
        <f>_xlfn.LET(
_xlpm.rowNo, MATCH($C161&amp;"|"&amp;
($F161+R$4),Raw_Fund!$A:$A,0),
_xlpm.colNo,
MATCH(R$3,Raw_Fund!$E$1:$AZ$1,0),
_xlpm.val,
INDEX(Raw_Fund!$E:$AZ,_xlpm.rowNo,_xlpm.colNo),
IF(ISNUMBER(_xlpm.val),_xlpm.val*$H161,""))</f>
        <v/>
      </c>
      <c r="S161" s="6" t="str">
        <f>_xlfn.LET(
_xlpm.rowNo, MATCH($C161&amp;"|"&amp;
($F161+S$4),Raw_Fund!$A:$A,0),
_xlpm.colNo,
MATCH(S$3,Raw_Fund!$E$1:$AZ$1,0),
_xlpm.val,
INDEX(Raw_Fund!$E:$AZ,_xlpm.rowNo,_xlpm.colNo),
IF(ISNUMBER(_xlpm.val),_xlpm.val*$H161,""))</f>
        <v/>
      </c>
      <c r="T161" s="6" t="str">
        <f>_xlfn.LET(
_xlpm.rowNo, MATCH($C161&amp;"|"&amp;
($F161+T$4),Raw_Fund!$A:$A,0),
_xlpm.colNo,
MATCH(T$3,Raw_Fund!$E$1:$AZ$1,0),
_xlpm.val,
INDEX(Raw_Fund!$E:$AZ,_xlpm.rowNo,_xlpm.colNo),
IF(ISNUMBER(_xlpm.val),_xlpm.val*$H161,""))</f>
        <v/>
      </c>
      <c r="U161" s="6" t="str">
        <f>_xlfn.LET(
_xlpm.rowNo, MATCH($C161&amp;"|"&amp;
($F161+U$4),Raw_Fund!$A:$A,0),
_xlpm.colNo,
MATCH(U$3,Raw_Fund!$E$1:$AZ$1,0),
_xlpm.val,
INDEX(Raw_Fund!$E:$AZ,_xlpm.rowNo,_xlpm.colNo),
IF(ISNUMBER(_xlpm.val),_xlpm.val*$H161,""))</f>
        <v/>
      </c>
      <c r="V161" s="6" t="str">
        <f>_xlfn.LET(
_xlpm.rowNo, MATCH($C161&amp;"|"&amp;
($F161+V$4),Raw_Fund!$A:$A,0),
_xlpm.colNo,
MATCH(V$3,Raw_Fund!$E$1:$AZ$1,0),
_xlpm.val,
INDEX(Raw_Fund!$E:$AZ,_xlpm.rowNo,_xlpm.colNo),
IF(ISNUMBER(_xlpm.val),_xlpm.val*$H161,""))</f>
        <v/>
      </c>
      <c r="W161" s="6" t="str">
        <f>_xlfn.LET(
_xlpm.rowNo, MATCH($C161&amp;"|"&amp;
($F161+W$4),Raw_Fund!$A:$A,0),
_xlpm.colNo,
MATCH(W$3,Raw_Fund!$E$1:$AZ$1,0),
_xlpm.val,
INDEX(Raw_Fund!$E:$AZ,_xlpm.rowNo,_xlpm.colNo),
IF(ISNUMBER(_xlpm.val),_xlpm.val*$H161,""))</f>
        <v/>
      </c>
      <c r="X161" s="6" t="str">
        <f>_xlfn.LET(
_xlpm.rowNo, MATCH($C161&amp;"|"&amp;
($F161+X$4),Raw_Fund!$A:$A,0),
_xlpm.colNo,
MATCH(X$3,Raw_Fund!$E$1:$AZ$1,0),
_xlpm.val,
INDEX(Raw_Fund!$E:$AZ,_xlpm.rowNo,_xlpm.colNo),
IF(ISNUMBER(_xlpm.val),_xlpm.val*$H161,""))</f>
        <v/>
      </c>
      <c r="Y161" s="6" t="str">
        <f>_xlfn.LET(
_xlpm.rowNo, MATCH($C161&amp;"|"&amp;
($F161+Y$4),Raw_Fund!$A:$A,0),
_xlpm.colNo,
MATCH(Y$3,Raw_Fund!$E$1:$AZ$1,0),
_xlpm.val,
INDEX(Raw_Fund!$E:$AZ,_xlpm.rowNo,_xlpm.colNo),
IF(ISNUMBER(_xlpm.val),_xlpm.val*$H161,""))</f>
        <v/>
      </c>
      <c r="Z161" s="6" t="str">
        <f>IF($E161&lt;&gt;"Include","",_xlfn.XLOOKUP($C161,Raw_Mkt!$A:$A,Raw_Mkt!$B:$B))</f>
        <v/>
      </c>
    </row>
    <row r="162" spans="1:26" x14ac:dyDescent="0.4">
      <c r="A162" t="str">
        <f>IF(Universe!A162&lt;&gt;"",Universe!A162,"")</f>
        <v>OCI</v>
      </c>
      <c r="B162" t="str">
        <f>IF(Universe!B162&lt;&gt;"",Universe!B162,"")</f>
        <v>Oakley Capital Investments</v>
      </c>
      <c r="C162" t="str">
        <f>IF(Universe!C162&lt;&gt;"",Universe!C162,"")</f>
        <v>BMG670131058</v>
      </c>
      <c r="D162" t="str">
        <f>IF(Universe!D162&lt;&gt;"",Universe!D162,"")</f>
        <v>Financials</v>
      </c>
      <c r="E162" t="str">
        <f>Universe!G162</f>
        <v>Exclude</v>
      </c>
      <c r="F162" t="str">
        <f>IF($E162&lt;&gt;"Include","",_xlfn.LET(_xlpm.latest,_xlfn.MAXIFS(Raw_Fund!$C:$C,Raw_Fund!$B:$B,Data!$C162),IF(_xlpm.latest=0,"",_xlpm.latest)))</f>
        <v/>
      </c>
      <c r="G162" t="str">
        <f>IF($F162="","",INDEX(Raw_Fund!$E:$AZ,MATCH($C162&amp;"|"&amp;$F162,Raw_Fund!$A:$A,0),MATCH(G$3,Raw_Fund!$E$1:$AZ$1,0)))</f>
        <v/>
      </c>
      <c r="H162" t="str">
        <f t="shared" si="2"/>
        <v/>
      </c>
      <c r="I162" s="6" t="str">
        <f>_xlfn.LET(
_xlpm.rowNo, MATCH($C162&amp;"|"&amp;
($F162+I$4),Raw_Fund!$A:$A,0),
_xlpm.colNo,
MATCH(I$3,Raw_Fund!$E$1:$AZ$1,0),
_xlpm.val,
INDEX(Raw_Fund!$E:$AZ,_xlpm.rowNo,_xlpm.colNo),
IF(ISNUMBER(_xlpm.val),_xlpm.val*$H162,""))</f>
        <v/>
      </c>
      <c r="J162" s="6" t="str">
        <f>_xlfn.LET(
_xlpm.rowNo, MATCH($C162&amp;"|"&amp;
($F162+J$4),Raw_Fund!$A:$A,0),
_xlpm.colNo,
MATCH(J$3,Raw_Fund!$E$1:$AZ$1,0),
_xlpm.val,
INDEX(Raw_Fund!$E:$AZ,_xlpm.rowNo,_xlpm.colNo),
IF(ISNUMBER(_xlpm.val),_xlpm.val*$H162,""))</f>
        <v/>
      </c>
      <c r="K162" s="6" t="str">
        <f>_xlfn.LET(
_xlpm.rowNo, MATCH($C162&amp;"|"&amp;
($F162+K$4),Raw_Fund!$A:$A,0),
_xlpm.colNo,
MATCH(K$3,Raw_Fund!$E$1:$AZ$1,0),
_xlpm.val,
INDEX(Raw_Fund!$E:$AZ,_xlpm.rowNo,_xlpm.colNo),
IF(ISNUMBER(_xlpm.val),_xlpm.val*$H162,""))</f>
        <v/>
      </c>
      <c r="L162" s="6" t="str">
        <f>_xlfn.LET(
_xlpm.rowNo, MATCH($C162&amp;"|"&amp;
($F162+L$4),Raw_Fund!$A:$A,0),
_xlpm.colNo,
MATCH(L$3,Raw_Fund!$E$1:$AZ$1,0),
_xlpm.val,
INDEX(Raw_Fund!$E:$AZ,_xlpm.rowNo,_xlpm.colNo),
IF(ISNUMBER(_xlpm.val),_xlpm.val*$H162,""))</f>
        <v/>
      </c>
      <c r="M162" s="6" t="str">
        <f>_xlfn.LET(
_xlpm.rowNo, MATCH($C162&amp;"|"&amp;
($F162+M$4),Raw_Fund!$A:$A,0),
_xlpm.colNo,
MATCH(M$3,Raw_Fund!$E$1:$AZ$1,0),
_xlpm.val,
INDEX(Raw_Fund!$E:$AZ,_xlpm.rowNo,_xlpm.colNo),
IF(ISNUMBER(_xlpm.val),_xlpm.val*$H162,""))</f>
        <v/>
      </c>
      <c r="N162" s="6" t="str">
        <f>_xlfn.LET(
_xlpm.rowNo, MATCH($C162&amp;"|"&amp;
($F162+N$4),Raw_Fund!$A:$A,0),
_xlpm.colNo,
MATCH(N$3,Raw_Fund!$E$1:$AZ$1,0),
_xlpm.val,
INDEX(Raw_Fund!$E:$AZ,_xlpm.rowNo,_xlpm.colNo),
IF(ISNUMBER(_xlpm.val),_xlpm.val*$H162,""))</f>
        <v/>
      </c>
      <c r="O162" s="6" t="str">
        <f>_xlfn.LET(
_xlpm.rowNo, MATCH($C162&amp;"|"&amp;
($F162+O$4),Raw_Fund!$A:$A,0),
_xlpm.colNo,
MATCH(O$3,Raw_Fund!$E$1:$AZ$1,0),
_xlpm.val,
INDEX(Raw_Fund!$E:$AZ,_xlpm.rowNo,_xlpm.colNo),
IF(ISNUMBER(_xlpm.val),_xlpm.val*$H162,""))</f>
        <v/>
      </c>
      <c r="P162" s="6" t="str">
        <f>_xlfn.LET(
_xlpm.rowNo, MATCH($C162&amp;"|"&amp;
($F162+P$4),Raw_Fund!$A:$A,0),
_xlpm.colNo,
MATCH(P$3,Raw_Fund!$E$1:$AZ$1,0),
_xlpm.val,
INDEX(Raw_Fund!$E:$AZ,_xlpm.rowNo,_xlpm.colNo),
IF(ISNUMBER(_xlpm.val),_xlpm.val*$H162,""))</f>
        <v/>
      </c>
      <c r="Q162" s="6" t="str">
        <f>_xlfn.LET(
_xlpm.rowNo, MATCH($C162&amp;"|"&amp;
($F162+Q$4),Raw_Fund!$A:$A,0),
_xlpm.colNo,
MATCH(Q$3,Raw_Fund!$E$1:$AZ$1,0),
_xlpm.val,
INDEX(Raw_Fund!$E:$AZ,_xlpm.rowNo,_xlpm.colNo),
IF(ISNUMBER(_xlpm.val),_xlpm.val*$H162,""))</f>
        <v/>
      </c>
      <c r="R162" s="6" t="str">
        <f>_xlfn.LET(
_xlpm.rowNo, MATCH($C162&amp;"|"&amp;
($F162+R$4),Raw_Fund!$A:$A,0),
_xlpm.colNo,
MATCH(R$3,Raw_Fund!$E$1:$AZ$1,0),
_xlpm.val,
INDEX(Raw_Fund!$E:$AZ,_xlpm.rowNo,_xlpm.colNo),
IF(ISNUMBER(_xlpm.val),_xlpm.val*$H162,""))</f>
        <v/>
      </c>
      <c r="S162" s="6" t="str">
        <f>_xlfn.LET(
_xlpm.rowNo, MATCH($C162&amp;"|"&amp;
($F162+S$4),Raw_Fund!$A:$A,0),
_xlpm.colNo,
MATCH(S$3,Raw_Fund!$E$1:$AZ$1,0),
_xlpm.val,
INDEX(Raw_Fund!$E:$AZ,_xlpm.rowNo,_xlpm.colNo),
IF(ISNUMBER(_xlpm.val),_xlpm.val*$H162,""))</f>
        <v/>
      </c>
      <c r="T162" s="6" t="str">
        <f>_xlfn.LET(
_xlpm.rowNo, MATCH($C162&amp;"|"&amp;
($F162+T$4),Raw_Fund!$A:$A,0),
_xlpm.colNo,
MATCH(T$3,Raw_Fund!$E$1:$AZ$1,0),
_xlpm.val,
INDEX(Raw_Fund!$E:$AZ,_xlpm.rowNo,_xlpm.colNo),
IF(ISNUMBER(_xlpm.val),_xlpm.val*$H162,""))</f>
        <v/>
      </c>
      <c r="U162" s="6" t="str">
        <f>_xlfn.LET(
_xlpm.rowNo, MATCH($C162&amp;"|"&amp;
($F162+U$4),Raw_Fund!$A:$A,0),
_xlpm.colNo,
MATCH(U$3,Raw_Fund!$E$1:$AZ$1,0),
_xlpm.val,
INDEX(Raw_Fund!$E:$AZ,_xlpm.rowNo,_xlpm.colNo),
IF(ISNUMBER(_xlpm.val),_xlpm.val*$H162,""))</f>
        <v/>
      </c>
      <c r="V162" s="6" t="str">
        <f>_xlfn.LET(
_xlpm.rowNo, MATCH($C162&amp;"|"&amp;
($F162+V$4),Raw_Fund!$A:$A,0),
_xlpm.colNo,
MATCH(V$3,Raw_Fund!$E$1:$AZ$1,0),
_xlpm.val,
INDEX(Raw_Fund!$E:$AZ,_xlpm.rowNo,_xlpm.colNo),
IF(ISNUMBER(_xlpm.val),_xlpm.val*$H162,""))</f>
        <v/>
      </c>
      <c r="W162" s="6" t="str">
        <f>_xlfn.LET(
_xlpm.rowNo, MATCH($C162&amp;"|"&amp;
($F162+W$4),Raw_Fund!$A:$A,0),
_xlpm.colNo,
MATCH(W$3,Raw_Fund!$E$1:$AZ$1,0),
_xlpm.val,
INDEX(Raw_Fund!$E:$AZ,_xlpm.rowNo,_xlpm.colNo),
IF(ISNUMBER(_xlpm.val),_xlpm.val*$H162,""))</f>
        <v/>
      </c>
      <c r="X162" s="6" t="str">
        <f>_xlfn.LET(
_xlpm.rowNo, MATCH($C162&amp;"|"&amp;
($F162+X$4),Raw_Fund!$A:$A,0),
_xlpm.colNo,
MATCH(X$3,Raw_Fund!$E$1:$AZ$1,0),
_xlpm.val,
INDEX(Raw_Fund!$E:$AZ,_xlpm.rowNo,_xlpm.colNo),
IF(ISNUMBER(_xlpm.val),_xlpm.val*$H162,""))</f>
        <v/>
      </c>
      <c r="Y162" s="6" t="str">
        <f>_xlfn.LET(
_xlpm.rowNo, MATCH($C162&amp;"|"&amp;
($F162+Y$4),Raw_Fund!$A:$A,0),
_xlpm.colNo,
MATCH(Y$3,Raw_Fund!$E$1:$AZ$1,0),
_xlpm.val,
INDEX(Raw_Fund!$E:$AZ,_xlpm.rowNo,_xlpm.colNo),
IF(ISNUMBER(_xlpm.val),_xlpm.val*$H162,""))</f>
        <v/>
      </c>
      <c r="Z162" s="6" t="str">
        <f>IF($E162&lt;&gt;"Include","",_xlfn.XLOOKUP($C162,Raw_Mkt!$A:$A,Raw_Mkt!$B:$B))</f>
        <v/>
      </c>
    </row>
    <row r="163" spans="1:26" x14ac:dyDescent="0.4">
      <c r="A163" t="str">
        <f>IF(Universe!A163&lt;&gt;"",Universe!A163,"")</f>
        <v>OCDO</v>
      </c>
      <c r="B163" t="str">
        <f>IF(Universe!B163&lt;&gt;"",Universe!B163,"")</f>
        <v>Ocado Group</v>
      </c>
      <c r="C163" t="str">
        <f>IF(Universe!C163&lt;&gt;"",Universe!C163,"")</f>
        <v>GB00B3MBS747</v>
      </c>
      <c r="D163" t="str">
        <f>IF(Universe!D163&lt;&gt;"",Universe!D163,"")</f>
        <v>Consumer Staples</v>
      </c>
      <c r="E163" t="str">
        <f>Universe!G163</f>
        <v>Include</v>
      </c>
      <c r="F163" t="str">
        <f>IF($E163&lt;&gt;"Include","",_xlfn.LET(_xlpm.latest,_xlfn.MAXIFS(Raw_Fund!$C:$C,Raw_Fund!$B:$B,Data!$C163),IF(_xlpm.latest=0,"",_xlpm.latest)))</f>
        <v/>
      </c>
      <c r="G163" t="str">
        <f>IF($F163="","",INDEX(Raw_Fund!$E:$AZ,MATCH($C163&amp;"|"&amp;$F163,Raw_Fund!$A:$A,0),MATCH(G$3,Raw_Fund!$E$1:$AZ$1,0)))</f>
        <v/>
      </c>
      <c r="H163" t="str">
        <f t="shared" si="2"/>
        <v/>
      </c>
      <c r="I163" s="6" t="str">
        <f>_xlfn.LET(
_xlpm.rowNo, MATCH($C163&amp;"|"&amp;
($F163+I$4),Raw_Fund!$A:$A,0),
_xlpm.colNo,
MATCH(I$3,Raw_Fund!$E$1:$AZ$1,0),
_xlpm.val,
INDEX(Raw_Fund!$E:$AZ,_xlpm.rowNo,_xlpm.colNo),
IF(ISNUMBER(_xlpm.val),_xlpm.val*$H163,""))</f>
        <v/>
      </c>
      <c r="J163" s="6" t="str">
        <f>_xlfn.LET(
_xlpm.rowNo, MATCH($C163&amp;"|"&amp;
($F163+J$4),Raw_Fund!$A:$A,0),
_xlpm.colNo,
MATCH(J$3,Raw_Fund!$E$1:$AZ$1,0),
_xlpm.val,
INDEX(Raw_Fund!$E:$AZ,_xlpm.rowNo,_xlpm.colNo),
IF(ISNUMBER(_xlpm.val),_xlpm.val*$H163,""))</f>
        <v/>
      </c>
      <c r="K163" s="6" t="str">
        <f>_xlfn.LET(
_xlpm.rowNo, MATCH($C163&amp;"|"&amp;
($F163+K$4),Raw_Fund!$A:$A,0),
_xlpm.colNo,
MATCH(K$3,Raw_Fund!$E$1:$AZ$1,0),
_xlpm.val,
INDEX(Raw_Fund!$E:$AZ,_xlpm.rowNo,_xlpm.colNo),
IF(ISNUMBER(_xlpm.val),_xlpm.val*$H163,""))</f>
        <v/>
      </c>
      <c r="L163" s="6" t="str">
        <f>_xlfn.LET(
_xlpm.rowNo, MATCH($C163&amp;"|"&amp;
($F163+L$4),Raw_Fund!$A:$A,0),
_xlpm.colNo,
MATCH(L$3,Raw_Fund!$E$1:$AZ$1,0),
_xlpm.val,
INDEX(Raw_Fund!$E:$AZ,_xlpm.rowNo,_xlpm.colNo),
IF(ISNUMBER(_xlpm.val),_xlpm.val*$H163,""))</f>
        <v/>
      </c>
      <c r="M163" s="6" t="str">
        <f>_xlfn.LET(
_xlpm.rowNo, MATCH($C163&amp;"|"&amp;
($F163+M$4),Raw_Fund!$A:$A,0),
_xlpm.colNo,
MATCH(M$3,Raw_Fund!$E$1:$AZ$1,0),
_xlpm.val,
INDEX(Raw_Fund!$E:$AZ,_xlpm.rowNo,_xlpm.colNo),
IF(ISNUMBER(_xlpm.val),_xlpm.val*$H163,""))</f>
        <v/>
      </c>
      <c r="N163" s="6" t="str">
        <f>_xlfn.LET(
_xlpm.rowNo, MATCH($C163&amp;"|"&amp;
($F163+N$4),Raw_Fund!$A:$A,0),
_xlpm.colNo,
MATCH(N$3,Raw_Fund!$E$1:$AZ$1,0),
_xlpm.val,
INDEX(Raw_Fund!$E:$AZ,_xlpm.rowNo,_xlpm.colNo),
IF(ISNUMBER(_xlpm.val),_xlpm.val*$H163,""))</f>
        <v/>
      </c>
      <c r="O163" s="6" t="str">
        <f>_xlfn.LET(
_xlpm.rowNo, MATCH($C163&amp;"|"&amp;
($F163+O$4),Raw_Fund!$A:$A,0),
_xlpm.colNo,
MATCH(O$3,Raw_Fund!$E$1:$AZ$1,0),
_xlpm.val,
INDEX(Raw_Fund!$E:$AZ,_xlpm.rowNo,_xlpm.colNo),
IF(ISNUMBER(_xlpm.val),_xlpm.val*$H163,""))</f>
        <v/>
      </c>
      <c r="P163" s="6" t="str">
        <f>_xlfn.LET(
_xlpm.rowNo, MATCH($C163&amp;"|"&amp;
($F163+P$4),Raw_Fund!$A:$A,0),
_xlpm.colNo,
MATCH(P$3,Raw_Fund!$E$1:$AZ$1,0),
_xlpm.val,
INDEX(Raw_Fund!$E:$AZ,_xlpm.rowNo,_xlpm.colNo),
IF(ISNUMBER(_xlpm.val),_xlpm.val*$H163,""))</f>
        <v/>
      </c>
      <c r="Q163" s="6" t="str">
        <f>_xlfn.LET(
_xlpm.rowNo, MATCH($C163&amp;"|"&amp;
($F163+Q$4),Raw_Fund!$A:$A,0),
_xlpm.colNo,
MATCH(Q$3,Raw_Fund!$E$1:$AZ$1,0),
_xlpm.val,
INDEX(Raw_Fund!$E:$AZ,_xlpm.rowNo,_xlpm.colNo),
IF(ISNUMBER(_xlpm.val),_xlpm.val*$H163,""))</f>
        <v/>
      </c>
      <c r="R163" s="6" t="str">
        <f>_xlfn.LET(
_xlpm.rowNo, MATCH($C163&amp;"|"&amp;
($F163+R$4),Raw_Fund!$A:$A,0),
_xlpm.colNo,
MATCH(R$3,Raw_Fund!$E$1:$AZ$1,0),
_xlpm.val,
INDEX(Raw_Fund!$E:$AZ,_xlpm.rowNo,_xlpm.colNo),
IF(ISNUMBER(_xlpm.val),_xlpm.val*$H163,""))</f>
        <v/>
      </c>
      <c r="S163" s="6" t="str">
        <f>_xlfn.LET(
_xlpm.rowNo, MATCH($C163&amp;"|"&amp;
($F163+S$4),Raw_Fund!$A:$A,0),
_xlpm.colNo,
MATCH(S$3,Raw_Fund!$E$1:$AZ$1,0),
_xlpm.val,
INDEX(Raw_Fund!$E:$AZ,_xlpm.rowNo,_xlpm.colNo),
IF(ISNUMBER(_xlpm.val),_xlpm.val*$H163,""))</f>
        <v/>
      </c>
      <c r="T163" s="6" t="str">
        <f>_xlfn.LET(
_xlpm.rowNo, MATCH($C163&amp;"|"&amp;
($F163+T$4),Raw_Fund!$A:$A,0),
_xlpm.colNo,
MATCH(T$3,Raw_Fund!$E$1:$AZ$1,0),
_xlpm.val,
INDEX(Raw_Fund!$E:$AZ,_xlpm.rowNo,_xlpm.colNo),
IF(ISNUMBER(_xlpm.val),_xlpm.val*$H163,""))</f>
        <v/>
      </c>
      <c r="U163" s="6" t="str">
        <f>_xlfn.LET(
_xlpm.rowNo, MATCH($C163&amp;"|"&amp;
($F163+U$4),Raw_Fund!$A:$A,0),
_xlpm.colNo,
MATCH(U$3,Raw_Fund!$E$1:$AZ$1,0),
_xlpm.val,
INDEX(Raw_Fund!$E:$AZ,_xlpm.rowNo,_xlpm.colNo),
IF(ISNUMBER(_xlpm.val),_xlpm.val*$H163,""))</f>
        <v/>
      </c>
      <c r="V163" s="6" t="str">
        <f>_xlfn.LET(
_xlpm.rowNo, MATCH($C163&amp;"|"&amp;
($F163+V$4),Raw_Fund!$A:$A,0),
_xlpm.colNo,
MATCH(V$3,Raw_Fund!$E$1:$AZ$1,0),
_xlpm.val,
INDEX(Raw_Fund!$E:$AZ,_xlpm.rowNo,_xlpm.colNo),
IF(ISNUMBER(_xlpm.val),_xlpm.val*$H163,""))</f>
        <v/>
      </c>
      <c r="W163" s="6" t="str">
        <f>_xlfn.LET(
_xlpm.rowNo, MATCH($C163&amp;"|"&amp;
($F163+W$4),Raw_Fund!$A:$A,0),
_xlpm.colNo,
MATCH(W$3,Raw_Fund!$E$1:$AZ$1,0),
_xlpm.val,
INDEX(Raw_Fund!$E:$AZ,_xlpm.rowNo,_xlpm.colNo),
IF(ISNUMBER(_xlpm.val),_xlpm.val*$H163,""))</f>
        <v/>
      </c>
      <c r="X163" s="6" t="str">
        <f>_xlfn.LET(
_xlpm.rowNo, MATCH($C163&amp;"|"&amp;
($F163+X$4),Raw_Fund!$A:$A,0),
_xlpm.colNo,
MATCH(X$3,Raw_Fund!$E$1:$AZ$1,0),
_xlpm.val,
INDEX(Raw_Fund!$E:$AZ,_xlpm.rowNo,_xlpm.colNo),
IF(ISNUMBER(_xlpm.val),_xlpm.val*$H163,""))</f>
        <v/>
      </c>
      <c r="Y163" s="6" t="str">
        <f>_xlfn.LET(
_xlpm.rowNo, MATCH($C163&amp;"|"&amp;
($F163+Y$4),Raw_Fund!$A:$A,0),
_xlpm.colNo,
MATCH(Y$3,Raw_Fund!$E$1:$AZ$1,0),
_xlpm.val,
INDEX(Raw_Fund!$E:$AZ,_xlpm.rowNo,_xlpm.colNo),
IF(ISNUMBER(_xlpm.val),_xlpm.val*$H163,""))</f>
        <v/>
      </c>
      <c r="Z163" s="6" t="e">
        <f>IF($E163&lt;&gt;"Include","",_xlfn.XLOOKUP($C163,Raw_Mkt!$A:$A,Raw_Mkt!$B:$B))</f>
        <v>#N/A</v>
      </c>
    </row>
    <row r="164" spans="1:26" x14ac:dyDescent="0.4">
      <c r="A164" t="str">
        <f>IF(Universe!A164&lt;&gt;"",Universe!A164,"")</f>
        <v>OSB</v>
      </c>
      <c r="B164" t="str">
        <f>IF(Universe!B164&lt;&gt;"",Universe!B164,"")</f>
        <v>OSB Group</v>
      </c>
      <c r="C164" t="str">
        <f>IF(Universe!C164&lt;&gt;"",Universe!C164,"")</f>
        <v>GB00BLDRH360</v>
      </c>
      <c r="D164" t="str">
        <f>IF(Universe!D164&lt;&gt;"",Universe!D164,"")</f>
        <v>Financials</v>
      </c>
      <c r="E164" t="str">
        <f>Universe!G164</f>
        <v>Exclude</v>
      </c>
      <c r="F164" t="str">
        <f>IF($E164&lt;&gt;"Include","",_xlfn.LET(_xlpm.latest,_xlfn.MAXIFS(Raw_Fund!$C:$C,Raw_Fund!$B:$B,Data!$C164),IF(_xlpm.latest=0,"",_xlpm.latest)))</f>
        <v/>
      </c>
      <c r="G164" t="str">
        <f>IF($F164="","",INDEX(Raw_Fund!$E:$AZ,MATCH($C164&amp;"|"&amp;$F164,Raw_Fund!$A:$A,0),MATCH(G$3,Raw_Fund!$E$1:$AZ$1,0)))</f>
        <v/>
      </c>
      <c r="H164" t="str">
        <f t="shared" si="2"/>
        <v/>
      </c>
      <c r="I164" s="6" t="str">
        <f>_xlfn.LET(
_xlpm.rowNo, MATCH($C164&amp;"|"&amp;
($F164+I$4),Raw_Fund!$A:$A,0),
_xlpm.colNo,
MATCH(I$3,Raw_Fund!$E$1:$AZ$1,0),
_xlpm.val,
INDEX(Raw_Fund!$E:$AZ,_xlpm.rowNo,_xlpm.colNo),
IF(ISNUMBER(_xlpm.val),_xlpm.val*$H164,""))</f>
        <v/>
      </c>
      <c r="J164" s="6" t="str">
        <f>_xlfn.LET(
_xlpm.rowNo, MATCH($C164&amp;"|"&amp;
($F164+J$4),Raw_Fund!$A:$A,0),
_xlpm.colNo,
MATCH(J$3,Raw_Fund!$E$1:$AZ$1,0),
_xlpm.val,
INDEX(Raw_Fund!$E:$AZ,_xlpm.rowNo,_xlpm.colNo),
IF(ISNUMBER(_xlpm.val),_xlpm.val*$H164,""))</f>
        <v/>
      </c>
      <c r="K164" s="6" t="str">
        <f>_xlfn.LET(
_xlpm.rowNo, MATCH($C164&amp;"|"&amp;
($F164+K$4),Raw_Fund!$A:$A,0),
_xlpm.colNo,
MATCH(K$3,Raw_Fund!$E$1:$AZ$1,0),
_xlpm.val,
INDEX(Raw_Fund!$E:$AZ,_xlpm.rowNo,_xlpm.colNo),
IF(ISNUMBER(_xlpm.val),_xlpm.val*$H164,""))</f>
        <v/>
      </c>
      <c r="L164" s="6" t="str">
        <f>_xlfn.LET(
_xlpm.rowNo, MATCH($C164&amp;"|"&amp;
($F164+L$4),Raw_Fund!$A:$A,0),
_xlpm.colNo,
MATCH(L$3,Raw_Fund!$E$1:$AZ$1,0),
_xlpm.val,
INDEX(Raw_Fund!$E:$AZ,_xlpm.rowNo,_xlpm.colNo),
IF(ISNUMBER(_xlpm.val),_xlpm.val*$H164,""))</f>
        <v/>
      </c>
      <c r="M164" s="6" t="str">
        <f>_xlfn.LET(
_xlpm.rowNo, MATCH($C164&amp;"|"&amp;
($F164+M$4),Raw_Fund!$A:$A,0),
_xlpm.colNo,
MATCH(M$3,Raw_Fund!$E$1:$AZ$1,0),
_xlpm.val,
INDEX(Raw_Fund!$E:$AZ,_xlpm.rowNo,_xlpm.colNo),
IF(ISNUMBER(_xlpm.val),_xlpm.val*$H164,""))</f>
        <v/>
      </c>
      <c r="N164" s="6" t="str">
        <f>_xlfn.LET(
_xlpm.rowNo, MATCH($C164&amp;"|"&amp;
($F164+N$4),Raw_Fund!$A:$A,0),
_xlpm.colNo,
MATCH(N$3,Raw_Fund!$E$1:$AZ$1,0),
_xlpm.val,
INDEX(Raw_Fund!$E:$AZ,_xlpm.rowNo,_xlpm.colNo),
IF(ISNUMBER(_xlpm.val),_xlpm.val*$H164,""))</f>
        <v/>
      </c>
      <c r="O164" s="6" t="str">
        <f>_xlfn.LET(
_xlpm.rowNo, MATCH($C164&amp;"|"&amp;
($F164+O$4),Raw_Fund!$A:$A,0),
_xlpm.colNo,
MATCH(O$3,Raw_Fund!$E$1:$AZ$1,0),
_xlpm.val,
INDEX(Raw_Fund!$E:$AZ,_xlpm.rowNo,_xlpm.colNo),
IF(ISNUMBER(_xlpm.val),_xlpm.val*$H164,""))</f>
        <v/>
      </c>
      <c r="P164" s="6" t="str">
        <f>_xlfn.LET(
_xlpm.rowNo, MATCH($C164&amp;"|"&amp;
($F164+P$4),Raw_Fund!$A:$A,0),
_xlpm.colNo,
MATCH(P$3,Raw_Fund!$E$1:$AZ$1,0),
_xlpm.val,
INDEX(Raw_Fund!$E:$AZ,_xlpm.rowNo,_xlpm.colNo),
IF(ISNUMBER(_xlpm.val),_xlpm.val*$H164,""))</f>
        <v/>
      </c>
      <c r="Q164" s="6" t="str">
        <f>_xlfn.LET(
_xlpm.rowNo, MATCH($C164&amp;"|"&amp;
($F164+Q$4),Raw_Fund!$A:$A,0),
_xlpm.colNo,
MATCH(Q$3,Raw_Fund!$E$1:$AZ$1,0),
_xlpm.val,
INDEX(Raw_Fund!$E:$AZ,_xlpm.rowNo,_xlpm.colNo),
IF(ISNUMBER(_xlpm.val),_xlpm.val*$H164,""))</f>
        <v/>
      </c>
      <c r="R164" s="6" t="str">
        <f>_xlfn.LET(
_xlpm.rowNo, MATCH($C164&amp;"|"&amp;
($F164+R$4),Raw_Fund!$A:$A,0),
_xlpm.colNo,
MATCH(R$3,Raw_Fund!$E$1:$AZ$1,0),
_xlpm.val,
INDEX(Raw_Fund!$E:$AZ,_xlpm.rowNo,_xlpm.colNo),
IF(ISNUMBER(_xlpm.val),_xlpm.val*$H164,""))</f>
        <v/>
      </c>
      <c r="S164" s="6" t="str">
        <f>_xlfn.LET(
_xlpm.rowNo, MATCH($C164&amp;"|"&amp;
($F164+S$4),Raw_Fund!$A:$A,0),
_xlpm.colNo,
MATCH(S$3,Raw_Fund!$E$1:$AZ$1,0),
_xlpm.val,
INDEX(Raw_Fund!$E:$AZ,_xlpm.rowNo,_xlpm.colNo),
IF(ISNUMBER(_xlpm.val),_xlpm.val*$H164,""))</f>
        <v/>
      </c>
      <c r="T164" s="6" t="str">
        <f>_xlfn.LET(
_xlpm.rowNo, MATCH($C164&amp;"|"&amp;
($F164+T$4),Raw_Fund!$A:$A,0),
_xlpm.colNo,
MATCH(T$3,Raw_Fund!$E$1:$AZ$1,0),
_xlpm.val,
INDEX(Raw_Fund!$E:$AZ,_xlpm.rowNo,_xlpm.colNo),
IF(ISNUMBER(_xlpm.val),_xlpm.val*$H164,""))</f>
        <v/>
      </c>
      <c r="U164" s="6" t="str">
        <f>_xlfn.LET(
_xlpm.rowNo, MATCH($C164&amp;"|"&amp;
($F164+U$4),Raw_Fund!$A:$A,0),
_xlpm.colNo,
MATCH(U$3,Raw_Fund!$E$1:$AZ$1,0),
_xlpm.val,
INDEX(Raw_Fund!$E:$AZ,_xlpm.rowNo,_xlpm.colNo),
IF(ISNUMBER(_xlpm.val),_xlpm.val*$H164,""))</f>
        <v/>
      </c>
      <c r="V164" s="6" t="str">
        <f>_xlfn.LET(
_xlpm.rowNo, MATCH($C164&amp;"|"&amp;
($F164+V$4),Raw_Fund!$A:$A,0),
_xlpm.colNo,
MATCH(V$3,Raw_Fund!$E$1:$AZ$1,0),
_xlpm.val,
INDEX(Raw_Fund!$E:$AZ,_xlpm.rowNo,_xlpm.colNo),
IF(ISNUMBER(_xlpm.val),_xlpm.val*$H164,""))</f>
        <v/>
      </c>
      <c r="W164" s="6" t="str">
        <f>_xlfn.LET(
_xlpm.rowNo, MATCH($C164&amp;"|"&amp;
($F164+W$4),Raw_Fund!$A:$A,0),
_xlpm.colNo,
MATCH(W$3,Raw_Fund!$E$1:$AZ$1,0),
_xlpm.val,
INDEX(Raw_Fund!$E:$AZ,_xlpm.rowNo,_xlpm.colNo),
IF(ISNUMBER(_xlpm.val),_xlpm.val*$H164,""))</f>
        <v/>
      </c>
      <c r="X164" s="6" t="str">
        <f>_xlfn.LET(
_xlpm.rowNo, MATCH($C164&amp;"|"&amp;
($F164+X$4),Raw_Fund!$A:$A,0),
_xlpm.colNo,
MATCH(X$3,Raw_Fund!$E$1:$AZ$1,0),
_xlpm.val,
INDEX(Raw_Fund!$E:$AZ,_xlpm.rowNo,_xlpm.colNo),
IF(ISNUMBER(_xlpm.val),_xlpm.val*$H164,""))</f>
        <v/>
      </c>
      <c r="Y164" s="6" t="str">
        <f>_xlfn.LET(
_xlpm.rowNo, MATCH($C164&amp;"|"&amp;
($F164+Y$4),Raw_Fund!$A:$A,0),
_xlpm.colNo,
MATCH(Y$3,Raw_Fund!$E$1:$AZ$1,0),
_xlpm.val,
INDEX(Raw_Fund!$E:$AZ,_xlpm.rowNo,_xlpm.colNo),
IF(ISNUMBER(_xlpm.val),_xlpm.val*$H164,""))</f>
        <v/>
      </c>
      <c r="Z164" s="6" t="str">
        <f>IF($E164&lt;&gt;"Include","",_xlfn.XLOOKUP($C164,Raw_Mkt!$A:$A,Raw_Mkt!$B:$B))</f>
        <v/>
      </c>
    </row>
    <row r="165" spans="1:26" x14ac:dyDescent="0.4">
      <c r="A165" t="str">
        <f>IF(Universe!A165&lt;&gt;"",Universe!A165,"")</f>
        <v>OXB</v>
      </c>
      <c r="B165" t="str">
        <f>IF(Universe!B165&lt;&gt;"",Universe!B165,"")</f>
        <v>Oxford Biomedica</v>
      </c>
      <c r="C165" t="str">
        <f>IF(Universe!C165&lt;&gt;"",Universe!C165,"")</f>
        <v>GB00BDFBVT43</v>
      </c>
      <c r="D165" t="str">
        <f>IF(Universe!D165&lt;&gt;"",Universe!D165,"")</f>
        <v>Health Care</v>
      </c>
      <c r="E165" t="str">
        <f>Universe!G165</f>
        <v>Include</v>
      </c>
      <c r="F165" t="str">
        <f>IF($E165&lt;&gt;"Include","",_xlfn.LET(_xlpm.latest,_xlfn.MAXIFS(Raw_Fund!$C:$C,Raw_Fund!$B:$B,Data!$C165),IF(_xlpm.latest=0,"",_xlpm.latest)))</f>
        <v/>
      </c>
      <c r="G165" t="str">
        <f>IF($F165="","",INDEX(Raw_Fund!$E:$AZ,MATCH($C165&amp;"|"&amp;$F165,Raw_Fund!$A:$A,0),MATCH(G$3,Raw_Fund!$E$1:$AZ$1,0)))</f>
        <v/>
      </c>
      <c r="H165" t="str">
        <f t="shared" si="2"/>
        <v/>
      </c>
      <c r="I165" s="6" t="str">
        <f>_xlfn.LET(
_xlpm.rowNo, MATCH($C165&amp;"|"&amp;
($F165+I$4),Raw_Fund!$A:$A,0),
_xlpm.colNo,
MATCH(I$3,Raw_Fund!$E$1:$AZ$1,0),
_xlpm.val,
INDEX(Raw_Fund!$E:$AZ,_xlpm.rowNo,_xlpm.colNo),
IF(ISNUMBER(_xlpm.val),_xlpm.val*$H165,""))</f>
        <v/>
      </c>
      <c r="J165" s="6" t="str">
        <f>_xlfn.LET(
_xlpm.rowNo, MATCH($C165&amp;"|"&amp;
($F165+J$4),Raw_Fund!$A:$A,0),
_xlpm.colNo,
MATCH(J$3,Raw_Fund!$E$1:$AZ$1,0),
_xlpm.val,
INDEX(Raw_Fund!$E:$AZ,_xlpm.rowNo,_xlpm.colNo),
IF(ISNUMBER(_xlpm.val),_xlpm.val*$H165,""))</f>
        <v/>
      </c>
      <c r="K165" s="6" t="str">
        <f>_xlfn.LET(
_xlpm.rowNo, MATCH($C165&amp;"|"&amp;
($F165+K$4),Raw_Fund!$A:$A,0),
_xlpm.colNo,
MATCH(K$3,Raw_Fund!$E$1:$AZ$1,0),
_xlpm.val,
INDEX(Raw_Fund!$E:$AZ,_xlpm.rowNo,_xlpm.colNo),
IF(ISNUMBER(_xlpm.val),_xlpm.val*$H165,""))</f>
        <v/>
      </c>
      <c r="L165" s="6" t="str">
        <f>_xlfn.LET(
_xlpm.rowNo, MATCH($C165&amp;"|"&amp;
($F165+L$4),Raw_Fund!$A:$A,0),
_xlpm.colNo,
MATCH(L$3,Raw_Fund!$E$1:$AZ$1,0),
_xlpm.val,
INDEX(Raw_Fund!$E:$AZ,_xlpm.rowNo,_xlpm.colNo),
IF(ISNUMBER(_xlpm.val),_xlpm.val*$H165,""))</f>
        <v/>
      </c>
      <c r="M165" s="6" t="str">
        <f>_xlfn.LET(
_xlpm.rowNo, MATCH($C165&amp;"|"&amp;
($F165+M$4),Raw_Fund!$A:$A,0),
_xlpm.colNo,
MATCH(M$3,Raw_Fund!$E$1:$AZ$1,0),
_xlpm.val,
INDEX(Raw_Fund!$E:$AZ,_xlpm.rowNo,_xlpm.colNo),
IF(ISNUMBER(_xlpm.val),_xlpm.val*$H165,""))</f>
        <v/>
      </c>
      <c r="N165" s="6" t="str">
        <f>_xlfn.LET(
_xlpm.rowNo, MATCH($C165&amp;"|"&amp;
($F165+N$4),Raw_Fund!$A:$A,0),
_xlpm.colNo,
MATCH(N$3,Raw_Fund!$E$1:$AZ$1,0),
_xlpm.val,
INDEX(Raw_Fund!$E:$AZ,_xlpm.rowNo,_xlpm.colNo),
IF(ISNUMBER(_xlpm.val),_xlpm.val*$H165,""))</f>
        <v/>
      </c>
      <c r="O165" s="6" t="str">
        <f>_xlfn.LET(
_xlpm.rowNo, MATCH($C165&amp;"|"&amp;
($F165+O$4),Raw_Fund!$A:$A,0),
_xlpm.colNo,
MATCH(O$3,Raw_Fund!$E$1:$AZ$1,0),
_xlpm.val,
INDEX(Raw_Fund!$E:$AZ,_xlpm.rowNo,_xlpm.colNo),
IF(ISNUMBER(_xlpm.val),_xlpm.val*$H165,""))</f>
        <v/>
      </c>
      <c r="P165" s="6" t="str">
        <f>_xlfn.LET(
_xlpm.rowNo, MATCH($C165&amp;"|"&amp;
($F165+P$4),Raw_Fund!$A:$A,0),
_xlpm.colNo,
MATCH(P$3,Raw_Fund!$E$1:$AZ$1,0),
_xlpm.val,
INDEX(Raw_Fund!$E:$AZ,_xlpm.rowNo,_xlpm.colNo),
IF(ISNUMBER(_xlpm.val),_xlpm.val*$H165,""))</f>
        <v/>
      </c>
      <c r="Q165" s="6" t="str">
        <f>_xlfn.LET(
_xlpm.rowNo, MATCH($C165&amp;"|"&amp;
($F165+Q$4),Raw_Fund!$A:$A,0),
_xlpm.colNo,
MATCH(Q$3,Raw_Fund!$E$1:$AZ$1,0),
_xlpm.val,
INDEX(Raw_Fund!$E:$AZ,_xlpm.rowNo,_xlpm.colNo),
IF(ISNUMBER(_xlpm.val),_xlpm.val*$H165,""))</f>
        <v/>
      </c>
      <c r="R165" s="6" t="str">
        <f>_xlfn.LET(
_xlpm.rowNo, MATCH($C165&amp;"|"&amp;
($F165+R$4),Raw_Fund!$A:$A,0),
_xlpm.colNo,
MATCH(R$3,Raw_Fund!$E$1:$AZ$1,0),
_xlpm.val,
INDEX(Raw_Fund!$E:$AZ,_xlpm.rowNo,_xlpm.colNo),
IF(ISNUMBER(_xlpm.val),_xlpm.val*$H165,""))</f>
        <v/>
      </c>
      <c r="S165" s="6" t="str">
        <f>_xlfn.LET(
_xlpm.rowNo, MATCH($C165&amp;"|"&amp;
($F165+S$4),Raw_Fund!$A:$A,0),
_xlpm.colNo,
MATCH(S$3,Raw_Fund!$E$1:$AZ$1,0),
_xlpm.val,
INDEX(Raw_Fund!$E:$AZ,_xlpm.rowNo,_xlpm.colNo),
IF(ISNUMBER(_xlpm.val),_xlpm.val*$H165,""))</f>
        <v/>
      </c>
      <c r="T165" s="6" t="str">
        <f>_xlfn.LET(
_xlpm.rowNo, MATCH($C165&amp;"|"&amp;
($F165+T$4),Raw_Fund!$A:$A,0),
_xlpm.colNo,
MATCH(T$3,Raw_Fund!$E$1:$AZ$1,0),
_xlpm.val,
INDEX(Raw_Fund!$E:$AZ,_xlpm.rowNo,_xlpm.colNo),
IF(ISNUMBER(_xlpm.val),_xlpm.val*$H165,""))</f>
        <v/>
      </c>
      <c r="U165" s="6" t="str">
        <f>_xlfn.LET(
_xlpm.rowNo, MATCH($C165&amp;"|"&amp;
($F165+U$4),Raw_Fund!$A:$A,0),
_xlpm.colNo,
MATCH(U$3,Raw_Fund!$E$1:$AZ$1,0),
_xlpm.val,
INDEX(Raw_Fund!$E:$AZ,_xlpm.rowNo,_xlpm.colNo),
IF(ISNUMBER(_xlpm.val),_xlpm.val*$H165,""))</f>
        <v/>
      </c>
      <c r="V165" s="6" t="str">
        <f>_xlfn.LET(
_xlpm.rowNo, MATCH($C165&amp;"|"&amp;
($F165+V$4),Raw_Fund!$A:$A,0),
_xlpm.colNo,
MATCH(V$3,Raw_Fund!$E$1:$AZ$1,0),
_xlpm.val,
INDEX(Raw_Fund!$E:$AZ,_xlpm.rowNo,_xlpm.colNo),
IF(ISNUMBER(_xlpm.val),_xlpm.val*$H165,""))</f>
        <v/>
      </c>
      <c r="W165" s="6" t="str">
        <f>_xlfn.LET(
_xlpm.rowNo, MATCH($C165&amp;"|"&amp;
($F165+W$4),Raw_Fund!$A:$A,0),
_xlpm.colNo,
MATCH(W$3,Raw_Fund!$E$1:$AZ$1,0),
_xlpm.val,
INDEX(Raw_Fund!$E:$AZ,_xlpm.rowNo,_xlpm.colNo),
IF(ISNUMBER(_xlpm.val),_xlpm.val*$H165,""))</f>
        <v/>
      </c>
      <c r="X165" s="6" t="str">
        <f>_xlfn.LET(
_xlpm.rowNo, MATCH($C165&amp;"|"&amp;
($F165+X$4),Raw_Fund!$A:$A,0),
_xlpm.colNo,
MATCH(X$3,Raw_Fund!$E$1:$AZ$1,0),
_xlpm.val,
INDEX(Raw_Fund!$E:$AZ,_xlpm.rowNo,_xlpm.colNo),
IF(ISNUMBER(_xlpm.val),_xlpm.val*$H165,""))</f>
        <v/>
      </c>
      <c r="Y165" s="6" t="str">
        <f>_xlfn.LET(
_xlpm.rowNo, MATCH($C165&amp;"|"&amp;
($F165+Y$4),Raw_Fund!$A:$A,0),
_xlpm.colNo,
MATCH(Y$3,Raw_Fund!$E$1:$AZ$1,0),
_xlpm.val,
INDEX(Raw_Fund!$E:$AZ,_xlpm.rowNo,_xlpm.colNo),
IF(ISNUMBER(_xlpm.val),_xlpm.val*$H165,""))</f>
        <v/>
      </c>
      <c r="Z165" s="6" t="e">
        <f>IF($E165&lt;&gt;"Include","",_xlfn.XLOOKUP($C165,Raw_Mkt!$A:$A,Raw_Mkt!$B:$B))</f>
        <v>#N/A</v>
      </c>
    </row>
    <row r="166" spans="1:26" x14ac:dyDescent="0.4">
      <c r="A166" t="str">
        <f>IF(Universe!A166&lt;&gt;"",Universe!A166,"")</f>
        <v>OXIG</v>
      </c>
      <c r="B166" t="str">
        <f>IF(Universe!B166&lt;&gt;"",Universe!B166,"")</f>
        <v>Oxford Instruments</v>
      </c>
      <c r="C166" t="str">
        <f>IF(Universe!C166&lt;&gt;"",Universe!C166,"")</f>
        <v>GB0006650450</v>
      </c>
      <c r="D166" t="str">
        <f>IF(Universe!D166&lt;&gt;"",Universe!D166,"")</f>
        <v>Industrials</v>
      </c>
      <c r="E166" t="str">
        <f>Universe!G166</f>
        <v>Include</v>
      </c>
      <c r="F166" t="str">
        <f>IF($E166&lt;&gt;"Include","",_xlfn.LET(_xlpm.latest,_xlfn.MAXIFS(Raw_Fund!$C:$C,Raw_Fund!$B:$B,Data!$C166),IF(_xlpm.latest=0,"",_xlpm.latest)))</f>
        <v/>
      </c>
      <c r="G166" t="str">
        <f>IF($F166="","",INDEX(Raw_Fund!$E:$AZ,MATCH($C166&amp;"|"&amp;$F166,Raw_Fund!$A:$A,0),MATCH(G$3,Raw_Fund!$E$1:$AZ$1,0)))</f>
        <v/>
      </c>
      <c r="H166" t="str">
        <f t="shared" si="2"/>
        <v/>
      </c>
      <c r="I166" s="6" t="str">
        <f>_xlfn.LET(
_xlpm.rowNo, MATCH($C166&amp;"|"&amp;
($F166+I$4),Raw_Fund!$A:$A,0),
_xlpm.colNo,
MATCH(I$3,Raw_Fund!$E$1:$AZ$1,0),
_xlpm.val,
INDEX(Raw_Fund!$E:$AZ,_xlpm.rowNo,_xlpm.colNo),
IF(ISNUMBER(_xlpm.val),_xlpm.val*$H166,""))</f>
        <v/>
      </c>
      <c r="J166" s="6" t="str">
        <f>_xlfn.LET(
_xlpm.rowNo, MATCH($C166&amp;"|"&amp;
($F166+J$4),Raw_Fund!$A:$A,0),
_xlpm.colNo,
MATCH(J$3,Raw_Fund!$E$1:$AZ$1,0),
_xlpm.val,
INDEX(Raw_Fund!$E:$AZ,_xlpm.rowNo,_xlpm.colNo),
IF(ISNUMBER(_xlpm.val),_xlpm.val*$H166,""))</f>
        <v/>
      </c>
      <c r="K166" s="6" t="str">
        <f>_xlfn.LET(
_xlpm.rowNo, MATCH($C166&amp;"|"&amp;
($F166+K$4),Raw_Fund!$A:$A,0),
_xlpm.colNo,
MATCH(K$3,Raw_Fund!$E$1:$AZ$1,0),
_xlpm.val,
INDEX(Raw_Fund!$E:$AZ,_xlpm.rowNo,_xlpm.colNo),
IF(ISNUMBER(_xlpm.val),_xlpm.val*$H166,""))</f>
        <v/>
      </c>
      <c r="L166" s="6" t="str">
        <f>_xlfn.LET(
_xlpm.rowNo, MATCH($C166&amp;"|"&amp;
($F166+L$4),Raw_Fund!$A:$A,0),
_xlpm.colNo,
MATCH(L$3,Raw_Fund!$E$1:$AZ$1,0),
_xlpm.val,
INDEX(Raw_Fund!$E:$AZ,_xlpm.rowNo,_xlpm.colNo),
IF(ISNUMBER(_xlpm.val),_xlpm.val*$H166,""))</f>
        <v/>
      </c>
      <c r="M166" s="6" t="str">
        <f>_xlfn.LET(
_xlpm.rowNo, MATCH($C166&amp;"|"&amp;
($F166+M$4),Raw_Fund!$A:$A,0),
_xlpm.colNo,
MATCH(M$3,Raw_Fund!$E$1:$AZ$1,0),
_xlpm.val,
INDEX(Raw_Fund!$E:$AZ,_xlpm.rowNo,_xlpm.colNo),
IF(ISNUMBER(_xlpm.val),_xlpm.val*$H166,""))</f>
        <v/>
      </c>
      <c r="N166" s="6" t="str">
        <f>_xlfn.LET(
_xlpm.rowNo, MATCH($C166&amp;"|"&amp;
($F166+N$4),Raw_Fund!$A:$A,0),
_xlpm.colNo,
MATCH(N$3,Raw_Fund!$E$1:$AZ$1,0),
_xlpm.val,
INDEX(Raw_Fund!$E:$AZ,_xlpm.rowNo,_xlpm.colNo),
IF(ISNUMBER(_xlpm.val),_xlpm.val*$H166,""))</f>
        <v/>
      </c>
      <c r="O166" s="6" t="str">
        <f>_xlfn.LET(
_xlpm.rowNo, MATCH($C166&amp;"|"&amp;
($F166+O$4),Raw_Fund!$A:$A,0),
_xlpm.colNo,
MATCH(O$3,Raw_Fund!$E$1:$AZ$1,0),
_xlpm.val,
INDEX(Raw_Fund!$E:$AZ,_xlpm.rowNo,_xlpm.colNo),
IF(ISNUMBER(_xlpm.val),_xlpm.val*$H166,""))</f>
        <v/>
      </c>
      <c r="P166" s="6" t="str">
        <f>_xlfn.LET(
_xlpm.rowNo, MATCH($C166&amp;"|"&amp;
($F166+P$4),Raw_Fund!$A:$A,0),
_xlpm.colNo,
MATCH(P$3,Raw_Fund!$E$1:$AZ$1,0),
_xlpm.val,
INDEX(Raw_Fund!$E:$AZ,_xlpm.rowNo,_xlpm.colNo),
IF(ISNUMBER(_xlpm.val),_xlpm.val*$H166,""))</f>
        <v/>
      </c>
      <c r="Q166" s="6" t="str">
        <f>_xlfn.LET(
_xlpm.rowNo, MATCH($C166&amp;"|"&amp;
($F166+Q$4),Raw_Fund!$A:$A,0),
_xlpm.colNo,
MATCH(Q$3,Raw_Fund!$E$1:$AZ$1,0),
_xlpm.val,
INDEX(Raw_Fund!$E:$AZ,_xlpm.rowNo,_xlpm.colNo),
IF(ISNUMBER(_xlpm.val),_xlpm.val*$H166,""))</f>
        <v/>
      </c>
      <c r="R166" s="6" t="str">
        <f>_xlfn.LET(
_xlpm.rowNo, MATCH($C166&amp;"|"&amp;
($F166+R$4),Raw_Fund!$A:$A,0),
_xlpm.colNo,
MATCH(R$3,Raw_Fund!$E$1:$AZ$1,0),
_xlpm.val,
INDEX(Raw_Fund!$E:$AZ,_xlpm.rowNo,_xlpm.colNo),
IF(ISNUMBER(_xlpm.val),_xlpm.val*$H166,""))</f>
        <v/>
      </c>
      <c r="S166" s="6" t="str">
        <f>_xlfn.LET(
_xlpm.rowNo, MATCH($C166&amp;"|"&amp;
($F166+S$4),Raw_Fund!$A:$A,0),
_xlpm.colNo,
MATCH(S$3,Raw_Fund!$E$1:$AZ$1,0),
_xlpm.val,
INDEX(Raw_Fund!$E:$AZ,_xlpm.rowNo,_xlpm.colNo),
IF(ISNUMBER(_xlpm.val),_xlpm.val*$H166,""))</f>
        <v/>
      </c>
      <c r="T166" s="6" t="str">
        <f>_xlfn.LET(
_xlpm.rowNo, MATCH($C166&amp;"|"&amp;
($F166+T$4),Raw_Fund!$A:$A,0),
_xlpm.colNo,
MATCH(T$3,Raw_Fund!$E$1:$AZ$1,0),
_xlpm.val,
INDEX(Raw_Fund!$E:$AZ,_xlpm.rowNo,_xlpm.colNo),
IF(ISNUMBER(_xlpm.val),_xlpm.val*$H166,""))</f>
        <v/>
      </c>
      <c r="U166" s="6" t="str">
        <f>_xlfn.LET(
_xlpm.rowNo, MATCH($C166&amp;"|"&amp;
($F166+U$4),Raw_Fund!$A:$A,0),
_xlpm.colNo,
MATCH(U$3,Raw_Fund!$E$1:$AZ$1,0),
_xlpm.val,
INDEX(Raw_Fund!$E:$AZ,_xlpm.rowNo,_xlpm.colNo),
IF(ISNUMBER(_xlpm.val),_xlpm.val*$H166,""))</f>
        <v/>
      </c>
      <c r="V166" s="6" t="str">
        <f>_xlfn.LET(
_xlpm.rowNo, MATCH($C166&amp;"|"&amp;
($F166+V$4),Raw_Fund!$A:$A,0),
_xlpm.colNo,
MATCH(V$3,Raw_Fund!$E$1:$AZ$1,0),
_xlpm.val,
INDEX(Raw_Fund!$E:$AZ,_xlpm.rowNo,_xlpm.colNo),
IF(ISNUMBER(_xlpm.val),_xlpm.val*$H166,""))</f>
        <v/>
      </c>
      <c r="W166" s="6" t="str">
        <f>_xlfn.LET(
_xlpm.rowNo, MATCH($C166&amp;"|"&amp;
($F166+W$4),Raw_Fund!$A:$A,0),
_xlpm.colNo,
MATCH(W$3,Raw_Fund!$E$1:$AZ$1,0),
_xlpm.val,
INDEX(Raw_Fund!$E:$AZ,_xlpm.rowNo,_xlpm.colNo),
IF(ISNUMBER(_xlpm.val),_xlpm.val*$H166,""))</f>
        <v/>
      </c>
      <c r="X166" s="6" t="str">
        <f>_xlfn.LET(
_xlpm.rowNo, MATCH($C166&amp;"|"&amp;
($F166+X$4),Raw_Fund!$A:$A,0),
_xlpm.colNo,
MATCH(X$3,Raw_Fund!$E$1:$AZ$1,0),
_xlpm.val,
INDEX(Raw_Fund!$E:$AZ,_xlpm.rowNo,_xlpm.colNo),
IF(ISNUMBER(_xlpm.val),_xlpm.val*$H166,""))</f>
        <v/>
      </c>
      <c r="Y166" s="6" t="str">
        <f>_xlfn.LET(
_xlpm.rowNo, MATCH($C166&amp;"|"&amp;
($F166+Y$4),Raw_Fund!$A:$A,0),
_xlpm.colNo,
MATCH(Y$3,Raw_Fund!$E$1:$AZ$1,0),
_xlpm.val,
INDEX(Raw_Fund!$E:$AZ,_xlpm.rowNo,_xlpm.colNo),
IF(ISNUMBER(_xlpm.val),_xlpm.val*$H166,""))</f>
        <v/>
      </c>
      <c r="Z166" s="6" t="e">
        <f>IF($E166&lt;&gt;"Include","",_xlfn.XLOOKUP($C166,Raw_Mkt!$A:$A,Raw_Mkt!$B:$B))</f>
        <v>#N/A</v>
      </c>
    </row>
    <row r="167" spans="1:26" x14ac:dyDescent="0.4">
      <c r="A167" t="str">
        <f>IF(Universe!A167&lt;&gt;"",Universe!A167,"")</f>
        <v>ONT</v>
      </c>
      <c r="B167" t="str">
        <f>IF(Universe!B167&lt;&gt;"",Universe!B167,"")</f>
        <v>Oxford Nanopore Technologies</v>
      </c>
      <c r="C167" t="str">
        <f>IF(Universe!C167&lt;&gt;"",Universe!C167,"")</f>
        <v>GB00BP6S8Z30</v>
      </c>
      <c r="D167" t="str">
        <f>IF(Universe!D167&lt;&gt;"",Universe!D167,"")</f>
        <v>Health Care</v>
      </c>
      <c r="E167" t="str">
        <f>Universe!G167</f>
        <v>Include</v>
      </c>
      <c r="F167" t="str">
        <f>IF($E167&lt;&gt;"Include","",_xlfn.LET(_xlpm.latest,_xlfn.MAXIFS(Raw_Fund!$C:$C,Raw_Fund!$B:$B,Data!$C167),IF(_xlpm.latest=0,"",_xlpm.latest)))</f>
        <v/>
      </c>
      <c r="G167" t="str">
        <f>IF($F167="","",INDEX(Raw_Fund!$E:$AZ,MATCH($C167&amp;"|"&amp;$F167,Raw_Fund!$A:$A,0),MATCH(G$3,Raw_Fund!$E$1:$AZ$1,0)))</f>
        <v/>
      </c>
      <c r="H167" t="str">
        <f t="shared" si="2"/>
        <v/>
      </c>
      <c r="I167" s="6" t="str">
        <f>_xlfn.LET(
_xlpm.rowNo, MATCH($C167&amp;"|"&amp;
($F167+I$4),Raw_Fund!$A:$A,0),
_xlpm.colNo,
MATCH(I$3,Raw_Fund!$E$1:$AZ$1,0),
_xlpm.val,
INDEX(Raw_Fund!$E:$AZ,_xlpm.rowNo,_xlpm.colNo),
IF(ISNUMBER(_xlpm.val),_xlpm.val*$H167,""))</f>
        <v/>
      </c>
      <c r="J167" s="6" t="str">
        <f>_xlfn.LET(
_xlpm.rowNo, MATCH($C167&amp;"|"&amp;
($F167+J$4),Raw_Fund!$A:$A,0),
_xlpm.colNo,
MATCH(J$3,Raw_Fund!$E$1:$AZ$1,0),
_xlpm.val,
INDEX(Raw_Fund!$E:$AZ,_xlpm.rowNo,_xlpm.colNo),
IF(ISNUMBER(_xlpm.val),_xlpm.val*$H167,""))</f>
        <v/>
      </c>
      <c r="K167" s="6" t="str">
        <f>_xlfn.LET(
_xlpm.rowNo, MATCH($C167&amp;"|"&amp;
($F167+K$4),Raw_Fund!$A:$A,0),
_xlpm.colNo,
MATCH(K$3,Raw_Fund!$E$1:$AZ$1,0),
_xlpm.val,
INDEX(Raw_Fund!$E:$AZ,_xlpm.rowNo,_xlpm.colNo),
IF(ISNUMBER(_xlpm.val),_xlpm.val*$H167,""))</f>
        <v/>
      </c>
      <c r="L167" s="6" t="str">
        <f>_xlfn.LET(
_xlpm.rowNo, MATCH($C167&amp;"|"&amp;
($F167+L$4),Raw_Fund!$A:$A,0),
_xlpm.colNo,
MATCH(L$3,Raw_Fund!$E$1:$AZ$1,0),
_xlpm.val,
INDEX(Raw_Fund!$E:$AZ,_xlpm.rowNo,_xlpm.colNo),
IF(ISNUMBER(_xlpm.val),_xlpm.val*$H167,""))</f>
        <v/>
      </c>
      <c r="M167" s="6" t="str">
        <f>_xlfn.LET(
_xlpm.rowNo, MATCH($C167&amp;"|"&amp;
($F167+M$4),Raw_Fund!$A:$A,0),
_xlpm.colNo,
MATCH(M$3,Raw_Fund!$E$1:$AZ$1,0),
_xlpm.val,
INDEX(Raw_Fund!$E:$AZ,_xlpm.rowNo,_xlpm.colNo),
IF(ISNUMBER(_xlpm.val),_xlpm.val*$H167,""))</f>
        <v/>
      </c>
      <c r="N167" s="6" t="str">
        <f>_xlfn.LET(
_xlpm.rowNo, MATCH($C167&amp;"|"&amp;
($F167+N$4),Raw_Fund!$A:$A,0),
_xlpm.colNo,
MATCH(N$3,Raw_Fund!$E$1:$AZ$1,0),
_xlpm.val,
INDEX(Raw_Fund!$E:$AZ,_xlpm.rowNo,_xlpm.colNo),
IF(ISNUMBER(_xlpm.val),_xlpm.val*$H167,""))</f>
        <v/>
      </c>
      <c r="O167" s="6" t="str">
        <f>_xlfn.LET(
_xlpm.rowNo, MATCH($C167&amp;"|"&amp;
($F167+O$4),Raw_Fund!$A:$A,0),
_xlpm.colNo,
MATCH(O$3,Raw_Fund!$E$1:$AZ$1,0),
_xlpm.val,
INDEX(Raw_Fund!$E:$AZ,_xlpm.rowNo,_xlpm.colNo),
IF(ISNUMBER(_xlpm.val),_xlpm.val*$H167,""))</f>
        <v/>
      </c>
      <c r="P167" s="6" t="str">
        <f>_xlfn.LET(
_xlpm.rowNo, MATCH($C167&amp;"|"&amp;
($F167+P$4),Raw_Fund!$A:$A,0),
_xlpm.colNo,
MATCH(P$3,Raw_Fund!$E$1:$AZ$1,0),
_xlpm.val,
INDEX(Raw_Fund!$E:$AZ,_xlpm.rowNo,_xlpm.colNo),
IF(ISNUMBER(_xlpm.val),_xlpm.val*$H167,""))</f>
        <v/>
      </c>
      <c r="Q167" s="6" t="str">
        <f>_xlfn.LET(
_xlpm.rowNo, MATCH($C167&amp;"|"&amp;
($F167+Q$4),Raw_Fund!$A:$A,0),
_xlpm.colNo,
MATCH(Q$3,Raw_Fund!$E$1:$AZ$1,0),
_xlpm.val,
INDEX(Raw_Fund!$E:$AZ,_xlpm.rowNo,_xlpm.colNo),
IF(ISNUMBER(_xlpm.val),_xlpm.val*$H167,""))</f>
        <v/>
      </c>
      <c r="R167" s="6" t="str">
        <f>_xlfn.LET(
_xlpm.rowNo, MATCH($C167&amp;"|"&amp;
($F167+R$4),Raw_Fund!$A:$A,0),
_xlpm.colNo,
MATCH(R$3,Raw_Fund!$E$1:$AZ$1,0),
_xlpm.val,
INDEX(Raw_Fund!$E:$AZ,_xlpm.rowNo,_xlpm.colNo),
IF(ISNUMBER(_xlpm.val),_xlpm.val*$H167,""))</f>
        <v/>
      </c>
      <c r="S167" s="6" t="str">
        <f>_xlfn.LET(
_xlpm.rowNo, MATCH($C167&amp;"|"&amp;
($F167+S$4),Raw_Fund!$A:$A,0),
_xlpm.colNo,
MATCH(S$3,Raw_Fund!$E$1:$AZ$1,0),
_xlpm.val,
INDEX(Raw_Fund!$E:$AZ,_xlpm.rowNo,_xlpm.colNo),
IF(ISNUMBER(_xlpm.val),_xlpm.val*$H167,""))</f>
        <v/>
      </c>
      <c r="T167" s="6" t="str">
        <f>_xlfn.LET(
_xlpm.rowNo, MATCH($C167&amp;"|"&amp;
($F167+T$4),Raw_Fund!$A:$A,0),
_xlpm.colNo,
MATCH(T$3,Raw_Fund!$E$1:$AZ$1,0),
_xlpm.val,
INDEX(Raw_Fund!$E:$AZ,_xlpm.rowNo,_xlpm.colNo),
IF(ISNUMBER(_xlpm.val),_xlpm.val*$H167,""))</f>
        <v/>
      </c>
      <c r="U167" s="6" t="str">
        <f>_xlfn.LET(
_xlpm.rowNo, MATCH($C167&amp;"|"&amp;
($F167+U$4),Raw_Fund!$A:$A,0),
_xlpm.colNo,
MATCH(U$3,Raw_Fund!$E$1:$AZ$1,0),
_xlpm.val,
INDEX(Raw_Fund!$E:$AZ,_xlpm.rowNo,_xlpm.colNo),
IF(ISNUMBER(_xlpm.val),_xlpm.val*$H167,""))</f>
        <v/>
      </c>
      <c r="V167" s="6" t="str">
        <f>_xlfn.LET(
_xlpm.rowNo, MATCH($C167&amp;"|"&amp;
($F167+V$4),Raw_Fund!$A:$A,0),
_xlpm.colNo,
MATCH(V$3,Raw_Fund!$E$1:$AZ$1,0),
_xlpm.val,
INDEX(Raw_Fund!$E:$AZ,_xlpm.rowNo,_xlpm.colNo),
IF(ISNUMBER(_xlpm.val),_xlpm.val*$H167,""))</f>
        <v/>
      </c>
      <c r="W167" s="6" t="str">
        <f>_xlfn.LET(
_xlpm.rowNo, MATCH($C167&amp;"|"&amp;
($F167+W$4),Raw_Fund!$A:$A,0),
_xlpm.colNo,
MATCH(W$3,Raw_Fund!$E$1:$AZ$1,0),
_xlpm.val,
INDEX(Raw_Fund!$E:$AZ,_xlpm.rowNo,_xlpm.colNo),
IF(ISNUMBER(_xlpm.val),_xlpm.val*$H167,""))</f>
        <v/>
      </c>
      <c r="X167" s="6" t="str">
        <f>_xlfn.LET(
_xlpm.rowNo, MATCH($C167&amp;"|"&amp;
($F167+X$4),Raw_Fund!$A:$A,0),
_xlpm.colNo,
MATCH(X$3,Raw_Fund!$E$1:$AZ$1,0),
_xlpm.val,
INDEX(Raw_Fund!$E:$AZ,_xlpm.rowNo,_xlpm.colNo),
IF(ISNUMBER(_xlpm.val),_xlpm.val*$H167,""))</f>
        <v/>
      </c>
      <c r="Y167" s="6" t="str">
        <f>_xlfn.LET(
_xlpm.rowNo, MATCH($C167&amp;"|"&amp;
($F167+Y$4),Raw_Fund!$A:$A,0),
_xlpm.colNo,
MATCH(Y$3,Raw_Fund!$E$1:$AZ$1,0),
_xlpm.val,
INDEX(Raw_Fund!$E:$AZ,_xlpm.rowNo,_xlpm.colNo),
IF(ISNUMBER(_xlpm.val),_xlpm.val*$H167,""))</f>
        <v/>
      </c>
      <c r="Z167" s="6" t="e">
        <f>IF($E167&lt;&gt;"Include","",_xlfn.XLOOKUP($C167,Raw_Mkt!$A:$A,Raw_Mkt!$B:$B))</f>
        <v>#N/A</v>
      </c>
    </row>
    <row r="168" spans="1:26" x14ac:dyDescent="0.4">
      <c r="A168" t="str">
        <f>IF(Universe!A168&lt;&gt;"",Universe!A168,"")</f>
        <v>PHI</v>
      </c>
      <c r="B168" t="str">
        <f>IF(Universe!B168&lt;&gt;"",Universe!B168,"")</f>
        <v>Pacific Horizon Investment Trust</v>
      </c>
      <c r="C168" t="str">
        <f>IF(Universe!C168&lt;&gt;"",Universe!C168,"")</f>
        <v>GB0006667470</v>
      </c>
      <c r="D168" t="str">
        <f>IF(Universe!D168&lt;&gt;"",Universe!D168,"")</f>
        <v>Financials</v>
      </c>
      <c r="E168" t="str">
        <f>Universe!G168</f>
        <v>Exclude</v>
      </c>
      <c r="F168" t="str">
        <f>IF($E168&lt;&gt;"Include","",_xlfn.LET(_xlpm.latest,_xlfn.MAXIFS(Raw_Fund!$C:$C,Raw_Fund!$B:$B,Data!$C168),IF(_xlpm.latest=0,"",_xlpm.latest)))</f>
        <v/>
      </c>
      <c r="G168" t="str">
        <f>IF($F168="","",INDEX(Raw_Fund!$E:$AZ,MATCH($C168&amp;"|"&amp;$F168,Raw_Fund!$A:$A,0),MATCH(G$3,Raw_Fund!$E$1:$AZ$1,0)))</f>
        <v/>
      </c>
      <c r="H168" t="str">
        <f t="shared" si="2"/>
        <v/>
      </c>
      <c r="I168" s="6" t="str">
        <f>_xlfn.LET(
_xlpm.rowNo, MATCH($C168&amp;"|"&amp;
($F168+I$4),Raw_Fund!$A:$A,0),
_xlpm.colNo,
MATCH(I$3,Raw_Fund!$E$1:$AZ$1,0),
_xlpm.val,
INDEX(Raw_Fund!$E:$AZ,_xlpm.rowNo,_xlpm.colNo),
IF(ISNUMBER(_xlpm.val),_xlpm.val*$H168,""))</f>
        <v/>
      </c>
      <c r="J168" s="6" t="str">
        <f>_xlfn.LET(
_xlpm.rowNo, MATCH($C168&amp;"|"&amp;
($F168+J$4),Raw_Fund!$A:$A,0),
_xlpm.colNo,
MATCH(J$3,Raw_Fund!$E$1:$AZ$1,0),
_xlpm.val,
INDEX(Raw_Fund!$E:$AZ,_xlpm.rowNo,_xlpm.colNo),
IF(ISNUMBER(_xlpm.val),_xlpm.val*$H168,""))</f>
        <v/>
      </c>
      <c r="K168" s="6" t="str">
        <f>_xlfn.LET(
_xlpm.rowNo, MATCH($C168&amp;"|"&amp;
($F168+K$4),Raw_Fund!$A:$A,0),
_xlpm.colNo,
MATCH(K$3,Raw_Fund!$E$1:$AZ$1,0),
_xlpm.val,
INDEX(Raw_Fund!$E:$AZ,_xlpm.rowNo,_xlpm.colNo),
IF(ISNUMBER(_xlpm.val),_xlpm.val*$H168,""))</f>
        <v/>
      </c>
      <c r="L168" s="6" t="str">
        <f>_xlfn.LET(
_xlpm.rowNo, MATCH($C168&amp;"|"&amp;
($F168+L$4),Raw_Fund!$A:$A,0),
_xlpm.colNo,
MATCH(L$3,Raw_Fund!$E$1:$AZ$1,0),
_xlpm.val,
INDEX(Raw_Fund!$E:$AZ,_xlpm.rowNo,_xlpm.colNo),
IF(ISNUMBER(_xlpm.val),_xlpm.val*$H168,""))</f>
        <v/>
      </c>
      <c r="M168" s="6" t="str">
        <f>_xlfn.LET(
_xlpm.rowNo, MATCH($C168&amp;"|"&amp;
($F168+M$4),Raw_Fund!$A:$A,0),
_xlpm.colNo,
MATCH(M$3,Raw_Fund!$E$1:$AZ$1,0),
_xlpm.val,
INDEX(Raw_Fund!$E:$AZ,_xlpm.rowNo,_xlpm.colNo),
IF(ISNUMBER(_xlpm.val),_xlpm.val*$H168,""))</f>
        <v/>
      </c>
      <c r="N168" s="6" t="str">
        <f>_xlfn.LET(
_xlpm.rowNo, MATCH($C168&amp;"|"&amp;
($F168+N$4),Raw_Fund!$A:$A,0),
_xlpm.colNo,
MATCH(N$3,Raw_Fund!$E$1:$AZ$1,0),
_xlpm.val,
INDEX(Raw_Fund!$E:$AZ,_xlpm.rowNo,_xlpm.colNo),
IF(ISNUMBER(_xlpm.val),_xlpm.val*$H168,""))</f>
        <v/>
      </c>
      <c r="O168" s="6" t="str">
        <f>_xlfn.LET(
_xlpm.rowNo, MATCH($C168&amp;"|"&amp;
($F168+O$4),Raw_Fund!$A:$A,0),
_xlpm.colNo,
MATCH(O$3,Raw_Fund!$E$1:$AZ$1,0),
_xlpm.val,
INDEX(Raw_Fund!$E:$AZ,_xlpm.rowNo,_xlpm.colNo),
IF(ISNUMBER(_xlpm.val),_xlpm.val*$H168,""))</f>
        <v/>
      </c>
      <c r="P168" s="6" t="str">
        <f>_xlfn.LET(
_xlpm.rowNo, MATCH($C168&amp;"|"&amp;
($F168+P$4),Raw_Fund!$A:$A,0),
_xlpm.colNo,
MATCH(P$3,Raw_Fund!$E$1:$AZ$1,0),
_xlpm.val,
INDEX(Raw_Fund!$E:$AZ,_xlpm.rowNo,_xlpm.colNo),
IF(ISNUMBER(_xlpm.val),_xlpm.val*$H168,""))</f>
        <v/>
      </c>
      <c r="Q168" s="6" t="str">
        <f>_xlfn.LET(
_xlpm.rowNo, MATCH($C168&amp;"|"&amp;
($F168+Q$4),Raw_Fund!$A:$A,0),
_xlpm.colNo,
MATCH(Q$3,Raw_Fund!$E$1:$AZ$1,0),
_xlpm.val,
INDEX(Raw_Fund!$E:$AZ,_xlpm.rowNo,_xlpm.colNo),
IF(ISNUMBER(_xlpm.val),_xlpm.val*$H168,""))</f>
        <v/>
      </c>
      <c r="R168" s="6" t="str">
        <f>_xlfn.LET(
_xlpm.rowNo, MATCH($C168&amp;"|"&amp;
($F168+R$4),Raw_Fund!$A:$A,0),
_xlpm.colNo,
MATCH(R$3,Raw_Fund!$E$1:$AZ$1,0),
_xlpm.val,
INDEX(Raw_Fund!$E:$AZ,_xlpm.rowNo,_xlpm.colNo),
IF(ISNUMBER(_xlpm.val),_xlpm.val*$H168,""))</f>
        <v/>
      </c>
      <c r="S168" s="6" t="str">
        <f>_xlfn.LET(
_xlpm.rowNo, MATCH($C168&amp;"|"&amp;
($F168+S$4),Raw_Fund!$A:$A,0),
_xlpm.colNo,
MATCH(S$3,Raw_Fund!$E$1:$AZ$1,0),
_xlpm.val,
INDEX(Raw_Fund!$E:$AZ,_xlpm.rowNo,_xlpm.colNo),
IF(ISNUMBER(_xlpm.val),_xlpm.val*$H168,""))</f>
        <v/>
      </c>
      <c r="T168" s="6" t="str">
        <f>_xlfn.LET(
_xlpm.rowNo, MATCH($C168&amp;"|"&amp;
($F168+T$4),Raw_Fund!$A:$A,0),
_xlpm.colNo,
MATCH(T$3,Raw_Fund!$E$1:$AZ$1,0),
_xlpm.val,
INDEX(Raw_Fund!$E:$AZ,_xlpm.rowNo,_xlpm.colNo),
IF(ISNUMBER(_xlpm.val),_xlpm.val*$H168,""))</f>
        <v/>
      </c>
      <c r="U168" s="6" t="str">
        <f>_xlfn.LET(
_xlpm.rowNo, MATCH($C168&amp;"|"&amp;
($F168+U$4),Raw_Fund!$A:$A,0),
_xlpm.colNo,
MATCH(U$3,Raw_Fund!$E$1:$AZ$1,0),
_xlpm.val,
INDEX(Raw_Fund!$E:$AZ,_xlpm.rowNo,_xlpm.colNo),
IF(ISNUMBER(_xlpm.val),_xlpm.val*$H168,""))</f>
        <v/>
      </c>
      <c r="V168" s="6" t="str">
        <f>_xlfn.LET(
_xlpm.rowNo, MATCH($C168&amp;"|"&amp;
($F168+V$4),Raw_Fund!$A:$A,0),
_xlpm.colNo,
MATCH(V$3,Raw_Fund!$E$1:$AZ$1,0),
_xlpm.val,
INDEX(Raw_Fund!$E:$AZ,_xlpm.rowNo,_xlpm.colNo),
IF(ISNUMBER(_xlpm.val),_xlpm.val*$H168,""))</f>
        <v/>
      </c>
      <c r="W168" s="6" t="str">
        <f>_xlfn.LET(
_xlpm.rowNo, MATCH($C168&amp;"|"&amp;
($F168+W$4),Raw_Fund!$A:$A,0),
_xlpm.colNo,
MATCH(W$3,Raw_Fund!$E$1:$AZ$1,0),
_xlpm.val,
INDEX(Raw_Fund!$E:$AZ,_xlpm.rowNo,_xlpm.colNo),
IF(ISNUMBER(_xlpm.val),_xlpm.val*$H168,""))</f>
        <v/>
      </c>
      <c r="X168" s="6" t="str">
        <f>_xlfn.LET(
_xlpm.rowNo, MATCH($C168&amp;"|"&amp;
($F168+X$4),Raw_Fund!$A:$A,0),
_xlpm.colNo,
MATCH(X$3,Raw_Fund!$E$1:$AZ$1,0),
_xlpm.val,
INDEX(Raw_Fund!$E:$AZ,_xlpm.rowNo,_xlpm.colNo),
IF(ISNUMBER(_xlpm.val),_xlpm.val*$H168,""))</f>
        <v/>
      </c>
      <c r="Y168" s="6" t="str">
        <f>_xlfn.LET(
_xlpm.rowNo, MATCH($C168&amp;"|"&amp;
($F168+Y$4),Raw_Fund!$A:$A,0),
_xlpm.colNo,
MATCH(Y$3,Raw_Fund!$E$1:$AZ$1,0),
_xlpm.val,
INDEX(Raw_Fund!$E:$AZ,_xlpm.rowNo,_xlpm.colNo),
IF(ISNUMBER(_xlpm.val),_xlpm.val*$H168,""))</f>
        <v/>
      </c>
      <c r="Z168" s="6" t="str">
        <f>IF($E168&lt;&gt;"Include","",_xlfn.XLOOKUP($C168,Raw_Mkt!$A:$A,Raw_Mkt!$B:$B))</f>
        <v/>
      </c>
    </row>
    <row r="169" spans="1:26" x14ac:dyDescent="0.4">
      <c r="A169" t="str">
        <f>IF(Universe!A169&lt;&gt;"",Universe!A169,"")</f>
        <v>PAF</v>
      </c>
      <c r="B169" t="str">
        <f>IF(Universe!B169&lt;&gt;"",Universe!B169,"")</f>
        <v>Pan African Resources</v>
      </c>
      <c r="C169" t="str">
        <f>IF(Universe!C169&lt;&gt;"",Universe!C169,"")</f>
        <v>GB0004300496</v>
      </c>
      <c r="D169" t="str">
        <f>IF(Universe!D169&lt;&gt;"",Universe!D169,"")</f>
        <v>Basic Materials</v>
      </c>
      <c r="E169" t="str">
        <f>Universe!G169</f>
        <v>Include</v>
      </c>
      <c r="F169" t="str">
        <f>IF($E169&lt;&gt;"Include","",_xlfn.LET(_xlpm.latest,_xlfn.MAXIFS(Raw_Fund!$C:$C,Raw_Fund!$B:$B,Data!$C169),IF(_xlpm.latest=0,"",_xlpm.latest)))</f>
        <v/>
      </c>
      <c r="G169" t="str">
        <f>IF($F169="","",INDEX(Raw_Fund!$E:$AZ,MATCH($C169&amp;"|"&amp;$F169,Raw_Fund!$A:$A,0),MATCH(G$3,Raw_Fund!$E$1:$AZ$1,0)))</f>
        <v/>
      </c>
      <c r="H169" t="str">
        <f t="shared" si="2"/>
        <v/>
      </c>
      <c r="I169" s="6" t="str">
        <f>_xlfn.LET(
_xlpm.rowNo, MATCH($C169&amp;"|"&amp;
($F169+I$4),Raw_Fund!$A:$A,0),
_xlpm.colNo,
MATCH(I$3,Raw_Fund!$E$1:$AZ$1,0),
_xlpm.val,
INDEX(Raw_Fund!$E:$AZ,_xlpm.rowNo,_xlpm.colNo),
IF(ISNUMBER(_xlpm.val),_xlpm.val*$H169,""))</f>
        <v/>
      </c>
      <c r="J169" s="6" t="str">
        <f>_xlfn.LET(
_xlpm.rowNo, MATCH($C169&amp;"|"&amp;
($F169+J$4),Raw_Fund!$A:$A,0),
_xlpm.colNo,
MATCH(J$3,Raw_Fund!$E$1:$AZ$1,0),
_xlpm.val,
INDEX(Raw_Fund!$E:$AZ,_xlpm.rowNo,_xlpm.colNo),
IF(ISNUMBER(_xlpm.val),_xlpm.val*$H169,""))</f>
        <v/>
      </c>
      <c r="K169" s="6" t="str">
        <f>_xlfn.LET(
_xlpm.rowNo, MATCH($C169&amp;"|"&amp;
($F169+K$4),Raw_Fund!$A:$A,0),
_xlpm.colNo,
MATCH(K$3,Raw_Fund!$E$1:$AZ$1,0),
_xlpm.val,
INDEX(Raw_Fund!$E:$AZ,_xlpm.rowNo,_xlpm.colNo),
IF(ISNUMBER(_xlpm.val),_xlpm.val*$H169,""))</f>
        <v/>
      </c>
      <c r="L169" s="6" t="str">
        <f>_xlfn.LET(
_xlpm.rowNo, MATCH($C169&amp;"|"&amp;
($F169+L$4),Raw_Fund!$A:$A,0),
_xlpm.colNo,
MATCH(L$3,Raw_Fund!$E$1:$AZ$1,0),
_xlpm.val,
INDEX(Raw_Fund!$E:$AZ,_xlpm.rowNo,_xlpm.colNo),
IF(ISNUMBER(_xlpm.val),_xlpm.val*$H169,""))</f>
        <v/>
      </c>
      <c r="M169" s="6" t="str">
        <f>_xlfn.LET(
_xlpm.rowNo, MATCH($C169&amp;"|"&amp;
($F169+M$4),Raw_Fund!$A:$A,0),
_xlpm.colNo,
MATCH(M$3,Raw_Fund!$E$1:$AZ$1,0),
_xlpm.val,
INDEX(Raw_Fund!$E:$AZ,_xlpm.rowNo,_xlpm.colNo),
IF(ISNUMBER(_xlpm.val),_xlpm.val*$H169,""))</f>
        <v/>
      </c>
      <c r="N169" s="6" t="str">
        <f>_xlfn.LET(
_xlpm.rowNo, MATCH($C169&amp;"|"&amp;
($F169+N$4),Raw_Fund!$A:$A,0),
_xlpm.colNo,
MATCH(N$3,Raw_Fund!$E$1:$AZ$1,0),
_xlpm.val,
INDEX(Raw_Fund!$E:$AZ,_xlpm.rowNo,_xlpm.colNo),
IF(ISNUMBER(_xlpm.val),_xlpm.val*$H169,""))</f>
        <v/>
      </c>
      <c r="O169" s="6" t="str">
        <f>_xlfn.LET(
_xlpm.rowNo, MATCH($C169&amp;"|"&amp;
($F169+O$4),Raw_Fund!$A:$A,0),
_xlpm.colNo,
MATCH(O$3,Raw_Fund!$E$1:$AZ$1,0),
_xlpm.val,
INDEX(Raw_Fund!$E:$AZ,_xlpm.rowNo,_xlpm.colNo),
IF(ISNUMBER(_xlpm.val),_xlpm.val*$H169,""))</f>
        <v/>
      </c>
      <c r="P169" s="6" t="str">
        <f>_xlfn.LET(
_xlpm.rowNo, MATCH($C169&amp;"|"&amp;
($F169+P$4),Raw_Fund!$A:$A,0),
_xlpm.colNo,
MATCH(P$3,Raw_Fund!$E$1:$AZ$1,0),
_xlpm.val,
INDEX(Raw_Fund!$E:$AZ,_xlpm.rowNo,_xlpm.colNo),
IF(ISNUMBER(_xlpm.val),_xlpm.val*$H169,""))</f>
        <v/>
      </c>
      <c r="Q169" s="6" t="str">
        <f>_xlfn.LET(
_xlpm.rowNo, MATCH($C169&amp;"|"&amp;
($F169+Q$4),Raw_Fund!$A:$A,0),
_xlpm.colNo,
MATCH(Q$3,Raw_Fund!$E$1:$AZ$1,0),
_xlpm.val,
INDEX(Raw_Fund!$E:$AZ,_xlpm.rowNo,_xlpm.colNo),
IF(ISNUMBER(_xlpm.val),_xlpm.val*$H169,""))</f>
        <v/>
      </c>
      <c r="R169" s="6" t="str">
        <f>_xlfn.LET(
_xlpm.rowNo, MATCH($C169&amp;"|"&amp;
($F169+R$4),Raw_Fund!$A:$A,0),
_xlpm.colNo,
MATCH(R$3,Raw_Fund!$E$1:$AZ$1,0),
_xlpm.val,
INDEX(Raw_Fund!$E:$AZ,_xlpm.rowNo,_xlpm.colNo),
IF(ISNUMBER(_xlpm.val),_xlpm.val*$H169,""))</f>
        <v/>
      </c>
      <c r="S169" s="6" t="str">
        <f>_xlfn.LET(
_xlpm.rowNo, MATCH($C169&amp;"|"&amp;
($F169+S$4),Raw_Fund!$A:$A,0),
_xlpm.colNo,
MATCH(S$3,Raw_Fund!$E$1:$AZ$1,0),
_xlpm.val,
INDEX(Raw_Fund!$E:$AZ,_xlpm.rowNo,_xlpm.colNo),
IF(ISNUMBER(_xlpm.val),_xlpm.val*$H169,""))</f>
        <v/>
      </c>
      <c r="T169" s="6" t="str">
        <f>_xlfn.LET(
_xlpm.rowNo, MATCH($C169&amp;"|"&amp;
($F169+T$4),Raw_Fund!$A:$A,0),
_xlpm.colNo,
MATCH(T$3,Raw_Fund!$E$1:$AZ$1,0),
_xlpm.val,
INDEX(Raw_Fund!$E:$AZ,_xlpm.rowNo,_xlpm.colNo),
IF(ISNUMBER(_xlpm.val),_xlpm.val*$H169,""))</f>
        <v/>
      </c>
      <c r="U169" s="6" t="str">
        <f>_xlfn.LET(
_xlpm.rowNo, MATCH($C169&amp;"|"&amp;
($F169+U$4),Raw_Fund!$A:$A,0),
_xlpm.colNo,
MATCH(U$3,Raw_Fund!$E$1:$AZ$1,0),
_xlpm.val,
INDEX(Raw_Fund!$E:$AZ,_xlpm.rowNo,_xlpm.colNo),
IF(ISNUMBER(_xlpm.val),_xlpm.val*$H169,""))</f>
        <v/>
      </c>
      <c r="V169" s="6" t="str">
        <f>_xlfn.LET(
_xlpm.rowNo, MATCH($C169&amp;"|"&amp;
($F169+V$4),Raw_Fund!$A:$A,0),
_xlpm.colNo,
MATCH(V$3,Raw_Fund!$E$1:$AZ$1,0),
_xlpm.val,
INDEX(Raw_Fund!$E:$AZ,_xlpm.rowNo,_xlpm.colNo),
IF(ISNUMBER(_xlpm.val),_xlpm.val*$H169,""))</f>
        <v/>
      </c>
      <c r="W169" s="6" t="str">
        <f>_xlfn.LET(
_xlpm.rowNo, MATCH($C169&amp;"|"&amp;
($F169+W$4),Raw_Fund!$A:$A,0),
_xlpm.colNo,
MATCH(W$3,Raw_Fund!$E$1:$AZ$1,0),
_xlpm.val,
INDEX(Raw_Fund!$E:$AZ,_xlpm.rowNo,_xlpm.colNo),
IF(ISNUMBER(_xlpm.val),_xlpm.val*$H169,""))</f>
        <v/>
      </c>
      <c r="X169" s="6" t="str">
        <f>_xlfn.LET(
_xlpm.rowNo, MATCH($C169&amp;"|"&amp;
($F169+X$4),Raw_Fund!$A:$A,0),
_xlpm.colNo,
MATCH(X$3,Raw_Fund!$E$1:$AZ$1,0),
_xlpm.val,
INDEX(Raw_Fund!$E:$AZ,_xlpm.rowNo,_xlpm.colNo),
IF(ISNUMBER(_xlpm.val),_xlpm.val*$H169,""))</f>
        <v/>
      </c>
      <c r="Y169" s="6" t="str">
        <f>_xlfn.LET(
_xlpm.rowNo, MATCH($C169&amp;"|"&amp;
($F169+Y$4),Raw_Fund!$A:$A,0),
_xlpm.colNo,
MATCH(Y$3,Raw_Fund!$E$1:$AZ$1,0),
_xlpm.val,
INDEX(Raw_Fund!$E:$AZ,_xlpm.rowNo,_xlpm.colNo),
IF(ISNUMBER(_xlpm.val),_xlpm.val*$H169,""))</f>
        <v/>
      </c>
      <c r="Z169" s="6" t="e">
        <f>IF($E169&lt;&gt;"Include","",_xlfn.XLOOKUP($C169,Raw_Mkt!$A:$A,Raw_Mkt!$B:$B))</f>
        <v>#N/A</v>
      </c>
    </row>
    <row r="170" spans="1:26" x14ac:dyDescent="0.4">
      <c r="A170" t="str">
        <f>IF(Universe!A170&lt;&gt;"",Universe!A170,"")</f>
        <v>PINT</v>
      </c>
      <c r="B170" t="str">
        <f>IF(Universe!B170&lt;&gt;"",Universe!B170,"")</f>
        <v>Pantheon Infrastructure</v>
      </c>
      <c r="C170" t="str">
        <f>IF(Universe!C170&lt;&gt;"",Universe!C170,"")</f>
        <v>GB00BLNNFL88</v>
      </c>
      <c r="D170" t="str">
        <f>IF(Universe!D170&lt;&gt;"",Universe!D170,"")</f>
        <v>Financials</v>
      </c>
      <c r="E170" t="str">
        <f>Universe!G170</f>
        <v>Exclude</v>
      </c>
      <c r="F170" t="str">
        <f>IF($E170&lt;&gt;"Include","",_xlfn.LET(_xlpm.latest,_xlfn.MAXIFS(Raw_Fund!$C:$C,Raw_Fund!$B:$B,Data!$C170),IF(_xlpm.latest=0,"",_xlpm.latest)))</f>
        <v/>
      </c>
      <c r="G170" t="str">
        <f>IF($F170="","",INDEX(Raw_Fund!$E:$AZ,MATCH($C170&amp;"|"&amp;$F170,Raw_Fund!$A:$A,0),MATCH(G$3,Raw_Fund!$E$1:$AZ$1,0)))</f>
        <v/>
      </c>
      <c r="H170" t="str">
        <f t="shared" si="2"/>
        <v/>
      </c>
      <c r="I170" s="6" t="str">
        <f>_xlfn.LET(
_xlpm.rowNo, MATCH($C170&amp;"|"&amp;
($F170+I$4),Raw_Fund!$A:$A,0),
_xlpm.colNo,
MATCH(I$3,Raw_Fund!$E$1:$AZ$1,0),
_xlpm.val,
INDEX(Raw_Fund!$E:$AZ,_xlpm.rowNo,_xlpm.colNo),
IF(ISNUMBER(_xlpm.val),_xlpm.val*$H170,""))</f>
        <v/>
      </c>
      <c r="J170" s="6" t="str">
        <f>_xlfn.LET(
_xlpm.rowNo, MATCH($C170&amp;"|"&amp;
($F170+J$4),Raw_Fund!$A:$A,0),
_xlpm.colNo,
MATCH(J$3,Raw_Fund!$E$1:$AZ$1,0),
_xlpm.val,
INDEX(Raw_Fund!$E:$AZ,_xlpm.rowNo,_xlpm.colNo),
IF(ISNUMBER(_xlpm.val),_xlpm.val*$H170,""))</f>
        <v/>
      </c>
      <c r="K170" s="6" t="str">
        <f>_xlfn.LET(
_xlpm.rowNo, MATCH($C170&amp;"|"&amp;
($F170+K$4),Raw_Fund!$A:$A,0),
_xlpm.colNo,
MATCH(K$3,Raw_Fund!$E$1:$AZ$1,0),
_xlpm.val,
INDEX(Raw_Fund!$E:$AZ,_xlpm.rowNo,_xlpm.colNo),
IF(ISNUMBER(_xlpm.val),_xlpm.val*$H170,""))</f>
        <v/>
      </c>
      <c r="L170" s="6" t="str">
        <f>_xlfn.LET(
_xlpm.rowNo, MATCH($C170&amp;"|"&amp;
($F170+L$4),Raw_Fund!$A:$A,0),
_xlpm.colNo,
MATCH(L$3,Raw_Fund!$E$1:$AZ$1,0),
_xlpm.val,
INDEX(Raw_Fund!$E:$AZ,_xlpm.rowNo,_xlpm.colNo),
IF(ISNUMBER(_xlpm.val),_xlpm.val*$H170,""))</f>
        <v/>
      </c>
      <c r="M170" s="6" t="str">
        <f>_xlfn.LET(
_xlpm.rowNo, MATCH($C170&amp;"|"&amp;
($F170+M$4),Raw_Fund!$A:$A,0),
_xlpm.colNo,
MATCH(M$3,Raw_Fund!$E$1:$AZ$1,0),
_xlpm.val,
INDEX(Raw_Fund!$E:$AZ,_xlpm.rowNo,_xlpm.colNo),
IF(ISNUMBER(_xlpm.val),_xlpm.val*$H170,""))</f>
        <v/>
      </c>
      <c r="N170" s="6" t="str">
        <f>_xlfn.LET(
_xlpm.rowNo, MATCH($C170&amp;"|"&amp;
($F170+N$4),Raw_Fund!$A:$A,0),
_xlpm.colNo,
MATCH(N$3,Raw_Fund!$E$1:$AZ$1,0),
_xlpm.val,
INDEX(Raw_Fund!$E:$AZ,_xlpm.rowNo,_xlpm.colNo),
IF(ISNUMBER(_xlpm.val),_xlpm.val*$H170,""))</f>
        <v/>
      </c>
      <c r="O170" s="6" t="str">
        <f>_xlfn.LET(
_xlpm.rowNo, MATCH($C170&amp;"|"&amp;
($F170+O$4),Raw_Fund!$A:$A,0),
_xlpm.colNo,
MATCH(O$3,Raw_Fund!$E$1:$AZ$1,0),
_xlpm.val,
INDEX(Raw_Fund!$E:$AZ,_xlpm.rowNo,_xlpm.colNo),
IF(ISNUMBER(_xlpm.val),_xlpm.val*$H170,""))</f>
        <v/>
      </c>
      <c r="P170" s="6" t="str">
        <f>_xlfn.LET(
_xlpm.rowNo, MATCH($C170&amp;"|"&amp;
($F170+P$4),Raw_Fund!$A:$A,0),
_xlpm.colNo,
MATCH(P$3,Raw_Fund!$E$1:$AZ$1,0),
_xlpm.val,
INDEX(Raw_Fund!$E:$AZ,_xlpm.rowNo,_xlpm.colNo),
IF(ISNUMBER(_xlpm.val),_xlpm.val*$H170,""))</f>
        <v/>
      </c>
      <c r="Q170" s="6" t="str">
        <f>_xlfn.LET(
_xlpm.rowNo, MATCH($C170&amp;"|"&amp;
($F170+Q$4),Raw_Fund!$A:$A,0),
_xlpm.colNo,
MATCH(Q$3,Raw_Fund!$E$1:$AZ$1,0),
_xlpm.val,
INDEX(Raw_Fund!$E:$AZ,_xlpm.rowNo,_xlpm.colNo),
IF(ISNUMBER(_xlpm.val),_xlpm.val*$H170,""))</f>
        <v/>
      </c>
      <c r="R170" s="6" t="str">
        <f>_xlfn.LET(
_xlpm.rowNo, MATCH($C170&amp;"|"&amp;
($F170+R$4),Raw_Fund!$A:$A,0),
_xlpm.colNo,
MATCH(R$3,Raw_Fund!$E$1:$AZ$1,0),
_xlpm.val,
INDEX(Raw_Fund!$E:$AZ,_xlpm.rowNo,_xlpm.colNo),
IF(ISNUMBER(_xlpm.val),_xlpm.val*$H170,""))</f>
        <v/>
      </c>
      <c r="S170" s="6" t="str">
        <f>_xlfn.LET(
_xlpm.rowNo, MATCH($C170&amp;"|"&amp;
($F170+S$4),Raw_Fund!$A:$A,0),
_xlpm.colNo,
MATCH(S$3,Raw_Fund!$E$1:$AZ$1,0),
_xlpm.val,
INDEX(Raw_Fund!$E:$AZ,_xlpm.rowNo,_xlpm.colNo),
IF(ISNUMBER(_xlpm.val),_xlpm.val*$H170,""))</f>
        <v/>
      </c>
      <c r="T170" s="6" t="str">
        <f>_xlfn.LET(
_xlpm.rowNo, MATCH($C170&amp;"|"&amp;
($F170+T$4),Raw_Fund!$A:$A,0),
_xlpm.colNo,
MATCH(T$3,Raw_Fund!$E$1:$AZ$1,0),
_xlpm.val,
INDEX(Raw_Fund!$E:$AZ,_xlpm.rowNo,_xlpm.colNo),
IF(ISNUMBER(_xlpm.val),_xlpm.val*$H170,""))</f>
        <v/>
      </c>
      <c r="U170" s="6" t="str">
        <f>_xlfn.LET(
_xlpm.rowNo, MATCH($C170&amp;"|"&amp;
($F170+U$4),Raw_Fund!$A:$A,0),
_xlpm.colNo,
MATCH(U$3,Raw_Fund!$E$1:$AZ$1,0),
_xlpm.val,
INDEX(Raw_Fund!$E:$AZ,_xlpm.rowNo,_xlpm.colNo),
IF(ISNUMBER(_xlpm.val),_xlpm.val*$H170,""))</f>
        <v/>
      </c>
      <c r="V170" s="6" t="str">
        <f>_xlfn.LET(
_xlpm.rowNo, MATCH($C170&amp;"|"&amp;
($F170+V$4),Raw_Fund!$A:$A,0),
_xlpm.colNo,
MATCH(V$3,Raw_Fund!$E$1:$AZ$1,0),
_xlpm.val,
INDEX(Raw_Fund!$E:$AZ,_xlpm.rowNo,_xlpm.colNo),
IF(ISNUMBER(_xlpm.val),_xlpm.val*$H170,""))</f>
        <v/>
      </c>
      <c r="W170" s="6" t="str">
        <f>_xlfn.LET(
_xlpm.rowNo, MATCH($C170&amp;"|"&amp;
($F170+W$4),Raw_Fund!$A:$A,0),
_xlpm.colNo,
MATCH(W$3,Raw_Fund!$E$1:$AZ$1,0),
_xlpm.val,
INDEX(Raw_Fund!$E:$AZ,_xlpm.rowNo,_xlpm.colNo),
IF(ISNUMBER(_xlpm.val),_xlpm.val*$H170,""))</f>
        <v/>
      </c>
      <c r="X170" s="6" t="str">
        <f>_xlfn.LET(
_xlpm.rowNo, MATCH($C170&amp;"|"&amp;
($F170+X$4),Raw_Fund!$A:$A,0),
_xlpm.colNo,
MATCH(X$3,Raw_Fund!$E$1:$AZ$1,0),
_xlpm.val,
INDEX(Raw_Fund!$E:$AZ,_xlpm.rowNo,_xlpm.colNo),
IF(ISNUMBER(_xlpm.val),_xlpm.val*$H170,""))</f>
        <v/>
      </c>
      <c r="Y170" s="6" t="str">
        <f>_xlfn.LET(
_xlpm.rowNo, MATCH($C170&amp;"|"&amp;
($F170+Y$4),Raw_Fund!$A:$A,0),
_xlpm.colNo,
MATCH(Y$3,Raw_Fund!$E$1:$AZ$1,0),
_xlpm.val,
INDEX(Raw_Fund!$E:$AZ,_xlpm.rowNo,_xlpm.colNo),
IF(ISNUMBER(_xlpm.val),_xlpm.val*$H170,""))</f>
        <v/>
      </c>
      <c r="Z170" s="6" t="str">
        <f>IF($E170&lt;&gt;"Include","",_xlfn.XLOOKUP($C170,Raw_Mkt!$A:$A,Raw_Mkt!$B:$B))</f>
        <v/>
      </c>
    </row>
    <row r="171" spans="1:26" x14ac:dyDescent="0.4">
      <c r="A171" t="str">
        <f>IF(Universe!A171&lt;&gt;"",Universe!A171,"")</f>
        <v>PIN</v>
      </c>
      <c r="B171" t="str">
        <f>IF(Universe!B171&lt;&gt;"",Universe!B171,"")</f>
        <v>Pantheon International</v>
      </c>
      <c r="C171" t="str">
        <f>IF(Universe!C171&lt;&gt;"",Universe!C171,"")</f>
        <v>GB00BP37WF17</v>
      </c>
      <c r="D171" t="str">
        <f>IF(Universe!D171&lt;&gt;"",Universe!D171,"")</f>
        <v>Financials</v>
      </c>
      <c r="E171" t="str">
        <f>Universe!G171</f>
        <v>Exclude</v>
      </c>
      <c r="F171" t="str">
        <f>IF($E171&lt;&gt;"Include","",_xlfn.LET(_xlpm.latest,_xlfn.MAXIFS(Raw_Fund!$C:$C,Raw_Fund!$B:$B,Data!$C171),IF(_xlpm.latest=0,"",_xlpm.latest)))</f>
        <v/>
      </c>
      <c r="G171" t="str">
        <f>IF($F171="","",INDEX(Raw_Fund!$E:$AZ,MATCH($C171&amp;"|"&amp;$F171,Raw_Fund!$A:$A,0),MATCH(G$3,Raw_Fund!$E$1:$AZ$1,0)))</f>
        <v/>
      </c>
      <c r="H171" t="str">
        <f t="shared" si="2"/>
        <v/>
      </c>
      <c r="I171" s="6" t="str">
        <f>_xlfn.LET(
_xlpm.rowNo, MATCH($C171&amp;"|"&amp;
($F171+I$4),Raw_Fund!$A:$A,0),
_xlpm.colNo,
MATCH(I$3,Raw_Fund!$E$1:$AZ$1,0),
_xlpm.val,
INDEX(Raw_Fund!$E:$AZ,_xlpm.rowNo,_xlpm.colNo),
IF(ISNUMBER(_xlpm.val),_xlpm.val*$H171,""))</f>
        <v/>
      </c>
      <c r="J171" s="6" t="str">
        <f>_xlfn.LET(
_xlpm.rowNo, MATCH($C171&amp;"|"&amp;
($F171+J$4),Raw_Fund!$A:$A,0),
_xlpm.colNo,
MATCH(J$3,Raw_Fund!$E$1:$AZ$1,0),
_xlpm.val,
INDEX(Raw_Fund!$E:$AZ,_xlpm.rowNo,_xlpm.colNo),
IF(ISNUMBER(_xlpm.val),_xlpm.val*$H171,""))</f>
        <v/>
      </c>
      <c r="K171" s="6" t="str">
        <f>_xlfn.LET(
_xlpm.rowNo, MATCH($C171&amp;"|"&amp;
($F171+K$4),Raw_Fund!$A:$A,0),
_xlpm.colNo,
MATCH(K$3,Raw_Fund!$E$1:$AZ$1,0),
_xlpm.val,
INDEX(Raw_Fund!$E:$AZ,_xlpm.rowNo,_xlpm.colNo),
IF(ISNUMBER(_xlpm.val),_xlpm.val*$H171,""))</f>
        <v/>
      </c>
      <c r="L171" s="6" t="str">
        <f>_xlfn.LET(
_xlpm.rowNo, MATCH($C171&amp;"|"&amp;
($F171+L$4),Raw_Fund!$A:$A,0),
_xlpm.colNo,
MATCH(L$3,Raw_Fund!$E$1:$AZ$1,0),
_xlpm.val,
INDEX(Raw_Fund!$E:$AZ,_xlpm.rowNo,_xlpm.colNo),
IF(ISNUMBER(_xlpm.val),_xlpm.val*$H171,""))</f>
        <v/>
      </c>
      <c r="M171" s="6" t="str">
        <f>_xlfn.LET(
_xlpm.rowNo, MATCH($C171&amp;"|"&amp;
($F171+M$4),Raw_Fund!$A:$A,0),
_xlpm.colNo,
MATCH(M$3,Raw_Fund!$E$1:$AZ$1,0),
_xlpm.val,
INDEX(Raw_Fund!$E:$AZ,_xlpm.rowNo,_xlpm.colNo),
IF(ISNUMBER(_xlpm.val),_xlpm.val*$H171,""))</f>
        <v/>
      </c>
      <c r="N171" s="6" t="str">
        <f>_xlfn.LET(
_xlpm.rowNo, MATCH($C171&amp;"|"&amp;
($F171+N$4),Raw_Fund!$A:$A,0),
_xlpm.colNo,
MATCH(N$3,Raw_Fund!$E$1:$AZ$1,0),
_xlpm.val,
INDEX(Raw_Fund!$E:$AZ,_xlpm.rowNo,_xlpm.colNo),
IF(ISNUMBER(_xlpm.val),_xlpm.val*$H171,""))</f>
        <v/>
      </c>
      <c r="O171" s="6" t="str">
        <f>_xlfn.LET(
_xlpm.rowNo, MATCH($C171&amp;"|"&amp;
($F171+O$4),Raw_Fund!$A:$A,0),
_xlpm.colNo,
MATCH(O$3,Raw_Fund!$E$1:$AZ$1,0),
_xlpm.val,
INDEX(Raw_Fund!$E:$AZ,_xlpm.rowNo,_xlpm.colNo),
IF(ISNUMBER(_xlpm.val),_xlpm.val*$H171,""))</f>
        <v/>
      </c>
      <c r="P171" s="6" t="str">
        <f>_xlfn.LET(
_xlpm.rowNo, MATCH($C171&amp;"|"&amp;
($F171+P$4),Raw_Fund!$A:$A,0),
_xlpm.colNo,
MATCH(P$3,Raw_Fund!$E$1:$AZ$1,0),
_xlpm.val,
INDEX(Raw_Fund!$E:$AZ,_xlpm.rowNo,_xlpm.colNo),
IF(ISNUMBER(_xlpm.val),_xlpm.val*$H171,""))</f>
        <v/>
      </c>
      <c r="Q171" s="6" t="str">
        <f>_xlfn.LET(
_xlpm.rowNo, MATCH($C171&amp;"|"&amp;
($F171+Q$4),Raw_Fund!$A:$A,0),
_xlpm.colNo,
MATCH(Q$3,Raw_Fund!$E$1:$AZ$1,0),
_xlpm.val,
INDEX(Raw_Fund!$E:$AZ,_xlpm.rowNo,_xlpm.colNo),
IF(ISNUMBER(_xlpm.val),_xlpm.val*$H171,""))</f>
        <v/>
      </c>
      <c r="R171" s="6" t="str">
        <f>_xlfn.LET(
_xlpm.rowNo, MATCH($C171&amp;"|"&amp;
($F171+R$4),Raw_Fund!$A:$A,0),
_xlpm.colNo,
MATCH(R$3,Raw_Fund!$E$1:$AZ$1,0),
_xlpm.val,
INDEX(Raw_Fund!$E:$AZ,_xlpm.rowNo,_xlpm.colNo),
IF(ISNUMBER(_xlpm.val),_xlpm.val*$H171,""))</f>
        <v/>
      </c>
      <c r="S171" s="6" t="str">
        <f>_xlfn.LET(
_xlpm.rowNo, MATCH($C171&amp;"|"&amp;
($F171+S$4),Raw_Fund!$A:$A,0),
_xlpm.colNo,
MATCH(S$3,Raw_Fund!$E$1:$AZ$1,0),
_xlpm.val,
INDEX(Raw_Fund!$E:$AZ,_xlpm.rowNo,_xlpm.colNo),
IF(ISNUMBER(_xlpm.val),_xlpm.val*$H171,""))</f>
        <v/>
      </c>
      <c r="T171" s="6" t="str">
        <f>_xlfn.LET(
_xlpm.rowNo, MATCH($C171&amp;"|"&amp;
($F171+T$4),Raw_Fund!$A:$A,0),
_xlpm.colNo,
MATCH(T$3,Raw_Fund!$E$1:$AZ$1,0),
_xlpm.val,
INDEX(Raw_Fund!$E:$AZ,_xlpm.rowNo,_xlpm.colNo),
IF(ISNUMBER(_xlpm.val),_xlpm.val*$H171,""))</f>
        <v/>
      </c>
      <c r="U171" s="6" t="str">
        <f>_xlfn.LET(
_xlpm.rowNo, MATCH($C171&amp;"|"&amp;
($F171+U$4),Raw_Fund!$A:$A,0),
_xlpm.colNo,
MATCH(U$3,Raw_Fund!$E$1:$AZ$1,0),
_xlpm.val,
INDEX(Raw_Fund!$E:$AZ,_xlpm.rowNo,_xlpm.colNo),
IF(ISNUMBER(_xlpm.val),_xlpm.val*$H171,""))</f>
        <v/>
      </c>
      <c r="V171" s="6" t="str">
        <f>_xlfn.LET(
_xlpm.rowNo, MATCH($C171&amp;"|"&amp;
($F171+V$4),Raw_Fund!$A:$A,0),
_xlpm.colNo,
MATCH(V$3,Raw_Fund!$E$1:$AZ$1,0),
_xlpm.val,
INDEX(Raw_Fund!$E:$AZ,_xlpm.rowNo,_xlpm.colNo),
IF(ISNUMBER(_xlpm.val),_xlpm.val*$H171,""))</f>
        <v/>
      </c>
      <c r="W171" s="6" t="str">
        <f>_xlfn.LET(
_xlpm.rowNo, MATCH($C171&amp;"|"&amp;
($F171+W$4),Raw_Fund!$A:$A,0),
_xlpm.colNo,
MATCH(W$3,Raw_Fund!$E$1:$AZ$1,0),
_xlpm.val,
INDEX(Raw_Fund!$E:$AZ,_xlpm.rowNo,_xlpm.colNo),
IF(ISNUMBER(_xlpm.val),_xlpm.val*$H171,""))</f>
        <v/>
      </c>
      <c r="X171" s="6" t="str">
        <f>_xlfn.LET(
_xlpm.rowNo, MATCH($C171&amp;"|"&amp;
($F171+X$4),Raw_Fund!$A:$A,0),
_xlpm.colNo,
MATCH(X$3,Raw_Fund!$E$1:$AZ$1,0),
_xlpm.val,
INDEX(Raw_Fund!$E:$AZ,_xlpm.rowNo,_xlpm.colNo),
IF(ISNUMBER(_xlpm.val),_xlpm.val*$H171,""))</f>
        <v/>
      </c>
      <c r="Y171" s="6" t="str">
        <f>_xlfn.LET(
_xlpm.rowNo, MATCH($C171&amp;"|"&amp;
($F171+Y$4),Raw_Fund!$A:$A,0),
_xlpm.colNo,
MATCH(Y$3,Raw_Fund!$E$1:$AZ$1,0),
_xlpm.val,
INDEX(Raw_Fund!$E:$AZ,_xlpm.rowNo,_xlpm.colNo),
IF(ISNUMBER(_xlpm.val),_xlpm.val*$H171,""))</f>
        <v/>
      </c>
      <c r="Z171" s="6" t="str">
        <f>IF($E171&lt;&gt;"Include","",_xlfn.XLOOKUP($C171,Raw_Mkt!$A:$A,Raw_Mkt!$B:$B))</f>
        <v/>
      </c>
    </row>
    <row r="172" spans="1:26" x14ac:dyDescent="0.4">
      <c r="A172" t="str">
        <f>IF(Universe!A172&lt;&gt;"",Universe!A172,"")</f>
        <v>PAG</v>
      </c>
      <c r="B172" t="str">
        <f>IF(Universe!B172&lt;&gt;"",Universe!B172,"")</f>
        <v>Paragon Banking Group</v>
      </c>
      <c r="C172" t="str">
        <f>IF(Universe!C172&lt;&gt;"",Universe!C172,"")</f>
        <v>GB00B2NGPM57</v>
      </c>
      <c r="D172" t="str">
        <f>IF(Universe!D172&lt;&gt;"",Universe!D172,"")</f>
        <v>Financials</v>
      </c>
      <c r="E172" t="str">
        <f>Universe!G172</f>
        <v>Exclude</v>
      </c>
      <c r="F172" t="str">
        <f>IF($E172&lt;&gt;"Include","",_xlfn.LET(_xlpm.latest,_xlfn.MAXIFS(Raw_Fund!$C:$C,Raw_Fund!$B:$B,Data!$C172),IF(_xlpm.latest=0,"",_xlpm.latest)))</f>
        <v/>
      </c>
      <c r="G172" t="str">
        <f>IF($F172="","",INDEX(Raw_Fund!$E:$AZ,MATCH($C172&amp;"|"&amp;$F172,Raw_Fund!$A:$A,0),MATCH(G$3,Raw_Fund!$E$1:$AZ$1,0)))</f>
        <v/>
      </c>
      <c r="H172" t="str">
        <f t="shared" si="2"/>
        <v/>
      </c>
      <c r="I172" s="6" t="str">
        <f>_xlfn.LET(
_xlpm.rowNo, MATCH($C172&amp;"|"&amp;
($F172+I$4),Raw_Fund!$A:$A,0),
_xlpm.colNo,
MATCH(I$3,Raw_Fund!$E$1:$AZ$1,0),
_xlpm.val,
INDEX(Raw_Fund!$E:$AZ,_xlpm.rowNo,_xlpm.colNo),
IF(ISNUMBER(_xlpm.val),_xlpm.val*$H172,""))</f>
        <v/>
      </c>
      <c r="J172" s="6" t="str">
        <f>_xlfn.LET(
_xlpm.rowNo, MATCH($C172&amp;"|"&amp;
($F172+J$4),Raw_Fund!$A:$A,0),
_xlpm.colNo,
MATCH(J$3,Raw_Fund!$E$1:$AZ$1,0),
_xlpm.val,
INDEX(Raw_Fund!$E:$AZ,_xlpm.rowNo,_xlpm.colNo),
IF(ISNUMBER(_xlpm.val),_xlpm.val*$H172,""))</f>
        <v/>
      </c>
      <c r="K172" s="6" t="str">
        <f>_xlfn.LET(
_xlpm.rowNo, MATCH($C172&amp;"|"&amp;
($F172+K$4),Raw_Fund!$A:$A,0),
_xlpm.colNo,
MATCH(K$3,Raw_Fund!$E$1:$AZ$1,0),
_xlpm.val,
INDEX(Raw_Fund!$E:$AZ,_xlpm.rowNo,_xlpm.colNo),
IF(ISNUMBER(_xlpm.val),_xlpm.val*$H172,""))</f>
        <v/>
      </c>
      <c r="L172" s="6" t="str">
        <f>_xlfn.LET(
_xlpm.rowNo, MATCH($C172&amp;"|"&amp;
($F172+L$4),Raw_Fund!$A:$A,0),
_xlpm.colNo,
MATCH(L$3,Raw_Fund!$E$1:$AZ$1,0),
_xlpm.val,
INDEX(Raw_Fund!$E:$AZ,_xlpm.rowNo,_xlpm.colNo),
IF(ISNUMBER(_xlpm.val),_xlpm.val*$H172,""))</f>
        <v/>
      </c>
      <c r="M172" s="6" t="str">
        <f>_xlfn.LET(
_xlpm.rowNo, MATCH($C172&amp;"|"&amp;
($F172+M$4),Raw_Fund!$A:$A,0),
_xlpm.colNo,
MATCH(M$3,Raw_Fund!$E$1:$AZ$1,0),
_xlpm.val,
INDEX(Raw_Fund!$E:$AZ,_xlpm.rowNo,_xlpm.colNo),
IF(ISNUMBER(_xlpm.val),_xlpm.val*$H172,""))</f>
        <v/>
      </c>
      <c r="N172" s="6" t="str">
        <f>_xlfn.LET(
_xlpm.rowNo, MATCH($C172&amp;"|"&amp;
($F172+N$4),Raw_Fund!$A:$A,0),
_xlpm.colNo,
MATCH(N$3,Raw_Fund!$E$1:$AZ$1,0),
_xlpm.val,
INDEX(Raw_Fund!$E:$AZ,_xlpm.rowNo,_xlpm.colNo),
IF(ISNUMBER(_xlpm.val),_xlpm.val*$H172,""))</f>
        <v/>
      </c>
      <c r="O172" s="6" t="str">
        <f>_xlfn.LET(
_xlpm.rowNo, MATCH($C172&amp;"|"&amp;
($F172+O$4),Raw_Fund!$A:$A,0),
_xlpm.colNo,
MATCH(O$3,Raw_Fund!$E$1:$AZ$1,0),
_xlpm.val,
INDEX(Raw_Fund!$E:$AZ,_xlpm.rowNo,_xlpm.colNo),
IF(ISNUMBER(_xlpm.val),_xlpm.val*$H172,""))</f>
        <v/>
      </c>
      <c r="P172" s="6" t="str">
        <f>_xlfn.LET(
_xlpm.rowNo, MATCH($C172&amp;"|"&amp;
($F172+P$4),Raw_Fund!$A:$A,0),
_xlpm.colNo,
MATCH(P$3,Raw_Fund!$E$1:$AZ$1,0),
_xlpm.val,
INDEX(Raw_Fund!$E:$AZ,_xlpm.rowNo,_xlpm.colNo),
IF(ISNUMBER(_xlpm.val),_xlpm.val*$H172,""))</f>
        <v/>
      </c>
      <c r="Q172" s="6" t="str">
        <f>_xlfn.LET(
_xlpm.rowNo, MATCH($C172&amp;"|"&amp;
($F172+Q$4),Raw_Fund!$A:$A,0),
_xlpm.colNo,
MATCH(Q$3,Raw_Fund!$E$1:$AZ$1,0),
_xlpm.val,
INDEX(Raw_Fund!$E:$AZ,_xlpm.rowNo,_xlpm.colNo),
IF(ISNUMBER(_xlpm.val),_xlpm.val*$H172,""))</f>
        <v/>
      </c>
      <c r="R172" s="6" t="str">
        <f>_xlfn.LET(
_xlpm.rowNo, MATCH($C172&amp;"|"&amp;
($F172+R$4),Raw_Fund!$A:$A,0),
_xlpm.colNo,
MATCH(R$3,Raw_Fund!$E$1:$AZ$1,0),
_xlpm.val,
INDEX(Raw_Fund!$E:$AZ,_xlpm.rowNo,_xlpm.colNo),
IF(ISNUMBER(_xlpm.val),_xlpm.val*$H172,""))</f>
        <v/>
      </c>
      <c r="S172" s="6" t="str">
        <f>_xlfn.LET(
_xlpm.rowNo, MATCH($C172&amp;"|"&amp;
($F172+S$4),Raw_Fund!$A:$A,0),
_xlpm.colNo,
MATCH(S$3,Raw_Fund!$E$1:$AZ$1,0),
_xlpm.val,
INDEX(Raw_Fund!$E:$AZ,_xlpm.rowNo,_xlpm.colNo),
IF(ISNUMBER(_xlpm.val),_xlpm.val*$H172,""))</f>
        <v/>
      </c>
      <c r="T172" s="6" t="str">
        <f>_xlfn.LET(
_xlpm.rowNo, MATCH($C172&amp;"|"&amp;
($F172+T$4),Raw_Fund!$A:$A,0),
_xlpm.colNo,
MATCH(T$3,Raw_Fund!$E$1:$AZ$1,0),
_xlpm.val,
INDEX(Raw_Fund!$E:$AZ,_xlpm.rowNo,_xlpm.colNo),
IF(ISNUMBER(_xlpm.val),_xlpm.val*$H172,""))</f>
        <v/>
      </c>
      <c r="U172" s="6" t="str">
        <f>_xlfn.LET(
_xlpm.rowNo, MATCH($C172&amp;"|"&amp;
($F172+U$4),Raw_Fund!$A:$A,0),
_xlpm.colNo,
MATCH(U$3,Raw_Fund!$E$1:$AZ$1,0),
_xlpm.val,
INDEX(Raw_Fund!$E:$AZ,_xlpm.rowNo,_xlpm.colNo),
IF(ISNUMBER(_xlpm.val),_xlpm.val*$H172,""))</f>
        <v/>
      </c>
      <c r="V172" s="6" t="str">
        <f>_xlfn.LET(
_xlpm.rowNo, MATCH($C172&amp;"|"&amp;
($F172+V$4),Raw_Fund!$A:$A,0),
_xlpm.colNo,
MATCH(V$3,Raw_Fund!$E$1:$AZ$1,0),
_xlpm.val,
INDEX(Raw_Fund!$E:$AZ,_xlpm.rowNo,_xlpm.colNo),
IF(ISNUMBER(_xlpm.val),_xlpm.val*$H172,""))</f>
        <v/>
      </c>
      <c r="W172" s="6" t="str">
        <f>_xlfn.LET(
_xlpm.rowNo, MATCH($C172&amp;"|"&amp;
($F172+W$4),Raw_Fund!$A:$A,0),
_xlpm.colNo,
MATCH(W$3,Raw_Fund!$E$1:$AZ$1,0),
_xlpm.val,
INDEX(Raw_Fund!$E:$AZ,_xlpm.rowNo,_xlpm.colNo),
IF(ISNUMBER(_xlpm.val),_xlpm.val*$H172,""))</f>
        <v/>
      </c>
      <c r="X172" s="6" t="str">
        <f>_xlfn.LET(
_xlpm.rowNo, MATCH($C172&amp;"|"&amp;
($F172+X$4),Raw_Fund!$A:$A,0),
_xlpm.colNo,
MATCH(X$3,Raw_Fund!$E$1:$AZ$1,0),
_xlpm.val,
INDEX(Raw_Fund!$E:$AZ,_xlpm.rowNo,_xlpm.colNo),
IF(ISNUMBER(_xlpm.val),_xlpm.val*$H172,""))</f>
        <v/>
      </c>
      <c r="Y172" s="6" t="str">
        <f>_xlfn.LET(
_xlpm.rowNo, MATCH($C172&amp;"|"&amp;
($F172+Y$4),Raw_Fund!$A:$A,0),
_xlpm.colNo,
MATCH(Y$3,Raw_Fund!$E$1:$AZ$1,0),
_xlpm.val,
INDEX(Raw_Fund!$E:$AZ,_xlpm.rowNo,_xlpm.colNo),
IF(ISNUMBER(_xlpm.val),_xlpm.val*$H172,""))</f>
        <v/>
      </c>
      <c r="Z172" s="6" t="str">
        <f>IF($E172&lt;&gt;"Include","",_xlfn.XLOOKUP($C172,Raw_Mkt!$A:$A,Raw_Mkt!$B:$B))</f>
        <v/>
      </c>
    </row>
    <row r="173" spans="1:26" x14ac:dyDescent="0.4">
      <c r="A173" t="str">
        <f>IF(Universe!A173&lt;&gt;"",Universe!A173,"")</f>
        <v>PEY</v>
      </c>
      <c r="B173" t="str">
        <f>IF(Universe!B173&lt;&gt;"",Universe!B173,"")</f>
        <v>Partners Group Private Equity</v>
      </c>
      <c r="C173" t="str">
        <f>IF(Universe!C173&lt;&gt;"",Universe!C173,"")</f>
        <v>GG00B28C2R28</v>
      </c>
      <c r="D173" t="str">
        <f>IF(Universe!D173&lt;&gt;"",Universe!D173,"")</f>
        <v>Financials</v>
      </c>
      <c r="E173" t="str">
        <f>Universe!G173</f>
        <v>Exclude</v>
      </c>
      <c r="F173" t="str">
        <f>IF($E173&lt;&gt;"Include","",_xlfn.LET(_xlpm.latest,_xlfn.MAXIFS(Raw_Fund!$C:$C,Raw_Fund!$B:$B,Data!$C173),IF(_xlpm.latest=0,"",_xlpm.latest)))</f>
        <v/>
      </c>
      <c r="G173" t="str">
        <f>IF($F173="","",INDEX(Raw_Fund!$E:$AZ,MATCH($C173&amp;"|"&amp;$F173,Raw_Fund!$A:$A,0),MATCH(G$3,Raw_Fund!$E$1:$AZ$1,0)))</f>
        <v/>
      </c>
      <c r="H173" t="str">
        <f t="shared" si="2"/>
        <v/>
      </c>
      <c r="I173" s="6" t="str">
        <f>_xlfn.LET(
_xlpm.rowNo, MATCH($C173&amp;"|"&amp;
($F173+I$4),Raw_Fund!$A:$A,0),
_xlpm.colNo,
MATCH(I$3,Raw_Fund!$E$1:$AZ$1,0),
_xlpm.val,
INDEX(Raw_Fund!$E:$AZ,_xlpm.rowNo,_xlpm.colNo),
IF(ISNUMBER(_xlpm.val),_xlpm.val*$H173,""))</f>
        <v/>
      </c>
      <c r="J173" s="6" t="str">
        <f>_xlfn.LET(
_xlpm.rowNo, MATCH($C173&amp;"|"&amp;
($F173+J$4),Raw_Fund!$A:$A,0),
_xlpm.colNo,
MATCH(J$3,Raw_Fund!$E$1:$AZ$1,0),
_xlpm.val,
INDEX(Raw_Fund!$E:$AZ,_xlpm.rowNo,_xlpm.colNo),
IF(ISNUMBER(_xlpm.val),_xlpm.val*$H173,""))</f>
        <v/>
      </c>
      <c r="K173" s="6" t="str">
        <f>_xlfn.LET(
_xlpm.rowNo, MATCH($C173&amp;"|"&amp;
($F173+K$4),Raw_Fund!$A:$A,0),
_xlpm.colNo,
MATCH(K$3,Raw_Fund!$E$1:$AZ$1,0),
_xlpm.val,
INDEX(Raw_Fund!$E:$AZ,_xlpm.rowNo,_xlpm.colNo),
IF(ISNUMBER(_xlpm.val),_xlpm.val*$H173,""))</f>
        <v/>
      </c>
      <c r="L173" s="6" t="str">
        <f>_xlfn.LET(
_xlpm.rowNo, MATCH($C173&amp;"|"&amp;
($F173+L$4),Raw_Fund!$A:$A,0),
_xlpm.colNo,
MATCH(L$3,Raw_Fund!$E$1:$AZ$1,0),
_xlpm.val,
INDEX(Raw_Fund!$E:$AZ,_xlpm.rowNo,_xlpm.colNo),
IF(ISNUMBER(_xlpm.val),_xlpm.val*$H173,""))</f>
        <v/>
      </c>
      <c r="M173" s="6" t="str">
        <f>_xlfn.LET(
_xlpm.rowNo, MATCH($C173&amp;"|"&amp;
($F173+M$4),Raw_Fund!$A:$A,0),
_xlpm.colNo,
MATCH(M$3,Raw_Fund!$E$1:$AZ$1,0),
_xlpm.val,
INDEX(Raw_Fund!$E:$AZ,_xlpm.rowNo,_xlpm.colNo),
IF(ISNUMBER(_xlpm.val),_xlpm.val*$H173,""))</f>
        <v/>
      </c>
      <c r="N173" s="6" t="str">
        <f>_xlfn.LET(
_xlpm.rowNo, MATCH($C173&amp;"|"&amp;
($F173+N$4),Raw_Fund!$A:$A,0),
_xlpm.colNo,
MATCH(N$3,Raw_Fund!$E$1:$AZ$1,0),
_xlpm.val,
INDEX(Raw_Fund!$E:$AZ,_xlpm.rowNo,_xlpm.colNo),
IF(ISNUMBER(_xlpm.val),_xlpm.val*$H173,""))</f>
        <v/>
      </c>
      <c r="O173" s="6" t="str">
        <f>_xlfn.LET(
_xlpm.rowNo, MATCH($C173&amp;"|"&amp;
($F173+O$4),Raw_Fund!$A:$A,0),
_xlpm.colNo,
MATCH(O$3,Raw_Fund!$E$1:$AZ$1,0),
_xlpm.val,
INDEX(Raw_Fund!$E:$AZ,_xlpm.rowNo,_xlpm.colNo),
IF(ISNUMBER(_xlpm.val),_xlpm.val*$H173,""))</f>
        <v/>
      </c>
      <c r="P173" s="6" t="str">
        <f>_xlfn.LET(
_xlpm.rowNo, MATCH($C173&amp;"|"&amp;
($F173+P$4),Raw_Fund!$A:$A,0),
_xlpm.colNo,
MATCH(P$3,Raw_Fund!$E$1:$AZ$1,0),
_xlpm.val,
INDEX(Raw_Fund!$E:$AZ,_xlpm.rowNo,_xlpm.colNo),
IF(ISNUMBER(_xlpm.val),_xlpm.val*$H173,""))</f>
        <v/>
      </c>
      <c r="Q173" s="6" t="str">
        <f>_xlfn.LET(
_xlpm.rowNo, MATCH($C173&amp;"|"&amp;
($F173+Q$4),Raw_Fund!$A:$A,0),
_xlpm.colNo,
MATCH(Q$3,Raw_Fund!$E$1:$AZ$1,0),
_xlpm.val,
INDEX(Raw_Fund!$E:$AZ,_xlpm.rowNo,_xlpm.colNo),
IF(ISNUMBER(_xlpm.val),_xlpm.val*$H173,""))</f>
        <v/>
      </c>
      <c r="R173" s="6" t="str">
        <f>_xlfn.LET(
_xlpm.rowNo, MATCH($C173&amp;"|"&amp;
($F173+R$4),Raw_Fund!$A:$A,0),
_xlpm.colNo,
MATCH(R$3,Raw_Fund!$E$1:$AZ$1,0),
_xlpm.val,
INDEX(Raw_Fund!$E:$AZ,_xlpm.rowNo,_xlpm.colNo),
IF(ISNUMBER(_xlpm.val),_xlpm.val*$H173,""))</f>
        <v/>
      </c>
      <c r="S173" s="6" t="str">
        <f>_xlfn.LET(
_xlpm.rowNo, MATCH($C173&amp;"|"&amp;
($F173+S$4),Raw_Fund!$A:$A,0),
_xlpm.colNo,
MATCH(S$3,Raw_Fund!$E$1:$AZ$1,0),
_xlpm.val,
INDEX(Raw_Fund!$E:$AZ,_xlpm.rowNo,_xlpm.colNo),
IF(ISNUMBER(_xlpm.val),_xlpm.val*$H173,""))</f>
        <v/>
      </c>
      <c r="T173" s="6" t="str">
        <f>_xlfn.LET(
_xlpm.rowNo, MATCH($C173&amp;"|"&amp;
($F173+T$4),Raw_Fund!$A:$A,0),
_xlpm.colNo,
MATCH(T$3,Raw_Fund!$E$1:$AZ$1,0),
_xlpm.val,
INDEX(Raw_Fund!$E:$AZ,_xlpm.rowNo,_xlpm.colNo),
IF(ISNUMBER(_xlpm.val),_xlpm.val*$H173,""))</f>
        <v/>
      </c>
      <c r="U173" s="6" t="str">
        <f>_xlfn.LET(
_xlpm.rowNo, MATCH($C173&amp;"|"&amp;
($F173+U$4),Raw_Fund!$A:$A,0),
_xlpm.colNo,
MATCH(U$3,Raw_Fund!$E$1:$AZ$1,0),
_xlpm.val,
INDEX(Raw_Fund!$E:$AZ,_xlpm.rowNo,_xlpm.colNo),
IF(ISNUMBER(_xlpm.val),_xlpm.val*$H173,""))</f>
        <v/>
      </c>
      <c r="V173" s="6" t="str">
        <f>_xlfn.LET(
_xlpm.rowNo, MATCH($C173&amp;"|"&amp;
($F173+V$4),Raw_Fund!$A:$A,0),
_xlpm.colNo,
MATCH(V$3,Raw_Fund!$E$1:$AZ$1,0),
_xlpm.val,
INDEX(Raw_Fund!$E:$AZ,_xlpm.rowNo,_xlpm.colNo),
IF(ISNUMBER(_xlpm.val),_xlpm.val*$H173,""))</f>
        <v/>
      </c>
      <c r="W173" s="6" t="str">
        <f>_xlfn.LET(
_xlpm.rowNo, MATCH($C173&amp;"|"&amp;
($F173+W$4),Raw_Fund!$A:$A,0),
_xlpm.colNo,
MATCH(W$3,Raw_Fund!$E$1:$AZ$1,0),
_xlpm.val,
INDEX(Raw_Fund!$E:$AZ,_xlpm.rowNo,_xlpm.colNo),
IF(ISNUMBER(_xlpm.val),_xlpm.val*$H173,""))</f>
        <v/>
      </c>
      <c r="X173" s="6" t="str">
        <f>_xlfn.LET(
_xlpm.rowNo, MATCH($C173&amp;"|"&amp;
($F173+X$4),Raw_Fund!$A:$A,0),
_xlpm.colNo,
MATCH(X$3,Raw_Fund!$E$1:$AZ$1,0),
_xlpm.val,
INDEX(Raw_Fund!$E:$AZ,_xlpm.rowNo,_xlpm.colNo),
IF(ISNUMBER(_xlpm.val),_xlpm.val*$H173,""))</f>
        <v/>
      </c>
      <c r="Y173" s="6" t="str">
        <f>_xlfn.LET(
_xlpm.rowNo, MATCH($C173&amp;"|"&amp;
($F173+Y$4),Raw_Fund!$A:$A,0),
_xlpm.colNo,
MATCH(Y$3,Raw_Fund!$E$1:$AZ$1,0),
_xlpm.val,
INDEX(Raw_Fund!$E:$AZ,_xlpm.rowNo,_xlpm.colNo),
IF(ISNUMBER(_xlpm.val),_xlpm.val*$H173,""))</f>
        <v/>
      </c>
      <c r="Z173" s="6" t="str">
        <f>IF($E173&lt;&gt;"Include","",_xlfn.XLOOKUP($C173,Raw_Mkt!$A:$A,Raw_Mkt!$B:$B))</f>
        <v/>
      </c>
    </row>
    <row r="174" spans="1:26" x14ac:dyDescent="0.4">
      <c r="A174" t="str">
        <f>IF(Universe!A174&lt;&gt;"",Universe!A174,"")</f>
        <v>PPET</v>
      </c>
      <c r="B174" t="str">
        <f>IF(Universe!B174&lt;&gt;"",Universe!B174,"")</f>
        <v>Patria Private Equity Trust</v>
      </c>
      <c r="C174" t="str">
        <f>IF(Universe!C174&lt;&gt;"",Universe!C174,"")</f>
        <v>GB0030474687</v>
      </c>
      <c r="D174" t="str">
        <f>IF(Universe!D174&lt;&gt;"",Universe!D174,"")</f>
        <v>Financials</v>
      </c>
      <c r="E174" t="str">
        <f>Universe!G174</f>
        <v>Exclude</v>
      </c>
      <c r="F174" t="str">
        <f>IF($E174&lt;&gt;"Include","",_xlfn.LET(_xlpm.latest,_xlfn.MAXIFS(Raw_Fund!$C:$C,Raw_Fund!$B:$B,Data!$C174),IF(_xlpm.latest=0,"",_xlpm.latest)))</f>
        <v/>
      </c>
      <c r="G174" t="str">
        <f>IF($F174="","",INDEX(Raw_Fund!$E:$AZ,MATCH($C174&amp;"|"&amp;$F174,Raw_Fund!$A:$A,0),MATCH(G$3,Raw_Fund!$E$1:$AZ$1,0)))</f>
        <v/>
      </c>
      <c r="H174" t="str">
        <f t="shared" si="2"/>
        <v/>
      </c>
      <c r="I174" s="6" t="str">
        <f>_xlfn.LET(
_xlpm.rowNo, MATCH($C174&amp;"|"&amp;
($F174+I$4),Raw_Fund!$A:$A,0),
_xlpm.colNo,
MATCH(I$3,Raw_Fund!$E$1:$AZ$1,0),
_xlpm.val,
INDEX(Raw_Fund!$E:$AZ,_xlpm.rowNo,_xlpm.colNo),
IF(ISNUMBER(_xlpm.val),_xlpm.val*$H174,""))</f>
        <v/>
      </c>
      <c r="J174" s="6" t="str">
        <f>_xlfn.LET(
_xlpm.rowNo, MATCH($C174&amp;"|"&amp;
($F174+J$4),Raw_Fund!$A:$A,0),
_xlpm.colNo,
MATCH(J$3,Raw_Fund!$E$1:$AZ$1,0),
_xlpm.val,
INDEX(Raw_Fund!$E:$AZ,_xlpm.rowNo,_xlpm.colNo),
IF(ISNUMBER(_xlpm.val),_xlpm.val*$H174,""))</f>
        <v/>
      </c>
      <c r="K174" s="6" t="str">
        <f>_xlfn.LET(
_xlpm.rowNo, MATCH($C174&amp;"|"&amp;
($F174+K$4),Raw_Fund!$A:$A,0),
_xlpm.colNo,
MATCH(K$3,Raw_Fund!$E$1:$AZ$1,0),
_xlpm.val,
INDEX(Raw_Fund!$E:$AZ,_xlpm.rowNo,_xlpm.colNo),
IF(ISNUMBER(_xlpm.val),_xlpm.val*$H174,""))</f>
        <v/>
      </c>
      <c r="L174" s="6" t="str">
        <f>_xlfn.LET(
_xlpm.rowNo, MATCH($C174&amp;"|"&amp;
($F174+L$4),Raw_Fund!$A:$A,0),
_xlpm.colNo,
MATCH(L$3,Raw_Fund!$E$1:$AZ$1,0),
_xlpm.val,
INDEX(Raw_Fund!$E:$AZ,_xlpm.rowNo,_xlpm.colNo),
IF(ISNUMBER(_xlpm.val),_xlpm.val*$H174,""))</f>
        <v/>
      </c>
      <c r="M174" s="6" t="str">
        <f>_xlfn.LET(
_xlpm.rowNo, MATCH($C174&amp;"|"&amp;
($F174+M$4),Raw_Fund!$A:$A,0),
_xlpm.colNo,
MATCH(M$3,Raw_Fund!$E$1:$AZ$1,0),
_xlpm.val,
INDEX(Raw_Fund!$E:$AZ,_xlpm.rowNo,_xlpm.colNo),
IF(ISNUMBER(_xlpm.val),_xlpm.val*$H174,""))</f>
        <v/>
      </c>
      <c r="N174" s="6" t="str">
        <f>_xlfn.LET(
_xlpm.rowNo, MATCH($C174&amp;"|"&amp;
($F174+N$4),Raw_Fund!$A:$A,0),
_xlpm.colNo,
MATCH(N$3,Raw_Fund!$E$1:$AZ$1,0),
_xlpm.val,
INDEX(Raw_Fund!$E:$AZ,_xlpm.rowNo,_xlpm.colNo),
IF(ISNUMBER(_xlpm.val),_xlpm.val*$H174,""))</f>
        <v/>
      </c>
      <c r="O174" s="6" t="str">
        <f>_xlfn.LET(
_xlpm.rowNo, MATCH($C174&amp;"|"&amp;
($F174+O$4),Raw_Fund!$A:$A,0),
_xlpm.colNo,
MATCH(O$3,Raw_Fund!$E$1:$AZ$1,0),
_xlpm.val,
INDEX(Raw_Fund!$E:$AZ,_xlpm.rowNo,_xlpm.colNo),
IF(ISNUMBER(_xlpm.val),_xlpm.val*$H174,""))</f>
        <v/>
      </c>
      <c r="P174" s="6" t="str">
        <f>_xlfn.LET(
_xlpm.rowNo, MATCH($C174&amp;"|"&amp;
($F174+P$4),Raw_Fund!$A:$A,0),
_xlpm.colNo,
MATCH(P$3,Raw_Fund!$E$1:$AZ$1,0),
_xlpm.val,
INDEX(Raw_Fund!$E:$AZ,_xlpm.rowNo,_xlpm.colNo),
IF(ISNUMBER(_xlpm.val),_xlpm.val*$H174,""))</f>
        <v/>
      </c>
      <c r="Q174" s="6" t="str">
        <f>_xlfn.LET(
_xlpm.rowNo, MATCH($C174&amp;"|"&amp;
($F174+Q$4),Raw_Fund!$A:$A,0),
_xlpm.colNo,
MATCH(Q$3,Raw_Fund!$E$1:$AZ$1,0),
_xlpm.val,
INDEX(Raw_Fund!$E:$AZ,_xlpm.rowNo,_xlpm.colNo),
IF(ISNUMBER(_xlpm.val),_xlpm.val*$H174,""))</f>
        <v/>
      </c>
      <c r="R174" s="6" t="str">
        <f>_xlfn.LET(
_xlpm.rowNo, MATCH($C174&amp;"|"&amp;
($F174+R$4),Raw_Fund!$A:$A,0),
_xlpm.colNo,
MATCH(R$3,Raw_Fund!$E$1:$AZ$1,0),
_xlpm.val,
INDEX(Raw_Fund!$E:$AZ,_xlpm.rowNo,_xlpm.colNo),
IF(ISNUMBER(_xlpm.val),_xlpm.val*$H174,""))</f>
        <v/>
      </c>
      <c r="S174" s="6" t="str">
        <f>_xlfn.LET(
_xlpm.rowNo, MATCH($C174&amp;"|"&amp;
($F174+S$4),Raw_Fund!$A:$A,0),
_xlpm.colNo,
MATCH(S$3,Raw_Fund!$E$1:$AZ$1,0),
_xlpm.val,
INDEX(Raw_Fund!$E:$AZ,_xlpm.rowNo,_xlpm.colNo),
IF(ISNUMBER(_xlpm.val),_xlpm.val*$H174,""))</f>
        <v/>
      </c>
      <c r="T174" s="6" t="str">
        <f>_xlfn.LET(
_xlpm.rowNo, MATCH($C174&amp;"|"&amp;
($F174+T$4),Raw_Fund!$A:$A,0),
_xlpm.colNo,
MATCH(T$3,Raw_Fund!$E$1:$AZ$1,0),
_xlpm.val,
INDEX(Raw_Fund!$E:$AZ,_xlpm.rowNo,_xlpm.colNo),
IF(ISNUMBER(_xlpm.val),_xlpm.val*$H174,""))</f>
        <v/>
      </c>
      <c r="U174" s="6" t="str">
        <f>_xlfn.LET(
_xlpm.rowNo, MATCH($C174&amp;"|"&amp;
($F174+U$4),Raw_Fund!$A:$A,0),
_xlpm.colNo,
MATCH(U$3,Raw_Fund!$E$1:$AZ$1,0),
_xlpm.val,
INDEX(Raw_Fund!$E:$AZ,_xlpm.rowNo,_xlpm.colNo),
IF(ISNUMBER(_xlpm.val),_xlpm.val*$H174,""))</f>
        <v/>
      </c>
      <c r="V174" s="6" t="str">
        <f>_xlfn.LET(
_xlpm.rowNo, MATCH($C174&amp;"|"&amp;
($F174+V$4),Raw_Fund!$A:$A,0),
_xlpm.colNo,
MATCH(V$3,Raw_Fund!$E$1:$AZ$1,0),
_xlpm.val,
INDEX(Raw_Fund!$E:$AZ,_xlpm.rowNo,_xlpm.colNo),
IF(ISNUMBER(_xlpm.val),_xlpm.val*$H174,""))</f>
        <v/>
      </c>
      <c r="W174" s="6" t="str">
        <f>_xlfn.LET(
_xlpm.rowNo, MATCH($C174&amp;"|"&amp;
($F174+W$4),Raw_Fund!$A:$A,0),
_xlpm.colNo,
MATCH(W$3,Raw_Fund!$E$1:$AZ$1,0),
_xlpm.val,
INDEX(Raw_Fund!$E:$AZ,_xlpm.rowNo,_xlpm.colNo),
IF(ISNUMBER(_xlpm.val),_xlpm.val*$H174,""))</f>
        <v/>
      </c>
      <c r="X174" s="6" t="str">
        <f>_xlfn.LET(
_xlpm.rowNo, MATCH($C174&amp;"|"&amp;
($F174+X$4),Raw_Fund!$A:$A,0),
_xlpm.colNo,
MATCH(X$3,Raw_Fund!$E$1:$AZ$1,0),
_xlpm.val,
INDEX(Raw_Fund!$E:$AZ,_xlpm.rowNo,_xlpm.colNo),
IF(ISNUMBER(_xlpm.val),_xlpm.val*$H174,""))</f>
        <v/>
      </c>
      <c r="Y174" s="6" t="str">
        <f>_xlfn.LET(
_xlpm.rowNo, MATCH($C174&amp;"|"&amp;
($F174+Y$4),Raw_Fund!$A:$A,0),
_xlpm.colNo,
MATCH(Y$3,Raw_Fund!$E$1:$AZ$1,0),
_xlpm.val,
INDEX(Raw_Fund!$E:$AZ,_xlpm.rowNo,_xlpm.colNo),
IF(ISNUMBER(_xlpm.val),_xlpm.val*$H174,""))</f>
        <v/>
      </c>
      <c r="Z174" s="6" t="str">
        <f>IF($E174&lt;&gt;"Include","",_xlfn.XLOOKUP($C174,Raw_Mkt!$A:$A,Raw_Mkt!$B:$B))</f>
        <v/>
      </c>
    </row>
    <row r="175" spans="1:26" x14ac:dyDescent="0.4">
      <c r="A175" t="str">
        <f>IF(Universe!A175&lt;&gt;"",Universe!A175,"")</f>
        <v>PNN</v>
      </c>
      <c r="B175" t="str">
        <f>IF(Universe!B175&lt;&gt;"",Universe!B175,"")</f>
        <v>Pennon Group</v>
      </c>
      <c r="C175" t="str">
        <f>IF(Universe!C175&lt;&gt;"",Universe!C175,"")</f>
        <v>GB00BNNTLN49</v>
      </c>
      <c r="D175" t="str">
        <f>IF(Universe!D175&lt;&gt;"",Universe!D175,"")</f>
        <v>Utilities</v>
      </c>
      <c r="E175" t="str">
        <f>Universe!G175</f>
        <v>Include</v>
      </c>
      <c r="F175" t="str">
        <f>IF($E175&lt;&gt;"Include","",_xlfn.LET(_xlpm.latest,_xlfn.MAXIFS(Raw_Fund!$C:$C,Raw_Fund!$B:$B,Data!$C175),IF(_xlpm.latest=0,"",_xlpm.latest)))</f>
        <v/>
      </c>
      <c r="G175" t="str">
        <f>IF($F175="","",INDEX(Raw_Fund!$E:$AZ,MATCH($C175&amp;"|"&amp;$F175,Raw_Fund!$A:$A,0),MATCH(G$3,Raw_Fund!$E$1:$AZ$1,0)))</f>
        <v/>
      </c>
      <c r="H175" t="str">
        <f t="shared" si="2"/>
        <v/>
      </c>
      <c r="I175" s="6" t="str">
        <f>_xlfn.LET(
_xlpm.rowNo, MATCH($C175&amp;"|"&amp;
($F175+I$4),Raw_Fund!$A:$A,0),
_xlpm.colNo,
MATCH(I$3,Raw_Fund!$E$1:$AZ$1,0),
_xlpm.val,
INDEX(Raw_Fund!$E:$AZ,_xlpm.rowNo,_xlpm.colNo),
IF(ISNUMBER(_xlpm.val),_xlpm.val*$H175,""))</f>
        <v/>
      </c>
      <c r="J175" s="6" t="str">
        <f>_xlfn.LET(
_xlpm.rowNo, MATCH($C175&amp;"|"&amp;
($F175+J$4),Raw_Fund!$A:$A,0),
_xlpm.colNo,
MATCH(J$3,Raw_Fund!$E$1:$AZ$1,0),
_xlpm.val,
INDEX(Raw_Fund!$E:$AZ,_xlpm.rowNo,_xlpm.colNo),
IF(ISNUMBER(_xlpm.val),_xlpm.val*$H175,""))</f>
        <v/>
      </c>
      <c r="K175" s="6" t="str">
        <f>_xlfn.LET(
_xlpm.rowNo, MATCH($C175&amp;"|"&amp;
($F175+K$4),Raw_Fund!$A:$A,0),
_xlpm.colNo,
MATCH(K$3,Raw_Fund!$E$1:$AZ$1,0),
_xlpm.val,
INDEX(Raw_Fund!$E:$AZ,_xlpm.rowNo,_xlpm.colNo),
IF(ISNUMBER(_xlpm.val),_xlpm.val*$H175,""))</f>
        <v/>
      </c>
      <c r="L175" s="6" t="str">
        <f>_xlfn.LET(
_xlpm.rowNo, MATCH($C175&amp;"|"&amp;
($F175+L$4),Raw_Fund!$A:$A,0),
_xlpm.colNo,
MATCH(L$3,Raw_Fund!$E$1:$AZ$1,0),
_xlpm.val,
INDEX(Raw_Fund!$E:$AZ,_xlpm.rowNo,_xlpm.colNo),
IF(ISNUMBER(_xlpm.val),_xlpm.val*$H175,""))</f>
        <v/>
      </c>
      <c r="M175" s="6" t="str">
        <f>_xlfn.LET(
_xlpm.rowNo, MATCH($C175&amp;"|"&amp;
($F175+M$4),Raw_Fund!$A:$A,0),
_xlpm.colNo,
MATCH(M$3,Raw_Fund!$E$1:$AZ$1,0),
_xlpm.val,
INDEX(Raw_Fund!$E:$AZ,_xlpm.rowNo,_xlpm.colNo),
IF(ISNUMBER(_xlpm.val),_xlpm.val*$H175,""))</f>
        <v/>
      </c>
      <c r="N175" s="6" t="str">
        <f>_xlfn.LET(
_xlpm.rowNo, MATCH($C175&amp;"|"&amp;
($F175+N$4),Raw_Fund!$A:$A,0),
_xlpm.colNo,
MATCH(N$3,Raw_Fund!$E$1:$AZ$1,0),
_xlpm.val,
INDEX(Raw_Fund!$E:$AZ,_xlpm.rowNo,_xlpm.colNo),
IF(ISNUMBER(_xlpm.val),_xlpm.val*$H175,""))</f>
        <v/>
      </c>
      <c r="O175" s="6" t="str">
        <f>_xlfn.LET(
_xlpm.rowNo, MATCH($C175&amp;"|"&amp;
($F175+O$4),Raw_Fund!$A:$A,0),
_xlpm.colNo,
MATCH(O$3,Raw_Fund!$E$1:$AZ$1,0),
_xlpm.val,
INDEX(Raw_Fund!$E:$AZ,_xlpm.rowNo,_xlpm.colNo),
IF(ISNUMBER(_xlpm.val),_xlpm.val*$H175,""))</f>
        <v/>
      </c>
      <c r="P175" s="6" t="str">
        <f>_xlfn.LET(
_xlpm.rowNo, MATCH($C175&amp;"|"&amp;
($F175+P$4),Raw_Fund!$A:$A,0),
_xlpm.colNo,
MATCH(P$3,Raw_Fund!$E$1:$AZ$1,0),
_xlpm.val,
INDEX(Raw_Fund!$E:$AZ,_xlpm.rowNo,_xlpm.colNo),
IF(ISNUMBER(_xlpm.val),_xlpm.val*$H175,""))</f>
        <v/>
      </c>
      <c r="Q175" s="6" t="str">
        <f>_xlfn.LET(
_xlpm.rowNo, MATCH($C175&amp;"|"&amp;
($F175+Q$4),Raw_Fund!$A:$A,0),
_xlpm.colNo,
MATCH(Q$3,Raw_Fund!$E$1:$AZ$1,0),
_xlpm.val,
INDEX(Raw_Fund!$E:$AZ,_xlpm.rowNo,_xlpm.colNo),
IF(ISNUMBER(_xlpm.val),_xlpm.val*$H175,""))</f>
        <v/>
      </c>
      <c r="R175" s="6" t="str">
        <f>_xlfn.LET(
_xlpm.rowNo, MATCH($C175&amp;"|"&amp;
($F175+R$4),Raw_Fund!$A:$A,0),
_xlpm.colNo,
MATCH(R$3,Raw_Fund!$E$1:$AZ$1,0),
_xlpm.val,
INDEX(Raw_Fund!$E:$AZ,_xlpm.rowNo,_xlpm.colNo),
IF(ISNUMBER(_xlpm.val),_xlpm.val*$H175,""))</f>
        <v/>
      </c>
      <c r="S175" s="6" t="str">
        <f>_xlfn.LET(
_xlpm.rowNo, MATCH($C175&amp;"|"&amp;
($F175+S$4),Raw_Fund!$A:$A,0),
_xlpm.colNo,
MATCH(S$3,Raw_Fund!$E$1:$AZ$1,0),
_xlpm.val,
INDEX(Raw_Fund!$E:$AZ,_xlpm.rowNo,_xlpm.colNo),
IF(ISNUMBER(_xlpm.val),_xlpm.val*$H175,""))</f>
        <v/>
      </c>
      <c r="T175" s="6" t="str">
        <f>_xlfn.LET(
_xlpm.rowNo, MATCH($C175&amp;"|"&amp;
($F175+T$4),Raw_Fund!$A:$A,0),
_xlpm.colNo,
MATCH(T$3,Raw_Fund!$E$1:$AZ$1,0),
_xlpm.val,
INDEX(Raw_Fund!$E:$AZ,_xlpm.rowNo,_xlpm.colNo),
IF(ISNUMBER(_xlpm.val),_xlpm.val*$H175,""))</f>
        <v/>
      </c>
      <c r="U175" s="6" t="str">
        <f>_xlfn.LET(
_xlpm.rowNo, MATCH($C175&amp;"|"&amp;
($F175+U$4),Raw_Fund!$A:$A,0),
_xlpm.colNo,
MATCH(U$3,Raw_Fund!$E$1:$AZ$1,0),
_xlpm.val,
INDEX(Raw_Fund!$E:$AZ,_xlpm.rowNo,_xlpm.colNo),
IF(ISNUMBER(_xlpm.val),_xlpm.val*$H175,""))</f>
        <v/>
      </c>
      <c r="V175" s="6" t="str">
        <f>_xlfn.LET(
_xlpm.rowNo, MATCH($C175&amp;"|"&amp;
($F175+V$4),Raw_Fund!$A:$A,0),
_xlpm.colNo,
MATCH(V$3,Raw_Fund!$E$1:$AZ$1,0),
_xlpm.val,
INDEX(Raw_Fund!$E:$AZ,_xlpm.rowNo,_xlpm.colNo),
IF(ISNUMBER(_xlpm.val),_xlpm.val*$H175,""))</f>
        <v/>
      </c>
      <c r="W175" s="6" t="str">
        <f>_xlfn.LET(
_xlpm.rowNo, MATCH($C175&amp;"|"&amp;
($F175+W$4),Raw_Fund!$A:$A,0),
_xlpm.colNo,
MATCH(W$3,Raw_Fund!$E$1:$AZ$1,0),
_xlpm.val,
INDEX(Raw_Fund!$E:$AZ,_xlpm.rowNo,_xlpm.colNo),
IF(ISNUMBER(_xlpm.val),_xlpm.val*$H175,""))</f>
        <v/>
      </c>
      <c r="X175" s="6" t="str">
        <f>_xlfn.LET(
_xlpm.rowNo, MATCH($C175&amp;"|"&amp;
($F175+X$4),Raw_Fund!$A:$A,0),
_xlpm.colNo,
MATCH(X$3,Raw_Fund!$E$1:$AZ$1,0),
_xlpm.val,
INDEX(Raw_Fund!$E:$AZ,_xlpm.rowNo,_xlpm.colNo),
IF(ISNUMBER(_xlpm.val),_xlpm.val*$H175,""))</f>
        <v/>
      </c>
      <c r="Y175" s="6" t="str">
        <f>_xlfn.LET(
_xlpm.rowNo, MATCH($C175&amp;"|"&amp;
($F175+Y$4),Raw_Fund!$A:$A,0),
_xlpm.colNo,
MATCH(Y$3,Raw_Fund!$E$1:$AZ$1,0),
_xlpm.val,
INDEX(Raw_Fund!$E:$AZ,_xlpm.rowNo,_xlpm.colNo),
IF(ISNUMBER(_xlpm.val),_xlpm.val*$H175,""))</f>
        <v/>
      </c>
      <c r="Z175" s="6" t="e">
        <f>IF($E175&lt;&gt;"Include","",_xlfn.XLOOKUP($C175,Raw_Mkt!$A:$A,Raw_Mkt!$B:$B))</f>
        <v>#N/A</v>
      </c>
    </row>
    <row r="176" spans="1:26" x14ac:dyDescent="0.4">
      <c r="A176" t="str">
        <f>IF(Universe!A176&lt;&gt;"",Universe!A176,"")</f>
        <v>PSN</v>
      </c>
      <c r="B176" t="str">
        <f>IF(Universe!B176&lt;&gt;"",Universe!B176,"")</f>
        <v>Persimmon</v>
      </c>
      <c r="C176" t="str">
        <f>IF(Universe!C176&lt;&gt;"",Universe!C176,"")</f>
        <v>GB0006825383</v>
      </c>
      <c r="D176" t="str">
        <f>IF(Universe!D176&lt;&gt;"",Universe!D176,"")</f>
        <v>Consumer Discretionary</v>
      </c>
      <c r="E176" t="str">
        <f>Universe!G176</f>
        <v>Include</v>
      </c>
      <c r="F176" t="str">
        <f>IF($E176&lt;&gt;"Include","",_xlfn.LET(_xlpm.latest,_xlfn.MAXIFS(Raw_Fund!$C:$C,Raw_Fund!$B:$B,Data!$C176),IF(_xlpm.latest=0,"",_xlpm.latest)))</f>
        <v/>
      </c>
      <c r="G176" t="str">
        <f>IF($F176="","",INDEX(Raw_Fund!$E:$AZ,MATCH($C176&amp;"|"&amp;$F176,Raw_Fund!$A:$A,0),MATCH(G$3,Raw_Fund!$E$1:$AZ$1,0)))</f>
        <v/>
      </c>
      <c r="H176" t="str">
        <f t="shared" si="2"/>
        <v/>
      </c>
      <c r="I176" s="6" t="str">
        <f>_xlfn.LET(
_xlpm.rowNo, MATCH($C176&amp;"|"&amp;
($F176+I$4),Raw_Fund!$A:$A,0),
_xlpm.colNo,
MATCH(I$3,Raw_Fund!$E$1:$AZ$1,0),
_xlpm.val,
INDEX(Raw_Fund!$E:$AZ,_xlpm.rowNo,_xlpm.colNo),
IF(ISNUMBER(_xlpm.val),_xlpm.val*$H176,""))</f>
        <v/>
      </c>
      <c r="J176" s="6" t="str">
        <f>_xlfn.LET(
_xlpm.rowNo, MATCH($C176&amp;"|"&amp;
($F176+J$4),Raw_Fund!$A:$A,0),
_xlpm.colNo,
MATCH(J$3,Raw_Fund!$E$1:$AZ$1,0),
_xlpm.val,
INDEX(Raw_Fund!$E:$AZ,_xlpm.rowNo,_xlpm.colNo),
IF(ISNUMBER(_xlpm.val),_xlpm.val*$H176,""))</f>
        <v/>
      </c>
      <c r="K176" s="6" t="str">
        <f>_xlfn.LET(
_xlpm.rowNo, MATCH($C176&amp;"|"&amp;
($F176+K$4),Raw_Fund!$A:$A,0),
_xlpm.colNo,
MATCH(K$3,Raw_Fund!$E$1:$AZ$1,0),
_xlpm.val,
INDEX(Raw_Fund!$E:$AZ,_xlpm.rowNo,_xlpm.colNo),
IF(ISNUMBER(_xlpm.val),_xlpm.val*$H176,""))</f>
        <v/>
      </c>
      <c r="L176" s="6" t="str">
        <f>_xlfn.LET(
_xlpm.rowNo, MATCH($C176&amp;"|"&amp;
($F176+L$4),Raw_Fund!$A:$A,0),
_xlpm.colNo,
MATCH(L$3,Raw_Fund!$E$1:$AZ$1,0),
_xlpm.val,
INDEX(Raw_Fund!$E:$AZ,_xlpm.rowNo,_xlpm.colNo),
IF(ISNUMBER(_xlpm.val),_xlpm.val*$H176,""))</f>
        <v/>
      </c>
      <c r="M176" s="6" t="str">
        <f>_xlfn.LET(
_xlpm.rowNo, MATCH($C176&amp;"|"&amp;
($F176+M$4),Raw_Fund!$A:$A,0),
_xlpm.colNo,
MATCH(M$3,Raw_Fund!$E$1:$AZ$1,0),
_xlpm.val,
INDEX(Raw_Fund!$E:$AZ,_xlpm.rowNo,_xlpm.colNo),
IF(ISNUMBER(_xlpm.val),_xlpm.val*$H176,""))</f>
        <v/>
      </c>
      <c r="N176" s="6" t="str">
        <f>_xlfn.LET(
_xlpm.rowNo, MATCH($C176&amp;"|"&amp;
($F176+N$4),Raw_Fund!$A:$A,0),
_xlpm.colNo,
MATCH(N$3,Raw_Fund!$E$1:$AZ$1,0),
_xlpm.val,
INDEX(Raw_Fund!$E:$AZ,_xlpm.rowNo,_xlpm.colNo),
IF(ISNUMBER(_xlpm.val),_xlpm.val*$H176,""))</f>
        <v/>
      </c>
      <c r="O176" s="6" t="str">
        <f>_xlfn.LET(
_xlpm.rowNo, MATCH($C176&amp;"|"&amp;
($F176+O$4),Raw_Fund!$A:$A,0),
_xlpm.colNo,
MATCH(O$3,Raw_Fund!$E$1:$AZ$1,0),
_xlpm.val,
INDEX(Raw_Fund!$E:$AZ,_xlpm.rowNo,_xlpm.colNo),
IF(ISNUMBER(_xlpm.val),_xlpm.val*$H176,""))</f>
        <v/>
      </c>
      <c r="P176" s="6" t="str">
        <f>_xlfn.LET(
_xlpm.rowNo, MATCH($C176&amp;"|"&amp;
($F176+P$4),Raw_Fund!$A:$A,0),
_xlpm.colNo,
MATCH(P$3,Raw_Fund!$E$1:$AZ$1,0),
_xlpm.val,
INDEX(Raw_Fund!$E:$AZ,_xlpm.rowNo,_xlpm.colNo),
IF(ISNUMBER(_xlpm.val),_xlpm.val*$H176,""))</f>
        <v/>
      </c>
      <c r="Q176" s="6" t="str">
        <f>_xlfn.LET(
_xlpm.rowNo, MATCH($C176&amp;"|"&amp;
($F176+Q$4),Raw_Fund!$A:$A,0),
_xlpm.colNo,
MATCH(Q$3,Raw_Fund!$E$1:$AZ$1,0),
_xlpm.val,
INDEX(Raw_Fund!$E:$AZ,_xlpm.rowNo,_xlpm.colNo),
IF(ISNUMBER(_xlpm.val),_xlpm.val*$H176,""))</f>
        <v/>
      </c>
      <c r="R176" s="6" t="str">
        <f>_xlfn.LET(
_xlpm.rowNo, MATCH($C176&amp;"|"&amp;
($F176+R$4),Raw_Fund!$A:$A,0),
_xlpm.colNo,
MATCH(R$3,Raw_Fund!$E$1:$AZ$1,0),
_xlpm.val,
INDEX(Raw_Fund!$E:$AZ,_xlpm.rowNo,_xlpm.colNo),
IF(ISNUMBER(_xlpm.val),_xlpm.val*$H176,""))</f>
        <v/>
      </c>
      <c r="S176" s="6" t="str">
        <f>_xlfn.LET(
_xlpm.rowNo, MATCH($C176&amp;"|"&amp;
($F176+S$4),Raw_Fund!$A:$A,0),
_xlpm.colNo,
MATCH(S$3,Raw_Fund!$E$1:$AZ$1,0),
_xlpm.val,
INDEX(Raw_Fund!$E:$AZ,_xlpm.rowNo,_xlpm.colNo),
IF(ISNUMBER(_xlpm.val),_xlpm.val*$H176,""))</f>
        <v/>
      </c>
      <c r="T176" s="6" t="str">
        <f>_xlfn.LET(
_xlpm.rowNo, MATCH($C176&amp;"|"&amp;
($F176+T$4),Raw_Fund!$A:$A,0),
_xlpm.colNo,
MATCH(T$3,Raw_Fund!$E$1:$AZ$1,0),
_xlpm.val,
INDEX(Raw_Fund!$E:$AZ,_xlpm.rowNo,_xlpm.colNo),
IF(ISNUMBER(_xlpm.val),_xlpm.val*$H176,""))</f>
        <v/>
      </c>
      <c r="U176" s="6" t="str">
        <f>_xlfn.LET(
_xlpm.rowNo, MATCH($C176&amp;"|"&amp;
($F176+U$4),Raw_Fund!$A:$A,0),
_xlpm.colNo,
MATCH(U$3,Raw_Fund!$E$1:$AZ$1,0),
_xlpm.val,
INDEX(Raw_Fund!$E:$AZ,_xlpm.rowNo,_xlpm.colNo),
IF(ISNUMBER(_xlpm.val),_xlpm.val*$H176,""))</f>
        <v/>
      </c>
      <c r="V176" s="6" t="str">
        <f>_xlfn.LET(
_xlpm.rowNo, MATCH($C176&amp;"|"&amp;
($F176+V$4),Raw_Fund!$A:$A,0),
_xlpm.colNo,
MATCH(V$3,Raw_Fund!$E$1:$AZ$1,0),
_xlpm.val,
INDEX(Raw_Fund!$E:$AZ,_xlpm.rowNo,_xlpm.colNo),
IF(ISNUMBER(_xlpm.val),_xlpm.val*$H176,""))</f>
        <v/>
      </c>
      <c r="W176" s="6" t="str">
        <f>_xlfn.LET(
_xlpm.rowNo, MATCH($C176&amp;"|"&amp;
($F176+W$4),Raw_Fund!$A:$A,0),
_xlpm.colNo,
MATCH(W$3,Raw_Fund!$E$1:$AZ$1,0),
_xlpm.val,
INDEX(Raw_Fund!$E:$AZ,_xlpm.rowNo,_xlpm.colNo),
IF(ISNUMBER(_xlpm.val),_xlpm.val*$H176,""))</f>
        <v/>
      </c>
      <c r="X176" s="6" t="str">
        <f>_xlfn.LET(
_xlpm.rowNo, MATCH($C176&amp;"|"&amp;
($F176+X$4),Raw_Fund!$A:$A,0),
_xlpm.colNo,
MATCH(X$3,Raw_Fund!$E$1:$AZ$1,0),
_xlpm.val,
INDEX(Raw_Fund!$E:$AZ,_xlpm.rowNo,_xlpm.colNo),
IF(ISNUMBER(_xlpm.val),_xlpm.val*$H176,""))</f>
        <v/>
      </c>
      <c r="Y176" s="6" t="str">
        <f>_xlfn.LET(
_xlpm.rowNo, MATCH($C176&amp;"|"&amp;
($F176+Y$4),Raw_Fund!$A:$A,0),
_xlpm.colNo,
MATCH(Y$3,Raw_Fund!$E$1:$AZ$1,0),
_xlpm.val,
INDEX(Raw_Fund!$E:$AZ,_xlpm.rowNo,_xlpm.colNo),
IF(ISNUMBER(_xlpm.val),_xlpm.val*$H176,""))</f>
        <v/>
      </c>
      <c r="Z176" s="6" t="e">
        <f>IF($E176&lt;&gt;"Include","",_xlfn.XLOOKUP($C176,Raw_Mkt!$A:$A,Raw_Mkt!$B:$B))</f>
        <v>#N/A</v>
      </c>
    </row>
    <row r="177" spans="1:26" x14ac:dyDescent="0.4">
      <c r="A177" t="str">
        <f>IF(Universe!A177&lt;&gt;"",Universe!A177,"")</f>
        <v>PNL</v>
      </c>
      <c r="B177" t="str">
        <f>IF(Universe!B177&lt;&gt;"",Universe!B177,"")</f>
        <v>Personal Assets Trust</v>
      </c>
      <c r="C177" t="str">
        <f>IF(Universe!C177&lt;&gt;"",Universe!C177,"")</f>
        <v>GB00BM8B5H06</v>
      </c>
      <c r="D177" t="str">
        <f>IF(Universe!D177&lt;&gt;"",Universe!D177,"")</f>
        <v>Financials</v>
      </c>
      <c r="E177" t="str">
        <f>Universe!G177</f>
        <v>Exclude</v>
      </c>
      <c r="F177" t="str">
        <f>IF($E177&lt;&gt;"Include","",_xlfn.LET(_xlpm.latest,_xlfn.MAXIFS(Raw_Fund!$C:$C,Raw_Fund!$B:$B,Data!$C177),IF(_xlpm.latest=0,"",_xlpm.latest)))</f>
        <v/>
      </c>
      <c r="G177" t="str">
        <f>IF($F177="","",INDEX(Raw_Fund!$E:$AZ,MATCH($C177&amp;"|"&amp;$F177,Raw_Fund!$A:$A,0),MATCH(G$3,Raw_Fund!$E$1:$AZ$1,0)))</f>
        <v/>
      </c>
      <c r="H177" t="str">
        <f t="shared" si="2"/>
        <v/>
      </c>
      <c r="I177" s="6" t="str">
        <f>_xlfn.LET(
_xlpm.rowNo, MATCH($C177&amp;"|"&amp;
($F177+I$4),Raw_Fund!$A:$A,0),
_xlpm.colNo,
MATCH(I$3,Raw_Fund!$E$1:$AZ$1,0),
_xlpm.val,
INDEX(Raw_Fund!$E:$AZ,_xlpm.rowNo,_xlpm.colNo),
IF(ISNUMBER(_xlpm.val),_xlpm.val*$H177,""))</f>
        <v/>
      </c>
      <c r="J177" s="6" t="str">
        <f>_xlfn.LET(
_xlpm.rowNo, MATCH($C177&amp;"|"&amp;
($F177+J$4),Raw_Fund!$A:$A,0),
_xlpm.colNo,
MATCH(J$3,Raw_Fund!$E$1:$AZ$1,0),
_xlpm.val,
INDEX(Raw_Fund!$E:$AZ,_xlpm.rowNo,_xlpm.colNo),
IF(ISNUMBER(_xlpm.val),_xlpm.val*$H177,""))</f>
        <v/>
      </c>
      <c r="K177" s="6" t="str">
        <f>_xlfn.LET(
_xlpm.rowNo, MATCH($C177&amp;"|"&amp;
($F177+K$4),Raw_Fund!$A:$A,0),
_xlpm.colNo,
MATCH(K$3,Raw_Fund!$E$1:$AZ$1,0),
_xlpm.val,
INDEX(Raw_Fund!$E:$AZ,_xlpm.rowNo,_xlpm.colNo),
IF(ISNUMBER(_xlpm.val),_xlpm.val*$H177,""))</f>
        <v/>
      </c>
      <c r="L177" s="6" t="str">
        <f>_xlfn.LET(
_xlpm.rowNo, MATCH($C177&amp;"|"&amp;
($F177+L$4),Raw_Fund!$A:$A,0),
_xlpm.colNo,
MATCH(L$3,Raw_Fund!$E$1:$AZ$1,0),
_xlpm.val,
INDEX(Raw_Fund!$E:$AZ,_xlpm.rowNo,_xlpm.colNo),
IF(ISNUMBER(_xlpm.val),_xlpm.val*$H177,""))</f>
        <v/>
      </c>
      <c r="M177" s="6" t="str">
        <f>_xlfn.LET(
_xlpm.rowNo, MATCH($C177&amp;"|"&amp;
($F177+M$4),Raw_Fund!$A:$A,0),
_xlpm.colNo,
MATCH(M$3,Raw_Fund!$E$1:$AZ$1,0),
_xlpm.val,
INDEX(Raw_Fund!$E:$AZ,_xlpm.rowNo,_xlpm.colNo),
IF(ISNUMBER(_xlpm.val),_xlpm.val*$H177,""))</f>
        <v/>
      </c>
      <c r="N177" s="6" t="str">
        <f>_xlfn.LET(
_xlpm.rowNo, MATCH($C177&amp;"|"&amp;
($F177+N$4),Raw_Fund!$A:$A,0),
_xlpm.colNo,
MATCH(N$3,Raw_Fund!$E$1:$AZ$1,0),
_xlpm.val,
INDEX(Raw_Fund!$E:$AZ,_xlpm.rowNo,_xlpm.colNo),
IF(ISNUMBER(_xlpm.val),_xlpm.val*$H177,""))</f>
        <v/>
      </c>
      <c r="O177" s="6" t="str">
        <f>_xlfn.LET(
_xlpm.rowNo, MATCH($C177&amp;"|"&amp;
($F177+O$4),Raw_Fund!$A:$A,0),
_xlpm.colNo,
MATCH(O$3,Raw_Fund!$E$1:$AZ$1,0),
_xlpm.val,
INDEX(Raw_Fund!$E:$AZ,_xlpm.rowNo,_xlpm.colNo),
IF(ISNUMBER(_xlpm.val),_xlpm.val*$H177,""))</f>
        <v/>
      </c>
      <c r="P177" s="6" t="str">
        <f>_xlfn.LET(
_xlpm.rowNo, MATCH($C177&amp;"|"&amp;
($F177+P$4),Raw_Fund!$A:$A,0),
_xlpm.colNo,
MATCH(P$3,Raw_Fund!$E$1:$AZ$1,0),
_xlpm.val,
INDEX(Raw_Fund!$E:$AZ,_xlpm.rowNo,_xlpm.colNo),
IF(ISNUMBER(_xlpm.val),_xlpm.val*$H177,""))</f>
        <v/>
      </c>
      <c r="Q177" s="6" t="str">
        <f>_xlfn.LET(
_xlpm.rowNo, MATCH($C177&amp;"|"&amp;
($F177+Q$4),Raw_Fund!$A:$A,0),
_xlpm.colNo,
MATCH(Q$3,Raw_Fund!$E$1:$AZ$1,0),
_xlpm.val,
INDEX(Raw_Fund!$E:$AZ,_xlpm.rowNo,_xlpm.colNo),
IF(ISNUMBER(_xlpm.val),_xlpm.val*$H177,""))</f>
        <v/>
      </c>
      <c r="R177" s="6" t="str">
        <f>_xlfn.LET(
_xlpm.rowNo, MATCH($C177&amp;"|"&amp;
($F177+R$4),Raw_Fund!$A:$A,0),
_xlpm.colNo,
MATCH(R$3,Raw_Fund!$E$1:$AZ$1,0),
_xlpm.val,
INDEX(Raw_Fund!$E:$AZ,_xlpm.rowNo,_xlpm.colNo),
IF(ISNUMBER(_xlpm.val),_xlpm.val*$H177,""))</f>
        <v/>
      </c>
      <c r="S177" s="6" t="str">
        <f>_xlfn.LET(
_xlpm.rowNo, MATCH($C177&amp;"|"&amp;
($F177+S$4),Raw_Fund!$A:$A,0),
_xlpm.colNo,
MATCH(S$3,Raw_Fund!$E$1:$AZ$1,0),
_xlpm.val,
INDEX(Raw_Fund!$E:$AZ,_xlpm.rowNo,_xlpm.colNo),
IF(ISNUMBER(_xlpm.val),_xlpm.val*$H177,""))</f>
        <v/>
      </c>
      <c r="T177" s="6" t="str">
        <f>_xlfn.LET(
_xlpm.rowNo, MATCH($C177&amp;"|"&amp;
($F177+T$4),Raw_Fund!$A:$A,0),
_xlpm.colNo,
MATCH(T$3,Raw_Fund!$E$1:$AZ$1,0),
_xlpm.val,
INDEX(Raw_Fund!$E:$AZ,_xlpm.rowNo,_xlpm.colNo),
IF(ISNUMBER(_xlpm.val),_xlpm.val*$H177,""))</f>
        <v/>
      </c>
      <c r="U177" s="6" t="str">
        <f>_xlfn.LET(
_xlpm.rowNo, MATCH($C177&amp;"|"&amp;
($F177+U$4),Raw_Fund!$A:$A,0),
_xlpm.colNo,
MATCH(U$3,Raw_Fund!$E$1:$AZ$1,0),
_xlpm.val,
INDEX(Raw_Fund!$E:$AZ,_xlpm.rowNo,_xlpm.colNo),
IF(ISNUMBER(_xlpm.val),_xlpm.val*$H177,""))</f>
        <v/>
      </c>
      <c r="V177" s="6" t="str">
        <f>_xlfn.LET(
_xlpm.rowNo, MATCH($C177&amp;"|"&amp;
($F177+V$4),Raw_Fund!$A:$A,0),
_xlpm.colNo,
MATCH(V$3,Raw_Fund!$E$1:$AZ$1,0),
_xlpm.val,
INDEX(Raw_Fund!$E:$AZ,_xlpm.rowNo,_xlpm.colNo),
IF(ISNUMBER(_xlpm.val),_xlpm.val*$H177,""))</f>
        <v/>
      </c>
      <c r="W177" s="6" t="str">
        <f>_xlfn.LET(
_xlpm.rowNo, MATCH($C177&amp;"|"&amp;
($F177+W$4),Raw_Fund!$A:$A,0),
_xlpm.colNo,
MATCH(W$3,Raw_Fund!$E$1:$AZ$1,0),
_xlpm.val,
INDEX(Raw_Fund!$E:$AZ,_xlpm.rowNo,_xlpm.colNo),
IF(ISNUMBER(_xlpm.val),_xlpm.val*$H177,""))</f>
        <v/>
      </c>
      <c r="X177" s="6" t="str">
        <f>_xlfn.LET(
_xlpm.rowNo, MATCH($C177&amp;"|"&amp;
($F177+X$4),Raw_Fund!$A:$A,0),
_xlpm.colNo,
MATCH(X$3,Raw_Fund!$E$1:$AZ$1,0),
_xlpm.val,
INDEX(Raw_Fund!$E:$AZ,_xlpm.rowNo,_xlpm.colNo),
IF(ISNUMBER(_xlpm.val),_xlpm.val*$H177,""))</f>
        <v/>
      </c>
      <c r="Y177" s="6" t="str">
        <f>_xlfn.LET(
_xlpm.rowNo, MATCH($C177&amp;"|"&amp;
($F177+Y$4),Raw_Fund!$A:$A,0),
_xlpm.colNo,
MATCH(Y$3,Raw_Fund!$E$1:$AZ$1,0),
_xlpm.val,
INDEX(Raw_Fund!$E:$AZ,_xlpm.rowNo,_xlpm.colNo),
IF(ISNUMBER(_xlpm.val),_xlpm.val*$H177,""))</f>
        <v/>
      </c>
      <c r="Z177" s="6" t="str">
        <f>IF($E177&lt;&gt;"Include","",_xlfn.XLOOKUP($C177,Raw_Mkt!$A:$A,Raw_Mkt!$B:$B))</f>
        <v/>
      </c>
    </row>
    <row r="178" spans="1:26" x14ac:dyDescent="0.4">
      <c r="A178" t="str">
        <f>IF(Universe!A178&lt;&gt;"",Universe!A178,"")</f>
        <v>PETS</v>
      </c>
      <c r="B178" t="str">
        <f>IF(Universe!B178&lt;&gt;"",Universe!B178,"")</f>
        <v>Pets at Home</v>
      </c>
      <c r="C178" t="str">
        <f>IF(Universe!C178&lt;&gt;"",Universe!C178,"")</f>
        <v>GB00BJ62K685</v>
      </c>
      <c r="D178" t="str">
        <f>IF(Universe!D178&lt;&gt;"",Universe!D178,"")</f>
        <v>Consumer Discretionary</v>
      </c>
      <c r="E178" t="str">
        <f>Universe!G178</f>
        <v>Include</v>
      </c>
      <c r="F178" t="str">
        <f>IF($E178&lt;&gt;"Include","",_xlfn.LET(_xlpm.latest,_xlfn.MAXIFS(Raw_Fund!$C:$C,Raw_Fund!$B:$B,Data!$C178),IF(_xlpm.latest=0,"",_xlpm.latest)))</f>
        <v/>
      </c>
      <c r="G178" t="str">
        <f>IF($F178="","",INDEX(Raw_Fund!$E:$AZ,MATCH($C178&amp;"|"&amp;$F178,Raw_Fund!$A:$A,0),MATCH(G$3,Raw_Fund!$E$1:$AZ$1,0)))</f>
        <v/>
      </c>
      <c r="H178" t="str">
        <f t="shared" si="2"/>
        <v/>
      </c>
      <c r="I178" s="6" t="str">
        <f>_xlfn.LET(
_xlpm.rowNo, MATCH($C178&amp;"|"&amp;
($F178+I$4),Raw_Fund!$A:$A,0),
_xlpm.colNo,
MATCH(I$3,Raw_Fund!$E$1:$AZ$1,0),
_xlpm.val,
INDEX(Raw_Fund!$E:$AZ,_xlpm.rowNo,_xlpm.colNo),
IF(ISNUMBER(_xlpm.val),_xlpm.val*$H178,""))</f>
        <v/>
      </c>
      <c r="J178" s="6" t="str">
        <f>_xlfn.LET(
_xlpm.rowNo, MATCH($C178&amp;"|"&amp;
($F178+J$4),Raw_Fund!$A:$A,0),
_xlpm.colNo,
MATCH(J$3,Raw_Fund!$E$1:$AZ$1,0),
_xlpm.val,
INDEX(Raw_Fund!$E:$AZ,_xlpm.rowNo,_xlpm.colNo),
IF(ISNUMBER(_xlpm.val),_xlpm.val*$H178,""))</f>
        <v/>
      </c>
      <c r="K178" s="6" t="str">
        <f>_xlfn.LET(
_xlpm.rowNo, MATCH($C178&amp;"|"&amp;
($F178+K$4),Raw_Fund!$A:$A,0),
_xlpm.colNo,
MATCH(K$3,Raw_Fund!$E$1:$AZ$1,0),
_xlpm.val,
INDEX(Raw_Fund!$E:$AZ,_xlpm.rowNo,_xlpm.colNo),
IF(ISNUMBER(_xlpm.val),_xlpm.val*$H178,""))</f>
        <v/>
      </c>
      <c r="L178" s="6" t="str">
        <f>_xlfn.LET(
_xlpm.rowNo, MATCH($C178&amp;"|"&amp;
($F178+L$4),Raw_Fund!$A:$A,0),
_xlpm.colNo,
MATCH(L$3,Raw_Fund!$E$1:$AZ$1,0),
_xlpm.val,
INDEX(Raw_Fund!$E:$AZ,_xlpm.rowNo,_xlpm.colNo),
IF(ISNUMBER(_xlpm.val),_xlpm.val*$H178,""))</f>
        <v/>
      </c>
      <c r="M178" s="6" t="str">
        <f>_xlfn.LET(
_xlpm.rowNo, MATCH($C178&amp;"|"&amp;
($F178+M$4),Raw_Fund!$A:$A,0),
_xlpm.colNo,
MATCH(M$3,Raw_Fund!$E$1:$AZ$1,0),
_xlpm.val,
INDEX(Raw_Fund!$E:$AZ,_xlpm.rowNo,_xlpm.colNo),
IF(ISNUMBER(_xlpm.val),_xlpm.val*$H178,""))</f>
        <v/>
      </c>
      <c r="N178" s="6" t="str">
        <f>_xlfn.LET(
_xlpm.rowNo, MATCH($C178&amp;"|"&amp;
($F178+N$4),Raw_Fund!$A:$A,0),
_xlpm.colNo,
MATCH(N$3,Raw_Fund!$E$1:$AZ$1,0),
_xlpm.val,
INDEX(Raw_Fund!$E:$AZ,_xlpm.rowNo,_xlpm.colNo),
IF(ISNUMBER(_xlpm.val),_xlpm.val*$H178,""))</f>
        <v/>
      </c>
      <c r="O178" s="6" t="str">
        <f>_xlfn.LET(
_xlpm.rowNo, MATCH($C178&amp;"|"&amp;
($F178+O$4),Raw_Fund!$A:$A,0),
_xlpm.colNo,
MATCH(O$3,Raw_Fund!$E$1:$AZ$1,0),
_xlpm.val,
INDEX(Raw_Fund!$E:$AZ,_xlpm.rowNo,_xlpm.colNo),
IF(ISNUMBER(_xlpm.val),_xlpm.val*$H178,""))</f>
        <v/>
      </c>
      <c r="P178" s="6" t="str">
        <f>_xlfn.LET(
_xlpm.rowNo, MATCH($C178&amp;"|"&amp;
($F178+P$4),Raw_Fund!$A:$A,0),
_xlpm.colNo,
MATCH(P$3,Raw_Fund!$E$1:$AZ$1,0),
_xlpm.val,
INDEX(Raw_Fund!$E:$AZ,_xlpm.rowNo,_xlpm.colNo),
IF(ISNUMBER(_xlpm.val),_xlpm.val*$H178,""))</f>
        <v/>
      </c>
      <c r="Q178" s="6" t="str">
        <f>_xlfn.LET(
_xlpm.rowNo, MATCH($C178&amp;"|"&amp;
($F178+Q$4),Raw_Fund!$A:$A,0),
_xlpm.colNo,
MATCH(Q$3,Raw_Fund!$E$1:$AZ$1,0),
_xlpm.val,
INDEX(Raw_Fund!$E:$AZ,_xlpm.rowNo,_xlpm.colNo),
IF(ISNUMBER(_xlpm.val),_xlpm.val*$H178,""))</f>
        <v/>
      </c>
      <c r="R178" s="6" t="str">
        <f>_xlfn.LET(
_xlpm.rowNo, MATCH($C178&amp;"|"&amp;
($F178+R$4),Raw_Fund!$A:$A,0),
_xlpm.colNo,
MATCH(R$3,Raw_Fund!$E$1:$AZ$1,0),
_xlpm.val,
INDEX(Raw_Fund!$E:$AZ,_xlpm.rowNo,_xlpm.colNo),
IF(ISNUMBER(_xlpm.val),_xlpm.val*$H178,""))</f>
        <v/>
      </c>
      <c r="S178" s="6" t="str">
        <f>_xlfn.LET(
_xlpm.rowNo, MATCH($C178&amp;"|"&amp;
($F178+S$4),Raw_Fund!$A:$A,0),
_xlpm.colNo,
MATCH(S$3,Raw_Fund!$E$1:$AZ$1,0),
_xlpm.val,
INDEX(Raw_Fund!$E:$AZ,_xlpm.rowNo,_xlpm.colNo),
IF(ISNUMBER(_xlpm.val),_xlpm.val*$H178,""))</f>
        <v/>
      </c>
      <c r="T178" s="6" t="str">
        <f>_xlfn.LET(
_xlpm.rowNo, MATCH($C178&amp;"|"&amp;
($F178+T$4),Raw_Fund!$A:$A,0),
_xlpm.colNo,
MATCH(T$3,Raw_Fund!$E$1:$AZ$1,0),
_xlpm.val,
INDEX(Raw_Fund!$E:$AZ,_xlpm.rowNo,_xlpm.colNo),
IF(ISNUMBER(_xlpm.val),_xlpm.val*$H178,""))</f>
        <v/>
      </c>
      <c r="U178" s="6" t="str">
        <f>_xlfn.LET(
_xlpm.rowNo, MATCH($C178&amp;"|"&amp;
($F178+U$4),Raw_Fund!$A:$A,0),
_xlpm.colNo,
MATCH(U$3,Raw_Fund!$E$1:$AZ$1,0),
_xlpm.val,
INDEX(Raw_Fund!$E:$AZ,_xlpm.rowNo,_xlpm.colNo),
IF(ISNUMBER(_xlpm.val),_xlpm.val*$H178,""))</f>
        <v/>
      </c>
      <c r="V178" s="6" t="str">
        <f>_xlfn.LET(
_xlpm.rowNo, MATCH($C178&amp;"|"&amp;
($F178+V$4),Raw_Fund!$A:$A,0),
_xlpm.colNo,
MATCH(V$3,Raw_Fund!$E$1:$AZ$1,0),
_xlpm.val,
INDEX(Raw_Fund!$E:$AZ,_xlpm.rowNo,_xlpm.colNo),
IF(ISNUMBER(_xlpm.val),_xlpm.val*$H178,""))</f>
        <v/>
      </c>
      <c r="W178" s="6" t="str">
        <f>_xlfn.LET(
_xlpm.rowNo, MATCH($C178&amp;"|"&amp;
($F178+W$4),Raw_Fund!$A:$A,0),
_xlpm.colNo,
MATCH(W$3,Raw_Fund!$E$1:$AZ$1,0),
_xlpm.val,
INDEX(Raw_Fund!$E:$AZ,_xlpm.rowNo,_xlpm.colNo),
IF(ISNUMBER(_xlpm.val),_xlpm.val*$H178,""))</f>
        <v/>
      </c>
      <c r="X178" s="6" t="str">
        <f>_xlfn.LET(
_xlpm.rowNo, MATCH($C178&amp;"|"&amp;
($F178+X$4),Raw_Fund!$A:$A,0),
_xlpm.colNo,
MATCH(X$3,Raw_Fund!$E$1:$AZ$1,0),
_xlpm.val,
INDEX(Raw_Fund!$E:$AZ,_xlpm.rowNo,_xlpm.colNo),
IF(ISNUMBER(_xlpm.val),_xlpm.val*$H178,""))</f>
        <v/>
      </c>
      <c r="Y178" s="6" t="str">
        <f>_xlfn.LET(
_xlpm.rowNo, MATCH($C178&amp;"|"&amp;
($F178+Y$4),Raw_Fund!$A:$A,0),
_xlpm.colNo,
MATCH(Y$3,Raw_Fund!$E$1:$AZ$1,0),
_xlpm.val,
INDEX(Raw_Fund!$E:$AZ,_xlpm.rowNo,_xlpm.colNo),
IF(ISNUMBER(_xlpm.val),_xlpm.val*$H178,""))</f>
        <v/>
      </c>
      <c r="Z178" s="6" t="e">
        <f>IF($E178&lt;&gt;"Include","",_xlfn.XLOOKUP($C178,Raw_Mkt!$A:$A,Raw_Mkt!$B:$B))</f>
        <v>#N/A</v>
      </c>
    </row>
    <row r="179" spans="1:26" x14ac:dyDescent="0.4">
      <c r="A179" t="str">
        <f>IF(Universe!A179&lt;&gt;"",Universe!A179,"")</f>
        <v>PTEC</v>
      </c>
      <c r="B179" t="str">
        <f>IF(Universe!B179&lt;&gt;"",Universe!B179,"")</f>
        <v>Playtech</v>
      </c>
      <c r="C179" t="str">
        <f>IF(Universe!C179&lt;&gt;"",Universe!C179,"")</f>
        <v>IM00B7S9G985</v>
      </c>
      <c r="D179" t="str">
        <f>IF(Universe!D179&lt;&gt;"",Universe!D179,"")</f>
        <v>Consumer Discretionary</v>
      </c>
      <c r="E179" t="str">
        <f>Universe!G179</f>
        <v>Exclude</v>
      </c>
      <c r="F179" t="str">
        <f>IF($E179&lt;&gt;"Include","",_xlfn.LET(_xlpm.latest,_xlfn.MAXIFS(Raw_Fund!$C:$C,Raw_Fund!$B:$B,Data!$C179),IF(_xlpm.latest=0,"",_xlpm.latest)))</f>
        <v/>
      </c>
      <c r="G179" t="str">
        <f>IF($F179="","",INDEX(Raw_Fund!$E:$AZ,MATCH($C179&amp;"|"&amp;$F179,Raw_Fund!$A:$A,0),MATCH(G$3,Raw_Fund!$E$1:$AZ$1,0)))</f>
        <v/>
      </c>
      <c r="H179" t="str">
        <f t="shared" si="2"/>
        <v/>
      </c>
      <c r="I179" s="6" t="str">
        <f>_xlfn.LET(
_xlpm.rowNo, MATCH($C179&amp;"|"&amp;
($F179+I$4),Raw_Fund!$A:$A,0),
_xlpm.colNo,
MATCH(I$3,Raw_Fund!$E$1:$AZ$1,0),
_xlpm.val,
INDEX(Raw_Fund!$E:$AZ,_xlpm.rowNo,_xlpm.colNo),
IF(ISNUMBER(_xlpm.val),_xlpm.val*$H179,""))</f>
        <v/>
      </c>
      <c r="J179" s="6" t="str">
        <f>_xlfn.LET(
_xlpm.rowNo, MATCH($C179&amp;"|"&amp;
($F179+J$4),Raw_Fund!$A:$A,0),
_xlpm.colNo,
MATCH(J$3,Raw_Fund!$E$1:$AZ$1,0),
_xlpm.val,
INDEX(Raw_Fund!$E:$AZ,_xlpm.rowNo,_xlpm.colNo),
IF(ISNUMBER(_xlpm.val),_xlpm.val*$H179,""))</f>
        <v/>
      </c>
      <c r="K179" s="6" t="str">
        <f>_xlfn.LET(
_xlpm.rowNo, MATCH($C179&amp;"|"&amp;
($F179+K$4),Raw_Fund!$A:$A,0),
_xlpm.colNo,
MATCH(K$3,Raw_Fund!$E$1:$AZ$1,0),
_xlpm.val,
INDEX(Raw_Fund!$E:$AZ,_xlpm.rowNo,_xlpm.colNo),
IF(ISNUMBER(_xlpm.val),_xlpm.val*$H179,""))</f>
        <v/>
      </c>
      <c r="L179" s="6" t="str">
        <f>_xlfn.LET(
_xlpm.rowNo, MATCH($C179&amp;"|"&amp;
($F179+L$4),Raw_Fund!$A:$A,0),
_xlpm.colNo,
MATCH(L$3,Raw_Fund!$E$1:$AZ$1,0),
_xlpm.val,
INDEX(Raw_Fund!$E:$AZ,_xlpm.rowNo,_xlpm.colNo),
IF(ISNUMBER(_xlpm.val),_xlpm.val*$H179,""))</f>
        <v/>
      </c>
      <c r="M179" s="6" t="str">
        <f>_xlfn.LET(
_xlpm.rowNo, MATCH($C179&amp;"|"&amp;
($F179+M$4),Raw_Fund!$A:$A,0),
_xlpm.colNo,
MATCH(M$3,Raw_Fund!$E$1:$AZ$1,0),
_xlpm.val,
INDEX(Raw_Fund!$E:$AZ,_xlpm.rowNo,_xlpm.colNo),
IF(ISNUMBER(_xlpm.val),_xlpm.val*$H179,""))</f>
        <v/>
      </c>
      <c r="N179" s="6" t="str">
        <f>_xlfn.LET(
_xlpm.rowNo, MATCH($C179&amp;"|"&amp;
($F179+N$4),Raw_Fund!$A:$A,0),
_xlpm.colNo,
MATCH(N$3,Raw_Fund!$E$1:$AZ$1,0),
_xlpm.val,
INDEX(Raw_Fund!$E:$AZ,_xlpm.rowNo,_xlpm.colNo),
IF(ISNUMBER(_xlpm.val),_xlpm.val*$H179,""))</f>
        <v/>
      </c>
      <c r="O179" s="6" t="str">
        <f>_xlfn.LET(
_xlpm.rowNo, MATCH($C179&amp;"|"&amp;
($F179+O$4),Raw_Fund!$A:$A,0),
_xlpm.colNo,
MATCH(O$3,Raw_Fund!$E$1:$AZ$1,0),
_xlpm.val,
INDEX(Raw_Fund!$E:$AZ,_xlpm.rowNo,_xlpm.colNo),
IF(ISNUMBER(_xlpm.val),_xlpm.val*$H179,""))</f>
        <v/>
      </c>
      <c r="P179" s="6" t="str">
        <f>_xlfn.LET(
_xlpm.rowNo, MATCH($C179&amp;"|"&amp;
($F179+P$4),Raw_Fund!$A:$A,0),
_xlpm.colNo,
MATCH(P$3,Raw_Fund!$E$1:$AZ$1,0),
_xlpm.val,
INDEX(Raw_Fund!$E:$AZ,_xlpm.rowNo,_xlpm.colNo),
IF(ISNUMBER(_xlpm.val),_xlpm.val*$H179,""))</f>
        <v/>
      </c>
      <c r="Q179" s="6" t="str">
        <f>_xlfn.LET(
_xlpm.rowNo, MATCH($C179&amp;"|"&amp;
($F179+Q$4),Raw_Fund!$A:$A,0),
_xlpm.colNo,
MATCH(Q$3,Raw_Fund!$E$1:$AZ$1,0),
_xlpm.val,
INDEX(Raw_Fund!$E:$AZ,_xlpm.rowNo,_xlpm.colNo),
IF(ISNUMBER(_xlpm.val),_xlpm.val*$H179,""))</f>
        <v/>
      </c>
      <c r="R179" s="6" t="str">
        <f>_xlfn.LET(
_xlpm.rowNo, MATCH($C179&amp;"|"&amp;
($F179+R$4),Raw_Fund!$A:$A,0),
_xlpm.colNo,
MATCH(R$3,Raw_Fund!$E$1:$AZ$1,0),
_xlpm.val,
INDEX(Raw_Fund!$E:$AZ,_xlpm.rowNo,_xlpm.colNo),
IF(ISNUMBER(_xlpm.val),_xlpm.val*$H179,""))</f>
        <v/>
      </c>
      <c r="S179" s="6" t="str">
        <f>_xlfn.LET(
_xlpm.rowNo, MATCH($C179&amp;"|"&amp;
($F179+S$4),Raw_Fund!$A:$A,0),
_xlpm.colNo,
MATCH(S$3,Raw_Fund!$E$1:$AZ$1,0),
_xlpm.val,
INDEX(Raw_Fund!$E:$AZ,_xlpm.rowNo,_xlpm.colNo),
IF(ISNUMBER(_xlpm.val),_xlpm.val*$H179,""))</f>
        <v/>
      </c>
      <c r="T179" s="6" t="str">
        <f>_xlfn.LET(
_xlpm.rowNo, MATCH($C179&amp;"|"&amp;
($F179+T$4),Raw_Fund!$A:$A,0),
_xlpm.colNo,
MATCH(T$3,Raw_Fund!$E$1:$AZ$1,0),
_xlpm.val,
INDEX(Raw_Fund!$E:$AZ,_xlpm.rowNo,_xlpm.colNo),
IF(ISNUMBER(_xlpm.val),_xlpm.val*$H179,""))</f>
        <v/>
      </c>
      <c r="U179" s="6" t="str">
        <f>_xlfn.LET(
_xlpm.rowNo, MATCH($C179&amp;"|"&amp;
($F179+U$4),Raw_Fund!$A:$A,0),
_xlpm.colNo,
MATCH(U$3,Raw_Fund!$E$1:$AZ$1,0),
_xlpm.val,
INDEX(Raw_Fund!$E:$AZ,_xlpm.rowNo,_xlpm.colNo),
IF(ISNUMBER(_xlpm.val),_xlpm.val*$H179,""))</f>
        <v/>
      </c>
      <c r="V179" s="6" t="str">
        <f>_xlfn.LET(
_xlpm.rowNo, MATCH($C179&amp;"|"&amp;
($F179+V$4),Raw_Fund!$A:$A,0),
_xlpm.colNo,
MATCH(V$3,Raw_Fund!$E$1:$AZ$1,0),
_xlpm.val,
INDEX(Raw_Fund!$E:$AZ,_xlpm.rowNo,_xlpm.colNo),
IF(ISNUMBER(_xlpm.val),_xlpm.val*$H179,""))</f>
        <v/>
      </c>
      <c r="W179" s="6" t="str">
        <f>_xlfn.LET(
_xlpm.rowNo, MATCH($C179&amp;"|"&amp;
($F179+W$4),Raw_Fund!$A:$A,0),
_xlpm.colNo,
MATCH(W$3,Raw_Fund!$E$1:$AZ$1,0),
_xlpm.val,
INDEX(Raw_Fund!$E:$AZ,_xlpm.rowNo,_xlpm.colNo),
IF(ISNUMBER(_xlpm.val),_xlpm.val*$H179,""))</f>
        <v/>
      </c>
      <c r="X179" s="6" t="str">
        <f>_xlfn.LET(
_xlpm.rowNo, MATCH($C179&amp;"|"&amp;
($F179+X$4),Raw_Fund!$A:$A,0),
_xlpm.colNo,
MATCH(X$3,Raw_Fund!$E$1:$AZ$1,0),
_xlpm.val,
INDEX(Raw_Fund!$E:$AZ,_xlpm.rowNo,_xlpm.colNo),
IF(ISNUMBER(_xlpm.val),_xlpm.val*$H179,""))</f>
        <v/>
      </c>
      <c r="Y179" s="6" t="str">
        <f>_xlfn.LET(
_xlpm.rowNo, MATCH($C179&amp;"|"&amp;
($F179+Y$4),Raw_Fund!$A:$A,0),
_xlpm.colNo,
MATCH(Y$3,Raw_Fund!$E$1:$AZ$1,0),
_xlpm.val,
INDEX(Raw_Fund!$E:$AZ,_xlpm.rowNo,_xlpm.colNo),
IF(ISNUMBER(_xlpm.val),_xlpm.val*$H179,""))</f>
        <v/>
      </c>
      <c r="Z179" s="6" t="str">
        <f>IF($E179&lt;&gt;"Include","",_xlfn.XLOOKUP($C179,Raw_Mkt!$A:$A,Raw_Mkt!$B:$B))</f>
        <v/>
      </c>
    </row>
    <row r="180" spans="1:26" x14ac:dyDescent="0.4">
      <c r="A180" t="str">
        <f>IF(Universe!A180&lt;&gt;"",Universe!A180,"")</f>
        <v>PLUS</v>
      </c>
      <c r="B180" t="str">
        <f>IF(Universe!B180&lt;&gt;"",Universe!B180,"")</f>
        <v>Plus500</v>
      </c>
      <c r="C180" t="str">
        <f>IF(Universe!C180&lt;&gt;"",Universe!C180,"")</f>
        <v>IL0011284465</v>
      </c>
      <c r="D180" t="str">
        <f>IF(Universe!D180&lt;&gt;"",Universe!D180,"")</f>
        <v>Financials</v>
      </c>
      <c r="E180" t="str">
        <f>Universe!G180</f>
        <v>Exclude</v>
      </c>
      <c r="F180" t="str">
        <f>IF($E180&lt;&gt;"Include","",_xlfn.LET(_xlpm.latest,_xlfn.MAXIFS(Raw_Fund!$C:$C,Raw_Fund!$B:$B,Data!$C180),IF(_xlpm.latest=0,"",_xlpm.latest)))</f>
        <v/>
      </c>
      <c r="G180" t="str">
        <f>IF($F180="","",INDEX(Raw_Fund!$E:$AZ,MATCH($C180&amp;"|"&amp;$F180,Raw_Fund!$A:$A,0),MATCH(G$3,Raw_Fund!$E$1:$AZ$1,0)))</f>
        <v/>
      </c>
      <c r="H180" t="str">
        <f t="shared" si="2"/>
        <v/>
      </c>
      <c r="I180" s="6" t="str">
        <f>_xlfn.LET(
_xlpm.rowNo, MATCH($C180&amp;"|"&amp;
($F180+I$4),Raw_Fund!$A:$A,0),
_xlpm.colNo,
MATCH(I$3,Raw_Fund!$E$1:$AZ$1,0),
_xlpm.val,
INDEX(Raw_Fund!$E:$AZ,_xlpm.rowNo,_xlpm.colNo),
IF(ISNUMBER(_xlpm.val),_xlpm.val*$H180,""))</f>
        <v/>
      </c>
      <c r="J180" s="6" t="str">
        <f>_xlfn.LET(
_xlpm.rowNo, MATCH($C180&amp;"|"&amp;
($F180+J$4),Raw_Fund!$A:$A,0),
_xlpm.colNo,
MATCH(J$3,Raw_Fund!$E$1:$AZ$1,0),
_xlpm.val,
INDEX(Raw_Fund!$E:$AZ,_xlpm.rowNo,_xlpm.colNo),
IF(ISNUMBER(_xlpm.val),_xlpm.val*$H180,""))</f>
        <v/>
      </c>
      <c r="K180" s="6" t="str">
        <f>_xlfn.LET(
_xlpm.rowNo, MATCH($C180&amp;"|"&amp;
($F180+K$4),Raw_Fund!$A:$A,0),
_xlpm.colNo,
MATCH(K$3,Raw_Fund!$E$1:$AZ$1,0),
_xlpm.val,
INDEX(Raw_Fund!$E:$AZ,_xlpm.rowNo,_xlpm.colNo),
IF(ISNUMBER(_xlpm.val),_xlpm.val*$H180,""))</f>
        <v/>
      </c>
      <c r="L180" s="6" t="str">
        <f>_xlfn.LET(
_xlpm.rowNo, MATCH($C180&amp;"|"&amp;
($F180+L$4),Raw_Fund!$A:$A,0),
_xlpm.colNo,
MATCH(L$3,Raw_Fund!$E$1:$AZ$1,0),
_xlpm.val,
INDEX(Raw_Fund!$E:$AZ,_xlpm.rowNo,_xlpm.colNo),
IF(ISNUMBER(_xlpm.val),_xlpm.val*$H180,""))</f>
        <v/>
      </c>
      <c r="M180" s="6" t="str">
        <f>_xlfn.LET(
_xlpm.rowNo, MATCH($C180&amp;"|"&amp;
($F180+M$4),Raw_Fund!$A:$A,0),
_xlpm.colNo,
MATCH(M$3,Raw_Fund!$E$1:$AZ$1,0),
_xlpm.val,
INDEX(Raw_Fund!$E:$AZ,_xlpm.rowNo,_xlpm.colNo),
IF(ISNUMBER(_xlpm.val),_xlpm.val*$H180,""))</f>
        <v/>
      </c>
      <c r="N180" s="6" t="str">
        <f>_xlfn.LET(
_xlpm.rowNo, MATCH($C180&amp;"|"&amp;
($F180+N$4),Raw_Fund!$A:$A,0),
_xlpm.colNo,
MATCH(N$3,Raw_Fund!$E$1:$AZ$1,0),
_xlpm.val,
INDEX(Raw_Fund!$E:$AZ,_xlpm.rowNo,_xlpm.colNo),
IF(ISNUMBER(_xlpm.val),_xlpm.val*$H180,""))</f>
        <v/>
      </c>
      <c r="O180" s="6" t="str">
        <f>_xlfn.LET(
_xlpm.rowNo, MATCH($C180&amp;"|"&amp;
($F180+O$4),Raw_Fund!$A:$A,0),
_xlpm.colNo,
MATCH(O$3,Raw_Fund!$E$1:$AZ$1,0),
_xlpm.val,
INDEX(Raw_Fund!$E:$AZ,_xlpm.rowNo,_xlpm.colNo),
IF(ISNUMBER(_xlpm.val),_xlpm.val*$H180,""))</f>
        <v/>
      </c>
      <c r="P180" s="6" t="str">
        <f>_xlfn.LET(
_xlpm.rowNo, MATCH($C180&amp;"|"&amp;
($F180+P$4),Raw_Fund!$A:$A,0),
_xlpm.colNo,
MATCH(P$3,Raw_Fund!$E$1:$AZ$1,0),
_xlpm.val,
INDEX(Raw_Fund!$E:$AZ,_xlpm.rowNo,_xlpm.colNo),
IF(ISNUMBER(_xlpm.val),_xlpm.val*$H180,""))</f>
        <v/>
      </c>
      <c r="Q180" s="6" t="str">
        <f>_xlfn.LET(
_xlpm.rowNo, MATCH($C180&amp;"|"&amp;
($F180+Q$4),Raw_Fund!$A:$A,0),
_xlpm.colNo,
MATCH(Q$3,Raw_Fund!$E$1:$AZ$1,0),
_xlpm.val,
INDEX(Raw_Fund!$E:$AZ,_xlpm.rowNo,_xlpm.colNo),
IF(ISNUMBER(_xlpm.val),_xlpm.val*$H180,""))</f>
        <v/>
      </c>
      <c r="R180" s="6" t="str">
        <f>_xlfn.LET(
_xlpm.rowNo, MATCH($C180&amp;"|"&amp;
($F180+R$4),Raw_Fund!$A:$A,0),
_xlpm.colNo,
MATCH(R$3,Raw_Fund!$E$1:$AZ$1,0),
_xlpm.val,
INDEX(Raw_Fund!$E:$AZ,_xlpm.rowNo,_xlpm.colNo),
IF(ISNUMBER(_xlpm.val),_xlpm.val*$H180,""))</f>
        <v/>
      </c>
      <c r="S180" s="6" t="str">
        <f>_xlfn.LET(
_xlpm.rowNo, MATCH($C180&amp;"|"&amp;
($F180+S$4),Raw_Fund!$A:$A,0),
_xlpm.colNo,
MATCH(S$3,Raw_Fund!$E$1:$AZ$1,0),
_xlpm.val,
INDEX(Raw_Fund!$E:$AZ,_xlpm.rowNo,_xlpm.colNo),
IF(ISNUMBER(_xlpm.val),_xlpm.val*$H180,""))</f>
        <v/>
      </c>
      <c r="T180" s="6" t="str">
        <f>_xlfn.LET(
_xlpm.rowNo, MATCH($C180&amp;"|"&amp;
($F180+T$4),Raw_Fund!$A:$A,0),
_xlpm.colNo,
MATCH(T$3,Raw_Fund!$E$1:$AZ$1,0),
_xlpm.val,
INDEX(Raw_Fund!$E:$AZ,_xlpm.rowNo,_xlpm.colNo),
IF(ISNUMBER(_xlpm.val),_xlpm.val*$H180,""))</f>
        <v/>
      </c>
      <c r="U180" s="6" t="str">
        <f>_xlfn.LET(
_xlpm.rowNo, MATCH($C180&amp;"|"&amp;
($F180+U$4),Raw_Fund!$A:$A,0),
_xlpm.colNo,
MATCH(U$3,Raw_Fund!$E$1:$AZ$1,0),
_xlpm.val,
INDEX(Raw_Fund!$E:$AZ,_xlpm.rowNo,_xlpm.colNo),
IF(ISNUMBER(_xlpm.val),_xlpm.val*$H180,""))</f>
        <v/>
      </c>
      <c r="V180" s="6" t="str">
        <f>_xlfn.LET(
_xlpm.rowNo, MATCH($C180&amp;"|"&amp;
($F180+V$4),Raw_Fund!$A:$A,0),
_xlpm.colNo,
MATCH(V$3,Raw_Fund!$E$1:$AZ$1,0),
_xlpm.val,
INDEX(Raw_Fund!$E:$AZ,_xlpm.rowNo,_xlpm.colNo),
IF(ISNUMBER(_xlpm.val),_xlpm.val*$H180,""))</f>
        <v/>
      </c>
      <c r="W180" s="6" t="str">
        <f>_xlfn.LET(
_xlpm.rowNo, MATCH($C180&amp;"|"&amp;
($F180+W$4),Raw_Fund!$A:$A,0),
_xlpm.colNo,
MATCH(W$3,Raw_Fund!$E$1:$AZ$1,0),
_xlpm.val,
INDEX(Raw_Fund!$E:$AZ,_xlpm.rowNo,_xlpm.colNo),
IF(ISNUMBER(_xlpm.val),_xlpm.val*$H180,""))</f>
        <v/>
      </c>
      <c r="X180" s="6" t="str">
        <f>_xlfn.LET(
_xlpm.rowNo, MATCH($C180&amp;"|"&amp;
($F180+X$4),Raw_Fund!$A:$A,0),
_xlpm.colNo,
MATCH(X$3,Raw_Fund!$E$1:$AZ$1,0),
_xlpm.val,
INDEX(Raw_Fund!$E:$AZ,_xlpm.rowNo,_xlpm.colNo),
IF(ISNUMBER(_xlpm.val),_xlpm.val*$H180,""))</f>
        <v/>
      </c>
      <c r="Y180" s="6" t="str">
        <f>_xlfn.LET(
_xlpm.rowNo, MATCH($C180&amp;"|"&amp;
($F180+Y$4),Raw_Fund!$A:$A,0),
_xlpm.colNo,
MATCH(Y$3,Raw_Fund!$E$1:$AZ$1,0),
_xlpm.val,
INDEX(Raw_Fund!$E:$AZ,_xlpm.rowNo,_xlpm.colNo),
IF(ISNUMBER(_xlpm.val),_xlpm.val*$H180,""))</f>
        <v/>
      </c>
      <c r="Z180" s="6" t="str">
        <f>IF($E180&lt;&gt;"Include","",_xlfn.XLOOKUP($C180,Raw_Mkt!$A:$A,Raw_Mkt!$B:$B))</f>
        <v/>
      </c>
    </row>
    <row r="181" spans="1:26" x14ac:dyDescent="0.4">
      <c r="A181" t="str">
        <f>IF(Universe!A181&lt;&gt;"",Universe!A181,"")</f>
        <v>PCGH</v>
      </c>
      <c r="B181" t="str">
        <f>IF(Universe!B181&lt;&gt;"",Universe!B181,"")</f>
        <v>Polar Capital Global Healthcare Trust</v>
      </c>
      <c r="C181" t="str">
        <f>IF(Universe!C181&lt;&gt;"",Universe!C181,"")</f>
        <v>GB00B6832P16</v>
      </c>
      <c r="D181" t="str">
        <f>IF(Universe!D181&lt;&gt;"",Universe!D181,"")</f>
        <v>Financials</v>
      </c>
      <c r="E181" t="str">
        <f>Universe!G181</f>
        <v>Exclude</v>
      </c>
      <c r="F181" t="str">
        <f>IF($E181&lt;&gt;"Include","",_xlfn.LET(_xlpm.latest,_xlfn.MAXIFS(Raw_Fund!$C:$C,Raw_Fund!$B:$B,Data!$C181),IF(_xlpm.latest=0,"",_xlpm.latest)))</f>
        <v/>
      </c>
      <c r="G181" t="str">
        <f>IF($F181="","",INDEX(Raw_Fund!$E:$AZ,MATCH($C181&amp;"|"&amp;$F181,Raw_Fund!$A:$A,0),MATCH(G$3,Raw_Fund!$E$1:$AZ$1,0)))</f>
        <v/>
      </c>
      <c r="H181" t="str">
        <f t="shared" si="2"/>
        <v/>
      </c>
      <c r="I181" s="6" t="str">
        <f>_xlfn.LET(
_xlpm.rowNo, MATCH($C181&amp;"|"&amp;
($F181+I$4),Raw_Fund!$A:$A,0),
_xlpm.colNo,
MATCH(I$3,Raw_Fund!$E$1:$AZ$1,0),
_xlpm.val,
INDEX(Raw_Fund!$E:$AZ,_xlpm.rowNo,_xlpm.colNo),
IF(ISNUMBER(_xlpm.val),_xlpm.val*$H181,""))</f>
        <v/>
      </c>
      <c r="J181" s="6" t="str">
        <f>_xlfn.LET(
_xlpm.rowNo, MATCH($C181&amp;"|"&amp;
($F181+J$4),Raw_Fund!$A:$A,0),
_xlpm.colNo,
MATCH(J$3,Raw_Fund!$E$1:$AZ$1,0),
_xlpm.val,
INDEX(Raw_Fund!$E:$AZ,_xlpm.rowNo,_xlpm.colNo),
IF(ISNUMBER(_xlpm.val),_xlpm.val*$H181,""))</f>
        <v/>
      </c>
      <c r="K181" s="6" t="str">
        <f>_xlfn.LET(
_xlpm.rowNo, MATCH($C181&amp;"|"&amp;
($F181+K$4),Raw_Fund!$A:$A,0),
_xlpm.colNo,
MATCH(K$3,Raw_Fund!$E$1:$AZ$1,0),
_xlpm.val,
INDEX(Raw_Fund!$E:$AZ,_xlpm.rowNo,_xlpm.colNo),
IF(ISNUMBER(_xlpm.val),_xlpm.val*$H181,""))</f>
        <v/>
      </c>
      <c r="L181" s="6" t="str">
        <f>_xlfn.LET(
_xlpm.rowNo, MATCH($C181&amp;"|"&amp;
($F181+L$4),Raw_Fund!$A:$A,0),
_xlpm.colNo,
MATCH(L$3,Raw_Fund!$E$1:$AZ$1,0),
_xlpm.val,
INDEX(Raw_Fund!$E:$AZ,_xlpm.rowNo,_xlpm.colNo),
IF(ISNUMBER(_xlpm.val),_xlpm.val*$H181,""))</f>
        <v/>
      </c>
      <c r="M181" s="6" t="str">
        <f>_xlfn.LET(
_xlpm.rowNo, MATCH($C181&amp;"|"&amp;
($F181+M$4),Raw_Fund!$A:$A,0),
_xlpm.colNo,
MATCH(M$3,Raw_Fund!$E$1:$AZ$1,0),
_xlpm.val,
INDEX(Raw_Fund!$E:$AZ,_xlpm.rowNo,_xlpm.colNo),
IF(ISNUMBER(_xlpm.val),_xlpm.val*$H181,""))</f>
        <v/>
      </c>
      <c r="N181" s="6" t="str">
        <f>_xlfn.LET(
_xlpm.rowNo, MATCH($C181&amp;"|"&amp;
($F181+N$4),Raw_Fund!$A:$A,0),
_xlpm.colNo,
MATCH(N$3,Raw_Fund!$E$1:$AZ$1,0),
_xlpm.val,
INDEX(Raw_Fund!$E:$AZ,_xlpm.rowNo,_xlpm.colNo),
IF(ISNUMBER(_xlpm.val),_xlpm.val*$H181,""))</f>
        <v/>
      </c>
      <c r="O181" s="6" t="str">
        <f>_xlfn.LET(
_xlpm.rowNo, MATCH($C181&amp;"|"&amp;
($F181+O$4),Raw_Fund!$A:$A,0),
_xlpm.colNo,
MATCH(O$3,Raw_Fund!$E$1:$AZ$1,0),
_xlpm.val,
INDEX(Raw_Fund!$E:$AZ,_xlpm.rowNo,_xlpm.colNo),
IF(ISNUMBER(_xlpm.val),_xlpm.val*$H181,""))</f>
        <v/>
      </c>
      <c r="P181" s="6" t="str">
        <f>_xlfn.LET(
_xlpm.rowNo, MATCH($C181&amp;"|"&amp;
($F181+P$4),Raw_Fund!$A:$A,0),
_xlpm.colNo,
MATCH(P$3,Raw_Fund!$E$1:$AZ$1,0),
_xlpm.val,
INDEX(Raw_Fund!$E:$AZ,_xlpm.rowNo,_xlpm.colNo),
IF(ISNUMBER(_xlpm.val),_xlpm.val*$H181,""))</f>
        <v/>
      </c>
      <c r="Q181" s="6" t="str">
        <f>_xlfn.LET(
_xlpm.rowNo, MATCH($C181&amp;"|"&amp;
($F181+Q$4),Raw_Fund!$A:$A,0),
_xlpm.colNo,
MATCH(Q$3,Raw_Fund!$E$1:$AZ$1,0),
_xlpm.val,
INDEX(Raw_Fund!$E:$AZ,_xlpm.rowNo,_xlpm.colNo),
IF(ISNUMBER(_xlpm.val),_xlpm.val*$H181,""))</f>
        <v/>
      </c>
      <c r="R181" s="6" t="str">
        <f>_xlfn.LET(
_xlpm.rowNo, MATCH($C181&amp;"|"&amp;
($F181+R$4),Raw_Fund!$A:$A,0),
_xlpm.colNo,
MATCH(R$3,Raw_Fund!$E$1:$AZ$1,0),
_xlpm.val,
INDEX(Raw_Fund!$E:$AZ,_xlpm.rowNo,_xlpm.colNo),
IF(ISNUMBER(_xlpm.val),_xlpm.val*$H181,""))</f>
        <v/>
      </c>
      <c r="S181" s="6" t="str">
        <f>_xlfn.LET(
_xlpm.rowNo, MATCH($C181&amp;"|"&amp;
($F181+S$4),Raw_Fund!$A:$A,0),
_xlpm.colNo,
MATCH(S$3,Raw_Fund!$E$1:$AZ$1,0),
_xlpm.val,
INDEX(Raw_Fund!$E:$AZ,_xlpm.rowNo,_xlpm.colNo),
IF(ISNUMBER(_xlpm.val),_xlpm.val*$H181,""))</f>
        <v/>
      </c>
      <c r="T181" s="6" t="str">
        <f>_xlfn.LET(
_xlpm.rowNo, MATCH($C181&amp;"|"&amp;
($F181+T$4),Raw_Fund!$A:$A,0),
_xlpm.colNo,
MATCH(T$3,Raw_Fund!$E$1:$AZ$1,0),
_xlpm.val,
INDEX(Raw_Fund!$E:$AZ,_xlpm.rowNo,_xlpm.colNo),
IF(ISNUMBER(_xlpm.val),_xlpm.val*$H181,""))</f>
        <v/>
      </c>
      <c r="U181" s="6" t="str">
        <f>_xlfn.LET(
_xlpm.rowNo, MATCH($C181&amp;"|"&amp;
($F181+U$4),Raw_Fund!$A:$A,0),
_xlpm.colNo,
MATCH(U$3,Raw_Fund!$E$1:$AZ$1,0),
_xlpm.val,
INDEX(Raw_Fund!$E:$AZ,_xlpm.rowNo,_xlpm.colNo),
IF(ISNUMBER(_xlpm.val),_xlpm.val*$H181,""))</f>
        <v/>
      </c>
      <c r="V181" s="6" t="str">
        <f>_xlfn.LET(
_xlpm.rowNo, MATCH($C181&amp;"|"&amp;
($F181+V$4),Raw_Fund!$A:$A,0),
_xlpm.colNo,
MATCH(V$3,Raw_Fund!$E$1:$AZ$1,0),
_xlpm.val,
INDEX(Raw_Fund!$E:$AZ,_xlpm.rowNo,_xlpm.colNo),
IF(ISNUMBER(_xlpm.val),_xlpm.val*$H181,""))</f>
        <v/>
      </c>
      <c r="W181" s="6" t="str">
        <f>_xlfn.LET(
_xlpm.rowNo, MATCH($C181&amp;"|"&amp;
($F181+W$4),Raw_Fund!$A:$A,0),
_xlpm.colNo,
MATCH(W$3,Raw_Fund!$E$1:$AZ$1,0),
_xlpm.val,
INDEX(Raw_Fund!$E:$AZ,_xlpm.rowNo,_xlpm.colNo),
IF(ISNUMBER(_xlpm.val),_xlpm.val*$H181,""))</f>
        <v/>
      </c>
      <c r="X181" s="6" t="str">
        <f>_xlfn.LET(
_xlpm.rowNo, MATCH($C181&amp;"|"&amp;
($F181+X$4),Raw_Fund!$A:$A,0),
_xlpm.colNo,
MATCH(X$3,Raw_Fund!$E$1:$AZ$1,0),
_xlpm.val,
INDEX(Raw_Fund!$E:$AZ,_xlpm.rowNo,_xlpm.colNo),
IF(ISNUMBER(_xlpm.val),_xlpm.val*$H181,""))</f>
        <v/>
      </c>
      <c r="Y181" s="6" t="str">
        <f>_xlfn.LET(
_xlpm.rowNo, MATCH($C181&amp;"|"&amp;
($F181+Y$4),Raw_Fund!$A:$A,0),
_xlpm.colNo,
MATCH(Y$3,Raw_Fund!$E$1:$AZ$1,0),
_xlpm.val,
INDEX(Raw_Fund!$E:$AZ,_xlpm.rowNo,_xlpm.colNo),
IF(ISNUMBER(_xlpm.val),_xlpm.val*$H181,""))</f>
        <v/>
      </c>
      <c r="Z181" s="6" t="str">
        <f>IF($E181&lt;&gt;"Include","",_xlfn.XLOOKUP($C181,Raw_Mkt!$A:$A,Raw_Mkt!$B:$B))</f>
        <v/>
      </c>
    </row>
    <row r="182" spans="1:26" x14ac:dyDescent="0.4">
      <c r="A182" t="str">
        <f>IF(Universe!A182&lt;&gt;"",Universe!A182,"")</f>
        <v>POLN</v>
      </c>
      <c r="B182" t="str">
        <f>IF(Universe!B182&lt;&gt;"",Universe!B182,"")</f>
        <v>Pollen Street Group</v>
      </c>
      <c r="C182" t="str">
        <f>IF(Universe!C182&lt;&gt;"",Universe!C182,"")</f>
        <v>GG00BMHG0H12</v>
      </c>
      <c r="D182" t="str">
        <f>IF(Universe!D182&lt;&gt;"",Universe!D182,"")</f>
        <v>Financials</v>
      </c>
      <c r="E182" t="str">
        <f>Universe!G182</f>
        <v>Exclude</v>
      </c>
      <c r="F182" t="str">
        <f>IF($E182&lt;&gt;"Include","",_xlfn.LET(_xlpm.latest,_xlfn.MAXIFS(Raw_Fund!$C:$C,Raw_Fund!$B:$B,Data!$C182),IF(_xlpm.latest=0,"",_xlpm.latest)))</f>
        <v/>
      </c>
      <c r="G182" t="str">
        <f>IF($F182="","",INDEX(Raw_Fund!$E:$AZ,MATCH($C182&amp;"|"&amp;$F182,Raw_Fund!$A:$A,0),MATCH(G$3,Raw_Fund!$E$1:$AZ$1,0)))</f>
        <v/>
      </c>
      <c r="H182" t="str">
        <f t="shared" si="2"/>
        <v/>
      </c>
      <c r="I182" s="6" t="str">
        <f>_xlfn.LET(
_xlpm.rowNo, MATCH($C182&amp;"|"&amp;
($F182+I$4),Raw_Fund!$A:$A,0),
_xlpm.colNo,
MATCH(I$3,Raw_Fund!$E$1:$AZ$1,0),
_xlpm.val,
INDEX(Raw_Fund!$E:$AZ,_xlpm.rowNo,_xlpm.colNo),
IF(ISNUMBER(_xlpm.val),_xlpm.val*$H182,""))</f>
        <v/>
      </c>
      <c r="J182" s="6" t="str">
        <f>_xlfn.LET(
_xlpm.rowNo, MATCH($C182&amp;"|"&amp;
($F182+J$4),Raw_Fund!$A:$A,0),
_xlpm.colNo,
MATCH(J$3,Raw_Fund!$E$1:$AZ$1,0),
_xlpm.val,
INDEX(Raw_Fund!$E:$AZ,_xlpm.rowNo,_xlpm.colNo),
IF(ISNUMBER(_xlpm.val),_xlpm.val*$H182,""))</f>
        <v/>
      </c>
      <c r="K182" s="6" t="str">
        <f>_xlfn.LET(
_xlpm.rowNo, MATCH($C182&amp;"|"&amp;
($F182+K$4),Raw_Fund!$A:$A,0),
_xlpm.colNo,
MATCH(K$3,Raw_Fund!$E$1:$AZ$1,0),
_xlpm.val,
INDEX(Raw_Fund!$E:$AZ,_xlpm.rowNo,_xlpm.colNo),
IF(ISNUMBER(_xlpm.val),_xlpm.val*$H182,""))</f>
        <v/>
      </c>
      <c r="L182" s="6" t="str">
        <f>_xlfn.LET(
_xlpm.rowNo, MATCH($C182&amp;"|"&amp;
($F182+L$4),Raw_Fund!$A:$A,0),
_xlpm.colNo,
MATCH(L$3,Raw_Fund!$E$1:$AZ$1,0),
_xlpm.val,
INDEX(Raw_Fund!$E:$AZ,_xlpm.rowNo,_xlpm.colNo),
IF(ISNUMBER(_xlpm.val),_xlpm.val*$H182,""))</f>
        <v/>
      </c>
      <c r="M182" s="6" t="str">
        <f>_xlfn.LET(
_xlpm.rowNo, MATCH($C182&amp;"|"&amp;
($F182+M$4),Raw_Fund!$A:$A,0),
_xlpm.colNo,
MATCH(M$3,Raw_Fund!$E$1:$AZ$1,0),
_xlpm.val,
INDEX(Raw_Fund!$E:$AZ,_xlpm.rowNo,_xlpm.colNo),
IF(ISNUMBER(_xlpm.val),_xlpm.val*$H182,""))</f>
        <v/>
      </c>
      <c r="N182" s="6" t="str">
        <f>_xlfn.LET(
_xlpm.rowNo, MATCH($C182&amp;"|"&amp;
($F182+N$4),Raw_Fund!$A:$A,0),
_xlpm.colNo,
MATCH(N$3,Raw_Fund!$E$1:$AZ$1,0),
_xlpm.val,
INDEX(Raw_Fund!$E:$AZ,_xlpm.rowNo,_xlpm.colNo),
IF(ISNUMBER(_xlpm.val),_xlpm.val*$H182,""))</f>
        <v/>
      </c>
      <c r="O182" s="6" t="str">
        <f>_xlfn.LET(
_xlpm.rowNo, MATCH($C182&amp;"|"&amp;
($F182+O$4),Raw_Fund!$A:$A,0),
_xlpm.colNo,
MATCH(O$3,Raw_Fund!$E$1:$AZ$1,0),
_xlpm.val,
INDEX(Raw_Fund!$E:$AZ,_xlpm.rowNo,_xlpm.colNo),
IF(ISNUMBER(_xlpm.val),_xlpm.val*$H182,""))</f>
        <v/>
      </c>
      <c r="P182" s="6" t="str">
        <f>_xlfn.LET(
_xlpm.rowNo, MATCH($C182&amp;"|"&amp;
($F182+P$4),Raw_Fund!$A:$A,0),
_xlpm.colNo,
MATCH(P$3,Raw_Fund!$E$1:$AZ$1,0),
_xlpm.val,
INDEX(Raw_Fund!$E:$AZ,_xlpm.rowNo,_xlpm.colNo),
IF(ISNUMBER(_xlpm.val),_xlpm.val*$H182,""))</f>
        <v/>
      </c>
      <c r="Q182" s="6" t="str">
        <f>_xlfn.LET(
_xlpm.rowNo, MATCH($C182&amp;"|"&amp;
($F182+Q$4),Raw_Fund!$A:$A,0),
_xlpm.colNo,
MATCH(Q$3,Raw_Fund!$E$1:$AZ$1,0),
_xlpm.val,
INDEX(Raw_Fund!$E:$AZ,_xlpm.rowNo,_xlpm.colNo),
IF(ISNUMBER(_xlpm.val),_xlpm.val*$H182,""))</f>
        <v/>
      </c>
      <c r="R182" s="6" t="str">
        <f>_xlfn.LET(
_xlpm.rowNo, MATCH($C182&amp;"|"&amp;
($F182+R$4),Raw_Fund!$A:$A,0),
_xlpm.colNo,
MATCH(R$3,Raw_Fund!$E$1:$AZ$1,0),
_xlpm.val,
INDEX(Raw_Fund!$E:$AZ,_xlpm.rowNo,_xlpm.colNo),
IF(ISNUMBER(_xlpm.val),_xlpm.val*$H182,""))</f>
        <v/>
      </c>
      <c r="S182" s="6" t="str">
        <f>_xlfn.LET(
_xlpm.rowNo, MATCH($C182&amp;"|"&amp;
($F182+S$4),Raw_Fund!$A:$A,0),
_xlpm.colNo,
MATCH(S$3,Raw_Fund!$E$1:$AZ$1,0),
_xlpm.val,
INDEX(Raw_Fund!$E:$AZ,_xlpm.rowNo,_xlpm.colNo),
IF(ISNUMBER(_xlpm.val),_xlpm.val*$H182,""))</f>
        <v/>
      </c>
      <c r="T182" s="6" t="str">
        <f>_xlfn.LET(
_xlpm.rowNo, MATCH($C182&amp;"|"&amp;
($F182+T$4),Raw_Fund!$A:$A,0),
_xlpm.colNo,
MATCH(T$3,Raw_Fund!$E$1:$AZ$1,0),
_xlpm.val,
INDEX(Raw_Fund!$E:$AZ,_xlpm.rowNo,_xlpm.colNo),
IF(ISNUMBER(_xlpm.val),_xlpm.val*$H182,""))</f>
        <v/>
      </c>
      <c r="U182" s="6" t="str">
        <f>_xlfn.LET(
_xlpm.rowNo, MATCH($C182&amp;"|"&amp;
($F182+U$4),Raw_Fund!$A:$A,0),
_xlpm.colNo,
MATCH(U$3,Raw_Fund!$E$1:$AZ$1,0),
_xlpm.val,
INDEX(Raw_Fund!$E:$AZ,_xlpm.rowNo,_xlpm.colNo),
IF(ISNUMBER(_xlpm.val),_xlpm.val*$H182,""))</f>
        <v/>
      </c>
      <c r="V182" s="6" t="str">
        <f>_xlfn.LET(
_xlpm.rowNo, MATCH($C182&amp;"|"&amp;
($F182+V$4),Raw_Fund!$A:$A,0),
_xlpm.colNo,
MATCH(V$3,Raw_Fund!$E$1:$AZ$1,0),
_xlpm.val,
INDEX(Raw_Fund!$E:$AZ,_xlpm.rowNo,_xlpm.colNo),
IF(ISNUMBER(_xlpm.val),_xlpm.val*$H182,""))</f>
        <v/>
      </c>
      <c r="W182" s="6" t="str">
        <f>_xlfn.LET(
_xlpm.rowNo, MATCH($C182&amp;"|"&amp;
($F182+W$4),Raw_Fund!$A:$A,0),
_xlpm.colNo,
MATCH(W$3,Raw_Fund!$E$1:$AZ$1,0),
_xlpm.val,
INDEX(Raw_Fund!$E:$AZ,_xlpm.rowNo,_xlpm.colNo),
IF(ISNUMBER(_xlpm.val),_xlpm.val*$H182,""))</f>
        <v/>
      </c>
      <c r="X182" s="6" t="str">
        <f>_xlfn.LET(
_xlpm.rowNo, MATCH($C182&amp;"|"&amp;
($F182+X$4),Raw_Fund!$A:$A,0),
_xlpm.colNo,
MATCH(X$3,Raw_Fund!$E$1:$AZ$1,0),
_xlpm.val,
INDEX(Raw_Fund!$E:$AZ,_xlpm.rowNo,_xlpm.colNo),
IF(ISNUMBER(_xlpm.val),_xlpm.val*$H182,""))</f>
        <v/>
      </c>
      <c r="Y182" s="6" t="str">
        <f>_xlfn.LET(
_xlpm.rowNo, MATCH($C182&amp;"|"&amp;
($F182+Y$4),Raw_Fund!$A:$A,0),
_xlpm.colNo,
MATCH(Y$3,Raw_Fund!$E$1:$AZ$1,0),
_xlpm.val,
INDEX(Raw_Fund!$E:$AZ,_xlpm.rowNo,_xlpm.colNo),
IF(ISNUMBER(_xlpm.val),_xlpm.val*$H182,""))</f>
        <v/>
      </c>
      <c r="Z182" s="6" t="str">
        <f>IF($E182&lt;&gt;"Include","",_xlfn.XLOOKUP($C182,Raw_Mkt!$A:$A,Raw_Mkt!$B:$B))</f>
        <v/>
      </c>
    </row>
    <row r="183" spans="1:26" x14ac:dyDescent="0.4">
      <c r="A183" t="str">
        <f>IF(Universe!A183&lt;&gt;"",Universe!A183,"")</f>
        <v>PPH</v>
      </c>
      <c r="B183" t="str">
        <f>IF(Universe!B183&lt;&gt;"",Universe!B183,"")</f>
        <v>PPHE Hotel Group</v>
      </c>
      <c r="C183" t="str">
        <f>IF(Universe!C183&lt;&gt;"",Universe!C183,"")</f>
        <v>GG00B1Z5FH87</v>
      </c>
      <c r="D183" t="str">
        <f>IF(Universe!D183&lt;&gt;"",Universe!D183,"")</f>
        <v>Consumer Discretionary</v>
      </c>
      <c r="E183" t="str">
        <f>Universe!G183</f>
        <v>Include</v>
      </c>
      <c r="F183" t="str">
        <f>IF($E183&lt;&gt;"Include","",_xlfn.LET(_xlpm.latest,_xlfn.MAXIFS(Raw_Fund!$C:$C,Raw_Fund!$B:$B,Data!$C183),IF(_xlpm.latest=0,"",_xlpm.latest)))</f>
        <v/>
      </c>
      <c r="G183" t="str">
        <f>IF($F183="","",INDEX(Raw_Fund!$E:$AZ,MATCH($C183&amp;"|"&amp;$F183,Raw_Fund!$A:$A,0),MATCH(G$3,Raw_Fund!$E$1:$AZ$1,0)))</f>
        <v/>
      </c>
      <c r="H183" t="str">
        <f t="shared" si="2"/>
        <v/>
      </c>
      <c r="I183" s="6" t="str">
        <f>_xlfn.LET(
_xlpm.rowNo, MATCH($C183&amp;"|"&amp;
($F183+I$4),Raw_Fund!$A:$A,0),
_xlpm.colNo,
MATCH(I$3,Raw_Fund!$E$1:$AZ$1,0),
_xlpm.val,
INDEX(Raw_Fund!$E:$AZ,_xlpm.rowNo,_xlpm.colNo),
IF(ISNUMBER(_xlpm.val),_xlpm.val*$H183,""))</f>
        <v/>
      </c>
      <c r="J183" s="6" t="str">
        <f>_xlfn.LET(
_xlpm.rowNo, MATCH($C183&amp;"|"&amp;
($F183+J$4),Raw_Fund!$A:$A,0),
_xlpm.colNo,
MATCH(J$3,Raw_Fund!$E$1:$AZ$1,0),
_xlpm.val,
INDEX(Raw_Fund!$E:$AZ,_xlpm.rowNo,_xlpm.colNo),
IF(ISNUMBER(_xlpm.val),_xlpm.val*$H183,""))</f>
        <v/>
      </c>
      <c r="K183" s="6" t="str">
        <f>_xlfn.LET(
_xlpm.rowNo, MATCH($C183&amp;"|"&amp;
($F183+K$4),Raw_Fund!$A:$A,0),
_xlpm.colNo,
MATCH(K$3,Raw_Fund!$E$1:$AZ$1,0),
_xlpm.val,
INDEX(Raw_Fund!$E:$AZ,_xlpm.rowNo,_xlpm.colNo),
IF(ISNUMBER(_xlpm.val),_xlpm.val*$H183,""))</f>
        <v/>
      </c>
      <c r="L183" s="6" t="str">
        <f>_xlfn.LET(
_xlpm.rowNo, MATCH($C183&amp;"|"&amp;
($F183+L$4),Raw_Fund!$A:$A,0),
_xlpm.colNo,
MATCH(L$3,Raw_Fund!$E$1:$AZ$1,0),
_xlpm.val,
INDEX(Raw_Fund!$E:$AZ,_xlpm.rowNo,_xlpm.colNo),
IF(ISNUMBER(_xlpm.val),_xlpm.val*$H183,""))</f>
        <v/>
      </c>
      <c r="M183" s="6" t="str">
        <f>_xlfn.LET(
_xlpm.rowNo, MATCH($C183&amp;"|"&amp;
($F183+M$4),Raw_Fund!$A:$A,0),
_xlpm.colNo,
MATCH(M$3,Raw_Fund!$E$1:$AZ$1,0),
_xlpm.val,
INDEX(Raw_Fund!$E:$AZ,_xlpm.rowNo,_xlpm.colNo),
IF(ISNUMBER(_xlpm.val),_xlpm.val*$H183,""))</f>
        <v/>
      </c>
      <c r="N183" s="6" t="str">
        <f>_xlfn.LET(
_xlpm.rowNo, MATCH($C183&amp;"|"&amp;
($F183+N$4),Raw_Fund!$A:$A,0),
_xlpm.colNo,
MATCH(N$3,Raw_Fund!$E$1:$AZ$1,0),
_xlpm.val,
INDEX(Raw_Fund!$E:$AZ,_xlpm.rowNo,_xlpm.colNo),
IF(ISNUMBER(_xlpm.val),_xlpm.val*$H183,""))</f>
        <v/>
      </c>
      <c r="O183" s="6" t="str">
        <f>_xlfn.LET(
_xlpm.rowNo, MATCH($C183&amp;"|"&amp;
($F183+O$4),Raw_Fund!$A:$A,0),
_xlpm.colNo,
MATCH(O$3,Raw_Fund!$E$1:$AZ$1,0),
_xlpm.val,
INDEX(Raw_Fund!$E:$AZ,_xlpm.rowNo,_xlpm.colNo),
IF(ISNUMBER(_xlpm.val),_xlpm.val*$H183,""))</f>
        <v/>
      </c>
      <c r="P183" s="6" t="str">
        <f>_xlfn.LET(
_xlpm.rowNo, MATCH($C183&amp;"|"&amp;
($F183+P$4),Raw_Fund!$A:$A,0),
_xlpm.colNo,
MATCH(P$3,Raw_Fund!$E$1:$AZ$1,0),
_xlpm.val,
INDEX(Raw_Fund!$E:$AZ,_xlpm.rowNo,_xlpm.colNo),
IF(ISNUMBER(_xlpm.val),_xlpm.val*$H183,""))</f>
        <v/>
      </c>
      <c r="Q183" s="6" t="str">
        <f>_xlfn.LET(
_xlpm.rowNo, MATCH($C183&amp;"|"&amp;
($F183+Q$4),Raw_Fund!$A:$A,0),
_xlpm.colNo,
MATCH(Q$3,Raw_Fund!$E$1:$AZ$1,0),
_xlpm.val,
INDEX(Raw_Fund!$E:$AZ,_xlpm.rowNo,_xlpm.colNo),
IF(ISNUMBER(_xlpm.val),_xlpm.val*$H183,""))</f>
        <v/>
      </c>
      <c r="R183" s="6" t="str">
        <f>_xlfn.LET(
_xlpm.rowNo, MATCH($C183&amp;"|"&amp;
($F183+R$4),Raw_Fund!$A:$A,0),
_xlpm.colNo,
MATCH(R$3,Raw_Fund!$E$1:$AZ$1,0),
_xlpm.val,
INDEX(Raw_Fund!$E:$AZ,_xlpm.rowNo,_xlpm.colNo),
IF(ISNUMBER(_xlpm.val),_xlpm.val*$H183,""))</f>
        <v/>
      </c>
      <c r="S183" s="6" t="str">
        <f>_xlfn.LET(
_xlpm.rowNo, MATCH($C183&amp;"|"&amp;
($F183+S$4),Raw_Fund!$A:$A,0),
_xlpm.colNo,
MATCH(S$3,Raw_Fund!$E$1:$AZ$1,0),
_xlpm.val,
INDEX(Raw_Fund!$E:$AZ,_xlpm.rowNo,_xlpm.colNo),
IF(ISNUMBER(_xlpm.val),_xlpm.val*$H183,""))</f>
        <v/>
      </c>
      <c r="T183" s="6" t="str">
        <f>_xlfn.LET(
_xlpm.rowNo, MATCH($C183&amp;"|"&amp;
($F183+T$4),Raw_Fund!$A:$A,0),
_xlpm.colNo,
MATCH(T$3,Raw_Fund!$E$1:$AZ$1,0),
_xlpm.val,
INDEX(Raw_Fund!$E:$AZ,_xlpm.rowNo,_xlpm.colNo),
IF(ISNUMBER(_xlpm.val),_xlpm.val*$H183,""))</f>
        <v/>
      </c>
      <c r="U183" s="6" t="str">
        <f>_xlfn.LET(
_xlpm.rowNo, MATCH($C183&amp;"|"&amp;
($F183+U$4),Raw_Fund!$A:$A,0),
_xlpm.colNo,
MATCH(U$3,Raw_Fund!$E$1:$AZ$1,0),
_xlpm.val,
INDEX(Raw_Fund!$E:$AZ,_xlpm.rowNo,_xlpm.colNo),
IF(ISNUMBER(_xlpm.val),_xlpm.val*$H183,""))</f>
        <v/>
      </c>
      <c r="V183" s="6" t="str">
        <f>_xlfn.LET(
_xlpm.rowNo, MATCH($C183&amp;"|"&amp;
($F183+V$4),Raw_Fund!$A:$A,0),
_xlpm.colNo,
MATCH(V$3,Raw_Fund!$E$1:$AZ$1,0),
_xlpm.val,
INDEX(Raw_Fund!$E:$AZ,_xlpm.rowNo,_xlpm.colNo),
IF(ISNUMBER(_xlpm.val),_xlpm.val*$H183,""))</f>
        <v/>
      </c>
      <c r="W183" s="6" t="str">
        <f>_xlfn.LET(
_xlpm.rowNo, MATCH($C183&amp;"|"&amp;
($F183+W$4),Raw_Fund!$A:$A,0),
_xlpm.colNo,
MATCH(W$3,Raw_Fund!$E$1:$AZ$1,0),
_xlpm.val,
INDEX(Raw_Fund!$E:$AZ,_xlpm.rowNo,_xlpm.colNo),
IF(ISNUMBER(_xlpm.val),_xlpm.val*$H183,""))</f>
        <v/>
      </c>
      <c r="X183" s="6" t="str">
        <f>_xlfn.LET(
_xlpm.rowNo, MATCH($C183&amp;"|"&amp;
($F183+X$4),Raw_Fund!$A:$A,0),
_xlpm.colNo,
MATCH(X$3,Raw_Fund!$E$1:$AZ$1,0),
_xlpm.val,
INDEX(Raw_Fund!$E:$AZ,_xlpm.rowNo,_xlpm.colNo),
IF(ISNUMBER(_xlpm.val),_xlpm.val*$H183,""))</f>
        <v/>
      </c>
      <c r="Y183" s="6" t="str">
        <f>_xlfn.LET(
_xlpm.rowNo, MATCH($C183&amp;"|"&amp;
($F183+Y$4),Raw_Fund!$A:$A,0),
_xlpm.colNo,
MATCH(Y$3,Raw_Fund!$E$1:$AZ$1,0),
_xlpm.val,
INDEX(Raw_Fund!$E:$AZ,_xlpm.rowNo,_xlpm.colNo),
IF(ISNUMBER(_xlpm.val),_xlpm.val*$H183,""))</f>
        <v/>
      </c>
      <c r="Z183" s="6" t="e">
        <f>IF($E183&lt;&gt;"Include","",_xlfn.XLOOKUP($C183,Raw_Mkt!$A:$A,Raw_Mkt!$B:$B))</f>
        <v>#N/A</v>
      </c>
    </row>
    <row r="184" spans="1:26" x14ac:dyDescent="0.4">
      <c r="A184" t="str">
        <f>IF(Universe!A184&lt;&gt;"",Universe!A184,"")</f>
        <v>PFD</v>
      </c>
      <c r="B184" t="str">
        <f>IF(Universe!B184&lt;&gt;"",Universe!B184,"")</f>
        <v>Premier Foods</v>
      </c>
      <c r="C184" t="str">
        <f>IF(Universe!C184&lt;&gt;"",Universe!C184,"")</f>
        <v>GB00B7N0K053</v>
      </c>
      <c r="D184" t="str">
        <f>IF(Universe!D184&lt;&gt;"",Universe!D184,"")</f>
        <v>Consumer Staples</v>
      </c>
      <c r="E184" t="str">
        <f>Universe!G184</f>
        <v>Include</v>
      </c>
      <c r="F184" t="str">
        <f>IF($E184&lt;&gt;"Include","",_xlfn.LET(_xlpm.latest,_xlfn.MAXIFS(Raw_Fund!$C:$C,Raw_Fund!$B:$B,Data!$C184),IF(_xlpm.latest=0,"",_xlpm.latest)))</f>
        <v/>
      </c>
      <c r="G184" t="str">
        <f>IF($F184="","",INDEX(Raw_Fund!$E:$AZ,MATCH($C184&amp;"|"&amp;$F184,Raw_Fund!$A:$A,0),MATCH(G$3,Raw_Fund!$E$1:$AZ$1,0)))</f>
        <v/>
      </c>
      <c r="H184" t="str">
        <f t="shared" si="2"/>
        <v/>
      </c>
      <c r="I184" s="6" t="str">
        <f>_xlfn.LET(
_xlpm.rowNo, MATCH($C184&amp;"|"&amp;
($F184+I$4),Raw_Fund!$A:$A,0),
_xlpm.colNo,
MATCH(I$3,Raw_Fund!$E$1:$AZ$1,0),
_xlpm.val,
INDEX(Raw_Fund!$E:$AZ,_xlpm.rowNo,_xlpm.colNo),
IF(ISNUMBER(_xlpm.val),_xlpm.val*$H184,""))</f>
        <v/>
      </c>
      <c r="J184" s="6" t="str">
        <f>_xlfn.LET(
_xlpm.rowNo, MATCH($C184&amp;"|"&amp;
($F184+J$4),Raw_Fund!$A:$A,0),
_xlpm.colNo,
MATCH(J$3,Raw_Fund!$E$1:$AZ$1,0),
_xlpm.val,
INDEX(Raw_Fund!$E:$AZ,_xlpm.rowNo,_xlpm.colNo),
IF(ISNUMBER(_xlpm.val),_xlpm.val*$H184,""))</f>
        <v/>
      </c>
      <c r="K184" s="6" t="str">
        <f>_xlfn.LET(
_xlpm.rowNo, MATCH($C184&amp;"|"&amp;
($F184+K$4),Raw_Fund!$A:$A,0),
_xlpm.colNo,
MATCH(K$3,Raw_Fund!$E$1:$AZ$1,0),
_xlpm.val,
INDEX(Raw_Fund!$E:$AZ,_xlpm.rowNo,_xlpm.colNo),
IF(ISNUMBER(_xlpm.val),_xlpm.val*$H184,""))</f>
        <v/>
      </c>
      <c r="L184" s="6" t="str">
        <f>_xlfn.LET(
_xlpm.rowNo, MATCH($C184&amp;"|"&amp;
($F184+L$4),Raw_Fund!$A:$A,0),
_xlpm.colNo,
MATCH(L$3,Raw_Fund!$E$1:$AZ$1,0),
_xlpm.val,
INDEX(Raw_Fund!$E:$AZ,_xlpm.rowNo,_xlpm.colNo),
IF(ISNUMBER(_xlpm.val),_xlpm.val*$H184,""))</f>
        <v/>
      </c>
      <c r="M184" s="6" t="str">
        <f>_xlfn.LET(
_xlpm.rowNo, MATCH($C184&amp;"|"&amp;
($F184+M$4),Raw_Fund!$A:$A,0),
_xlpm.colNo,
MATCH(M$3,Raw_Fund!$E$1:$AZ$1,0),
_xlpm.val,
INDEX(Raw_Fund!$E:$AZ,_xlpm.rowNo,_xlpm.colNo),
IF(ISNUMBER(_xlpm.val),_xlpm.val*$H184,""))</f>
        <v/>
      </c>
      <c r="N184" s="6" t="str">
        <f>_xlfn.LET(
_xlpm.rowNo, MATCH($C184&amp;"|"&amp;
($F184+N$4),Raw_Fund!$A:$A,0),
_xlpm.colNo,
MATCH(N$3,Raw_Fund!$E$1:$AZ$1,0),
_xlpm.val,
INDEX(Raw_Fund!$E:$AZ,_xlpm.rowNo,_xlpm.colNo),
IF(ISNUMBER(_xlpm.val),_xlpm.val*$H184,""))</f>
        <v/>
      </c>
      <c r="O184" s="6" t="str">
        <f>_xlfn.LET(
_xlpm.rowNo, MATCH($C184&amp;"|"&amp;
($F184+O$4),Raw_Fund!$A:$A,0),
_xlpm.colNo,
MATCH(O$3,Raw_Fund!$E$1:$AZ$1,0),
_xlpm.val,
INDEX(Raw_Fund!$E:$AZ,_xlpm.rowNo,_xlpm.colNo),
IF(ISNUMBER(_xlpm.val),_xlpm.val*$H184,""))</f>
        <v/>
      </c>
      <c r="P184" s="6" t="str">
        <f>_xlfn.LET(
_xlpm.rowNo, MATCH($C184&amp;"|"&amp;
($F184+P$4),Raw_Fund!$A:$A,0),
_xlpm.colNo,
MATCH(P$3,Raw_Fund!$E$1:$AZ$1,0),
_xlpm.val,
INDEX(Raw_Fund!$E:$AZ,_xlpm.rowNo,_xlpm.colNo),
IF(ISNUMBER(_xlpm.val),_xlpm.val*$H184,""))</f>
        <v/>
      </c>
      <c r="Q184" s="6" t="str">
        <f>_xlfn.LET(
_xlpm.rowNo, MATCH($C184&amp;"|"&amp;
($F184+Q$4),Raw_Fund!$A:$A,0),
_xlpm.colNo,
MATCH(Q$3,Raw_Fund!$E$1:$AZ$1,0),
_xlpm.val,
INDEX(Raw_Fund!$E:$AZ,_xlpm.rowNo,_xlpm.colNo),
IF(ISNUMBER(_xlpm.val),_xlpm.val*$H184,""))</f>
        <v/>
      </c>
      <c r="R184" s="6" t="str">
        <f>_xlfn.LET(
_xlpm.rowNo, MATCH($C184&amp;"|"&amp;
($F184+R$4),Raw_Fund!$A:$A,0),
_xlpm.colNo,
MATCH(R$3,Raw_Fund!$E$1:$AZ$1,0),
_xlpm.val,
INDEX(Raw_Fund!$E:$AZ,_xlpm.rowNo,_xlpm.colNo),
IF(ISNUMBER(_xlpm.val),_xlpm.val*$H184,""))</f>
        <v/>
      </c>
      <c r="S184" s="6" t="str">
        <f>_xlfn.LET(
_xlpm.rowNo, MATCH($C184&amp;"|"&amp;
($F184+S$4),Raw_Fund!$A:$A,0),
_xlpm.colNo,
MATCH(S$3,Raw_Fund!$E$1:$AZ$1,0),
_xlpm.val,
INDEX(Raw_Fund!$E:$AZ,_xlpm.rowNo,_xlpm.colNo),
IF(ISNUMBER(_xlpm.val),_xlpm.val*$H184,""))</f>
        <v/>
      </c>
      <c r="T184" s="6" t="str">
        <f>_xlfn.LET(
_xlpm.rowNo, MATCH($C184&amp;"|"&amp;
($F184+T$4),Raw_Fund!$A:$A,0),
_xlpm.colNo,
MATCH(T$3,Raw_Fund!$E$1:$AZ$1,0),
_xlpm.val,
INDEX(Raw_Fund!$E:$AZ,_xlpm.rowNo,_xlpm.colNo),
IF(ISNUMBER(_xlpm.val),_xlpm.val*$H184,""))</f>
        <v/>
      </c>
      <c r="U184" s="6" t="str">
        <f>_xlfn.LET(
_xlpm.rowNo, MATCH($C184&amp;"|"&amp;
($F184+U$4),Raw_Fund!$A:$A,0),
_xlpm.colNo,
MATCH(U$3,Raw_Fund!$E$1:$AZ$1,0),
_xlpm.val,
INDEX(Raw_Fund!$E:$AZ,_xlpm.rowNo,_xlpm.colNo),
IF(ISNUMBER(_xlpm.val),_xlpm.val*$H184,""))</f>
        <v/>
      </c>
      <c r="V184" s="6" t="str">
        <f>_xlfn.LET(
_xlpm.rowNo, MATCH($C184&amp;"|"&amp;
($F184+V$4),Raw_Fund!$A:$A,0),
_xlpm.colNo,
MATCH(V$3,Raw_Fund!$E$1:$AZ$1,0),
_xlpm.val,
INDEX(Raw_Fund!$E:$AZ,_xlpm.rowNo,_xlpm.colNo),
IF(ISNUMBER(_xlpm.val),_xlpm.val*$H184,""))</f>
        <v/>
      </c>
      <c r="W184" s="6" t="str">
        <f>_xlfn.LET(
_xlpm.rowNo, MATCH($C184&amp;"|"&amp;
($F184+W$4),Raw_Fund!$A:$A,0),
_xlpm.colNo,
MATCH(W$3,Raw_Fund!$E$1:$AZ$1,0),
_xlpm.val,
INDEX(Raw_Fund!$E:$AZ,_xlpm.rowNo,_xlpm.colNo),
IF(ISNUMBER(_xlpm.val),_xlpm.val*$H184,""))</f>
        <v/>
      </c>
      <c r="X184" s="6" t="str">
        <f>_xlfn.LET(
_xlpm.rowNo, MATCH($C184&amp;"|"&amp;
($F184+X$4),Raw_Fund!$A:$A,0),
_xlpm.colNo,
MATCH(X$3,Raw_Fund!$E$1:$AZ$1,0),
_xlpm.val,
INDEX(Raw_Fund!$E:$AZ,_xlpm.rowNo,_xlpm.colNo),
IF(ISNUMBER(_xlpm.val),_xlpm.val*$H184,""))</f>
        <v/>
      </c>
      <c r="Y184" s="6" t="str">
        <f>_xlfn.LET(
_xlpm.rowNo, MATCH($C184&amp;"|"&amp;
($F184+Y$4),Raw_Fund!$A:$A,0),
_xlpm.colNo,
MATCH(Y$3,Raw_Fund!$E$1:$AZ$1,0),
_xlpm.val,
INDEX(Raw_Fund!$E:$AZ,_xlpm.rowNo,_xlpm.colNo),
IF(ISNUMBER(_xlpm.val),_xlpm.val*$H184,""))</f>
        <v/>
      </c>
      <c r="Z184" s="6" t="e">
        <f>IF($E184&lt;&gt;"Include","",_xlfn.XLOOKUP($C184,Raw_Mkt!$A:$A,Raw_Mkt!$B:$B))</f>
        <v>#N/A</v>
      </c>
    </row>
    <row r="185" spans="1:26" x14ac:dyDescent="0.4">
      <c r="A185" t="str">
        <f>IF(Universe!A185&lt;&gt;"",Universe!A185,"")</f>
        <v>PHP</v>
      </c>
      <c r="B185" t="str">
        <f>IF(Universe!B185&lt;&gt;"",Universe!B185,"")</f>
        <v>Primary Health Properties</v>
      </c>
      <c r="C185" t="str">
        <f>IF(Universe!C185&lt;&gt;"",Universe!C185,"")</f>
        <v>GB00BYRJ5J14</v>
      </c>
      <c r="D185" t="str">
        <f>IF(Universe!D185&lt;&gt;"",Universe!D185,"")</f>
        <v>Real Estate</v>
      </c>
      <c r="E185" t="str">
        <f>Universe!G185</f>
        <v>Exclude</v>
      </c>
      <c r="F185" t="str">
        <f>IF($E185&lt;&gt;"Include","",_xlfn.LET(_xlpm.latest,_xlfn.MAXIFS(Raw_Fund!$C:$C,Raw_Fund!$B:$B,Data!$C185),IF(_xlpm.latest=0,"",_xlpm.latest)))</f>
        <v/>
      </c>
      <c r="G185" t="str">
        <f>IF($F185="","",INDEX(Raw_Fund!$E:$AZ,MATCH($C185&amp;"|"&amp;$F185,Raw_Fund!$A:$A,0),MATCH(G$3,Raw_Fund!$E$1:$AZ$1,0)))</f>
        <v/>
      </c>
      <c r="H185" t="str">
        <f t="shared" si="2"/>
        <v/>
      </c>
      <c r="I185" s="6" t="str">
        <f>_xlfn.LET(
_xlpm.rowNo, MATCH($C185&amp;"|"&amp;
($F185+I$4),Raw_Fund!$A:$A,0),
_xlpm.colNo,
MATCH(I$3,Raw_Fund!$E$1:$AZ$1,0),
_xlpm.val,
INDEX(Raw_Fund!$E:$AZ,_xlpm.rowNo,_xlpm.colNo),
IF(ISNUMBER(_xlpm.val),_xlpm.val*$H185,""))</f>
        <v/>
      </c>
      <c r="J185" s="6" t="str">
        <f>_xlfn.LET(
_xlpm.rowNo, MATCH($C185&amp;"|"&amp;
($F185+J$4),Raw_Fund!$A:$A,0),
_xlpm.colNo,
MATCH(J$3,Raw_Fund!$E$1:$AZ$1,0),
_xlpm.val,
INDEX(Raw_Fund!$E:$AZ,_xlpm.rowNo,_xlpm.colNo),
IF(ISNUMBER(_xlpm.val),_xlpm.val*$H185,""))</f>
        <v/>
      </c>
      <c r="K185" s="6" t="str">
        <f>_xlfn.LET(
_xlpm.rowNo, MATCH($C185&amp;"|"&amp;
($F185+K$4),Raw_Fund!$A:$A,0),
_xlpm.colNo,
MATCH(K$3,Raw_Fund!$E$1:$AZ$1,0),
_xlpm.val,
INDEX(Raw_Fund!$E:$AZ,_xlpm.rowNo,_xlpm.colNo),
IF(ISNUMBER(_xlpm.val),_xlpm.val*$H185,""))</f>
        <v/>
      </c>
      <c r="L185" s="6" t="str">
        <f>_xlfn.LET(
_xlpm.rowNo, MATCH($C185&amp;"|"&amp;
($F185+L$4),Raw_Fund!$A:$A,0),
_xlpm.colNo,
MATCH(L$3,Raw_Fund!$E$1:$AZ$1,0),
_xlpm.val,
INDEX(Raw_Fund!$E:$AZ,_xlpm.rowNo,_xlpm.colNo),
IF(ISNUMBER(_xlpm.val),_xlpm.val*$H185,""))</f>
        <v/>
      </c>
      <c r="M185" s="6" t="str">
        <f>_xlfn.LET(
_xlpm.rowNo, MATCH($C185&amp;"|"&amp;
($F185+M$4),Raw_Fund!$A:$A,0),
_xlpm.colNo,
MATCH(M$3,Raw_Fund!$E$1:$AZ$1,0),
_xlpm.val,
INDEX(Raw_Fund!$E:$AZ,_xlpm.rowNo,_xlpm.colNo),
IF(ISNUMBER(_xlpm.val),_xlpm.val*$H185,""))</f>
        <v/>
      </c>
      <c r="N185" s="6" t="str">
        <f>_xlfn.LET(
_xlpm.rowNo, MATCH($C185&amp;"|"&amp;
($F185+N$4),Raw_Fund!$A:$A,0),
_xlpm.colNo,
MATCH(N$3,Raw_Fund!$E$1:$AZ$1,0),
_xlpm.val,
INDEX(Raw_Fund!$E:$AZ,_xlpm.rowNo,_xlpm.colNo),
IF(ISNUMBER(_xlpm.val),_xlpm.val*$H185,""))</f>
        <v/>
      </c>
      <c r="O185" s="6" t="str">
        <f>_xlfn.LET(
_xlpm.rowNo, MATCH($C185&amp;"|"&amp;
($F185+O$4),Raw_Fund!$A:$A,0),
_xlpm.colNo,
MATCH(O$3,Raw_Fund!$E$1:$AZ$1,0),
_xlpm.val,
INDEX(Raw_Fund!$E:$AZ,_xlpm.rowNo,_xlpm.colNo),
IF(ISNUMBER(_xlpm.val),_xlpm.val*$H185,""))</f>
        <v/>
      </c>
      <c r="P185" s="6" t="str">
        <f>_xlfn.LET(
_xlpm.rowNo, MATCH($C185&amp;"|"&amp;
($F185+P$4),Raw_Fund!$A:$A,0),
_xlpm.colNo,
MATCH(P$3,Raw_Fund!$E$1:$AZ$1,0),
_xlpm.val,
INDEX(Raw_Fund!$E:$AZ,_xlpm.rowNo,_xlpm.colNo),
IF(ISNUMBER(_xlpm.val),_xlpm.val*$H185,""))</f>
        <v/>
      </c>
      <c r="Q185" s="6" t="str">
        <f>_xlfn.LET(
_xlpm.rowNo, MATCH($C185&amp;"|"&amp;
($F185+Q$4),Raw_Fund!$A:$A,0),
_xlpm.colNo,
MATCH(Q$3,Raw_Fund!$E$1:$AZ$1,0),
_xlpm.val,
INDEX(Raw_Fund!$E:$AZ,_xlpm.rowNo,_xlpm.colNo),
IF(ISNUMBER(_xlpm.val),_xlpm.val*$H185,""))</f>
        <v/>
      </c>
      <c r="R185" s="6" t="str">
        <f>_xlfn.LET(
_xlpm.rowNo, MATCH($C185&amp;"|"&amp;
($F185+R$4),Raw_Fund!$A:$A,0),
_xlpm.colNo,
MATCH(R$3,Raw_Fund!$E$1:$AZ$1,0),
_xlpm.val,
INDEX(Raw_Fund!$E:$AZ,_xlpm.rowNo,_xlpm.colNo),
IF(ISNUMBER(_xlpm.val),_xlpm.val*$H185,""))</f>
        <v/>
      </c>
      <c r="S185" s="6" t="str">
        <f>_xlfn.LET(
_xlpm.rowNo, MATCH($C185&amp;"|"&amp;
($F185+S$4),Raw_Fund!$A:$A,0),
_xlpm.colNo,
MATCH(S$3,Raw_Fund!$E$1:$AZ$1,0),
_xlpm.val,
INDEX(Raw_Fund!$E:$AZ,_xlpm.rowNo,_xlpm.colNo),
IF(ISNUMBER(_xlpm.val),_xlpm.val*$H185,""))</f>
        <v/>
      </c>
      <c r="T185" s="6" t="str">
        <f>_xlfn.LET(
_xlpm.rowNo, MATCH($C185&amp;"|"&amp;
($F185+T$4),Raw_Fund!$A:$A,0),
_xlpm.colNo,
MATCH(T$3,Raw_Fund!$E$1:$AZ$1,0),
_xlpm.val,
INDEX(Raw_Fund!$E:$AZ,_xlpm.rowNo,_xlpm.colNo),
IF(ISNUMBER(_xlpm.val),_xlpm.val*$H185,""))</f>
        <v/>
      </c>
      <c r="U185" s="6" t="str">
        <f>_xlfn.LET(
_xlpm.rowNo, MATCH($C185&amp;"|"&amp;
($F185+U$4),Raw_Fund!$A:$A,0),
_xlpm.colNo,
MATCH(U$3,Raw_Fund!$E$1:$AZ$1,0),
_xlpm.val,
INDEX(Raw_Fund!$E:$AZ,_xlpm.rowNo,_xlpm.colNo),
IF(ISNUMBER(_xlpm.val),_xlpm.val*$H185,""))</f>
        <v/>
      </c>
      <c r="V185" s="6" t="str">
        <f>_xlfn.LET(
_xlpm.rowNo, MATCH($C185&amp;"|"&amp;
($F185+V$4),Raw_Fund!$A:$A,0),
_xlpm.colNo,
MATCH(V$3,Raw_Fund!$E$1:$AZ$1,0),
_xlpm.val,
INDEX(Raw_Fund!$E:$AZ,_xlpm.rowNo,_xlpm.colNo),
IF(ISNUMBER(_xlpm.val),_xlpm.val*$H185,""))</f>
        <v/>
      </c>
      <c r="W185" s="6" t="str">
        <f>_xlfn.LET(
_xlpm.rowNo, MATCH($C185&amp;"|"&amp;
($F185+W$4),Raw_Fund!$A:$A,0),
_xlpm.colNo,
MATCH(W$3,Raw_Fund!$E$1:$AZ$1,0),
_xlpm.val,
INDEX(Raw_Fund!$E:$AZ,_xlpm.rowNo,_xlpm.colNo),
IF(ISNUMBER(_xlpm.val),_xlpm.val*$H185,""))</f>
        <v/>
      </c>
      <c r="X185" s="6" t="str">
        <f>_xlfn.LET(
_xlpm.rowNo, MATCH($C185&amp;"|"&amp;
($F185+X$4),Raw_Fund!$A:$A,0),
_xlpm.colNo,
MATCH(X$3,Raw_Fund!$E$1:$AZ$1,0),
_xlpm.val,
INDEX(Raw_Fund!$E:$AZ,_xlpm.rowNo,_xlpm.colNo),
IF(ISNUMBER(_xlpm.val),_xlpm.val*$H185,""))</f>
        <v/>
      </c>
      <c r="Y185" s="6" t="str">
        <f>_xlfn.LET(
_xlpm.rowNo, MATCH($C185&amp;"|"&amp;
($F185+Y$4),Raw_Fund!$A:$A,0),
_xlpm.colNo,
MATCH(Y$3,Raw_Fund!$E$1:$AZ$1,0),
_xlpm.val,
INDEX(Raw_Fund!$E:$AZ,_xlpm.rowNo,_xlpm.colNo),
IF(ISNUMBER(_xlpm.val),_xlpm.val*$H185,""))</f>
        <v/>
      </c>
      <c r="Z185" s="6" t="str">
        <f>IF($E185&lt;&gt;"Include","",_xlfn.XLOOKUP($C185,Raw_Mkt!$A:$A,Raw_Mkt!$B:$B))</f>
        <v/>
      </c>
    </row>
    <row r="186" spans="1:26" x14ac:dyDescent="0.4">
      <c r="A186" t="str">
        <f>IF(Universe!A186&lt;&gt;"",Universe!A186,"")</f>
        <v>PRN</v>
      </c>
      <c r="B186" t="str">
        <f>IF(Universe!B186&lt;&gt;"",Universe!B186,"")</f>
        <v>Princes Group</v>
      </c>
      <c r="C186" t="str">
        <f>IF(Universe!C186&lt;&gt;"",Universe!C186,"")</f>
        <v>GB00BVZNY531</v>
      </c>
      <c r="D186" t="str">
        <f>IF(Universe!D186&lt;&gt;"",Universe!D186,"")</f>
        <v>Consumer Staples</v>
      </c>
      <c r="E186" t="str">
        <f>Universe!G186</f>
        <v>Include</v>
      </c>
      <c r="F186" t="str">
        <f>IF($E186&lt;&gt;"Include","",_xlfn.LET(_xlpm.latest,_xlfn.MAXIFS(Raw_Fund!$C:$C,Raw_Fund!$B:$B,Data!$C186),IF(_xlpm.latest=0,"",_xlpm.latest)))</f>
        <v/>
      </c>
      <c r="G186" t="str">
        <f>IF($F186="","",INDEX(Raw_Fund!$E:$AZ,MATCH($C186&amp;"|"&amp;$F186,Raw_Fund!$A:$A,0),MATCH(G$3,Raw_Fund!$E$1:$AZ$1,0)))</f>
        <v/>
      </c>
      <c r="H186" t="str">
        <f t="shared" si="2"/>
        <v/>
      </c>
      <c r="I186" s="6" t="str">
        <f>_xlfn.LET(
_xlpm.rowNo, MATCH($C186&amp;"|"&amp;
($F186+I$4),Raw_Fund!$A:$A,0),
_xlpm.colNo,
MATCH(I$3,Raw_Fund!$E$1:$AZ$1,0),
_xlpm.val,
INDEX(Raw_Fund!$E:$AZ,_xlpm.rowNo,_xlpm.colNo),
IF(ISNUMBER(_xlpm.val),_xlpm.val*$H186,""))</f>
        <v/>
      </c>
      <c r="J186" s="6" t="str">
        <f>_xlfn.LET(
_xlpm.rowNo, MATCH($C186&amp;"|"&amp;
($F186+J$4),Raw_Fund!$A:$A,0),
_xlpm.colNo,
MATCH(J$3,Raw_Fund!$E$1:$AZ$1,0),
_xlpm.val,
INDEX(Raw_Fund!$E:$AZ,_xlpm.rowNo,_xlpm.colNo),
IF(ISNUMBER(_xlpm.val),_xlpm.val*$H186,""))</f>
        <v/>
      </c>
      <c r="K186" s="6" t="str">
        <f>_xlfn.LET(
_xlpm.rowNo, MATCH($C186&amp;"|"&amp;
($F186+K$4),Raw_Fund!$A:$A,0),
_xlpm.colNo,
MATCH(K$3,Raw_Fund!$E$1:$AZ$1,0),
_xlpm.val,
INDEX(Raw_Fund!$E:$AZ,_xlpm.rowNo,_xlpm.colNo),
IF(ISNUMBER(_xlpm.val),_xlpm.val*$H186,""))</f>
        <v/>
      </c>
      <c r="L186" s="6" t="str">
        <f>_xlfn.LET(
_xlpm.rowNo, MATCH($C186&amp;"|"&amp;
($F186+L$4),Raw_Fund!$A:$A,0),
_xlpm.colNo,
MATCH(L$3,Raw_Fund!$E$1:$AZ$1,0),
_xlpm.val,
INDEX(Raw_Fund!$E:$AZ,_xlpm.rowNo,_xlpm.colNo),
IF(ISNUMBER(_xlpm.val),_xlpm.val*$H186,""))</f>
        <v/>
      </c>
      <c r="M186" s="6" t="str">
        <f>_xlfn.LET(
_xlpm.rowNo, MATCH($C186&amp;"|"&amp;
($F186+M$4),Raw_Fund!$A:$A,0),
_xlpm.colNo,
MATCH(M$3,Raw_Fund!$E$1:$AZ$1,0),
_xlpm.val,
INDEX(Raw_Fund!$E:$AZ,_xlpm.rowNo,_xlpm.colNo),
IF(ISNUMBER(_xlpm.val),_xlpm.val*$H186,""))</f>
        <v/>
      </c>
      <c r="N186" s="6" t="str">
        <f>_xlfn.LET(
_xlpm.rowNo, MATCH($C186&amp;"|"&amp;
($F186+N$4),Raw_Fund!$A:$A,0),
_xlpm.colNo,
MATCH(N$3,Raw_Fund!$E$1:$AZ$1,0),
_xlpm.val,
INDEX(Raw_Fund!$E:$AZ,_xlpm.rowNo,_xlpm.colNo),
IF(ISNUMBER(_xlpm.val),_xlpm.val*$H186,""))</f>
        <v/>
      </c>
      <c r="O186" s="6" t="str">
        <f>_xlfn.LET(
_xlpm.rowNo, MATCH($C186&amp;"|"&amp;
($F186+O$4),Raw_Fund!$A:$A,0),
_xlpm.colNo,
MATCH(O$3,Raw_Fund!$E$1:$AZ$1,0),
_xlpm.val,
INDEX(Raw_Fund!$E:$AZ,_xlpm.rowNo,_xlpm.colNo),
IF(ISNUMBER(_xlpm.val),_xlpm.val*$H186,""))</f>
        <v/>
      </c>
      <c r="P186" s="6" t="str">
        <f>_xlfn.LET(
_xlpm.rowNo, MATCH($C186&amp;"|"&amp;
($F186+P$4),Raw_Fund!$A:$A,0),
_xlpm.colNo,
MATCH(P$3,Raw_Fund!$E$1:$AZ$1,0),
_xlpm.val,
INDEX(Raw_Fund!$E:$AZ,_xlpm.rowNo,_xlpm.colNo),
IF(ISNUMBER(_xlpm.val),_xlpm.val*$H186,""))</f>
        <v/>
      </c>
      <c r="Q186" s="6" t="str">
        <f>_xlfn.LET(
_xlpm.rowNo, MATCH($C186&amp;"|"&amp;
($F186+Q$4),Raw_Fund!$A:$A,0),
_xlpm.colNo,
MATCH(Q$3,Raw_Fund!$E$1:$AZ$1,0),
_xlpm.val,
INDEX(Raw_Fund!$E:$AZ,_xlpm.rowNo,_xlpm.colNo),
IF(ISNUMBER(_xlpm.val),_xlpm.val*$H186,""))</f>
        <v/>
      </c>
      <c r="R186" s="6" t="str">
        <f>_xlfn.LET(
_xlpm.rowNo, MATCH($C186&amp;"|"&amp;
($F186+R$4),Raw_Fund!$A:$A,0),
_xlpm.colNo,
MATCH(R$3,Raw_Fund!$E$1:$AZ$1,0),
_xlpm.val,
INDEX(Raw_Fund!$E:$AZ,_xlpm.rowNo,_xlpm.colNo),
IF(ISNUMBER(_xlpm.val),_xlpm.val*$H186,""))</f>
        <v/>
      </c>
      <c r="S186" s="6" t="str">
        <f>_xlfn.LET(
_xlpm.rowNo, MATCH($C186&amp;"|"&amp;
($F186+S$4),Raw_Fund!$A:$A,0),
_xlpm.colNo,
MATCH(S$3,Raw_Fund!$E$1:$AZ$1,0),
_xlpm.val,
INDEX(Raw_Fund!$E:$AZ,_xlpm.rowNo,_xlpm.colNo),
IF(ISNUMBER(_xlpm.val),_xlpm.val*$H186,""))</f>
        <v/>
      </c>
      <c r="T186" s="6" t="str">
        <f>_xlfn.LET(
_xlpm.rowNo, MATCH($C186&amp;"|"&amp;
($F186+T$4),Raw_Fund!$A:$A,0),
_xlpm.colNo,
MATCH(T$3,Raw_Fund!$E$1:$AZ$1,0),
_xlpm.val,
INDEX(Raw_Fund!$E:$AZ,_xlpm.rowNo,_xlpm.colNo),
IF(ISNUMBER(_xlpm.val),_xlpm.val*$H186,""))</f>
        <v/>
      </c>
      <c r="U186" s="6" t="str">
        <f>_xlfn.LET(
_xlpm.rowNo, MATCH($C186&amp;"|"&amp;
($F186+U$4),Raw_Fund!$A:$A,0),
_xlpm.colNo,
MATCH(U$3,Raw_Fund!$E$1:$AZ$1,0),
_xlpm.val,
INDEX(Raw_Fund!$E:$AZ,_xlpm.rowNo,_xlpm.colNo),
IF(ISNUMBER(_xlpm.val),_xlpm.val*$H186,""))</f>
        <v/>
      </c>
      <c r="V186" s="6" t="str">
        <f>_xlfn.LET(
_xlpm.rowNo, MATCH($C186&amp;"|"&amp;
($F186+V$4),Raw_Fund!$A:$A,0),
_xlpm.colNo,
MATCH(V$3,Raw_Fund!$E$1:$AZ$1,0),
_xlpm.val,
INDEX(Raw_Fund!$E:$AZ,_xlpm.rowNo,_xlpm.colNo),
IF(ISNUMBER(_xlpm.val),_xlpm.val*$H186,""))</f>
        <v/>
      </c>
      <c r="W186" s="6" t="str">
        <f>_xlfn.LET(
_xlpm.rowNo, MATCH($C186&amp;"|"&amp;
($F186+W$4),Raw_Fund!$A:$A,0),
_xlpm.colNo,
MATCH(W$3,Raw_Fund!$E$1:$AZ$1,0),
_xlpm.val,
INDEX(Raw_Fund!$E:$AZ,_xlpm.rowNo,_xlpm.colNo),
IF(ISNUMBER(_xlpm.val),_xlpm.val*$H186,""))</f>
        <v/>
      </c>
      <c r="X186" s="6" t="str">
        <f>_xlfn.LET(
_xlpm.rowNo, MATCH($C186&amp;"|"&amp;
($F186+X$4),Raw_Fund!$A:$A,0),
_xlpm.colNo,
MATCH(X$3,Raw_Fund!$E$1:$AZ$1,0),
_xlpm.val,
INDEX(Raw_Fund!$E:$AZ,_xlpm.rowNo,_xlpm.colNo),
IF(ISNUMBER(_xlpm.val),_xlpm.val*$H186,""))</f>
        <v/>
      </c>
      <c r="Y186" s="6" t="str">
        <f>_xlfn.LET(
_xlpm.rowNo, MATCH($C186&amp;"|"&amp;
($F186+Y$4),Raw_Fund!$A:$A,0),
_xlpm.colNo,
MATCH(Y$3,Raw_Fund!$E$1:$AZ$1,0),
_xlpm.val,
INDEX(Raw_Fund!$E:$AZ,_xlpm.rowNo,_xlpm.colNo),
IF(ISNUMBER(_xlpm.val),_xlpm.val*$H186,""))</f>
        <v/>
      </c>
      <c r="Z186" s="6" t="e">
        <f>IF($E186&lt;&gt;"Include","",_xlfn.XLOOKUP($C186,Raw_Mkt!$A:$A,Raw_Mkt!$B:$B))</f>
        <v>#N/A</v>
      </c>
    </row>
    <row r="187" spans="1:26" x14ac:dyDescent="0.4">
      <c r="A187" t="str">
        <f>IF(Universe!A187&lt;&gt;"",Universe!A187,"")</f>
        <v>QQ</v>
      </c>
      <c r="B187" t="str">
        <f>IF(Universe!B187&lt;&gt;"",Universe!B187,"")</f>
        <v>Qinetiq</v>
      </c>
      <c r="C187" t="str">
        <f>IF(Universe!C187&lt;&gt;"",Universe!C187,"")</f>
        <v>GB00B0WMWD03</v>
      </c>
      <c r="D187" t="str">
        <f>IF(Universe!D187&lt;&gt;"",Universe!D187,"")</f>
        <v>Industrials</v>
      </c>
      <c r="E187" t="str">
        <f>Universe!G187</f>
        <v>Include</v>
      </c>
      <c r="F187" t="str">
        <f>IF($E187&lt;&gt;"Include","",_xlfn.LET(_xlpm.latest,_xlfn.MAXIFS(Raw_Fund!$C:$C,Raw_Fund!$B:$B,Data!$C187),IF(_xlpm.latest=0,"",_xlpm.latest)))</f>
        <v/>
      </c>
      <c r="G187" t="str">
        <f>IF($F187="","",INDEX(Raw_Fund!$E:$AZ,MATCH($C187&amp;"|"&amp;$F187,Raw_Fund!$A:$A,0),MATCH(G$3,Raw_Fund!$E$1:$AZ$1,0)))</f>
        <v/>
      </c>
      <c r="H187" t="str">
        <f t="shared" si="2"/>
        <v/>
      </c>
      <c r="I187" s="6" t="str">
        <f>_xlfn.LET(
_xlpm.rowNo, MATCH($C187&amp;"|"&amp;
($F187+I$4),Raw_Fund!$A:$A,0),
_xlpm.colNo,
MATCH(I$3,Raw_Fund!$E$1:$AZ$1,0),
_xlpm.val,
INDEX(Raw_Fund!$E:$AZ,_xlpm.rowNo,_xlpm.colNo),
IF(ISNUMBER(_xlpm.val),_xlpm.val*$H187,""))</f>
        <v/>
      </c>
      <c r="J187" s="6" t="str">
        <f>_xlfn.LET(
_xlpm.rowNo, MATCH($C187&amp;"|"&amp;
($F187+J$4),Raw_Fund!$A:$A,0),
_xlpm.colNo,
MATCH(J$3,Raw_Fund!$E$1:$AZ$1,0),
_xlpm.val,
INDEX(Raw_Fund!$E:$AZ,_xlpm.rowNo,_xlpm.colNo),
IF(ISNUMBER(_xlpm.val),_xlpm.val*$H187,""))</f>
        <v/>
      </c>
      <c r="K187" s="6" t="str">
        <f>_xlfn.LET(
_xlpm.rowNo, MATCH($C187&amp;"|"&amp;
($F187+K$4),Raw_Fund!$A:$A,0),
_xlpm.colNo,
MATCH(K$3,Raw_Fund!$E$1:$AZ$1,0),
_xlpm.val,
INDEX(Raw_Fund!$E:$AZ,_xlpm.rowNo,_xlpm.colNo),
IF(ISNUMBER(_xlpm.val),_xlpm.val*$H187,""))</f>
        <v/>
      </c>
      <c r="L187" s="6" t="str">
        <f>_xlfn.LET(
_xlpm.rowNo, MATCH($C187&amp;"|"&amp;
($F187+L$4),Raw_Fund!$A:$A,0),
_xlpm.colNo,
MATCH(L$3,Raw_Fund!$E$1:$AZ$1,0),
_xlpm.val,
INDEX(Raw_Fund!$E:$AZ,_xlpm.rowNo,_xlpm.colNo),
IF(ISNUMBER(_xlpm.val),_xlpm.val*$H187,""))</f>
        <v/>
      </c>
      <c r="M187" s="6" t="str">
        <f>_xlfn.LET(
_xlpm.rowNo, MATCH($C187&amp;"|"&amp;
($F187+M$4),Raw_Fund!$A:$A,0),
_xlpm.colNo,
MATCH(M$3,Raw_Fund!$E$1:$AZ$1,0),
_xlpm.val,
INDEX(Raw_Fund!$E:$AZ,_xlpm.rowNo,_xlpm.colNo),
IF(ISNUMBER(_xlpm.val),_xlpm.val*$H187,""))</f>
        <v/>
      </c>
      <c r="N187" s="6" t="str">
        <f>_xlfn.LET(
_xlpm.rowNo, MATCH($C187&amp;"|"&amp;
($F187+N$4),Raw_Fund!$A:$A,0),
_xlpm.colNo,
MATCH(N$3,Raw_Fund!$E$1:$AZ$1,0),
_xlpm.val,
INDEX(Raw_Fund!$E:$AZ,_xlpm.rowNo,_xlpm.colNo),
IF(ISNUMBER(_xlpm.val),_xlpm.val*$H187,""))</f>
        <v/>
      </c>
      <c r="O187" s="6" t="str">
        <f>_xlfn.LET(
_xlpm.rowNo, MATCH($C187&amp;"|"&amp;
($F187+O$4),Raw_Fund!$A:$A,0),
_xlpm.colNo,
MATCH(O$3,Raw_Fund!$E$1:$AZ$1,0),
_xlpm.val,
INDEX(Raw_Fund!$E:$AZ,_xlpm.rowNo,_xlpm.colNo),
IF(ISNUMBER(_xlpm.val),_xlpm.val*$H187,""))</f>
        <v/>
      </c>
      <c r="P187" s="6" t="str">
        <f>_xlfn.LET(
_xlpm.rowNo, MATCH($C187&amp;"|"&amp;
($F187+P$4),Raw_Fund!$A:$A,0),
_xlpm.colNo,
MATCH(P$3,Raw_Fund!$E$1:$AZ$1,0),
_xlpm.val,
INDEX(Raw_Fund!$E:$AZ,_xlpm.rowNo,_xlpm.colNo),
IF(ISNUMBER(_xlpm.val),_xlpm.val*$H187,""))</f>
        <v/>
      </c>
      <c r="Q187" s="6" t="str">
        <f>_xlfn.LET(
_xlpm.rowNo, MATCH($C187&amp;"|"&amp;
($F187+Q$4),Raw_Fund!$A:$A,0),
_xlpm.colNo,
MATCH(Q$3,Raw_Fund!$E$1:$AZ$1,0),
_xlpm.val,
INDEX(Raw_Fund!$E:$AZ,_xlpm.rowNo,_xlpm.colNo),
IF(ISNUMBER(_xlpm.val),_xlpm.val*$H187,""))</f>
        <v/>
      </c>
      <c r="R187" s="6" t="str">
        <f>_xlfn.LET(
_xlpm.rowNo, MATCH($C187&amp;"|"&amp;
($F187+R$4),Raw_Fund!$A:$A,0),
_xlpm.colNo,
MATCH(R$3,Raw_Fund!$E$1:$AZ$1,0),
_xlpm.val,
INDEX(Raw_Fund!$E:$AZ,_xlpm.rowNo,_xlpm.colNo),
IF(ISNUMBER(_xlpm.val),_xlpm.val*$H187,""))</f>
        <v/>
      </c>
      <c r="S187" s="6" t="str">
        <f>_xlfn.LET(
_xlpm.rowNo, MATCH($C187&amp;"|"&amp;
($F187+S$4),Raw_Fund!$A:$A,0),
_xlpm.colNo,
MATCH(S$3,Raw_Fund!$E$1:$AZ$1,0),
_xlpm.val,
INDEX(Raw_Fund!$E:$AZ,_xlpm.rowNo,_xlpm.colNo),
IF(ISNUMBER(_xlpm.val),_xlpm.val*$H187,""))</f>
        <v/>
      </c>
      <c r="T187" s="6" t="str">
        <f>_xlfn.LET(
_xlpm.rowNo, MATCH($C187&amp;"|"&amp;
($F187+T$4),Raw_Fund!$A:$A,0),
_xlpm.colNo,
MATCH(T$3,Raw_Fund!$E$1:$AZ$1,0),
_xlpm.val,
INDEX(Raw_Fund!$E:$AZ,_xlpm.rowNo,_xlpm.colNo),
IF(ISNUMBER(_xlpm.val),_xlpm.val*$H187,""))</f>
        <v/>
      </c>
      <c r="U187" s="6" t="str">
        <f>_xlfn.LET(
_xlpm.rowNo, MATCH($C187&amp;"|"&amp;
($F187+U$4),Raw_Fund!$A:$A,0),
_xlpm.colNo,
MATCH(U$3,Raw_Fund!$E$1:$AZ$1,0),
_xlpm.val,
INDEX(Raw_Fund!$E:$AZ,_xlpm.rowNo,_xlpm.colNo),
IF(ISNUMBER(_xlpm.val),_xlpm.val*$H187,""))</f>
        <v/>
      </c>
      <c r="V187" s="6" t="str">
        <f>_xlfn.LET(
_xlpm.rowNo, MATCH($C187&amp;"|"&amp;
($F187+V$4),Raw_Fund!$A:$A,0),
_xlpm.colNo,
MATCH(V$3,Raw_Fund!$E$1:$AZ$1,0),
_xlpm.val,
INDEX(Raw_Fund!$E:$AZ,_xlpm.rowNo,_xlpm.colNo),
IF(ISNUMBER(_xlpm.val),_xlpm.val*$H187,""))</f>
        <v/>
      </c>
      <c r="W187" s="6" t="str">
        <f>_xlfn.LET(
_xlpm.rowNo, MATCH($C187&amp;"|"&amp;
($F187+W$4),Raw_Fund!$A:$A,0),
_xlpm.colNo,
MATCH(W$3,Raw_Fund!$E$1:$AZ$1,0),
_xlpm.val,
INDEX(Raw_Fund!$E:$AZ,_xlpm.rowNo,_xlpm.colNo),
IF(ISNUMBER(_xlpm.val),_xlpm.val*$H187,""))</f>
        <v/>
      </c>
      <c r="X187" s="6" t="str">
        <f>_xlfn.LET(
_xlpm.rowNo, MATCH($C187&amp;"|"&amp;
($F187+X$4),Raw_Fund!$A:$A,0),
_xlpm.colNo,
MATCH(X$3,Raw_Fund!$E$1:$AZ$1,0),
_xlpm.val,
INDEX(Raw_Fund!$E:$AZ,_xlpm.rowNo,_xlpm.colNo),
IF(ISNUMBER(_xlpm.val),_xlpm.val*$H187,""))</f>
        <v/>
      </c>
      <c r="Y187" s="6" t="str">
        <f>_xlfn.LET(
_xlpm.rowNo, MATCH($C187&amp;"|"&amp;
($F187+Y$4),Raw_Fund!$A:$A,0),
_xlpm.colNo,
MATCH(Y$3,Raw_Fund!$E$1:$AZ$1,0),
_xlpm.val,
INDEX(Raw_Fund!$E:$AZ,_xlpm.rowNo,_xlpm.colNo),
IF(ISNUMBER(_xlpm.val),_xlpm.val*$H187,""))</f>
        <v/>
      </c>
      <c r="Z187" s="6" t="e">
        <f>IF($E187&lt;&gt;"Include","",_xlfn.XLOOKUP($C187,Raw_Mkt!$A:$A,Raw_Mkt!$B:$B))</f>
        <v>#N/A</v>
      </c>
    </row>
    <row r="188" spans="1:26" x14ac:dyDescent="0.4">
      <c r="A188" t="str">
        <f>IF(Universe!A188&lt;&gt;"",Universe!A188,"")</f>
        <v>QLT</v>
      </c>
      <c r="B188" t="str">
        <f>IF(Universe!B188&lt;&gt;"",Universe!B188,"")</f>
        <v>Quilter</v>
      </c>
      <c r="C188" t="str">
        <f>IF(Universe!C188&lt;&gt;"",Universe!C188,"")</f>
        <v>GB00BNHSJN34</v>
      </c>
      <c r="D188" t="str">
        <f>IF(Universe!D188&lt;&gt;"",Universe!D188,"")</f>
        <v>Financials</v>
      </c>
      <c r="E188" t="str">
        <f>Universe!G188</f>
        <v>Exclude</v>
      </c>
      <c r="F188" t="str">
        <f>IF($E188&lt;&gt;"Include","",_xlfn.LET(_xlpm.latest,_xlfn.MAXIFS(Raw_Fund!$C:$C,Raw_Fund!$B:$B,Data!$C188),IF(_xlpm.latest=0,"",_xlpm.latest)))</f>
        <v/>
      </c>
      <c r="G188" t="str">
        <f>IF($F188="","",INDEX(Raw_Fund!$E:$AZ,MATCH($C188&amp;"|"&amp;$F188,Raw_Fund!$A:$A,0),MATCH(G$3,Raw_Fund!$E$1:$AZ$1,0)))</f>
        <v/>
      </c>
      <c r="H188" t="str">
        <f t="shared" si="2"/>
        <v/>
      </c>
      <c r="I188" s="6" t="str">
        <f>_xlfn.LET(
_xlpm.rowNo, MATCH($C188&amp;"|"&amp;
($F188+I$4),Raw_Fund!$A:$A,0),
_xlpm.colNo,
MATCH(I$3,Raw_Fund!$E$1:$AZ$1,0),
_xlpm.val,
INDEX(Raw_Fund!$E:$AZ,_xlpm.rowNo,_xlpm.colNo),
IF(ISNUMBER(_xlpm.val),_xlpm.val*$H188,""))</f>
        <v/>
      </c>
      <c r="J188" s="6" t="str">
        <f>_xlfn.LET(
_xlpm.rowNo, MATCH($C188&amp;"|"&amp;
($F188+J$4),Raw_Fund!$A:$A,0),
_xlpm.colNo,
MATCH(J$3,Raw_Fund!$E$1:$AZ$1,0),
_xlpm.val,
INDEX(Raw_Fund!$E:$AZ,_xlpm.rowNo,_xlpm.colNo),
IF(ISNUMBER(_xlpm.val),_xlpm.val*$H188,""))</f>
        <v/>
      </c>
      <c r="K188" s="6" t="str">
        <f>_xlfn.LET(
_xlpm.rowNo, MATCH($C188&amp;"|"&amp;
($F188+K$4),Raw_Fund!$A:$A,0),
_xlpm.colNo,
MATCH(K$3,Raw_Fund!$E$1:$AZ$1,0),
_xlpm.val,
INDEX(Raw_Fund!$E:$AZ,_xlpm.rowNo,_xlpm.colNo),
IF(ISNUMBER(_xlpm.val),_xlpm.val*$H188,""))</f>
        <v/>
      </c>
      <c r="L188" s="6" t="str">
        <f>_xlfn.LET(
_xlpm.rowNo, MATCH($C188&amp;"|"&amp;
($F188+L$4),Raw_Fund!$A:$A,0),
_xlpm.colNo,
MATCH(L$3,Raw_Fund!$E$1:$AZ$1,0),
_xlpm.val,
INDEX(Raw_Fund!$E:$AZ,_xlpm.rowNo,_xlpm.colNo),
IF(ISNUMBER(_xlpm.val),_xlpm.val*$H188,""))</f>
        <v/>
      </c>
      <c r="M188" s="6" t="str">
        <f>_xlfn.LET(
_xlpm.rowNo, MATCH($C188&amp;"|"&amp;
($F188+M$4),Raw_Fund!$A:$A,0),
_xlpm.colNo,
MATCH(M$3,Raw_Fund!$E$1:$AZ$1,0),
_xlpm.val,
INDEX(Raw_Fund!$E:$AZ,_xlpm.rowNo,_xlpm.colNo),
IF(ISNUMBER(_xlpm.val),_xlpm.val*$H188,""))</f>
        <v/>
      </c>
      <c r="N188" s="6" t="str">
        <f>_xlfn.LET(
_xlpm.rowNo, MATCH($C188&amp;"|"&amp;
($F188+N$4),Raw_Fund!$A:$A,0),
_xlpm.colNo,
MATCH(N$3,Raw_Fund!$E$1:$AZ$1,0),
_xlpm.val,
INDEX(Raw_Fund!$E:$AZ,_xlpm.rowNo,_xlpm.colNo),
IF(ISNUMBER(_xlpm.val),_xlpm.val*$H188,""))</f>
        <v/>
      </c>
      <c r="O188" s="6" t="str">
        <f>_xlfn.LET(
_xlpm.rowNo, MATCH($C188&amp;"|"&amp;
($F188+O$4),Raw_Fund!$A:$A,0),
_xlpm.colNo,
MATCH(O$3,Raw_Fund!$E$1:$AZ$1,0),
_xlpm.val,
INDEX(Raw_Fund!$E:$AZ,_xlpm.rowNo,_xlpm.colNo),
IF(ISNUMBER(_xlpm.val),_xlpm.val*$H188,""))</f>
        <v/>
      </c>
      <c r="P188" s="6" t="str">
        <f>_xlfn.LET(
_xlpm.rowNo, MATCH($C188&amp;"|"&amp;
($F188+P$4),Raw_Fund!$A:$A,0),
_xlpm.colNo,
MATCH(P$3,Raw_Fund!$E$1:$AZ$1,0),
_xlpm.val,
INDEX(Raw_Fund!$E:$AZ,_xlpm.rowNo,_xlpm.colNo),
IF(ISNUMBER(_xlpm.val),_xlpm.val*$H188,""))</f>
        <v/>
      </c>
      <c r="Q188" s="6" t="str">
        <f>_xlfn.LET(
_xlpm.rowNo, MATCH($C188&amp;"|"&amp;
($F188+Q$4),Raw_Fund!$A:$A,0),
_xlpm.colNo,
MATCH(Q$3,Raw_Fund!$E$1:$AZ$1,0),
_xlpm.val,
INDEX(Raw_Fund!$E:$AZ,_xlpm.rowNo,_xlpm.colNo),
IF(ISNUMBER(_xlpm.val),_xlpm.val*$H188,""))</f>
        <v/>
      </c>
      <c r="R188" s="6" t="str">
        <f>_xlfn.LET(
_xlpm.rowNo, MATCH($C188&amp;"|"&amp;
($F188+R$4),Raw_Fund!$A:$A,0),
_xlpm.colNo,
MATCH(R$3,Raw_Fund!$E$1:$AZ$1,0),
_xlpm.val,
INDEX(Raw_Fund!$E:$AZ,_xlpm.rowNo,_xlpm.colNo),
IF(ISNUMBER(_xlpm.val),_xlpm.val*$H188,""))</f>
        <v/>
      </c>
      <c r="S188" s="6" t="str">
        <f>_xlfn.LET(
_xlpm.rowNo, MATCH($C188&amp;"|"&amp;
($F188+S$4),Raw_Fund!$A:$A,0),
_xlpm.colNo,
MATCH(S$3,Raw_Fund!$E$1:$AZ$1,0),
_xlpm.val,
INDEX(Raw_Fund!$E:$AZ,_xlpm.rowNo,_xlpm.colNo),
IF(ISNUMBER(_xlpm.val),_xlpm.val*$H188,""))</f>
        <v/>
      </c>
      <c r="T188" s="6" t="str">
        <f>_xlfn.LET(
_xlpm.rowNo, MATCH($C188&amp;"|"&amp;
($F188+T$4),Raw_Fund!$A:$A,0),
_xlpm.colNo,
MATCH(T$3,Raw_Fund!$E$1:$AZ$1,0),
_xlpm.val,
INDEX(Raw_Fund!$E:$AZ,_xlpm.rowNo,_xlpm.colNo),
IF(ISNUMBER(_xlpm.val),_xlpm.val*$H188,""))</f>
        <v/>
      </c>
      <c r="U188" s="6" t="str">
        <f>_xlfn.LET(
_xlpm.rowNo, MATCH($C188&amp;"|"&amp;
($F188+U$4),Raw_Fund!$A:$A,0),
_xlpm.colNo,
MATCH(U$3,Raw_Fund!$E$1:$AZ$1,0),
_xlpm.val,
INDEX(Raw_Fund!$E:$AZ,_xlpm.rowNo,_xlpm.colNo),
IF(ISNUMBER(_xlpm.val),_xlpm.val*$H188,""))</f>
        <v/>
      </c>
      <c r="V188" s="6" t="str">
        <f>_xlfn.LET(
_xlpm.rowNo, MATCH($C188&amp;"|"&amp;
($F188+V$4),Raw_Fund!$A:$A,0),
_xlpm.colNo,
MATCH(V$3,Raw_Fund!$E$1:$AZ$1,0),
_xlpm.val,
INDEX(Raw_Fund!$E:$AZ,_xlpm.rowNo,_xlpm.colNo),
IF(ISNUMBER(_xlpm.val),_xlpm.val*$H188,""))</f>
        <v/>
      </c>
      <c r="W188" s="6" t="str">
        <f>_xlfn.LET(
_xlpm.rowNo, MATCH($C188&amp;"|"&amp;
($F188+W$4),Raw_Fund!$A:$A,0),
_xlpm.colNo,
MATCH(W$3,Raw_Fund!$E$1:$AZ$1,0),
_xlpm.val,
INDEX(Raw_Fund!$E:$AZ,_xlpm.rowNo,_xlpm.colNo),
IF(ISNUMBER(_xlpm.val),_xlpm.val*$H188,""))</f>
        <v/>
      </c>
      <c r="X188" s="6" t="str">
        <f>_xlfn.LET(
_xlpm.rowNo, MATCH($C188&amp;"|"&amp;
($F188+X$4),Raw_Fund!$A:$A,0),
_xlpm.colNo,
MATCH(X$3,Raw_Fund!$E$1:$AZ$1,0),
_xlpm.val,
INDEX(Raw_Fund!$E:$AZ,_xlpm.rowNo,_xlpm.colNo),
IF(ISNUMBER(_xlpm.val),_xlpm.val*$H188,""))</f>
        <v/>
      </c>
      <c r="Y188" s="6" t="str">
        <f>_xlfn.LET(
_xlpm.rowNo, MATCH($C188&amp;"|"&amp;
($F188+Y$4),Raw_Fund!$A:$A,0),
_xlpm.colNo,
MATCH(Y$3,Raw_Fund!$E$1:$AZ$1,0),
_xlpm.val,
INDEX(Raw_Fund!$E:$AZ,_xlpm.rowNo,_xlpm.colNo),
IF(ISNUMBER(_xlpm.val),_xlpm.val*$H188,""))</f>
        <v/>
      </c>
      <c r="Z188" s="6" t="str">
        <f>IF($E188&lt;&gt;"Include","",_xlfn.XLOOKUP($C188,Raw_Mkt!$A:$A,Raw_Mkt!$B:$B))</f>
        <v/>
      </c>
    </row>
    <row r="189" spans="1:26" x14ac:dyDescent="0.4">
      <c r="A189" t="str">
        <f>IF(Universe!A189&lt;&gt;"",Universe!A189,"")</f>
        <v>RNK</v>
      </c>
      <c r="B189" t="str">
        <f>IF(Universe!B189&lt;&gt;"",Universe!B189,"")</f>
        <v>Rank Group</v>
      </c>
      <c r="C189" t="str">
        <f>IF(Universe!C189&lt;&gt;"",Universe!C189,"")</f>
        <v>GB00B1L5QH97</v>
      </c>
      <c r="D189" t="str">
        <f>IF(Universe!D189&lt;&gt;"",Universe!D189,"")</f>
        <v>Consumer Discretionary</v>
      </c>
      <c r="E189" t="str">
        <f>Universe!G189</f>
        <v>Include</v>
      </c>
      <c r="F189" t="str">
        <f>IF($E189&lt;&gt;"Include","",_xlfn.LET(_xlpm.latest,_xlfn.MAXIFS(Raw_Fund!$C:$C,Raw_Fund!$B:$B,Data!$C189),IF(_xlpm.latest=0,"",_xlpm.latest)))</f>
        <v/>
      </c>
      <c r="G189" t="str">
        <f>IF($F189="","",INDEX(Raw_Fund!$E:$AZ,MATCH($C189&amp;"|"&amp;$F189,Raw_Fund!$A:$A,0),MATCH(G$3,Raw_Fund!$E$1:$AZ$1,0)))</f>
        <v/>
      </c>
      <c r="H189" t="str">
        <f t="shared" si="2"/>
        <v/>
      </c>
      <c r="I189" s="6" t="str">
        <f>_xlfn.LET(
_xlpm.rowNo, MATCH($C189&amp;"|"&amp;
($F189+I$4),Raw_Fund!$A:$A,0),
_xlpm.colNo,
MATCH(I$3,Raw_Fund!$E$1:$AZ$1,0),
_xlpm.val,
INDEX(Raw_Fund!$E:$AZ,_xlpm.rowNo,_xlpm.colNo),
IF(ISNUMBER(_xlpm.val),_xlpm.val*$H189,""))</f>
        <v/>
      </c>
      <c r="J189" s="6" t="str">
        <f>_xlfn.LET(
_xlpm.rowNo, MATCH($C189&amp;"|"&amp;
($F189+J$4),Raw_Fund!$A:$A,0),
_xlpm.colNo,
MATCH(J$3,Raw_Fund!$E$1:$AZ$1,0),
_xlpm.val,
INDEX(Raw_Fund!$E:$AZ,_xlpm.rowNo,_xlpm.colNo),
IF(ISNUMBER(_xlpm.val),_xlpm.val*$H189,""))</f>
        <v/>
      </c>
      <c r="K189" s="6" t="str">
        <f>_xlfn.LET(
_xlpm.rowNo, MATCH($C189&amp;"|"&amp;
($F189+K$4),Raw_Fund!$A:$A,0),
_xlpm.colNo,
MATCH(K$3,Raw_Fund!$E$1:$AZ$1,0),
_xlpm.val,
INDEX(Raw_Fund!$E:$AZ,_xlpm.rowNo,_xlpm.colNo),
IF(ISNUMBER(_xlpm.val),_xlpm.val*$H189,""))</f>
        <v/>
      </c>
      <c r="L189" s="6" t="str">
        <f>_xlfn.LET(
_xlpm.rowNo, MATCH($C189&amp;"|"&amp;
($F189+L$4),Raw_Fund!$A:$A,0),
_xlpm.colNo,
MATCH(L$3,Raw_Fund!$E$1:$AZ$1,0),
_xlpm.val,
INDEX(Raw_Fund!$E:$AZ,_xlpm.rowNo,_xlpm.colNo),
IF(ISNUMBER(_xlpm.val),_xlpm.val*$H189,""))</f>
        <v/>
      </c>
      <c r="M189" s="6" t="str">
        <f>_xlfn.LET(
_xlpm.rowNo, MATCH($C189&amp;"|"&amp;
($F189+M$4),Raw_Fund!$A:$A,0),
_xlpm.colNo,
MATCH(M$3,Raw_Fund!$E$1:$AZ$1,0),
_xlpm.val,
INDEX(Raw_Fund!$E:$AZ,_xlpm.rowNo,_xlpm.colNo),
IF(ISNUMBER(_xlpm.val),_xlpm.val*$H189,""))</f>
        <v/>
      </c>
      <c r="N189" s="6" t="str">
        <f>_xlfn.LET(
_xlpm.rowNo, MATCH($C189&amp;"|"&amp;
($F189+N$4),Raw_Fund!$A:$A,0),
_xlpm.colNo,
MATCH(N$3,Raw_Fund!$E$1:$AZ$1,0),
_xlpm.val,
INDEX(Raw_Fund!$E:$AZ,_xlpm.rowNo,_xlpm.colNo),
IF(ISNUMBER(_xlpm.val),_xlpm.val*$H189,""))</f>
        <v/>
      </c>
      <c r="O189" s="6" t="str">
        <f>_xlfn.LET(
_xlpm.rowNo, MATCH($C189&amp;"|"&amp;
($F189+O$4),Raw_Fund!$A:$A,0),
_xlpm.colNo,
MATCH(O$3,Raw_Fund!$E$1:$AZ$1,0),
_xlpm.val,
INDEX(Raw_Fund!$E:$AZ,_xlpm.rowNo,_xlpm.colNo),
IF(ISNUMBER(_xlpm.val),_xlpm.val*$H189,""))</f>
        <v/>
      </c>
      <c r="P189" s="6" t="str">
        <f>_xlfn.LET(
_xlpm.rowNo, MATCH($C189&amp;"|"&amp;
($F189+P$4),Raw_Fund!$A:$A,0),
_xlpm.colNo,
MATCH(P$3,Raw_Fund!$E$1:$AZ$1,0),
_xlpm.val,
INDEX(Raw_Fund!$E:$AZ,_xlpm.rowNo,_xlpm.colNo),
IF(ISNUMBER(_xlpm.val),_xlpm.val*$H189,""))</f>
        <v/>
      </c>
      <c r="Q189" s="6" t="str">
        <f>_xlfn.LET(
_xlpm.rowNo, MATCH($C189&amp;"|"&amp;
($F189+Q$4),Raw_Fund!$A:$A,0),
_xlpm.colNo,
MATCH(Q$3,Raw_Fund!$E$1:$AZ$1,0),
_xlpm.val,
INDEX(Raw_Fund!$E:$AZ,_xlpm.rowNo,_xlpm.colNo),
IF(ISNUMBER(_xlpm.val),_xlpm.val*$H189,""))</f>
        <v/>
      </c>
      <c r="R189" s="6" t="str">
        <f>_xlfn.LET(
_xlpm.rowNo, MATCH($C189&amp;"|"&amp;
($F189+R$4),Raw_Fund!$A:$A,0),
_xlpm.colNo,
MATCH(R$3,Raw_Fund!$E$1:$AZ$1,0),
_xlpm.val,
INDEX(Raw_Fund!$E:$AZ,_xlpm.rowNo,_xlpm.colNo),
IF(ISNUMBER(_xlpm.val),_xlpm.val*$H189,""))</f>
        <v/>
      </c>
      <c r="S189" s="6" t="str">
        <f>_xlfn.LET(
_xlpm.rowNo, MATCH($C189&amp;"|"&amp;
($F189+S$4),Raw_Fund!$A:$A,0),
_xlpm.colNo,
MATCH(S$3,Raw_Fund!$E$1:$AZ$1,0),
_xlpm.val,
INDEX(Raw_Fund!$E:$AZ,_xlpm.rowNo,_xlpm.colNo),
IF(ISNUMBER(_xlpm.val),_xlpm.val*$H189,""))</f>
        <v/>
      </c>
      <c r="T189" s="6" t="str">
        <f>_xlfn.LET(
_xlpm.rowNo, MATCH($C189&amp;"|"&amp;
($F189+T$4),Raw_Fund!$A:$A,0),
_xlpm.colNo,
MATCH(T$3,Raw_Fund!$E$1:$AZ$1,0),
_xlpm.val,
INDEX(Raw_Fund!$E:$AZ,_xlpm.rowNo,_xlpm.colNo),
IF(ISNUMBER(_xlpm.val),_xlpm.val*$H189,""))</f>
        <v/>
      </c>
      <c r="U189" s="6" t="str">
        <f>_xlfn.LET(
_xlpm.rowNo, MATCH($C189&amp;"|"&amp;
($F189+U$4),Raw_Fund!$A:$A,0),
_xlpm.colNo,
MATCH(U$3,Raw_Fund!$E$1:$AZ$1,0),
_xlpm.val,
INDEX(Raw_Fund!$E:$AZ,_xlpm.rowNo,_xlpm.colNo),
IF(ISNUMBER(_xlpm.val),_xlpm.val*$H189,""))</f>
        <v/>
      </c>
      <c r="V189" s="6" t="str">
        <f>_xlfn.LET(
_xlpm.rowNo, MATCH($C189&amp;"|"&amp;
($F189+V$4),Raw_Fund!$A:$A,0),
_xlpm.colNo,
MATCH(V$3,Raw_Fund!$E$1:$AZ$1,0),
_xlpm.val,
INDEX(Raw_Fund!$E:$AZ,_xlpm.rowNo,_xlpm.colNo),
IF(ISNUMBER(_xlpm.val),_xlpm.val*$H189,""))</f>
        <v/>
      </c>
      <c r="W189" s="6" t="str">
        <f>_xlfn.LET(
_xlpm.rowNo, MATCH($C189&amp;"|"&amp;
($F189+W$4),Raw_Fund!$A:$A,0),
_xlpm.colNo,
MATCH(W$3,Raw_Fund!$E$1:$AZ$1,0),
_xlpm.val,
INDEX(Raw_Fund!$E:$AZ,_xlpm.rowNo,_xlpm.colNo),
IF(ISNUMBER(_xlpm.val),_xlpm.val*$H189,""))</f>
        <v/>
      </c>
      <c r="X189" s="6" t="str">
        <f>_xlfn.LET(
_xlpm.rowNo, MATCH($C189&amp;"|"&amp;
($F189+X$4),Raw_Fund!$A:$A,0),
_xlpm.colNo,
MATCH(X$3,Raw_Fund!$E$1:$AZ$1,0),
_xlpm.val,
INDEX(Raw_Fund!$E:$AZ,_xlpm.rowNo,_xlpm.colNo),
IF(ISNUMBER(_xlpm.val),_xlpm.val*$H189,""))</f>
        <v/>
      </c>
      <c r="Y189" s="6" t="str">
        <f>_xlfn.LET(
_xlpm.rowNo, MATCH($C189&amp;"|"&amp;
($F189+Y$4),Raw_Fund!$A:$A,0),
_xlpm.colNo,
MATCH(Y$3,Raw_Fund!$E$1:$AZ$1,0),
_xlpm.val,
INDEX(Raw_Fund!$E:$AZ,_xlpm.rowNo,_xlpm.colNo),
IF(ISNUMBER(_xlpm.val),_xlpm.val*$H189,""))</f>
        <v/>
      </c>
      <c r="Z189" s="6" t="e">
        <f>IF($E189&lt;&gt;"Include","",_xlfn.XLOOKUP($C189,Raw_Mkt!$A:$A,Raw_Mkt!$B:$B))</f>
        <v>#N/A</v>
      </c>
    </row>
    <row r="190" spans="1:26" x14ac:dyDescent="0.4">
      <c r="A190" t="str">
        <f>IF(Universe!A190&lt;&gt;"",Universe!A190,"")</f>
        <v>RPI</v>
      </c>
      <c r="B190" t="str">
        <f>IF(Universe!B190&lt;&gt;"",Universe!B190,"")</f>
        <v>Raspberry Pi Holdings</v>
      </c>
      <c r="C190" t="str">
        <f>IF(Universe!C190&lt;&gt;"",Universe!C190,"")</f>
        <v>GB00BS3DYQ52</v>
      </c>
      <c r="D190" t="str">
        <f>IF(Universe!D190&lt;&gt;"",Universe!D190,"")</f>
        <v>Technology</v>
      </c>
      <c r="E190" t="str">
        <f>Universe!G190</f>
        <v>Include</v>
      </c>
      <c r="F190" t="str">
        <f>IF($E190&lt;&gt;"Include","",_xlfn.LET(_xlpm.latest,_xlfn.MAXIFS(Raw_Fund!$C:$C,Raw_Fund!$B:$B,Data!$C190),IF(_xlpm.latest=0,"",_xlpm.latest)))</f>
        <v/>
      </c>
      <c r="G190" t="str">
        <f>IF($F190="","",INDEX(Raw_Fund!$E:$AZ,MATCH($C190&amp;"|"&amp;$F190,Raw_Fund!$A:$A,0),MATCH(G$3,Raw_Fund!$E$1:$AZ$1,0)))</f>
        <v/>
      </c>
      <c r="H190" t="str">
        <f t="shared" si="2"/>
        <v/>
      </c>
      <c r="I190" s="6" t="str">
        <f>_xlfn.LET(
_xlpm.rowNo, MATCH($C190&amp;"|"&amp;
($F190+I$4),Raw_Fund!$A:$A,0),
_xlpm.colNo,
MATCH(I$3,Raw_Fund!$E$1:$AZ$1,0),
_xlpm.val,
INDEX(Raw_Fund!$E:$AZ,_xlpm.rowNo,_xlpm.colNo),
IF(ISNUMBER(_xlpm.val),_xlpm.val*$H190,""))</f>
        <v/>
      </c>
      <c r="J190" s="6" t="str">
        <f>_xlfn.LET(
_xlpm.rowNo, MATCH($C190&amp;"|"&amp;
($F190+J$4),Raw_Fund!$A:$A,0),
_xlpm.colNo,
MATCH(J$3,Raw_Fund!$E$1:$AZ$1,0),
_xlpm.val,
INDEX(Raw_Fund!$E:$AZ,_xlpm.rowNo,_xlpm.colNo),
IF(ISNUMBER(_xlpm.val),_xlpm.val*$H190,""))</f>
        <v/>
      </c>
      <c r="K190" s="6" t="str">
        <f>_xlfn.LET(
_xlpm.rowNo, MATCH($C190&amp;"|"&amp;
($F190+K$4),Raw_Fund!$A:$A,0),
_xlpm.colNo,
MATCH(K$3,Raw_Fund!$E$1:$AZ$1,0),
_xlpm.val,
INDEX(Raw_Fund!$E:$AZ,_xlpm.rowNo,_xlpm.colNo),
IF(ISNUMBER(_xlpm.val),_xlpm.val*$H190,""))</f>
        <v/>
      </c>
      <c r="L190" s="6" t="str">
        <f>_xlfn.LET(
_xlpm.rowNo, MATCH($C190&amp;"|"&amp;
($F190+L$4),Raw_Fund!$A:$A,0),
_xlpm.colNo,
MATCH(L$3,Raw_Fund!$E$1:$AZ$1,0),
_xlpm.val,
INDEX(Raw_Fund!$E:$AZ,_xlpm.rowNo,_xlpm.colNo),
IF(ISNUMBER(_xlpm.val),_xlpm.val*$H190,""))</f>
        <v/>
      </c>
      <c r="M190" s="6" t="str">
        <f>_xlfn.LET(
_xlpm.rowNo, MATCH($C190&amp;"|"&amp;
($F190+M$4),Raw_Fund!$A:$A,0),
_xlpm.colNo,
MATCH(M$3,Raw_Fund!$E$1:$AZ$1,0),
_xlpm.val,
INDEX(Raw_Fund!$E:$AZ,_xlpm.rowNo,_xlpm.colNo),
IF(ISNUMBER(_xlpm.val),_xlpm.val*$H190,""))</f>
        <v/>
      </c>
      <c r="N190" s="6" t="str">
        <f>_xlfn.LET(
_xlpm.rowNo, MATCH($C190&amp;"|"&amp;
($F190+N$4),Raw_Fund!$A:$A,0),
_xlpm.colNo,
MATCH(N$3,Raw_Fund!$E$1:$AZ$1,0),
_xlpm.val,
INDEX(Raw_Fund!$E:$AZ,_xlpm.rowNo,_xlpm.colNo),
IF(ISNUMBER(_xlpm.val),_xlpm.val*$H190,""))</f>
        <v/>
      </c>
      <c r="O190" s="6" t="str">
        <f>_xlfn.LET(
_xlpm.rowNo, MATCH($C190&amp;"|"&amp;
($F190+O$4),Raw_Fund!$A:$A,0),
_xlpm.colNo,
MATCH(O$3,Raw_Fund!$E$1:$AZ$1,0),
_xlpm.val,
INDEX(Raw_Fund!$E:$AZ,_xlpm.rowNo,_xlpm.colNo),
IF(ISNUMBER(_xlpm.val),_xlpm.val*$H190,""))</f>
        <v/>
      </c>
      <c r="P190" s="6" t="str">
        <f>_xlfn.LET(
_xlpm.rowNo, MATCH($C190&amp;"|"&amp;
($F190+P$4),Raw_Fund!$A:$A,0),
_xlpm.colNo,
MATCH(P$3,Raw_Fund!$E$1:$AZ$1,0),
_xlpm.val,
INDEX(Raw_Fund!$E:$AZ,_xlpm.rowNo,_xlpm.colNo),
IF(ISNUMBER(_xlpm.val),_xlpm.val*$H190,""))</f>
        <v/>
      </c>
      <c r="Q190" s="6" t="str">
        <f>_xlfn.LET(
_xlpm.rowNo, MATCH($C190&amp;"|"&amp;
($F190+Q$4),Raw_Fund!$A:$A,0),
_xlpm.colNo,
MATCH(Q$3,Raw_Fund!$E$1:$AZ$1,0),
_xlpm.val,
INDEX(Raw_Fund!$E:$AZ,_xlpm.rowNo,_xlpm.colNo),
IF(ISNUMBER(_xlpm.val),_xlpm.val*$H190,""))</f>
        <v/>
      </c>
      <c r="R190" s="6" t="str">
        <f>_xlfn.LET(
_xlpm.rowNo, MATCH($C190&amp;"|"&amp;
($F190+R$4),Raw_Fund!$A:$A,0),
_xlpm.colNo,
MATCH(R$3,Raw_Fund!$E$1:$AZ$1,0),
_xlpm.val,
INDEX(Raw_Fund!$E:$AZ,_xlpm.rowNo,_xlpm.colNo),
IF(ISNUMBER(_xlpm.val),_xlpm.val*$H190,""))</f>
        <v/>
      </c>
      <c r="S190" s="6" t="str">
        <f>_xlfn.LET(
_xlpm.rowNo, MATCH($C190&amp;"|"&amp;
($F190+S$4),Raw_Fund!$A:$A,0),
_xlpm.colNo,
MATCH(S$3,Raw_Fund!$E$1:$AZ$1,0),
_xlpm.val,
INDEX(Raw_Fund!$E:$AZ,_xlpm.rowNo,_xlpm.colNo),
IF(ISNUMBER(_xlpm.val),_xlpm.val*$H190,""))</f>
        <v/>
      </c>
      <c r="T190" s="6" t="str">
        <f>_xlfn.LET(
_xlpm.rowNo, MATCH($C190&amp;"|"&amp;
($F190+T$4),Raw_Fund!$A:$A,0),
_xlpm.colNo,
MATCH(T$3,Raw_Fund!$E$1:$AZ$1,0),
_xlpm.val,
INDEX(Raw_Fund!$E:$AZ,_xlpm.rowNo,_xlpm.colNo),
IF(ISNUMBER(_xlpm.val),_xlpm.val*$H190,""))</f>
        <v/>
      </c>
      <c r="U190" s="6" t="str">
        <f>_xlfn.LET(
_xlpm.rowNo, MATCH($C190&amp;"|"&amp;
($F190+U$4),Raw_Fund!$A:$A,0),
_xlpm.colNo,
MATCH(U$3,Raw_Fund!$E$1:$AZ$1,0),
_xlpm.val,
INDEX(Raw_Fund!$E:$AZ,_xlpm.rowNo,_xlpm.colNo),
IF(ISNUMBER(_xlpm.val),_xlpm.val*$H190,""))</f>
        <v/>
      </c>
      <c r="V190" s="6" t="str">
        <f>_xlfn.LET(
_xlpm.rowNo, MATCH($C190&amp;"|"&amp;
($F190+V$4),Raw_Fund!$A:$A,0),
_xlpm.colNo,
MATCH(V$3,Raw_Fund!$E$1:$AZ$1,0),
_xlpm.val,
INDEX(Raw_Fund!$E:$AZ,_xlpm.rowNo,_xlpm.colNo),
IF(ISNUMBER(_xlpm.val),_xlpm.val*$H190,""))</f>
        <v/>
      </c>
      <c r="W190" s="6" t="str">
        <f>_xlfn.LET(
_xlpm.rowNo, MATCH($C190&amp;"|"&amp;
($F190+W$4),Raw_Fund!$A:$A,0),
_xlpm.colNo,
MATCH(W$3,Raw_Fund!$E$1:$AZ$1,0),
_xlpm.val,
INDEX(Raw_Fund!$E:$AZ,_xlpm.rowNo,_xlpm.colNo),
IF(ISNUMBER(_xlpm.val),_xlpm.val*$H190,""))</f>
        <v/>
      </c>
      <c r="X190" s="6" t="str">
        <f>_xlfn.LET(
_xlpm.rowNo, MATCH($C190&amp;"|"&amp;
($F190+X$4),Raw_Fund!$A:$A,0),
_xlpm.colNo,
MATCH(X$3,Raw_Fund!$E$1:$AZ$1,0),
_xlpm.val,
INDEX(Raw_Fund!$E:$AZ,_xlpm.rowNo,_xlpm.colNo),
IF(ISNUMBER(_xlpm.val),_xlpm.val*$H190,""))</f>
        <v/>
      </c>
      <c r="Y190" s="6" t="str">
        <f>_xlfn.LET(
_xlpm.rowNo, MATCH($C190&amp;"|"&amp;
($F190+Y$4),Raw_Fund!$A:$A,0),
_xlpm.colNo,
MATCH(Y$3,Raw_Fund!$E$1:$AZ$1,0),
_xlpm.val,
INDEX(Raw_Fund!$E:$AZ,_xlpm.rowNo,_xlpm.colNo),
IF(ISNUMBER(_xlpm.val),_xlpm.val*$H190,""))</f>
        <v/>
      </c>
      <c r="Z190" s="6" t="e">
        <f>IF($E190&lt;&gt;"Include","",_xlfn.XLOOKUP($C190,Raw_Mkt!$A:$A,Raw_Mkt!$B:$B))</f>
        <v>#N/A</v>
      </c>
    </row>
    <row r="191" spans="1:26" x14ac:dyDescent="0.4">
      <c r="A191" t="str">
        <f>IF(Universe!A191&lt;&gt;"",Universe!A191,"")</f>
        <v>RAT</v>
      </c>
      <c r="B191" t="str">
        <f>IF(Universe!B191&lt;&gt;"",Universe!B191,"")</f>
        <v>Rathbones</v>
      </c>
      <c r="C191" t="str">
        <f>IF(Universe!C191&lt;&gt;"",Universe!C191,"")</f>
        <v>GB0002148343</v>
      </c>
      <c r="D191" t="str">
        <f>IF(Universe!D191&lt;&gt;"",Universe!D191,"")</f>
        <v>Financials</v>
      </c>
      <c r="E191" t="str">
        <f>Universe!G191</f>
        <v>Exclude</v>
      </c>
      <c r="F191" t="str">
        <f>IF($E191&lt;&gt;"Include","",_xlfn.LET(_xlpm.latest,_xlfn.MAXIFS(Raw_Fund!$C:$C,Raw_Fund!$B:$B,Data!$C191),IF(_xlpm.latest=0,"",_xlpm.latest)))</f>
        <v/>
      </c>
      <c r="G191" t="str">
        <f>IF($F191="","",INDEX(Raw_Fund!$E:$AZ,MATCH($C191&amp;"|"&amp;$F191,Raw_Fund!$A:$A,0),MATCH(G$3,Raw_Fund!$E$1:$AZ$1,0)))</f>
        <v/>
      </c>
      <c r="H191" t="str">
        <f t="shared" si="2"/>
        <v/>
      </c>
      <c r="I191" s="6" t="str">
        <f>_xlfn.LET(
_xlpm.rowNo, MATCH($C191&amp;"|"&amp;
($F191+I$4),Raw_Fund!$A:$A,0),
_xlpm.colNo,
MATCH(I$3,Raw_Fund!$E$1:$AZ$1,0),
_xlpm.val,
INDEX(Raw_Fund!$E:$AZ,_xlpm.rowNo,_xlpm.colNo),
IF(ISNUMBER(_xlpm.val),_xlpm.val*$H191,""))</f>
        <v/>
      </c>
      <c r="J191" s="6" t="str">
        <f>_xlfn.LET(
_xlpm.rowNo, MATCH($C191&amp;"|"&amp;
($F191+J$4),Raw_Fund!$A:$A,0),
_xlpm.colNo,
MATCH(J$3,Raw_Fund!$E$1:$AZ$1,0),
_xlpm.val,
INDEX(Raw_Fund!$E:$AZ,_xlpm.rowNo,_xlpm.colNo),
IF(ISNUMBER(_xlpm.val),_xlpm.val*$H191,""))</f>
        <v/>
      </c>
      <c r="K191" s="6" t="str">
        <f>_xlfn.LET(
_xlpm.rowNo, MATCH($C191&amp;"|"&amp;
($F191+K$4),Raw_Fund!$A:$A,0),
_xlpm.colNo,
MATCH(K$3,Raw_Fund!$E$1:$AZ$1,0),
_xlpm.val,
INDEX(Raw_Fund!$E:$AZ,_xlpm.rowNo,_xlpm.colNo),
IF(ISNUMBER(_xlpm.val),_xlpm.val*$H191,""))</f>
        <v/>
      </c>
      <c r="L191" s="6" t="str">
        <f>_xlfn.LET(
_xlpm.rowNo, MATCH($C191&amp;"|"&amp;
($F191+L$4),Raw_Fund!$A:$A,0),
_xlpm.colNo,
MATCH(L$3,Raw_Fund!$E$1:$AZ$1,0),
_xlpm.val,
INDEX(Raw_Fund!$E:$AZ,_xlpm.rowNo,_xlpm.colNo),
IF(ISNUMBER(_xlpm.val),_xlpm.val*$H191,""))</f>
        <v/>
      </c>
      <c r="M191" s="6" t="str">
        <f>_xlfn.LET(
_xlpm.rowNo, MATCH($C191&amp;"|"&amp;
($F191+M$4),Raw_Fund!$A:$A,0),
_xlpm.colNo,
MATCH(M$3,Raw_Fund!$E$1:$AZ$1,0),
_xlpm.val,
INDEX(Raw_Fund!$E:$AZ,_xlpm.rowNo,_xlpm.colNo),
IF(ISNUMBER(_xlpm.val),_xlpm.val*$H191,""))</f>
        <v/>
      </c>
      <c r="N191" s="6" t="str">
        <f>_xlfn.LET(
_xlpm.rowNo, MATCH($C191&amp;"|"&amp;
($F191+N$4),Raw_Fund!$A:$A,0),
_xlpm.colNo,
MATCH(N$3,Raw_Fund!$E$1:$AZ$1,0),
_xlpm.val,
INDEX(Raw_Fund!$E:$AZ,_xlpm.rowNo,_xlpm.colNo),
IF(ISNUMBER(_xlpm.val),_xlpm.val*$H191,""))</f>
        <v/>
      </c>
      <c r="O191" s="6" t="str">
        <f>_xlfn.LET(
_xlpm.rowNo, MATCH($C191&amp;"|"&amp;
($F191+O$4),Raw_Fund!$A:$A,0),
_xlpm.colNo,
MATCH(O$3,Raw_Fund!$E$1:$AZ$1,0),
_xlpm.val,
INDEX(Raw_Fund!$E:$AZ,_xlpm.rowNo,_xlpm.colNo),
IF(ISNUMBER(_xlpm.val),_xlpm.val*$H191,""))</f>
        <v/>
      </c>
      <c r="P191" s="6" t="str">
        <f>_xlfn.LET(
_xlpm.rowNo, MATCH($C191&amp;"|"&amp;
($F191+P$4),Raw_Fund!$A:$A,0),
_xlpm.colNo,
MATCH(P$3,Raw_Fund!$E$1:$AZ$1,0),
_xlpm.val,
INDEX(Raw_Fund!$E:$AZ,_xlpm.rowNo,_xlpm.colNo),
IF(ISNUMBER(_xlpm.val),_xlpm.val*$H191,""))</f>
        <v/>
      </c>
      <c r="Q191" s="6" t="str">
        <f>_xlfn.LET(
_xlpm.rowNo, MATCH($C191&amp;"|"&amp;
($F191+Q$4),Raw_Fund!$A:$A,0),
_xlpm.colNo,
MATCH(Q$3,Raw_Fund!$E$1:$AZ$1,0),
_xlpm.val,
INDEX(Raw_Fund!$E:$AZ,_xlpm.rowNo,_xlpm.colNo),
IF(ISNUMBER(_xlpm.val),_xlpm.val*$H191,""))</f>
        <v/>
      </c>
      <c r="R191" s="6" t="str">
        <f>_xlfn.LET(
_xlpm.rowNo, MATCH($C191&amp;"|"&amp;
($F191+R$4),Raw_Fund!$A:$A,0),
_xlpm.colNo,
MATCH(R$3,Raw_Fund!$E$1:$AZ$1,0),
_xlpm.val,
INDEX(Raw_Fund!$E:$AZ,_xlpm.rowNo,_xlpm.colNo),
IF(ISNUMBER(_xlpm.val),_xlpm.val*$H191,""))</f>
        <v/>
      </c>
      <c r="S191" s="6" t="str">
        <f>_xlfn.LET(
_xlpm.rowNo, MATCH($C191&amp;"|"&amp;
($F191+S$4),Raw_Fund!$A:$A,0),
_xlpm.colNo,
MATCH(S$3,Raw_Fund!$E$1:$AZ$1,0),
_xlpm.val,
INDEX(Raw_Fund!$E:$AZ,_xlpm.rowNo,_xlpm.colNo),
IF(ISNUMBER(_xlpm.val),_xlpm.val*$H191,""))</f>
        <v/>
      </c>
      <c r="T191" s="6" t="str">
        <f>_xlfn.LET(
_xlpm.rowNo, MATCH($C191&amp;"|"&amp;
($F191+T$4),Raw_Fund!$A:$A,0),
_xlpm.colNo,
MATCH(T$3,Raw_Fund!$E$1:$AZ$1,0),
_xlpm.val,
INDEX(Raw_Fund!$E:$AZ,_xlpm.rowNo,_xlpm.colNo),
IF(ISNUMBER(_xlpm.val),_xlpm.val*$H191,""))</f>
        <v/>
      </c>
      <c r="U191" s="6" t="str">
        <f>_xlfn.LET(
_xlpm.rowNo, MATCH($C191&amp;"|"&amp;
($F191+U$4),Raw_Fund!$A:$A,0),
_xlpm.colNo,
MATCH(U$3,Raw_Fund!$E$1:$AZ$1,0),
_xlpm.val,
INDEX(Raw_Fund!$E:$AZ,_xlpm.rowNo,_xlpm.colNo),
IF(ISNUMBER(_xlpm.val),_xlpm.val*$H191,""))</f>
        <v/>
      </c>
      <c r="V191" s="6" t="str">
        <f>_xlfn.LET(
_xlpm.rowNo, MATCH($C191&amp;"|"&amp;
($F191+V$4),Raw_Fund!$A:$A,0),
_xlpm.colNo,
MATCH(V$3,Raw_Fund!$E$1:$AZ$1,0),
_xlpm.val,
INDEX(Raw_Fund!$E:$AZ,_xlpm.rowNo,_xlpm.colNo),
IF(ISNUMBER(_xlpm.val),_xlpm.val*$H191,""))</f>
        <v/>
      </c>
      <c r="W191" s="6" t="str">
        <f>_xlfn.LET(
_xlpm.rowNo, MATCH($C191&amp;"|"&amp;
($F191+W$4),Raw_Fund!$A:$A,0),
_xlpm.colNo,
MATCH(W$3,Raw_Fund!$E$1:$AZ$1,0),
_xlpm.val,
INDEX(Raw_Fund!$E:$AZ,_xlpm.rowNo,_xlpm.colNo),
IF(ISNUMBER(_xlpm.val),_xlpm.val*$H191,""))</f>
        <v/>
      </c>
      <c r="X191" s="6" t="str">
        <f>_xlfn.LET(
_xlpm.rowNo, MATCH($C191&amp;"|"&amp;
($F191+X$4),Raw_Fund!$A:$A,0),
_xlpm.colNo,
MATCH(X$3,Raw_Fund!$E$1:$AZ$1,0),
_xlpm.val,
INDEX(Raw_Fund!$E:$AZ,_xlpm.rowNo,_xlpm.colNo),
IF(ISNUMBER(_xlpm.val),_xlpm.val*$H191,""))</f>
        <v/>
      </c>
      <c r="Y191" s="6" t="str">
        <f>_xlfn.LET(
_xlpm.rowNo, MATCH($C191&amp;"|"&amp;
($F191+Y$4),Raw_Fund!$A:$A,0),
_xlpm.colNo,
MATCH(Y$3,Raw_Fund!$E$1:$AZ$1,0),
_xlpm.val,
INDEX(Raw_Fund!$E:$AZ,_xlpm.rowNo,_xlpm.colNo),
IF(ISNUMBER(_xlpm.val),_xlpm.val*$H191,""))</f>
        <v/>
      </c>
      <c r="Z191" s="6" t="str">
        <f>IF($E191&lt;&gt;"Include","",_xlfn.XLOOKUP($C191,Raw_Mkt!$A:$A,Raw_Mkt!$B:$B))</f>
        <v/>
      </c>
    </row>
    <row r="192" spans="1:26" x14ac:dyDescent="0.4">
      <c r="A192" t="str">
        <f>IF(Universe!A192&lt;&gt;"",Universe!A192,"")</f>
        <v>RSW</v>
      </c>
      <c r="B192" t="str">
        <f>IF(Universe!B192&lt;&gt;"",Universe!B192,"")</f>
        <v>Renishaw</v>
      </c>
      <c r="C192" t="str">
        <f>IF(Universe!C192&lt;&gt;"",Universe!C192,"")</f>
        <v>GB0007323586</v>
      </c>
      <c r="D192" t="str">
        <f>IF(Universe!D192&lt;&gt;"",Universe!D192,"")</f>
        <v>Industrials</v>
      </c>
      <c r="E192" t="str">
        <f>Universe!G192</f>
        <v>Include</v>
      </c>
      <c r="F192" t="str">
        <f>IF($E192&lt;&gt;"Include","",_xlfn.LET(_xlpm.latest,_xlfn.MAXIFS(Raw_Fund!$C:$C,Raw_Fund!$B:$B,Data!$C192),IF(_xlpm.latest=0,"",_xlpm.latest)))</f>
        <v/>
      </c>
      <c r="G192" t="str">
        <f>IF($F192="","",INDEX(Raw_Fund!$E:$AZ,MATCH($C192&amp;"|"&amp;$F192,Raw_Fund!$A:$A,0),MATCH(G$3,Raw_Fund!$E$1:$AZ$1,0)))</f>
        <v/>
      </c>
      <c r="H192" t="str">
        <f t="shared" si="2"/>
        <v/>
      </c>
      <c r="I192" s="6" t="str">
        <f>_xlfn.LET(
_xlpm.rowNo, MATCH($C192&amp;"|"&amp;
($F192+I$4),Raw_Fund!$A:$A,0),
_xlpm.colNo,
MATCH(I$3,Raw_Fund!$E$1:$AZ$1,0),
_xlpm.val,
INDEX(Raw_Fund!$E:$AZ,_xlpm.rowNo,_xlpm.colNo),
IF(ISNUMBER(_xlpm.val),_xlpm.val*$H192,""))</f>
        <v/>
      </c>
      <c r="J192" s="6" t="str">
        <f>_xlfn.LET(
_xlpm.rowNo, MATCH($C192&amp;"|"&amp;
($F192+J$4),Raw_Fund!$A:$A,0),
_xlpm.colNo,
MATCH(J$3,Raw_Fund!$E$1:$AZ$1,0),
_xlpm.val,
INDEX(Raw_Fund!$E:$AZ,_xlpm.rowNo,_xlpm.colNo),
IF(ISNUMBER(_xlpm.val),_xlpm.val*$H192,""))</f>
        <v/>
      </c>
      <c r="K192" s="6" t="str">
        <f>_xlfn.LET(
_xlpm.rowNo, MATCH($C192&amp;"|"&amp;
($F192+K$4),Raw_Fund!$A:$A,0),
_xlpm.colNo,
MATCH(K$3,Raw_Fund!$E$1:$AZ$1,0),
_xlpm.val,
INDEX(Raw_Fund!$E:$AZ,_xlpm.rowNo,_xlpm.colNo),
IF(ISNUMBER(_xlpm.val),_xlpm.val*$H192,""))</f>
        <v/>
      </c>
      <c r="L192" s="6" t="str">
        <f>_xlfn.LET(
_xlpm.rowNo, MATCH($C192&amp;"|"&amp;
($F192+L$4),Raw_Fund!$A:$A,0),
_xlpm.colNo,
MATCH(L$3,Raw_Fund!$E$1:$AZ$1,0),
_xlpm.val,
INDEX(Raw_Fund!$E:$AZ,_xlpm.rowNo,_xlpm.colNo),
IF(ISNUMBER(_xlpm.val),_xlpm.val*$H192,""))</f>
        <v/>
      </c>
      <c r="M192" s="6" t="str">
        <f>_xlfn.LET(
_xlpm.rowNo, MATCH($C192&amp;"|"&amp;
($F192+M$4),Raw_Fund!$A:$A,0),
_xlpm.colNo,
MATCH(M$3,Raw_Fund!$E$1:$AZ$1,0),
_xlpm.val,
INDEX(Raw_Fund!$E:$AZ,_xlpm.rowNo,_xlpm.colNo),
IF(ISNUMBER(_xlpm.val),_xlpm.val*$H192,""))</f>
        <v/>
      </c>
      <c r="N192" s="6" t="str">
        <f>_xlfn.LET(
_xlpm.rowNo, MATCH($C192&amp;"|"&amp;
($F192+N$4),Raw_Fund!$A:$A,0),
_xlpm.colNo,
MATCH(N$3,Raw_Fund!$E$1:$AZ$1,0),
_xlpm.val,
INDEX(Raw_Fund!$E:$AZ,_xlpm.rowNo,_xlpm.colNo),
IF(ISNUMBER(_xlpm.val),_xlpm.val*$H192,""))</f>
        <v/>
      </c>
      <c r="O192" s="6" t="str">
        <f>_xlfn.LET(
_xlpm.rowNo, MATCH($C192&amp;"|"&amp;
($F192+O$4),Raw_Fund!$A:$A,0),
_xlpm.colNo,
MATCH(O$3,Raw_Fund!$E$1:$AZ$1,0),
_xlpm.val,
INDEX(Raw_Fund!$E:$AZ,_xlpm.rowNo,_xlpm.colNo),
IF(ISNUMBER(_xlpm.val),_xlpm.val*$H192,""))</f>
        <v/>
      </c>
      <c r="P192" s="6" t="str">
        <f>_xlfn.LET(
_xlpm.rowNo, MATCH($C192&amp;"|"&amp;
($F192+P$4),Raw_Fund!$A:$A,0),
_xlpm.colNo,
MATCH(P$3,Raw_Fund!$E$1:$AZ$1,0),
_xlpm.val,
INDEX(Raw_Fund!$E:$AZ,_xlpm.rowNo,_xlpm.colNo),
IF(ISNUMBER(_xlpm.val),_xlpm.val*$H192,""))</f>
        <v/>
      </c>
      <c r="Q192" s="6" t="str">
        <f>_xlfn.LET(
_xlpm.rowNo, MATCH($C192&amp;"|"&amp;
($F192+Q$4),Raw_Fund!$A:$A,0),
_xlpm.colNo,
MATCH(Q$3,Raw_Fund!$E$1:$AZ$1,0),
_xlpm.val,
INDEX(Raw_Fund!$E:$AZ,_xlpm.rowNo,_xlpm.colNo),
IF(ISNUMBER(_xlpm.val),_xlpm.val*$H192,""))</f>
        <v/>
      </c>
      <c r="R192" s="6" t="str">
        <f>_xlfn.LET(
_xlpm.rowNo, MATCH($C192&amp;"|"&amp;
($F192+R$4),Raw_Fund!$A:$A,0),
_xlpm.colNo,
MATCH(R$3,Raw_Fund!$E$1:$AZ$1,0),
_xlpm.val,
INDEX(Raw_Fund!$E:$AZ,_xlpm.rowNo,_xlpm.colNo),
IF(ISNUMBER(_xlpm.val),_xlpm.val*$H192,""))</f>
        <v/>
      </c>
      <c r="S192" s="6" t="str">
        <f>_xlfn.LET(
_xlpm.rowNo, MATCH($C192&amp;"|"&amp;
($F192+S$4),Raw_Fund!$A:$A,0),
_xlpm.colNo,
MATCH(S$3,Raw_Fund!$E$1:$AZ$1,0),
_xlpm.val,
INDEX(Raw_Fund!$E:$AZ,_xlpm.rowNo,_xlpm.colNo),
IF(ISNUMBER(_xlpm.val),_xlpm.val*$H192,""))</f>
        <v/>
      </c>
      <c r="T192" s="6" t="str">
        <f>_xlfn.LET(
_xlpm.rowNo, MATCH($C192&amp;"|"&amp;
($F192+T$4),Raw_Fund!$A:$A,0),
_xlpm.colNo,
MATCH(T$3,Raw_Fund!$E$1:$AZ$1,0),
_xlpm.val,
INDEX(Raw_Fund!$E:$AZ,_xlpm.rowNo,_xlpm.colNo),
IF(ISNUMBER(_xlpm.val),_xlpm.val*$H192,""))</f>
        <v/>
      </c>
      <c r="U192" s="6" t="str">
        <f>_xlfn.LET(
_xlpm.rowNo, MATCH($C192&amp;"|"&amp;
($F192+U$4),Raw_Fund!$A:$A,0),
_xlpm.colNo,
MATCH(U$3,Raw_Fund!$E$1:$AZ$1,0),
_xlpm.val,
INDEX(Raw_Fund!$E:$AZ,_xlpm.rowNo,_xlpm.colNo),
IF(ISNUMBER(_xlpm.val),_xlpm.val*$H192,""))</f>
        <v/>
      </c>
      <c r="V192" s="6" t="str">
        <f>_xlfn.LET(
_xlpm.rowNo, MATCH($C192&amp;"|"&amp;
($F192+V$4),Raw_Fund!$A:$A,0),
_xlpm.colNo,
MATCH(V$3,Raw_Fund!$E$1:$AZ$1,0),
_xlpm.val,
INDEX(Raw_Fund!$E:$AZ,_xlpm.rowNo,_xlpm.colNo),
IF(ISNUMBER(_xlpm.val),_xlpm.val*$H192,""))</f>
        <v/>
      </c>
      <c r="W192" s="6" t="str">
        <f>_xlfn.LET(
_xlpm.rowNo, MATCH($C192&amp;"|"&amp;
($F192+W$4),Raw_Fund!$A:$A,0),
_xlpm.colNo,
MATCH(W$3,Raw_Fund!$E$1:$AZ$1,0),
_xlpm.val,
INDEX(Raw_Fund!$E:$AZ,_xlpm.rowNo,_xlpm.colNo),
IF(ISNUMBER(_xlpm.val),_xlpm.val*$H192,""))</f>
        <v/>
      </c>
      <c r="X192" s="6" t="str">
        <f>_xlfn.LET(
_xlpm.rowNo, MATCH($C192&amp;"|"&amp;
($F192+X$4),Raw_Fund!$A:$A,0),
_xlpm.colNo,
MATCH(X$3,Raw_Fund!$E$1:$AZ$1,0),
_xlpm.val,
INDEX(Raw_Fund!$E:$AZ,_xlpm.rowNo,_xlpm.colNo),
IF(ISNUMBER(_xlpm.val),_xlpm.val*$H192,""))</f>
        <v/>
      </c>
      <c r="Y192" s="6" t="str">
        <f>_xlfn.LET(
_xlpm.rowNo, MATCH($C192&amp;"|"&amp;
($F192+Y$4),Raw_Fund!$A:$A,0),
_xlpm.colNo,
MATCH(Y$3,Raw_Fund!$E$1:$AZ$1,0),
_xlpm.val,
INDEX(Raw_Fund!$E:$AZ,_xlpm.rowNo,_xlpm.colNo),
IF(ISNUMBER(_xlpm.val),_xlpm.val*$H192,""))</f>
        <v/>
      </c>
      <c r="Z192" s="6" t="e">
        <f>IF($E192&lt;&gt;"Include","",_xlfn.XLOOKUP($C192,Raw_Mkt!$A:$A,Raw_Mkt!$B:$B))</f>
        <v>#N/A</v>
      </c>
    </row>
    <row r="193" spans="1:26" x14ac:dyDescent="0.4">
      <c r="A193" t="str">
        <f>IF(Universe!A193&lt;&gt;"",Universe!A193,"")</f>
        <v>RHIM</v>
      </c>
      <c r="B193" t="str">
        <f>IF(Universe!B193&lt;&gt;"",Universe!B193,"")</f>
        <v>RHI Magnesita</v>
      </c>
      <c r="C193" t="str">
        <f>IF(Universe!C193&lt;&gt;"",Universe!C193,"")</f>
        <v>NL0012650360</v>
      </c>
      <c r="D193" t="str">
        <f>IF(Universe!D193&lt;&gt;"",Universe!D193,"")</f>
        <v>Industrials</v>
      </c>
      <c r="E193" t="str">
        <f>Universe!G193</f>
        <v>Include</v>
      </c>
      <c r="F193" t="str">
        <f>IF($E193&lt;&gt;"Include","",_xlfn.LET(_xlpm.latest,_xlfn.MAXIFS(Raw_Fund!$C:$C,Raw_Fund!$B:$B,Data!$C193),IF(_xlpm.latest=0,"",_xlpm.latest)))</f>
        <v/>
      </c>
      <c r="G193" t="str">
        <f>IF($F193="","",INDEX(Raw_Fund!$E:$AZ,MATCH($C193&amp;"|"&amp;$F193,Raw_Fund!$A:$A,0),MATCH(G$3,Raw_Fund!$E$1:$AZ$1,0)))</f>
        <v/>
      </c>
      <c r="H193" t="str">
        <f t="shared" si="2"/>
        <v/>
      </c>
      <c r="I193" s="6" t="str">
        <f>_xlfn.LET(
_xlpm.rowNo, MATCH($C193&amp;"|"&amp;
($F193+I$4),Raw_Fund!$A:$A,0),
_xlpm.colNo,
MATCH(I$3,Raw_Fund!$E$1:$AZ$1,0),
_xlpm.val,
INDEX(Raw_Fund!$E:$AZ,_xlpm.rowNo,_xlpm.colNo),
IF(ISNUMBER(_xlpm.val),_xlpm.val*$H193,""))</f>
        <v/>
      </c>
      <c r="J193" s="6" t="str">
        <f>_xlfn.LET(
_xlpm.rowNo, MATCH($C193&amp;"|"&amp;
($F193+J$4),Raw_Fund!$A:$A,0),
_xlpm.colNo,
MATCH(J$3,Raw_Fund!$E$1:$AZ$1,0),
_xlpm.val,
INDEX(Raw_Fund!$E:$AZ,_xlpm.rowNo,_xlpm.colNo),
IF(ISNUMBER(_xlpm.val),_xlpm.val*$H193,""))</f>
        <v/>
      </c>
      <c r="K193" s="6" t="str">
        <f>_xlfn.LET(
_xlpm.rowNo, MATCH($C193&amp;"|"&amp;
($F193+K$4),Raw_Fund!$A:$A,0),
_xlpm.colNo,
MATCH(K$3,Raw_Fund!$E$1:$AZ$1,0),
_xlpm.val,
INDEX(Raw_Fund!$E:$AZ,_xlpm.rowNo,_xlpm.colNo),
IF(ISNUMBER(_xlpm.val),_xlpm.val*$H193,""))</f>
        <v/>
      </c>
      <c r="L193" s="6" t="str">
        <f>_xlfn.LET(
_xlpm.rowNo, MATCH($C193&amp;"|"&amp;
($F193+L$4),Raw_Fund!$A:$A,0),
_xlpm.colNo,
MATCH(L$3,Raw_Fund!$E$1:$AZ$1,0),
_xlpm.val,
INDEX(Raw_Fund!$E:$AZ,_xlpm.rowNo,_xlpm.colNo),
IF(ISNUMBER(_xlpm.val),_xlpm.val*$H193,""))</f>
        <v/>
      </c>
      <c r="M193" s="6" t="str">
        <f>_xlfn.LET(
_xlpm.rowNo, MATCH($C193&amp;"|"&amp;
($F193+M$4),Raw_Fund!$A:$A,0),
_xlpm.colNo,
MATCH(M$3,Raw_Fund!$E$1:$AZ$1,0),
_xlpm.val,
INDEX(Raw_Fund!$E:$AZ,_xlpm.rowNo,_xlpm.colNo),
IF(ISNUMBER(_xlpm.val),_xlpm.val*$H193,""))</f>
        <v/>
      </c>
      <c r="N193" s="6" t="str">
        <f>_xlfn.LET(
_xlpm.rowNo, MATCH($C193&amp;"|"&amp;
($F193+N$4),Raw_Fund!$A:$A,0),
_xlpm.colNo,
MATCH(N$3,Raw_Fund!$E$1:$AZ$1,0),
_xlpm.val,
INDEX(Raw_Fund!$E:$AZ,_xlpm.rowNo,_xlpm.colNo),
IF(ISNUMBER(_xlpm.val),_xlpm.val*$H193,""))</f>
        <v/>
      </c>
      <c r="O193" s="6" t="str">
        <f>_xlfn.LET(
_xlpm.rowNo, MATCH($C193&amp;"|"&amp;
($F193+O$4),Raw_Fund!$A:$A,0),
_xlpm.colNo,
MATCH(O$3,Raw_Fund!$E$1:$AZ$1,0),
_xlpm.val,
INDEX(Raw_Fund!$E:$AZ,_xlpm.rowNo,_xlpm.colNo),
IF(ISNUMBER(_xlpm.val),_xlpm.val*$H193,""))</f>
        <v/>
      </c>
      <c r="P193" s="6" t="str">
        <f>_xlfn.LET(
_xlpm.rowNo, MATCH($C193&amp;"|"&amp;
($F193+P$4),Raw_Fund!$A:$A,0),
_xlpm.colNo,
MATCH(P$3,Raw_Fund!$E$1:$AZ$1,0),
_xlpm.val,
INDEX(Raw_Fund!$E:$AZ,_xlpm.rowNo,_xlpm.colNo),
IF(ISNUMBER(_xlpm.val),_xlpm.val*$H193,""))</f>
        <v/>
      </c>
      <c r="Q193" s="6" t="str">
        <f>_xlfn.LET(
_xlpm.rowNo, MATCH($C193&amp;"|"&amp;
($F193+Q$4),Raw_Fund!$A:$A,0),
_xlpm.colNo,
MATCH(Q$3,Raw_Fund!$E$1:$AZ$1,0),
_xlpm.val,
INDEX(Raw_Fund!$E:$AZ,_xlpm.rowNo,_xlpm.colNo),
IF(ISNUMBER(_xlpm.val),_xlpm.val*$H193,""))</f>
        <v/>
      </c>
      <c r="R193" s="6" t="str">
        <f>_xlfn.LET(
_xlpm.rowNo, MATCH($C193&amp;"|"&amp;
($F193+R$4),Raw_Fund!$A:$A,0),
_xlpm.colNo,
MATCH(R$3,Raw_Fund!$E$1:$AZ$1,0),
_xlpm.val,
INDEX(Raw_Fund!$E:$AZ,_xlpm.rowNo,_xlpm.colNo),
IF(ISNUMBER(_xlpm.val),_xlpm.val*$H193,""))</f>
        <v/>
      </c>
      <c r="S193" s="6" t="str">
        <f>_xlfn.LET(
_xlpm.rowNo, MATCH($C193&amp;"|"&amp;
($F193+S$4),Raw_Fund!$A:$A,0),
_xlpm.colNo,
MATCH(S$3,Raw_Fund!$E$1:$AZ$1,0),
_xlpm.val,
INDEX(Raw_Fund!$E:$AZ,_xlpm.rowNo,_xlpm.colNo),
IF(ISNUMBER(_xlpm.val),_xlpm.val*$H193,""))</f>
        <v/>
      </c>
      <c r="T193" s="6" t="str">
        <f>_xlfn.LET(
_xlpm.rowNo, MATCH($C193&amp;"|"&amp;
($F193+T$4),Raw_Fund!$A:$A,0),
_xlpm.colNo,
MATCH(T$3,Raw_Fund!$E$1:$AZ$1,0),
_xlpm.val,
INDEX(Raw_Fund!$E:$AZ,_xlpm.rowNo,_xlpm.colNo),
IF(ISNUMBER(_xlpm.val),_xlpm.val*$H193,""))</f>
        <v/>
      </c>
      <c r="U193" s="6" t="str">
        <f>_xlfn.LET(
_xlpm.rowNo, MATCH($C193&amp;"|"&amp;
($F193+U$4),Raw_Fund!$A:$A,0),
_xlpm.colNo,
MATCH(U$3,Raw_Fund!$E$1:$AZ$1,0),
_xlpm.val,
INDEX(Raw_Fund!$E:$AZ,_xlpm.rowNo,_xlpm.colNo),
IF(ISNUMBER(_xlpm.val),_xlpm.val*$H193,""))</f>
        <v/>
      </c>
      <c r="V193" s="6" t="str">
        <f>_xlfn.LET(
_xlpm.rowNo, MATCH($C193&amp;"|"&amp;
($F193+V$4),Raw_Fund!$A:$A,0),
_xlpm.colNo,
MATCH(V$3,Raw_Fund!$E$1:$AZ$1,0),
_xlpm.val,
INDEX(Raw_Fund!$E:$AZ,_xlpm.rowNo,_xlpm.colNo),
IF(ISNUMBER(_xlpm.val),_xlpm.val*$H193,""))</f>
        <v/>
      </c>
      <c r="W193" s="6" t="str">
        <f>_xlfn.LET(
_xlpm.rowNo, MATCH($C193&amp;"|"&amp;
($F193+W$4),Raw_Fund!$A:$A,0),
_xlpm.colNo,
MATCH(W$3,Raw_Fund!$E$1:$AZ$1,0),
_xlpm.val,
INDEX(Raw_Fund!$E:$AZ,_xlpm.rowNo,_xlpm.colNo),
IF(ISNUMBER(_xlpm.val),_xlpm.val*$H193,""))</f>
        <v/>
      </c>
      <c r="X193" s="6" t="str">
        <f>_xlfn.LET(
_xlpm.rowNo, MATCH($C193&amp;"|"&amp;
($F193+X$4),Raw_Fund!$A:$A,0),
_xlpm.colNo,
MATCH(X$3,Raw_Fund!$E$1:$AZ$1,0),
_xlpm.val,
INDEX(Raw_Fund!$E:$AZ,_xlpm.rowNo,_xlpm.colNo),
IF(ISNUMBER(_xlpm.val),_xlpm.val*$H193,""))</f>
        <v/>
      </c>
      <c r="Y193" s="6" t="str">
        <f>_xlfn.LET(
_xlpm.rowNo, MATCH($C193&amp;"|"&amp;
($F193+Y$4),Raw_Fund!$A:$A,0),
_xlpm.colNo,
MATCH(Y$3,Raw_Fund!$E$1:$AZ$1,0),
_xlpm.val,
INDEX(Raw_Fund!$E:$AZ,_xlpm.rowNo,_xlpm.colNo),
IF(ISNUMBER(_xlpm.val),_xlpm.val*$H193,""))</f>
        <v/>
      </c>
      <c r="Z193" s="6" t="e">
        <f>IF($E193&lt;&gt;"Include","",_xlfn.XLOOKUP($C193,Raw_Mkt!$A:$A,Raw_Mkt!$B:$B))</f>
        <v>#N/A</v>
      </c>
    </row>
    <row r="194" spans="1:26" x14ac:dyDescent="0.4">
      <c r="A194" t="str">
        <f>IF(Universe!A194&lt;&gt;"",Universe!A194,"")</f>
        <v>RMV</v>
      </c>
      <c r="B194" t="str">
        <f>IF(Universe!B194&lt;&gt;"",Universe!B194,"")</f>
        <v>Rightmove</v>
      </c>
      <c r="C194" t="str">
        <f>IF(Universe!C194&lt;&gt;"",Universe!C194,"")</f>
        <v>GB00BGDT3G23</v>
      </c>
      <c r="D194" t="str">
        <f>IF(Universe!D194&lt;&gt;"",Universe!D194,"")</f>
        <v>Consumer Discretionary</v>
      </c>
      <c r="E194" t="str">
        <f>Universe!G194</f>
        <v>Include</v>
      </c>
      <c r="F194" t="str">
        <f>IF($E194&lt;&gt;"Include","",_xlfn.LET(_xlpm.latest,_xlfn.MAXIFS(Raw_Fund!$C:$C,Raw_Fund!$B:$B,Data!$C194),IF(_xlpm.latest=0,"",_xlpm.latest)))</f>
        <v/>
      </c>
      <c r="G194" t="str">
        <f>IF($F194="","",INDEX(Raw_Fund!$E:$AZ,MATCH($C194&amp;"|"&amp;$F194,Raw_Fund!$A:$A,0),MATCH(G$3,Raw_Fund!$E$1:$AZ$1,0)))</f>
        <v/>
      </c>
      <c r="H194" t="str">
        <f t="shared" si="2"/>
        <v/>
      </c>
      <c r="I194" s="6" t="str">
        <f>_xlfn.LET(
_xlpm.rowNo, MATCH($C194&amp;"|"&amp;
($F194+I$4),Raw_Fund!$A:$A,0),
_xlpm.colNo,
MATCH(I$3,Raw_Fund!$E$1:$AZ$1,0),
_xlpm.val,
INDEX(Raw_Fund!$E:$AZ,_xlpm.rowNo,_xlpm.colNo),
IF(ISNUMBER(_xlpm.val),_xlpm.val*$H194,""))</f>
        <v/>
      </c>
      <c r="J194" s="6" t="str">
        <f>_xlfn.LET(
_xlpm.rowNo, MATCH($C194&amp;"|"&amp;
($F194+J$4),Raw_Fund!$A:$A,0),
_xlpm.colNo,
MATCH(J$3,Raw_Fund!$E$1:$AZ$1,0),
_xlpm.val,
INDEX(Raw_Fund!$E:$AZ,_xlpm.rowNo,_xlpm.colNo),
IF(ISNUMBER(_xlpm.val),_xlpm.val*$H194,""))</f>
        <v/>
      </c>
      <c r="K194" s="6" t="str">
        <f>_xlfn.LET(
_xlpm.rowNo, MATCH($C194&amp;"|"&amp;
($F194+K$4),Raw_Fund!$A:$A,0),
_xlpm.colNo,
MATCH(K$3,Raw_Fund!$E$1:$AZ$1,0),
_xlpm.val,
INDEX(Raw_Fund!$E:$AZ,_xlpm.rowNo,_xlpm.colNo),
IF(ISNUMBER(_xlpm.val),_xlpm.val*$H194,""))</f>
        <v/>
      </c>
      <c r="L194" s="6" t="str">
        <f>_xlfn.LET(
_xlpm.rowNo, MATCH($C194&amp;"|"&amp;
($F194+L$4),Raw_Fund!$A:$A,0),
_xlpm.colNo,
MATCH(L$3,Raw_Fund!$E$1:$AZ$1,0),
_xlpm.val,
INDEX(Raw_Fund!$E:$AZ,_xlpm.rowNo,_xlpm.colNo),
IF(ISNUMBER(_xlpm.val),_xlpm.val*$H194,""))</f>
        <v/>
      </c>
      <c r="M194" s="6" t="str">
        <f>_xlfn.LET(
_xlpm.rowNo, MATCH($C194&amp;"|"&amp;
($F194+M$4),Raw_Fund!$A:$A,0),
_xlpm.colNo,
MATCH(M$3,Raw_Fund!$E$1:$AZ$1,0),
_xlpm.val,
INDEX(Raw_Fund!$E:$AZ,_xlpm.rowNo,_xlpm.colNo),
IF(ISNUMBER(_xlpm.val),_xlpm.val*$H194,""))</f>
        <v/>
      </c>
      <c r="N194" s="6" t="str">
        <f>_xlfn.LET(
_xlpm.rowNo, MATCH($C194&amp;"|"&amp;
($F194+N$4),Raw_Fund!$A:$A,0),
_xlpm.colNo,
MATCH(N$3,Raw_Fund!$E$1:$AZ$1,0),
_xlpm.val,
INDEX(Raw_Fund!$E:$AZ,_xlpm.rowNo,_xlpm.colNo),
IF(ISNUMBER(_xlpm.val),_xlpm.val*$H194,""))</f>
        <v/>
      </c>
      <c r="O194" s="6" t="str">
        <f>_xlfn.LET(
_xlpm.rowNo, MATCH($C194&amp;"|"&amp;
($F194+O$4),Raw_Fund!$A:$A,0),
_xlpm.colNo,
MATCH(O$3,Raw_Fund!$E$1:$AZ$1,0),
_xlpm.val,
INDEX(Raw_Fund!$E:$AZ,_xlpm.rowNo,_xlpm.colNo),
IF(ISNUMBER(_xlpm.val),_xlpm.val*$H194,""))</f>
        <v/>
      </c>
      <c r="P194" s="6" t="str">
        <f>_xlfn.LET(
_xlpm.rowNo, MATCH($C194&amp;"|"&amp;
($F194+P$4),Raw_Fund!$A:$A,0),
_xlpm.colNo,
MATCH(P$3,Raw_Fund!$E$1:$AZ$1,0),
_xlpm.val,
INDEX(Raw_Fund!$E:$AZ,_xlpm.rowNo,_xlpm.colNo),
IF(ISNUMBER(_xlpm.val),_xlpm.val*$H194,""))</f>
        <v/>
      </c>
      <c r="Q194" s="6" t="str">
        <f>_xlfn.LET(
_xlpm.rowNo, MATCH($C194&amp;"|"&amp;
($F194+Q$4),Raw_Fund!$A:$A,0),
_xlpm.colNo,
MATCH(Q$3,Raw_Fund!$E$1:$AZ$1,0),
_xlpm.val,
INDEX(Raw_Fund!$E:$AZ,_xlpm.rowNo,_xlpm.colNo),
IF(ISNUMBER(_xlpm.val),_xlpm.val*$H194,""))</f>
        <v/>
      </c>
      <c r="R194" s="6" t="str">
        <f>_xlfn.LET(
_xlpm.rowNo, MATCH($C194&amp;"|"&amp;
($F194+R$4),Raw_Fund!$A:$A,0),
_xlpm.colNo,
MATCH(R$3,Raw_Fund!$E$1:$AZ$1,0),
_xlpm.val,
INDEX(Raw_Fund!$E:$AZ,_xlpm.rowNo,_xlpm.colNo),
IF(ISNUMBER(_xlpm.val),_xlpm.val*$H194,""))</f>
        <v/>
      </c>
      <c r="S194" s="6" t="str">
        <f>_xlfn.LET(
_xlpm.rowNo, MATCH($C194&amp;"|"&amp;
($F194+S$4),Raw_Fund!$A:$A,0),
_xlpm.colNo,
MATCH(S$3,Raw_Fund!$E$1:$AZ$1,0),
_xlpm.val,
INDEX(Raw_Fund!$E:$AZ,_xlpm.rowNo,_xlpm.colNo),
IF(ISNUMBER(_xlpm.val),_xlpm.val*$H194,""))</f>
        <v/>
      </c>
      <c r="T194" s="6" t="str">
        <f>_xlfn.LET(
_xlpm.rowNo, MATCH($C194&amp;"|"&amp;
($F194+T$4),Raw_Fund!$A:$A,0),
_xlpm.colNo,
MATCH(T$3,Raw_Fund!$E$1:$AZ$1,0),
_xlpm.val,
INDEX(Raw_Fund!$E:$AZ,_xlpm.rowNo,_xlpm.colNo),
IF(ISNUMBER(_xlpm.val),_xlpm.val*$H194,""))</f>
        <v/>
      </c>
      <c r="U194" s="6" t="str">
        <f>_xlfn.LET(
_xlpm.rowNo, MATCH($C194&amp;"|"&amp;
($F194+U$4),Raw_Fund!$A:$A,0),
_xlpm.colNo,
MATCH(U$3,Raw_Fund!$E$1:$AZ$1,0),
_xlpm.val,
INDEX(Raw_Fund!$E:$AZ,_xlpm.rowNo,_xlpm.colNo),
IF(ISNUMBER(_xlpm.val),_xlpm.val*$H194,""))</f>
        <v/>
      </c>
      <c r="V194" s="6" t="str">
        <f>_xlfn.LET(
_xlpm.rowNo, MATCH($C194&amp;"|"&amp;
($F194+V$4),Raw_Fund!$A:$A,0),
_xlpm.colNo,
MATCH(V$3,Raw_Fund!$E$1:$AZ$1,0),
_xlpm.val,
INDEX(Raw_Fund!$E:$AZ,_xlpm.rowNo,_xlpm.colNo),
IF(ISNUMBER(_xlpm.val),_xlpm.val*$H194,""))</f>
        <v/>
      </c>
      <c r="W194" s="6" t="str">
        <f>_xlfn.LET(
_xlpm.rowNo, MATCH($C194&amp;"|"&amp;
($F194+W$4),Raw_Fund!$A:$A,0),
_xlpm.colNo,
MATCH(W$3,Raw_Fund!$E$1:$AZ$1,0),
_xlpm.val,
INDEX(Raw_Fund!$E:$AZ,_xlpm.rowNo,_xlpm.colNo),
IF(ISNUMBER(_xlpm.val),_xlpm.val*$H194,""))</f>
        <v/>
      </c>
      <c r="X194" s="6" t="str">
        <f>_xlfn.LET(
_xlpm.rowNo, MATCH($C194&amp;"|"&amp;
($F194+X$4),Raw_Fund!$A:$A,0),
_xlpm.colNo,
MATCH(X$3,Raw_Fund!$E$1:$AZ$1,0),
_xlpm.val,
INDEX(Raw_Fund!$E:$AZ,_xlpm.rowNo,_xlpm.colNo),
IF(ISNUMBER(_xlpm.val),_xlpm.val*$H194,""))</f>
        <v/>
      </c>
      <c r="Y194" s="6" t="str">
        <f>_xlfn.LET(
_xlpm.rowNo, MATCH($C194&amp;"|"&amp;
($F194+Y$4),Raw_Fund!$A:$A,0),
_xlpm.colNo,
MATCH(Y$3,Raw_Fund!$E$1:$AZ$1,0),
_xlpm.val,
INDEX(Raw_Fund!$E:$AZ,_xlpm.rowNo,_xlpm.colNo),
IF(ISNUMBER(_xlpm.val),_xlpm.val*$H194,""))</f>
        <v/>
      </c>
      <c r="Z194" s="6" t="e">
        <f>IF($E194&lt;&gt;"Include","",_xlfn.XLOOKUP($C194,Raw_Mkt!$A:$A,Raw_Mkt!$B:$B))</f>
        <v>#N/A</v>
      </c>
    </row>
    <row r="195" spans="1:26" x14ac:dyDescent="0.4">
      <c r="A195" t="str">
        <f>IF(Universe!A195&lt;&gt;"",Universe!A195,"")</f>
        <v>RCP</v>
      </c>
      <c r="B195" t="str">
        <f>IF(Universe!B195&lt;&gt;"",Universe!B195,"")</f>
        <v>RIT Capital Partners</v>
      </c>
      <c r="C195" t="str">
        <f>IF(Universe!C195&lt;&gt;"",Universe!C195,"")</f>
        <v>GB0007366395</v>
      </c>
      <c r="D195" t="str">
        <f>IF(Universe!D195&lt;&gt;"",Universe!D195,"")</f>
        <v>Financials</v>
      </c>
      <c r="E195" t="str">
        <f>Universe!G195</f>
        <v>Exclude</v>
      </c>
      <c r="F195" t="str">
        <f>IF($E195&lt;&gt;"Include","",_xlfn.LET(_xlpm.latest,_xlfn.MAXIFS(Raw_Fund!$C:$C,Raw_Fund!$B:$B,Data!$C195),IF(_xlpm.latest=0,"",_xlpm.latest)))</f>
        <v/>
      </c>
      <c r="G195" t="str">
        <f>IF($F195="","",INDEX(Raw_Fund!$E:$AZ,MATCH($C195&amp;"|"&amp;$F195,Raw_Fund!$A:$A,0),MATCH(G$3,Raw_Fund!$E$1:$AZ$1,0)))</f>
        <v/>
      </c>
      <c r="H195" t="str">
        <f t="shared" si="2"/>
        <v/>
      </c>
      <c r="I195" s="6" t="str">
        <f>_xlfn.LET(
_xlpm.rowNo, MATCH($C195&amp;"|"&amp;
($F195+I$4),Raw_Fund!$A:$A,0),
_xlpm.colNo,
MATCH(I$3,Raw_Fund!$E$1:$AZ$1,0),
_xlpm.val,
INDEX(Raw_Fund!$E:$AZ,_xlpm.rowNo,_xlpm.colNo),
IF(ISNUMBER(_xlpm.val),_xlpm.val*$H195,""))</f>
        <v/>
      </c>
      <c r="J195" s="6" t="str">
        <f>_xlfn.LET(
_xlpm.rowNo, MATCH($C195&amp;"|"&amp;
($F195+J$4),Raw_Fund!$A:$A,0),
_xlpm.colNo,
MATCH(J$3,Raw_Fund!$E$1:$AZ$1,0),
_xlpm.val,
INDEX(Raw_Fund!$E:$AZ,_xlpm.rowNo,_xlpm.colNo),
IF(ISNUMBER(_xlpm.val),_xlpm.val*$H195,""))</f>
        <v/>
      </c>
      <c r="K195" s="6" t="str">
        <f>_xlfn.LET(
_xlpm.rowNo, MATCH($C195&amp;"|"&amp;
($F195+K$4),Raw_Fund!$A:$A,0),
_xlpm.colNo,
MATCH(K$3,Raw_Fund!$E$1:$AZ$1,0),
_xlpm.val,
INDEX(Raw_Fund!$E:$AZ,_xlpm.rowNo,_xlpm.colNo),
IF(ISNUMBER(_xlpm.val),_xlpm.val*$H195,""))</f>
        <v/>
      </c>
      <c r="L195" s="6" t="str">
        <f>_xlfn.LET(
_xlpm.rowNo, MATCH($C195&amp;"|"&amp;
($F195+L$4),Raw_Fund!$A:$A,0),
_xlpm.colNo,
MATCH(L$3,Raw_Fund!$E$1:$AZ$1,0),
_xlpm.val,
INDEX(Raw_Fund!$E:$AZ,_xlpm.rowNo,_xlpm.colNo),
IF(ISNUMBER(_xlpm.val),_xlpm.val*$H195,""))</f>
        <v/>
      </c>
      <c r="M195" s="6" t="str">
        <f>_xlfn.LET(
_xlpm.rowNo, MATCH($C195&amp;"|"&amp;
($F195+M$4),Raw_Fund!$A:$A,0),
_xlpm.colNo,
MATCH(M$3,Raw_Fund!$E$1:$AZ$1,0),
_xlpm.val,
INDEX(Raw_Fund!$E:$AZ,_xlpm.rowNo,_xlpm.colNo),
IF(ISNUMBER(_xlpm.val),_xlpm.val*$H195,""))</f>
        <v/>
      </c>
      <c r="N195" s="6" t="str">
        <f>_xlfn.LET(
_xlpm.rowNo, MATCH($C195&amp;"|"&amp;
($F195+N$4),Raw_Fund!$A:$A,0),
_xlpm.colNo,
MATCH(N$3,Raw_Fund!$E$1:$AZ$1,0),
_xlpm.val,
INDEX(Raw_Fund!$E:$AZ,_xlpm.rowNo,_xlpm.colNo),
IF(ISNUMBER(_xlpm.val),_xlpm.val*$H195,""))</f>
        <v/>
      </c>
      <c r="O195" s="6" t="str">
        <f>_xlfn.LET(
_xlpm.rowNo, MATCH($C195&amp;"|"&amp;
($F195+O$4),Raw_Fund!$A:$A,0),
_xlpm.colNo,
MATCH(O$3,Raw_Fund!$E$1:$AZ$1,0),
_xlpm.val,
INDEX(Raw_Fund!$E:$AZ,_xlpm.rowNo,_xlpm.colNo),
IF(ISNUMBER(_xlpm.val),_xlpm.val*$H195,""))</f>
        <v/>
      </c>
      <c r="P195" s="6" t="str">
        <f>_xlfn.LET(
_xlpm.rowNo, MATCH($C195&amp;"|"&amp;
($F195+P$4),Raw_Fund!$A:$A,0),
_xlpm.colNo,
MATCH(P$3,Raw_Fund!$E$1:$AZ$1,0),
_xlpm.val,
INDEX(Raw_Fund!$E:$AZ,_xlpm.rowNo,_xlpm.colNo),
IF(ISNUMBER(_xlpm.val),_xlpm.val*$H195,""))</f>
        <v/>
      </c>
      <c r="Q195" s="6" t="str">
        <f>_xlfn.LET(
_xlpm.rowNo, MATCH($C195&amp;"|"&amp;
($F195+Q$4),Raw_Fund!$A:$A,0),
_xlpm.colNo,
MATCH(Q$3,Raw_Fund!$E$1:$AZ$1,0),
_xlpm.val,
INDEX(Raw_Fund!$E:$AZ,_xlpm.rowNo,_xlpm.colNo),
IF(ISNUMBER(_xlpm.val),_xlpm.val*$H195,""))</f>
        <v/>
      </c>
      <c r="R195" s="6" t="str">
        <f>_xlfn.LET(
_xlpm.rowNo, MATCH($C195&amp;"|"&amp;
($F195+R$4),Raw_Fund!$A:$A,0),
_xlpm.colNo,
MATCH(R$3,Raw_Fund!$E$1:$AZ$1,0),
_xlpm.val,
INDEX(Raw_Fund!$E:$AZ,_xlpm.rowNo,_xlpm.colNo),
IF(ISNUMBER(_xlpm.val),_xlpm.val*$H195,""))</f>
        <v/>
      </c>
      <c r="S195" s="6" t="str">
        <f>_xlfn.LET(
_xlpm.rowNo, MATCH($C195&amp;"|"&amp;
($F195+S$4),Raw_Fund!$A:$A,0),
_xlpm.colNo,
MATCH(S$3,Raw_Fund!$E$1:$AZ$1,0),
_xlpm.val,
INDEX(Raw_Fund!$E:$AZ,_xlpm.rowNo,_xlpm.colNo),
IF(ISNUMBER(_xlpm.val),_xlpm.val*$H195,""))</f>
        <v/>
      </c>
      <c r="T195" s="6" t="str">
        <f>_xlfn.LET(
_xlpm.rowNo, MATCH($C195&amp;"|"&amp;
($F195+T$4),Raw_Fund!$A:$A,0),
_xlpm.colNo,
MATCH(T$3,Raw_Fund!$E$1:$AZ$1,0),
_xlpm.val,
INDEX(Raw_Fund!$E:$AZ,_xlpm.rowNo,_xlpm.colNo),
IF(ISNUMBER(_xlpm.val),_xlpm.val*$H195,""))</f>
        <v/>
      </c>
      <c r="U195" s="6" t="str">
        <f>_xlfn.LET(
_xlpm.rowNo, MATCH($C195&amp;"|"&amp;
($F195+U$4),Raw_Fund!$A:$A,0),
_xlpm.colNo,
MATCH(U$3,Raw_Fund!$E$1:$AZ$1,0),
_xlpm.val,
INDEX(Raw_Fund!$E:$AZ,_xlpm.rowNo,_xlpm.colNo),
IF(ISNUMBER(_xlpm.val),_xlpm.val*$H195,""))</f>
        <v/>
      </c>
      <c r="V195" s="6" t="str">
        <f>_xlfn.LET(
_xlpm.rowNo, MATCH($C195&amp;"|"&amp;
($F195+V$4),Raw_Fund!$A:$A,0),
_xlpm.colNo,
MATCH(V$3,Raw_Fund!$E$1:$AZ$1,0),
_xlpm.val,
INDEX(Raw_Fund!$E:$AZ,_xlpm.rowNo,_xlpm.colNo),
IF(ISNUMBER(_xlpm.val),_xlpm.val*$H195,""))</f>
        <v/>
      </c>
      <c r="W195" s="6" t="str">
        <f>_xlfn.LET(
_xlpm.rowNo, MATCH($C195&amp;"|"&amp;
($F195+W$4),Raw_Fund!$A:$A,0),
_xlpm.colNo,
MATCH(W$3,Raw_Fund!$E$1:$AZ$1,0),
_xlpm.val,
INDEX(Raw_Fund!$E:$AZ,_xlpm.rowNo,_xlpm.colNo),
IF(ISNUMBER(_xlpm.val),_xlpm.val*$H195,""))</f>
        <v/>
      </c>
      <c r="X195" s="6" t="str">
        <f>_xlfn.LET(
_xlpm.rowNo, MATCH($C195&amp;"|"&amp;
($F195+X$4),Raw_Fund!$A:$A,0),
_xlpm.colNo,
MATCH(X$3,Raw_Fund!$E$1:$AZ$1,0),
_xlpm.val,
INDEX(Raw_Fund!$E:$AZ,_xlpm.rowNo,_xlpm.colNo),
IF(ISNUMBER(_xlpm.val),_xlpm.val*$H195,""))</f>
        <v/>
      </c>
      <c r="Y195" s="6" t="str">
        <f>_xlfn.LET(
_xlpm.rowNo, MATCH($C195&amp;"|"&amp;
($F195+Y$4),Raw_Fund!$A:$A,0),
_xlpm.colNo,
MATCH(Y$3,Raw_Fund!$E$1:$AZ$1,0),
_xlpm.val,
INDEX(Raw_Fund!$E:$AZ,_xlpm.rowNo,_xlpm.colNo),
IF(ISNUMBER(_xlpm.val),_xlpm.val*$H195,""))</f>
        <v/>
      </c>
      <c r="Z195" s="6" t="str">
        <f>IF($E195&lt;&gt;"Include","",_xlfn.XLOOKUP($C195,Raw_Mkt!$A:$A,Raw_Mkt!$B:$B))</f>
        <v/>
      </c>
    </row>
    <row r="196" spans="1:26" x14ac:dyDescent="0.4">
      <c r="A196" t="str">
        <f>IF(Universe!A196&lt;&gt;"",Universe!A196,"")</f>
        <v>ROSE</v>
      </c>
      <c r="B196" t="str">
        <f>IF(Universe!B196&lt;&gt;"",Universe!B196,"")</f>
        <v>Rosebank Industries</v>
      </c>
      <c r="C196" t="str">
        <f>IF(Universe!C196&lt;&gt;"",Universe!C196,"")</f>
        <v>JE00BSBJ5M88</v>
      </c>
      <c r="D196" t="str">
        <f>IF(Universe!D196&lt;&gt;"",Universe!D196,"")</f>
        <v>Industrials</v>
      </c>
      <c r="E196" t="str">
        <f>Universe!G196</f>
        <v>Include</v>
      </c>
      <c r="F196" t="str">
        <f>IF($E196&lt;&gt;"Include","",_xlfn.LET(_xlpm.latest,_xlfn.MAXIFS(Raw_Fund!$C:$C,Raw_Fund!$B:$B,Data!$C196),IF(_xlpm.latest=0,"",_xlpm.latest)))</f>
        <v/>
      </c>
      <c r="G196" t="str">
        <f>IF($F196="","",INDEX(Raw_Fund!$E:$AZ,MATCH($C196&amp;"|"&amp;$F196,Raw_Fund!$A:$A,0),MATCH(G$3,Raw_Fund!$E$1:$AZ$1,0)))</f>
        <v/>
      </c>
      <c r="H196" t="str">
        <f t="shared" si="2"/>
        <v/>
      </c>
      <c r="I196" s="6" t="str">
        <f>_xlfn.LET(
_xlpm.rowNo, MATCH($C196&amp;"|"&amp;
($F196+I$4),Raw_Fund!$A:$A,0),
_xlpm.colNo,
MATCH(I$3,Raw_Fund!$E$1:$AZ$1,0),
_xlpm.val,
INDEX(Raw_Fund!$E:$AZ,_xlpm.rowNo,_xlpm.colNo),
IF(ISNUMBER(_xlpm.val),_xlpm.val*$H196,""))</f>
        <v/>
      </c>
      <c r="J196" s="6" t="str">
        <f>_xlfn.LET(
_xlpm.rowNo, MATCH($C196&amp;"|"&amp;
($F196+J$4),Raw_Fund!$A:$A,0),
_xlpm.colNo,
MATCH(J$3,Raw_Fund!$E$1:$AZ$1,0),
_xlpm.val,
INDEX(Raw_Fund!$E:$AZ,_xlpm.rowNo,_xlpm.colNo),
IF(ISNUMBER(_xlpm.val),_xlpm.val*$H196,""))</f>
        <v/>
      </c>
      <c r="K196" s="6" t="str">
        <f>_xlfn.LET(
_xlpm.rowNo, MATCH($C196&amp;"|"&amp;
($F196+K$4),Raw_Fund!$A:$A,0),
_xlpm.colNo,
MATCH(K$3,Raw_Fund!$E$1:$AZ$1,0),
_xlpm.val,
INDEX(Raw_Fund!$E:$AZ,_xlpm.rowNo,_xlpm.colNo),
IF(ISNUMBER(_xlpm.val),_xlpm.val*$H196,""))</f>
        <v/>
      </c>
      <c r="L196" s="6" t="str">
        <f>_xlfn.LET(
_xlpm.rowNo, MATCH($C196&amp;"|"&amp;
($F196+L$4),Raw_Fund!$A:$A,0),
_xlpm.colNo,
MATCH(L$3,Raw_Fund!$E$1:$AZ$1,0),
_xlpm.val,
INDEX(Raw_Fund!$E:$AZ,_xlpm.rowNo,_xlpm.colNo),
IF(ISNUMBER(_xlpm.val),_xlpm.val*$H196,""))</f>
        <v/>
      </c>
      <c r="M196" s="6" t="str">
        <f>_xlfn.LET(
_xlpm.rowNo, MATCH($C196&amp;"|"&amp;
($F196+M$4),Raw_Fund!$A:$A,0),
_xlpm.colNo,
MATCH(M$3,Raw_Fund!$E$1:$AZ$1,0),
_xlpm.val,
INDEX(Raw_Fund!$E:$AZ,_xlpm.rowNo,_xlpm.colNo),
IF(ISNUMBER(_xlpm.val),_xlpm.val*$H196,""))</f>
        <v/>
      </c>
      <c r="N196" s="6" t="str">
        <f>_xlfn.LET(
_xlpm.rowNo, MATCH($C196&amp;"|"&amp;
($F196+N$4),Raw_Fund!$A:$A,0),
_xlpm.colNo,
MATCH(N$3,Raw_Fund!$E$1:$AZ$1,0),
_xlpm.val,
INDEX(Raw_Fund!$E:$AZ,_xlpm.rowNo,_xlpm.colNo),
IF(ISNUMBER(_xlpm.val),_xlpm.val*$H196,""))</f>
        <v/>
      </c>
      <c r="O196" s="6" t="str">
        <f>_xlfn.LET(
_xlpm.rowNo, MATCH($C196&amp;"|"&amp;
($F196+O$4),Raw_Fund!$A:$A,0),
_xlpm.colNo,
MATCH(O$3,Raw_Fund!$E$1:$AZ$1,0),
_xlpm.val,
INDEX(Raw_Fund!$E:$AZ,_xlpm.rowNo,_xlpm.colNo),
IF(ISNUMBER(_xlpm.val),_xlpm.val*$H196,""))</f>
        <v/>
      </c>
      <c r="P196" s="6" t="str">
        <f>_xlfn.LET(
_xlpm.rowNo, MATCH($C196&amp;"|"&amp;
($F196+P$4),Raw_Fund!$A:$A,0),
_xlpm.colNo,
MATCH(P$3,Raw_Fund!$E$1:$AZ$1,0),
_xlpm.val,
INDEX(Raw_Fund!$E:$AZ,_xlpm.rowNo,_xlpm.colNo),
IF(ISNUMBER(_xlpm.val),_xlpm.val*$H196,""))</f>
        <v/>
      </c>
      <c r="Q196" s="6" t="str">
        <f>_xlfn.LET(
_xlpm.rowNo, MATCH($C196&amp;"|"&amp;
($F196+Q$4),Raw_Fund!$A:$A,0),
_xlpm.colNo,
MATCH(Q$3,Raw_Fund!$E$1:$AZ$1,0),
_xlpm.val,
INDEX(Raw_Fund!$E:$AZ,_xlpm.rowNo,_xlpm.colNo),
IF(ISNUMBER(_xlpm.val),_xlpm.val*$H196,""))</f>
        <v/>
      </c>
      <c r="R196" s="6" t="str">
        <f>_xlfn.LET(
_xlpm.rowNo, MATCH($C196&amp;"|"&amp;
($F196+R$4),Raw_Fund!$A:$A,0),
_xlpm.colNo,
MATCH(R$3,Raw_Fund!$E$1:$AZ$1,0),
_xlpm.val,
INDEX(Raw_Fund!$E:$AZ,_xlpm.rowNo,_xlpm.colNo),
IF(ISNUMBER(_xlpm.val),_xlpm.val*$H196,""))</f>
        <v/>
      </c>
      <c r="S196" s="6" t="str">
        <f>_xlfn.LET(
_xlpm.rowNo, MATCH($C196&amp;"|"&amp;
($F196+S$4),Raw_Fund!$A:$A,0),
_xlpm.colNo,
MATCH(S$3,Raw_Fund!$E$1:$AZ$1,0),
_xlpm.val,
INDEX(Raw_Fund!$E:$AZ,_xlpm.rowNo,_xlpm.colNo),
IF(ISNUMBER(_xlpm.val),_xlpm.val*$H196,""))</f>
        <v/>
      </c>
      <c r="T196" s="6" t="str">
        <f>_xlfn.LET(
_xlpm.rowNo, MATCH($C196&amp;"|"&amp;
($F196+T$4),Raw_Fund!$A:$A,0),
_xlpm.colNo,
MATCH(T$3,Raw_Fund!$E$1:$AZ$1,0),
_xlpm.val,
INDEX(Raw_Fund!$E:$AZ,_xlpm.rowNo,_xlpm.colNo),
IF(ISNUMBER(_xlpm.val),_xlpm.val*$H196,""))</f>
        <v/>
      </c>
      <c r="U196" s="6" t="str">
        <f>_xlfn.LET(
_xlpm.rowNo, MATCH($C196&amp;"|"&amp;
($F196+U$4),Raw_Fund!$A:$A,0),
_xlpm.colNo,
MATCH(U$3,Raw_Fund!$E$1:$AZ$1,0),
_xlpm.val,
INDEX(Raw_Fund!$E:$AZ,_xlpm.rowNo,_xlpm.colNo),
IF(ISNUMBER(_xlpm.val),_xlpm.val*$H196,""))</f>
        <v/>
      </c>
      <c r="V196" s="6" t="str">
        <f>_xlfn.LET(
_xlpm.rowNo, MATCH($C196&amp;"|"&amp;
($F196+V$4),Raw_Fund!$A:$A,0),
_xlpm.colNo,
MATCH(V$3,Raw_Fund!$E$1:$AZ$1,0),
_xlpm.val,
INDEX(Raw_Fund!$E:$AZ,_xlpm.rowNo,_xlpm.colNo),
IF(ISNUMBER(_xlpm.val),_xlpm.val*$H196,""))</f>
        <v/>
      </c>
      <c r="W196" s="6" t="str">
        <f>_xlfn.LET(
_xlpm.rowNo, MATCH($C196&amp;"|"&amp;
($F196+W$4),Raw_Fund!$A:$A,0),
_xlpm.colNo,
MATCH(W$3,Raw_Fund!$E$1:$AZ$1,0),
_xlpm.val,
INDEX(Raw_Fund!$E:$AZ,_xlpm.rowNo,_xlpm.colNo),
IF(ISNUMBER(_xlpm.val),_xlpm.val*$H196,""))</f>
        <v/>
      </c>
      <c r="X196" s="6" t="str">
        <f>_xlfn.LET(
_xlpm.rowNo, MATCH($C196&amp;"|"&amp;
($F196+X$4),Raw_Fund!$A:$A,0),
_xlpm.colNo,
MATCH(X$3,Raw_Fund!$E$1:$AZ$1,0),
_xlpm.val,
INDEX(Raw_Fund!$E:$AZ,_xlpm.rowNo,_xlpm.colNo),
IF(ISNUMBER(_xlpm.val),_xlpm.val*$H196,""))</f>
        <v/>
      </c>
      <c r="Y196" s="6" t="str">
        <f>_xlfn.LET(
_xlpm.rowNo, MATCH($C196&amp;"|"&amp;
($F196+Y$4),Raw_Fund!$A:$A,0),
_xlpm.colNo,
MATCH(Y$3,Raw_Fund!$E$1:$AZ$1,0),
_xlpm.val,
INDEX(Raw_Fund!$E:$AZ,_xlpm.rowNo,_xlpm.colNo),
IF(ISNUMBER(_xlpm.val),_xlpm.val*$H196,""))</f>
        <v/>
      </c>
      <c r="Z196" s="6" t="e">
        <f>IF($E196&lt;&gt;"Include","",_xlfn.XLOOKUP($C196,Raw_Mkt!$A:$A,Raw_Mkt!$B:$B))</f>
        <v>#N/A</v>
      </c>
    </row>
    <row r="197" spans="1:26" x14ac:dyDescent="0.4">
      <c r="A197" t="str">
        <f>IF(Universe!A197&lt;&gt;"",Universe!A197,"")</f>
        <v>ROR</v>
      </c>
      <c r="B197" t="str">
        <f>IF(Universe!B197&lt;&gt;"",Universe!B197,"")</f>
        <v>Rotork</v>
      </c>
      <c r="C197" t="str">
        <f>IF(Universe!C197&lt;&gt;"",Universe!C197,"")</f>
        <v>GB00BVFNZH21</v>
      </c>
      <c r="D197" t="str">
        <f>IF(Universe!D197&lt;&gt;"",Universe!D197,"")</f>
        <v>Industrials</v>
      </c>
      <c r="E197" t="str">
        <f>Universe!G197</f>
        <v>Include</v>
      </c>
      <c r="F197" t="str">
        <f>IF($E197&lt;&gt;"Include","",_xlfn.LET(_xlpm.latest,_xlfn.MAXIFS(Raw_Fund!$C:$C,Raw_Fund!$B:$B,Data!$C197),IF(_xlpm.latest=0,"",_xlpm.latest)))</f>
        <v/>
      </c>
      <c r="G197" t="str">
        <f>IF($F197="","",INDEX(Raw_Fund!$E:$AZ,MATCH($C197&amp;"|"&amp;$F197,Raw_Fund!$A:$A,0),MATCH(G$3,Raw_Fund!$E$1:$AZ$1,0)))</f>
        <v/>
      </c>
      <c r="H197" t="str">
        <f t="shared" si="2"/>
        <v/>
      </c>
      <c r="I197" s="6" t="str">
        <f>_xlfn.LET(
_xlpm.rowNo, MATCH($C197&amp;"|"&amp;
($F197+I$4),Raw_Fund!$A:$A,0),
_xlpm.colNo,
MATCH(I$3,Raw_Fund!$E$1:$AZ$1,0),
_xlpm.val,
INDEX(Raw_Fund!$E:$AZ,_xlpm.rowNo,_xlpm.colNo),
IF(ISNUMBER(_xlpm.val),_xlpm.val*$H197,""))</f>
        <v/>
      </c>
      <c r="J197" s="6" t="str">
        <f>_xlfn.LET(
_xlpm.rowNo, MATCH($C197&amp;"|"&amp;
($F197+J$4),Raw_Fund!$A:$A,0),
_xlpm.colNo,
MATCH(J$3,Raw_Fund!$E$1:$AZ$1,0),
_xlpm.val,
INDEX(Raw_Fund!$E:$AZ,_xlpm.rowNo,_xlpm.colNo),
IF(ISNUMBER(_xlpm.val),_xlpm.val*$H197,""))</f>
        <v/>
      </c>
      <c r="K197" s="6" t="str">
        <f>_xlfn.LET(
_xlpm.rowNo, MATCH($C197&amp;"|"&amp;
($F197+K$4),Raw_Fund!$A:$A,0),
_xlpm.colNo,
MATCH(K$3,Raw_Fund!$E$1:$AZ$1,0),
_xlpm.val,
INDEX(Raw_Fund!$E:$AZ,_xlpm.rowNo,_xlpm.colNo),
IF(ISNUMBER(_xlpm.val),_xlpm.val*$H197,""))</f>
        <v/>
      </c>
      <c r="L197" s="6" t="str">
        <f>_xlfn.LET(
_xlpm.rowNo, MATCH($C197&amp;"|"&amp;
($F197+L$4),Raw_Fund!$A:$A,0),
_xlpm.colNo,
MATCH(L$3,Raw_Fund!$E$1:$AZ$1,0),
_xlpm.val,
INDEX(Raw_Fund!$E:$AZ,_xlpm.rowNo,_xlpm.colNo),
IF(ISNUMBER(_xlpm.val),_xlpm.val*$H197,""))</f>
        <v/>
      </c>
      <c r="M197" s="6" t="str">
        <f>_xlfn.LET(
_xlpm.rowNo, MATCH($C197&amp;"|"&amp;
($F197+M$4),Raw_Fund!$A:$A,0),
_xlpm.colNo,
MATCH(M$3,Raw_Fund!$E$1:$AZ$1,0),
_xlpm.val,
INDEX(Raw_Fund!$E:$AZ,_xlpm.rowNo,_xlpm.colNo),
IF(ISNUMBER(_xlpm.val),_xlpm.val*$H197,""))</f>
        <v/>
      </c>
      <c r="N197" s="6" t="str">
        <f>_xlfn.LET(
_xlpm.rowNo, MATCH($C197&amp;"|"&amp;
($F197+N$4),Raw_Fund!$A:$A,0),
_xlpm.colNo,
MATCH(N$3,Raw_Fund!$E$1:$AZ$1,0),
_xlpm.val,
INDEX(Raw_Fund!$E:$AZ,_xlpm.rowNo,_xlpm.colNo),
IF(ISNUMBER(_xlpm.val),_xlpm.val*$H197,""))</f>
        <v/>
      </c>
      <c r="O197" s="6" t="str">
        <f>_xlfn.LET(
_xlpm.rowNo, MATCH($C197&amp;"|"&amp;
($F197+O$4),Raw_Fund!$A:$A,0),
_xlpm.colNo,
MATCH(O$3,Raw_Fund!$E$1:$AZ$1,0),
_xlpm.val,
INDEX(Raw_Fund!$E:$AZ,_xlpm.rowNo,_xlpm.colNo),
IF(ISNUMBER(_xlpm.val),_xlpm.val*$H197,""))</f>
        <v/>
      </c>
      <c r="P197" s="6" t="str">
        <f>_xlfn.LET(
_xlpm.rowNo, MATCH($C197&amp;"|"&amp;
($F197+P$4),Raw_Fund!$A:$A,0),
_xlpm.colNo,
MATCH(P$3,Raw_Fund!$E$1:$AZ$1,0),
_xlpm.val,
INDEX(Raw_Fund!$E:$AZ,_xlpm.rowNo,_xlpm.colNo),
IF(ISNUMBER(_xlpm.val),_xlpm.val*$H197,""))</f>
        <v/>
      </c>
      <c r="Q197" s="6" t="str">
        <f>_xlfn.LET(
_xlpm.rowNo, MATCH($C197&amp;"|"&amp;
($F197+Q$4),Raw_Fund!$A:$A,0),
_xlpm.colNo,
MATCH(Q$3,Raw_Fund!$E$1:$AZ$1,0),
_xlpm.val,
INDEX(Raw_Fund!$E:$AZ,_xlpm.rowNo,_xlpm.colNo),
IF(ISNUMBER(_xlpm.val),_xlpm.val*$H197,""))</f>
        <v/>
      </c>
      <c r="R197" s="6" t="str">
        <f>_xlfn.LET(
_xlpm.rowNo, MATCH($C197&amp;"|"&amp;
($F197+R$4),Raw_Fund!$A:$A,0),
_xlpm.colNo,
MATCH(R$3,Raw_Fund!$E$1:$AZ$1,0),
_xlpm.val,
INDEX(Raw_Fund!$E:$AZ,_xlpm.rowNo,_xlpm.colNo),
IF(ISNUMBER(_xlpm.val),_xlpm.val*$H197,""))</f>
        <v/>
      </c>
      <c r="S197" s="6" t="str">
        <f>_xlfn.LET(
_xlpm.rowNo, MATCH($C197&amp;"|"&amp;
($F197+S$4),Raw_Fund!$A:$A,0),
_xlpm.colNo,
MATCH(S$3,Raw_Fund!$E$1:$AZ$1,0),
_xlpm.val,
INDEX(Raw_Fund!$E:$AZ,_xlpm.rowNo,_xlpm.colNo),
IF(ISNUMBER(_xlpm.val),_xlpm.val*$H197,""))</f>
        <v/>
      </c>
      <c r="T197" s="6" t="str">
        <f>_xlfn.LET(
_xlpm.rowNo, MATCH($C197&amp;"|"&amp;
($F197+T$4),Raw_Fund!$A:$A,0),
_xlpm.colNo,
MATCH(T$3,Raw_Fund!$E$1:$AZ$1,0),
_xlpm.val,
INDEX(Raw_Fund!$E:$AZ,_xlpm.rowNo,_xlpm.colNo),
IF(ISNUMBER(_xlpm.val),_xlpm.val*$H197,""))</f>
        <v/>
      </c>
      <c r="U197" s="6" t="str">
        <f>_xlfn.LET(
_xlpm.rowNo, MATCH($C197&amp;"|"&amp;
($F197+U$4),Raw_Fund!$A:$A,0),
_xlpm.colNo,
MATCH(U$3,Raw_Fund!$E$1:$AZ$1,0),
_xlpm.val,
INDEX(Raw_Fund!$E:$AZ,_xlpm.rowNo,_xlpm.colNo),
IF(ISNUMBER(_xlpm.val),_xlpm.val*$H197,""))</f>
        <v/>
      </c>
      <c r="V197" s="6" t="str">
        <f>_xlfn.LET(
_xlpm.rowNo, MATCH($C197&amp;"|"&amp;
($F197+V$4),Raw_Fund!$A:$A,0),
_xlpm.colNo,
MATCH(V$3,Raw_Fund!$E$1:$AZ$1,0),
_xlpm.val,
INDEX(Raw_Fund!$E:$AZ,_xlpm.rowNo,_xlpm.colNo),
IF(ISNUMBER(_xlpm.val),_xlpm.val*$H197,""))</f>
        <v/>
      </c>
      <c r="W197" s="6" t="str">
        <f>_xlfn.LET(
_xlpm.rowNo, MATCH($C197&amp;"|"&amp;
($F197+W$4),Raw_Fund!$A:$A,0),
_xlpm.colNo,
MATCH(W$3,Raw_Fund!$E$1:$AZ$1,0),
_xlpm.val,
INDEX(Raw_Fund!$E:$AZ,_xlpm.rowNo,_xlpm.colNo),
IF(ISNUMBER(_xlpm.val),_xlpm.val*$H197,""))</f>
        <v/>
      </c>
      <c r="X197" s="6" t="str">
        <f>_xlfn.LET(
_xlpm.rowNo, MATCH($C197&amp;"|"&amp;
($F197+X$4),Raw_Fund!$A:$A,0),
_xlpm.colNo,
MATCH(X$3,Raw_Fund!$E$1:$AZ$1,0),
_xlpm.val,
INDEX(Raw_Fund!$E:$AZ,_xlpm.rowNo,_xlpm.colNo),
IF(ISNUMBER(_xlpm.val),_xlpm.val*$H197,""))</f>
        <v/>
      </c>
      <c r="Y197" s="6" t="str">
        <f>_xlfn.LET(
_xlpm.rowNo, MATCH($C197&amp;"|"&amp;
($F197+Y$4),Raw_Fund!$A:$A,0),
_xlpm.colNo,
MATCH(Y$3,Raw_Fund!$E$1:$AZ$1,0),
_xlpm.val,
INDEX(Raw_Fund!$E:$AZ,_xlpm.rowNo,_xlpm.colNo),
IF(ISNUMBER(_xlpm.val),_xlpm.val*$H197,""))</f>
        <v/>
      </c>
      <c r="Z197" s="6" t="e">
        <f>IF($E197&lt;&gt;"Include","",_xlfn.XLOOKUP($C197,Raw_Mkt!$A:$A,Raw_Mkt!$B:$B))</f>
        <v>#N/A</v>
      </c>
    </row>
    <row r="198" spans="1:26" x14ac:dyDescent="0.4">
      <c r="A198" t="str">
        <f>IF(Universe!A198&lt;&gt;"",Universe!A198,"")</f>
        <v>RS1</v>
      </c>
      <c r="B198" t="str">
        <f>IF(Universe!B198&lt;&gt;"",Universe!B198,"")</f>
        <v>RS Group</v>
      </c>
      <c r="C198" t="str">
        <f>IF(Universe!C198&lt;&gt;"",Universe!C198,"")</f>
        <v>GB0003096442</v>
      </c>
      <c r="D198" t="str">
        <f>IF(Universe!D198&lt;&gt;"",Universe!D198,"")</f>
        <v>Industrials</v>
      </c>
      <c r="E198" t="str">
        <f>Universe!G198</f>
        <v>Include</v>
      </c>
      <c r="F198" t="str">
        <f>IF($E198&lt;&gt;"Include","",_xlfn.LET(_xlpm.latest,_xlfn.MAXIFS(Raw_Fund!$C:$C,Raw_Fund!$B:$B,Data!$C198),IF(_xlpm.latest=0,"",_xlpm.latest)))</f>
        <v/>
      </c>
      <c r="G198" t="str">
        <f>IF($F198="","",INDEX(Raw_Fund!$E:$AZ,MATCH($C198&amp;"|"&amp;$F198,Raw_Fund!$A:$A,0),MATCH(G$3,Raw_Fund!$E$1:$AZ$1,0)))</f>
        <v/>
      </c>
      <c r="H198" t="str">
        <f t="shared" ref="H198:H261" si="3">IF($G198="","",_xlfn.XLOOKUP($G198,FX_Ccy,FX_Rate,"Missing FX"))</f>
        <v/>
      </c>
      <c r="I198" s="6" t="str">
        <f>_xlfn.LET(
_xlpm.rowNo, MATCH($C198&amp;"|"&amp;
($F198+I$4),Raw_Fund!$A:$A,0),
_xlpm.colNo,
MATCH(I$3,Raw_Fund!$E$1:$AZ$1,0),
_xlpm.val,
INDEX(Raw_Fund!$E:$AZ,_xlpm.rowNo,_xlpm.colNo),
IF(ISNUMBER(_xlpm.val),_xlpm.val*$H198,""))</f>
        <v/>
      </c>
      <c r="J198" s="6" t="str">
        <f>_xlfn.LET(
_xlpm.rowNo, MATCH($C198&amp;"|"&amp;
($F198+J$4),Raw_Fund!$A:$A,0),
_xlpm.colNo,
MATCH(J$3,Raw_Fund!$E$1:$AZ$1,0),
_xlpm.val,
INDEX(Raw_Fund!$E:$AZ,_xlpm.rowNo,_xlpm.colNo),
IF(ISNUMBER(_xlpm.val),_xlpm.val*$H198,""))</f>
        <v/>
      </c>
      <c r="K198" s="6" t="str">
        <f>_xlfn.LET(
_xlpm.rowNo, MATCH($C198&amp;"|"&amp;
($F198+K$4),Raw_Fund!$A:$A,0),
_xlpm.colNo,
MATCH(K$3,Raw_Fund!$E$1:$AZ$1,0),
_xlpm.val,
INDEX(Raw_Fund!$E:$AZ,_xlpm.rowNo,_xlpm.colNo),
IF(ISNUMBER(_xlpm.val),_xlpm.val*$H198,""))</f>
        <v/>
      </c>
      <c r="L198" s="6" t="str">
        <f>_xlfn.LET(
_xlpm.rowNo, MATCH($C198&amp;"|"&amp;
($F198+L$4),Raw_Fund!$A:$A,0),
_xlpm.colNo,
MATCH(L$3,Raw_Fund!$E$1:$AZ$1,0),
_xlpm.val,
INDEX(Raw_Fund!$E:$AZ,_xlpm.rowNo,_xlpm.colNo),
IF(ISNUMBER(_xlpm.val),_xlpm.val*$H198,""))</f>
        <v/>
      </c>
      <c r="M198" s="6" t="str">
        <f>_xlfn.LET(
_xlpm.rowNo, MATCH($C198&amp;"|"&amp;
($F198+M$4),Raw_Fund!$A:$A,0),
_xlpm.colNo,
MATCH(M$3,Raw_Fund!$E$1:$AZ$1,0),
_xlpm.val,
INDEX(Raw_Fund!$E:$AZ,_xlpm.rowNo,_xlpm.colNo),
IF(ISNUMBER(_xlpm.val),_xlpm.val*$H198,""))</f>
        <v/>
      </c>
      <c r="N198" s="6" t="str">
        <f>_xlfn.LET(
_xlpm.rowNo, MATCH($C198&amp;"|"&amp;
($F198+N$4),Raw_Fund!$A:$A,0),
_xlpm.colNo,
MATCH(N$3,Raw_Fund!$E$1:$AZ$1,0),
_xlpm.val,
INDEX(Raw_Fund!$E:$AZ,_xlpm.rowNo,_xlpm.colNo),
IF(ISNUMBER(_xlpm.val),_xlpm.val*$H198,""))</f>
        <v/>
      </c>
      <c r="O198" s="6" t="str">
        <f>_xlfn.LET(
_xlpm.rowNo, MATCH($C198&amp;"|"&amp;
($F198+O$4),Raw_Fund!$A:$A,0),
_xlpm.colNo,
MATCH(O$3,Raw_Fund!$E$1:$AZ$1,0),
_xlpm.val,
INDEX(Raw_Fund!$E:$AZ,_xlpm.rowNo,_xlpm.colNo),
IF(ISNUMBER(_xlpm.val),_xlpm.val*$H198,""))</f>
        <v/>
      </c>
      <c r="P198" s="6" t="str">
        <f>_xlfn.LET(
_xlpm.rowNo, MATCH($C198&amp;"|"&amp;
($F198+P$4),Raw_Fund!$A:$A,0),
_xlpm.colNo,
MATCH(P$3,Raw_Fund!$E$1:$AZ$1,0),
_xlpm.val,
INDEX(Raw_Fund!$E:$AZ,_xlpm.rowNo,_xlpm.colNo),
IF(ISNUMBER(_xlpm.val),_xlpm.val*$H198,""))</f>
        <v/>
      </c>
      <c r="Q198" s="6" t="str">
        <f>_xlfn.LET(
_xlpm.rowNo, MATCH($C198&amp;"|"&amp;
($F198+Q$4),Raw_Fund!$A:$A,0),
_xlpm.colNo,
MATCH(Q$3,Raw_Fund!$E$1:$AZ$1,0),
_xlpm.val,
INDEX(Raw_Fund!$E:$AZ,_xlpm.rowNo,_xlpm.colNo),
IF(ISNUMBER(_xlpm.val),_xlpm.val*$H198,""))</f>
        <v/>
      </c>
      <c r="R198" s="6" t="str">
        <f>_xlfn.LET(
_xlpm.rowNo, MATCH($C198&amp;"|"&amp;
($F198+R$4),Raw_Fund!$A:$A,0),
_xlpm.colNo,
MATCH(R$3,Raw_Fund!$E$1:$AZ$1,0),
_xlpm.val,
INDEX(Raw_Fund!$E:$AZ,_xlpm.rowNo,_xlpm.colNo),
IF(ISNUMBER(_xlpm.val),_xlpm.val*$H198,""))</f>
        <v/>
      </c>
      <c r="S198" s="6" t="str">
        <f>_xlfn.LET(
_xlpm.rowNo, MATCH($C198&amp;"|"&amp;
($F198+S$4),Raw_Fund!$A:$A,0),
_xlpm.colNo,
MATCH(S$3,Raw_Fund!$E$1:$AZ$1,0),
_xlpm.val,
INDEX(Raw_Fund!$E:$AZ,_xlpm.rowNo,_xlpm.colNo),
IF(ISNUMBER(_xlpm.val),_xlpm.val*$H198,""))</f>
        <v/>
      </c>
      <c r="T198" s="6" t="str">
        <f>_xlfn.LET(
_xlpm.rowNo, MATCH($C198&amp;"|"&amp;
($F198+T$4),Raw_Fund!$A:$A,0),
_xlpm.colNo,
MATCH(T$3,Raw_Fund!$E$1:$AZ$1,0),
_xlpm.val,
INDEX(Raw_Fund!$E:$AZ,_xlpm.rowNo,_xlpm.colNo),
IF(ISNUMBER(_xlpm.val),_xlpm.val*$H198,""))</f>
        <v/>
      </c>
      <c r="U198" s="6" t="str">
        <f>_xlfn.LET(
_xlpm.rowNo, MATCH($C198&amp;"|"&amp;
($F198+U$4),Raw_Fund!$A:$A,0),
_xlpm.colNo,
MATCH(U$3,Raw_Fund!$E$1:$AZ$1,0),
_xlpm.val,
INDEX(Raw_Fund!$E:$AZ,_xlpm.rowNo,_xlpm.colNo),
IF(ISNUMBER(_xlpm.val),_xlpm.val*$H198,""))</f>
        <v/>
      </c>
      <c r="V198" s="6" t="str">
        <f>_xlfn.LET(
_xlpm.rowNo, MATCH($C198&amp;"|"&amp;
($F198+V$4),Raw_Fund!$A:$A,0),
_xlpm.colNo,
MATCH(V$3,Raw_Fund!$E$1:$AZ$1,0),
_xlpm.val,
INDEX(Raw_Fund!$E:$AZ,_xlpm.rowNo,_xlpm.colNo),
IF(ISNUMBER(_xlpm.val),_xlpm.val*$H198,""))</f>
        <v/>
      </c>
      <c r="W198" s="6" t="str">
        <f>_xlfn.LET(
_xlpm.rowNo, MATCH($C198&amp;"|"&amp;
($F198+W$4),Raw_Fund!$A:$A,0),
_xlpm.colNo,
MATCH(W$3,Raw_Fund!$E$1:$AZ$1,0),
_xlpm.val,
INDEX(Raw_Fund!$E:$AZ,_xlpm.rowNo,_xlpm.colNo),
IF(ISNUMBER(_xlpm.val),_xlpm.val*$H198,""))</f>
        <v/>
      </c>
      <c r="X198" s="6" t="str">
        <f>_xlfn.LET(
_xlpm.rowNo, MATCH($C198&amp;"|"&amp;
($F198+X$4),Raw_Fund!$A:$A,0),
_xlpm.colNo,
MATCH(X$3,Raw_Fund!$E$1:$AZ$1,0),
_xlpm.val,
INDEX(Raw_Fund!$E:$AZ,_xlpm.rowNo,_xlpm.colNo),
IF(ISNUMBER(_xlpm.val),_xlpm.val*$H198,""))</f>
        <v/>
      </c>
      <c r="Y198" s="6" t="str">
        <f>_xlfn.LET(
_xlpm.rowNo, MATCH($C198&amp;"|"&amp;
($F198+Y$4),Raw_Fund!$A:$A,0),
_xlpm.colNo,
MATCH(Y$3,Raw_Fund!$E$1:$AZ$1,0),
_xlpm.val,
INDEX(Raw_Fund!$E:$AZ,_xlpm.rowNo,_xlpm.colNo),
IF(ISNUMBER(_xlpm.val),_xlpm.val*$H198,""))</f>
        <v/>
      </c>
      <c r="Z198" s="6" t="e">
        <f>IF($E198&lt;&gt;"Include","",_xlfn.XLOOKUP($C198,Raw_Mkt!$A:$A,Raw_Mkt!$B:$B))</f>
        <v>#N/A</v>
      </c>
    </row>
    <row r="199" spans="1:26" x14ac:dyDescent="0.4">
      <c r="A199" t="str">
        <f>IF(Universe!A199&lt;&gt;"",Universe!A199,"")</f>
        <v>RTW</v>
      </c>
      <c r="B199" t="str">
        <f>IF(Universe!B199&lt;&gt;"",Universe!B199,"")</f>
        <v>RTW Biotech Opportunities</v>
      </c>
      <c r="C199" t="str">
        <f>IF(Universe!C199&lt;&gt;"",Universe!C199,"")</f>
        <v>GG00BKTRRM22</v>
      </c>
      <c r="D199" t="str">
        <f>IF(Universe!D199&lt;&gt;"",Universe!D199,"")</f>
        <v>Financials</v>
      </c>
      <c r="E199" t="str">
        <f>Universe!G199</f>
        <v>Exclude</v>
      </c>
      <c r="F199" t="str">
        <f>IF($E199&lt;&gt;"Include","",_xlfn.LET(_xlpm.latest,_xlfn.MAXIFS(Raw_Fund!$C:$C,Raw_Fund!$B:$B,Data!$C199),IF(_xlpm.latest=0,"",_xlpm.latest)))</f>
        <v/>
      </c>
      <c r="G199" t="str">
        <f>IF($F199="","",INDEX(Raw_Fund!$E:$AZ,MATCH($C199&amp;"|"&amp;$F199,Raw_Fund!$A:$A,0),MATCH(G$3,Raw_Fund!$E$1:$AZ$1,0)))</f>
        <v/>
      </c>
      <c r="H199" t="str">
        <f t="shared" si="3"/>
        <v/>
      </c>
      <c r="I199" s="6" t="str">
        <f>_xlfn.LET(
_xlpm.rowNo, MATCH($C199&amp;"|"&amp;
($F199+I$4),Raw_Fund!$A:$A,0),
_xlpm.colNo,
MATCH(I$3,Raw_Fund!$E$1:$AZ$1,0),
_xlpm.val,
INDEX(Raw_Fund!$E:$AZ,_xlpm.rowNo,_xlpm.colNo),
IF(ISNUMBER(_xlpm.val),_xlpm.val*$H199,""))</f>
        <v/>
      </c>
      <c r="J199" s="6" t="str">
        <f>_xlfn.LET(
_xlpm.rowNo, MATCH($C199&amp;"|"&amp;
($F199+J$4),Raw_Fund!$A:$A,0),
_xlpm.colNo,
MATCH(J$3,Raw_Fund!$E$1:$AZ$1,0),
_xlpm.val,
INDEX(Raw_Fund!$E:$AZ,_xlpm.rowNo,_xlpm.colNo),
IF(ISNUMBER(_xlpm.val),_xlpm.val*$H199,""))</f>
        <v/>
      </c>
      <c r="K199" s="6" t="str">
        <f>_xlfn.LET(
_xlpm.rowNo, MATCH($C199&amp;"|"&amp;
($F199+K$4),Raw_Fund!$A:$A,0),
_xlpm.colNo,
MATCH(K$3,Raw_Fund!$E$1:$AZ$1,0),
_xlpm.val,
INDEX(Raw_Fund!$E:$AZ,_xlpm.rowNo,_xlpm.colNo),
IF(ISNUMBER(_xlpm.val),_xlpm.val*$H199,""))</f>
        <v/>
      </c>
      <c r="L199" s="6" t="str">
        <f>_xlfn.LET(
_xlpm.rowNo, MATCH($C199&amp;"|"&amp;
($F199+L$4),Raw_Fund!$A:$A,0),
_xlpm.colNo,
MATCH(L$3,Raw_Fund!$E$1:$AZ$1,0),
_xlpm.val,
INDEX(Raw_Fund!$E:$AZ,_xlpm.rowNo,_xlpm.colNo),
IF(ISNUMBER(_xlpm.val),_xlpm.val*$H199,""))</f>
        <v/>
      </c>
      <c r="M199" s="6" t="str">
        <f>_xlfn.LET(
_xlpm.rowNo, MATCH($C199&amp;"|"&amp;
($F199+M$4),Raw_Fund!$A:$A,0),
_xlpm.colNo,
MATCH(M$3,Raw_Fund!$E$1:$AZ$1,0),
_xlpm.val,
INDEX(Raw_Fund!$E:$AZ,_xlpm.rowNo,_xlpm.colNo),
IF(ISNUMBER(_xlpm.val),_xlpm.val*$H199,""))</f>
        <v/>
      </c>
      <c r="N199" s="6" t="str">
        <f>_xlfn.LET(
_xlpm.rowNo, MATCH($C199&amp;"|"&amp;
($F199+N$4),Raw_Fund!$A:$A,0),
_xlpm.colNo,
MATCH(N$3,Raw_Fund!$E$1:$AZ$1,0),
_xlpm.val,
INDEX(Raw_Fund!$E:$AZ,_xlpm.rowNo,_xlpm.colNo),
IF(ISNUMBER(_xlpm.val),_xlpm.val*$H199,""))</f>
        <v/>
      </c>
      <c r="O199" s="6" t="str">
        <f>_xlfn.LET(
_xlpm.rowNo, MATCH($C199&amp;"|"&amp;
($F199+O$4),Raw_Fund!$A:$A,0),
_xlpm.colNo,
MATCH(O$3,Raw_Fund!$E$1:$AZ$1,0),
_xlpm.val,
INDEX(Raw_Fund!$E:$AZ,_xlpm.rowNo,_xlpm.colNo),
IF(ISNUMBER(_xlpm.val),_xlpm.val*$H199,""))</f>
        <v/>
      </c>
      <c r="P199" s="6" t="str">
        <f>_xlfn.LET(
_xlpm.rowNo, MATCH($C199&amp;"|"&amp;
($F199+P$4),Raw_Fund!$A:$A,0),
_xlpm.colNo,
MATCH(P$3,Raw_Fund!$E$1:$AZ$1,0),
_xlpm.val,
INDEX(Raw_Fund!$E:$AZ,_xlpm.rowNo,_xlpm.colNo),
IF(ISNUMBER(_xlpm.val),_xlpm.val*$H199,""))</f>
        <v/>
      </c>
      <c r="Q199" s="6" t="str">
        <f>_xlfn.LET(
_xlpm.rowNo, MATCH($C199&amp;"|"&amp;
($F199+Q$4),Raw_Fund!$A:$A,0),
_xlpm.colNo,
MATCH(Q$3,Raw_Fund!$E$1:$AZ$1,0),
_xlpm.val,
INDEX(Raw_Fund!$E:$AZ,_xlpm.rowNo,_xlpm.colNo),
IF(ISNUMBER(_xlpm.val),_xlpm.val*$H199,""))</f>
        <v/>
      </c>
      <c r="R199" s="6" t="str">
        <f>_xlfn.LET(
_xlpm.rowNo, MATCH($C199&amp;"|"&amp;
($F199+R$4),Raw_Fund!$A:$A,0),
_xlpm.colNo,
MATCH(R$3,Raw_Fund!$E$1:$AZ$1,0),
_xlpm.val,
INDEX(Raw_Fund!$E:$AZ,_xlpm.rowNo,_xlpm.colNo),
IF(ISNUMBER(_xlpm.val),_xlpm.val*$H199,""))</f>
        <v/>
      </c>
      <c r="S199" s="6" t="str">
        <f>_xlfn.LET(
_xlpm.rowNo, MATCH($C199&amp;"|"&amp;
($F199+S$4),Raw_Fund!$A:$A,0),
_xlpm.colNo,
MATCH(S$3,Raw_Fund!$E$1:$AZ$1,0),
_xlpm.val,
INDEX(Raw_Fund!$E:$AZ,_xlpm.rowNo,_xlpm.colNo),
IF(ISNUMBER(_xlpm.val),_xlpm.val*$H199,""))</f>
        <v/>
      </c>
      <c r="T199" s="6" t="str">
        <f>_xlfn.LET(
_xlpm.rowNo, MATCH($C199&amp;"|"&amp;
($F199+T$4),Raw_Fund!$A:$A,0),
_xlpm.colNo,
MATCH(T$3,Raw_Fund!$E$1:$AZ$1,0),
_xlpm.val,
INDEX(Raw_Fund!$E:$AZ,_xlpm.rowNo,_xlpm.colNo),
IF(ISNUMBER(_xlpm.val),_xlpm.val*$H199,""))</f>
        <v/>
      </c>
      <c r="U199" s="6" t="str">
        <f>_xlfn.LET(
_xlpm.rowNo, MATCH($C199&amp;"|"&amp;
($F199+U$4),Raw_Fund!$A:$A,0),
_xlpm.colNo,
MATCH(U$3,Raw_Fund!$E$1:$AZ$1,0),
_xlpm.val,
INDEX(Raw_Fund!$E:$AZ,_xlpm.rowNo,_xlpm.colNo),
IF(ISNUMBER(_xlpm.val),_xlpm.val*$H199,""))</f>
        <v/>
      </c>
      <c r="V199" s="6" t="str">
        <f>_xlfn.LET(
_xlpm.rowNo, MATCH($C199&amp;"|"&amp;
($F199+V$4),Raw_Fund!$A:$A,0),
_xlpm.colNo,
MATCH(V$3,Raw_Fund!$E$1:$AZ$1,0),
_xlpm.val,
INDEX(Raw_Fund!$E:$AZ,_xlpm.rowNo,_xlpm.colNo),
IF(ISNUMBER(_xlpm.val),_xlpm.val*$H199,""))</f>
        <v/>
      </c>
      <c r="W199" s="6" t="str">
        <f>_xlfn.LET(
_xlpm.rowNo, MATCH($C199&amp;"|"&amp;
($F199+W$4),Raw_Fund!$A:$A,0),
_xlpm.colNo,
MATCH(W$3,Raw_Fund!$E$1:$AZ$1,0),
_xlpm.val,
INDEX(Raw_Fund!$E:$AZ,_xlpm.rowNo,_xlpm.colNo),
IF(ISNUMBER(_xlpm.val),_xlpm.val*$H199,""))</f>
        <v/>
      </c>
      <c r="X199" s="6" t="str">
        <f>_xlfn.LET(
_xlpm.rowNo, MATCH($C199&amp;"|"&amp;
($F199+X$4),Raw_Fund!$A:$A,0),
_xlpm.colNo,
MATCH(X$3,Raw_Fund!$E$1:$AZ$1,0),
_xlpm.val,
INDEX(Raw_Fund!$E:$AZ,_xlpm.rowNo,_xlpm.colNo),
IF(ISNUMBER(_xlpm.val),_xlpm.val*$H199,""))</f>
        <v/>
      </c>
      <c r="Y199" s="6" t="str">
        <f>_xlfn.LET(
_xlpm.rowNo, MATCH($C199&amp;"|"&amp;
($F199+Y$4),Raw_Fund!$A:$A,0),
_xlpm.colNo,
MATCH(Y$3,Raw_Fund!$E$1:$AZ$1,0),
_xlpm.val,
INDEX(Raw_Fund!$E:$AZ,_xlpm.rowNo,_xlpm.colNo),
IF(ISNUMBER(_xlpm.val),_xlpm.val*$H199,""))</f>
        <v/>
      </c>
      <c r="Z199" s="6" t="str">
        <f>IF($E199&lt;&gt;"Include","",_xlfn.XLOOKUP($C199,Raw_Mkt!$A:$A,Raw_Mkt!$B:$B))</f>
        <v/>
      </c>
    </row>
    <row r="200" spans="1:26" x14ac:dyDescent="0.4">
      <c r="A200" t="str">
        <f>IF(Universe!A200&lt;&gt;"",Universe!A200,"")</f>
        <v>RICA</v>
      </c>
      <c r="B200" t="str">
        <f>IF(Universe!B200&lt;&gt;"",Universe!B200,"")</f>
        <v>Ruffer Investment Company</v>
      </c>
      <c r="C200" t="str">
        <f>IF(Universe!C200&lt;&gt;"",Universe!C200,"")</f>
        <v>GB00B018CS46</v>
      </c>
      <c r="D200" t="str">
        <f>IF(Universe!D200&lt;&gt;"",Universe!D200,"")</f>
        <v>Financials</v>
      </c>
      <c r="E200" t="str">
        <f>Universe!G200</f>
        <v>Exclude</v>
      </c>
      <c r="F200" t="str">
        <f>IF($E200&lt;&gt;"Include","",_xlfn.LET(_xlpm.latest,_xlfn.MAXIFS(Raw_Fund!$C:$C,Raw_Fund!$B:$B,Data!$C200),IF(_xlpm.latest=0,"",_xlpm.latest)))</f>
        <v/>
      </c>
      <c r="G200" t="str">
        <f>IF($F200="","",INDEX(Raw_Fund!$E:$AZ,MATCH($C200&amp;"|"&amp;$F200,Raw_Fund!$A:$A,0),MATCH(G$3,Raw_Fund!$E$1:$AZ$1,0)))</f>
        <v/>
      </c>
      <c r="H200" t="str">
        <f t="shared" si="3"/>
        <v/>
      </c>
      <c r="I200" s="6" t="str">
        <f>_xlfn.LET(
_xlpm.rowNo, MATCH($C200&amp;"|"&amp;
($F200+I$4),Raw_Fund!$A:$A,0),
_xlpm.colNo,
MATCH(I$3,Raw_Fund!$E$1:$AZ$1,0),
_xlpm.val,
INDEX(Raw_Fund!$E:$AZ,_xlpm.rowNo,_xlpm.colNo),
IF(ISNUMBER(_xlpm.val),_xlpm.val*$H200,""))</f>
        <v/>
      </c>
      <c r="J200" s="6" t="str">
        <f>_xlfn.LET(
_xlpm.rowNo, MATCH($C200&amp;"|"&amp;
($F200+J$4),Raw_Fund!$A:$A,0),
_xlpm.colNo,
MATCH(J$3,Raw_Fund!$E$1:$AZ$1,0),
_xlpm.val,
INDEX(Raw_Fund!$E:$AZ,_xlpm.rowNo,_xlpm.colNo),
IF(ISNUMBER(_xlpm.val),_xlpm.val*$H200,""))</f>
        <v/>
      </c>
      <c r="K200" s="6" t="str">
        <f>_xlfn.LET(
_xlpm.rowNo, MATCH($C200&amp;"|"&amp;
($F200+K$4),Raw_Fund!$A:$A,0),
_xlpm.colNo,
MATCH(K$3,Raw_Fund!$E$1:$AZ$1,0),
_xlpm.val,
INDEX(Raw_Fund!$E:$AZ,_xlpm.rowNo,_xlpm.colNo),
IF(ISNUMBER(_xlpm.val),_xlpm.val*$H200,""))</f>
        <v/>
      </c>
      <c r="L200" s="6" t="str">
        <f>_xlfn.LET(
_xlpm.rowNo, MATCH($C200&amp;"|"&amp;
($F200+L$4),Raw_Fund!$A:$A,0),
_xlpm.colNo,
MATCH(L$3,Raw_Fund!$E$1:$AZ$1,0),
_xlpm.val,
INDEX(Raw_Fund!$E:$AZ,_xlpm.rowNo,_xlpm.colNo),
IF(ISNUMBER(_xlpm.val),_xlpm.val*$H200,""))</f>
        <v/>
      </c>
      <c r="M200" s="6" t="str">
        <f>_xlfn.LET(
_xlpm.rowNo, MATCH($C200&amp;"|"&amp;
($F200+M$4),Raw_Fund!$A:$A,0),
_xlpm.colNo,
MATCH(M$3,Raw_Fund!$E$1:$AZ$1,0),
_xlpm.val,
INDEX(Raw_Fund!$E:$AZ,_xlpm.rowNo,_xlpm.colNo),
IF(ISNUMBER(_xlpm.val),_xlpm.val*$H200,""))</f>
        <v/>
      </c>
      <c r="N200" s="6" t="str">
        <f>_xlfn.LET(
_xlpm.rowNo, MATCH($C200&amp;"|"&amp;
($F200+N$4),Raw_Fund!$A:$A,0),
_xlpm.colNo,
MATCH(N$3,Raw_Fund!$E$1:$AZ$1,0),
_xlpm.val,
INDEX(Raw_Fund!$E:$AZ,_xlpm.rowNo,_xlpm.colNo),
IF(ISNUMBER(_xlpm.val),_xlpm.val*$H200,""))</f>
        <v/>
      </c>
      <c r="O200" s="6" t="str">
        <f>_xlfn.LET(
_xlpm.rowNo, MATCH($C200&amp;"|"&amp;
($F200+O$4),Raw_Fund!$A:$A,0),
_xlpm.colNo,
MATCH(O$3,Raw_Fund!$E$1:$AZ$1,0),
_xlpm.val,
INDEX(Raw_Fund!$E:$AZ,_xlpm.rowNo,_xlpm.colNo),
IF(ISNUMBER(_xlpm.val),_xlpm.val*$H200,""))</f>
        <v/>
      </c>
      <c r="P200" s="6" t="str">
        <f>_xlfn.LET(
_xlpm.rowNo, MATCH($C200&amp;"|"&amp;
($F200+P$4),Raw_Fund!$A:$A,0),
_xlpm.colNo,
MATCH(P$3,Raw_Fund!$E$1:$AZ$1,0),
_xlpm.val,
INDEX(Raw_Fund!$E:$AZ,_xlpm.rowNo,_xlpm.colNo),
IF(ISNUMBER(_xlpm.val),_xlpm.val*$H200,""))</f>
        <v/>
      </c>
      <c r="Q200" s="6" t="str">
        <f>_xlfn.LET(
_xlpm.rowNo, MATCH($C200&amp;"|"&amp;
($F200+Q$4),Raw_Fund!$A:$A,0),
_xlpm.colNo,
MATCH(Q$3,Raw_Fund!$E$1:$AZ$1,0),
_xlpm.val,
INDEX(Raw_Fund!$E:$AZ,_xlpm.rowNo,_xlpm.colNo),
IF(ISNUMBER(_xlpm.val),_xlpm.val*$H200,""))</f>
        <v/>
      </c>
      <c r="R200" s="6" t="str">
        <f>_xlfn.LET(
_xlpm.rowNo, MATCH($C200&amp;"|"&amp;
($F200+R$4),Raw_Fund!$A:$A,0),
_xlpm.colNo,
MATCH(R$3,Raw_Fund!$E$1:$AZ$1,0),
_xlpm.val,
INDEX(Raw_Fund!$E:$AZ,_xlpm.rowNo,_xlpm.colNo),
IF(ISNUMBER(_xlpm.val),_xlpm.val*$H200,""))</f>
        <v/>
      </c>
      <c r="S200" s="6" t="str">
        <f>_xlfn.LET(
_xlpm.rowNo, MATCH($C200&amp;"|"&amp;
($F200+S$4),Raw_Fund!$A:$A,0),
_xlpm.colNo,
MATCH(S$3,Raw_Fund!$E$1:$AZ$1,0),
_xlpm.val,
INDEX(Raw_Fund!$E:$AZ,_xlpm.rowNo,_xlpm.colNo),
IF(ISNUMBER(_xlpm.val),_xlpm.val*$H200,""))</f>
        <v/>
      </c>
      <c r="T200" s="6" t="str">
        <f>_xlfn.LET(
_xlpm.rowNo, MATCH($C200&amp;"|"&amp;
($F200+T$4),Raw_Fund!$A:$A,0),
_xlpm.colNo,
MATCH(T$3,Raw_Fund!$E$1:$AZ$1,0),
_xlpm.val,
INDEX(Raw_Fund!$E:$AZ,_xlpm.rowNo,_xlpm.colNo),
IF(ISNUMBER(_xlpm.val),_xlpm.val*$H200,""))</f>
        <v/>
      </c>
      <c r="U200" s="6" t="str">
        <f>_xlfn.LET(
_xlpm.rowNo, MATCH($C200&amp;"|"&amp;
($F200+U$4),Raw_Fund!$A:$A,0),
_xlpm.colNo,
MATCH(U$3,Raw_Fund!$E$1:$AZ$1,0),
_xlpm.val,
INDEX(Raw_Fund!$E:$AZ,_xlpm.rowNo,_xlpm.colNo),
IF(ISNUMBER(_xlpm.val),_xlpm.val*$H200,""))</f>
        <v/>
      </c>
      <c r="V200" s="6" t="str">
        <f>_xlfn.LET(
_xlpm.rowNo, MATCH($C200&amp;"|"&amp;
($F200+V$4),Raw_Fund!$A:$A,0),
_xlpm.colNo,
MATCH(V$3,Raw_Fund!$E$1:$AZ$1,0),
_xlpm.val,
INDEX(Raw_Fund!$E:$AZ,_xlpm.rowNo,_xlpm.colNo),
IF(ISNUMBER(_xlpm.val),_xlpm.val*$H200,""))</f>
        <v/>
      </c>
      <c r="W200" s="6" t="str">
        <f>_xlfn.LET(
_xlpm.rowNo, MATCH($C200&amp;"|"&amp;
($F200+W$4),Raw_Fund!$A:$A,0),
_xlpm.colNo,
MATCH(W$3,Raw_Fund!$E$1:$AZ$1,0),
_xlpm.val,
INDEX(Raw_Fund!$E:$AZ,_xlpm.rowNo,_xlpm.colNo),
IF(ISNUMBER(_xlpm.val),_xlpm.val*$H200,""))</f>
        <v/>
      </c>
      <c r="X200" s="6" t="str">
        <f>_xlfn.LET(
_xlpm.rowNo, MATCH($C200&amp;"|"&amp;
($F200+X$4),Raw_Fund!$A:$A,0),
_xlpm.colNo,
MATCH(X$3,Raw_Fund!$E$1:$AZ$1,0),
_xlpm.val,
INDEX(Raw_Fund!$E:$AZ,_xlpm.rowNo,_xlpm.colNo),
IF(ISNUMBER(_xlpm.val),_xlpm.val*$H200,""))</f>
        <v/>
      </c>
      <c r="Y200" s="6" t="str">
        <f>_xlfn.LET(
_xlpm.rowNo, MATCH($C200&amp;"|"&amp;
($F200+Y$4),Raw_Fund!$A:$A,0),
_xlpm.colNo,
MATCH(Y$3,Raw_Fund!$E$1:$AZ$1,0),
_xlpm.val,
INDEX(Raw_Fund!$E:$AZ,_xlpm.rowNo,_xlpm.colNo),
IF(ISNUMBER(_xlpm.val),_xlpm.val*$H200,""))</f>
        <v/>
      </c>
      <c r="Z200" s="6" t="str">
        <f>IF($E200&lt;&gt;"Include","",_xlfn.XLOOKUP($C200,Raw_Mkt!$A:$A,Raw_Mkt!$B:$B))</f>
        <v/>
      </c>
    </row>
    <row r="201" spans="1:26" x14ac:dyDescent="0.4">
      <c r="A201" t="str">
        <f>IF(Universe!A201&lt;&gt;"",Universe!A201,"")</f>
        <v>SAFE</v>
      </c>
      <c r="B201" t="str">
        <f>IF(Universe!B201&lt;&gt;"",Universe!B201,"")</f>
        <v>Safestore</v>
      </c>
      <c r="C201" t="str">
        <f>IF(Universe!C201&lt;&gt;"",Universe!C201,"")</f>
        <v>GB00B1N7Z094</v>
      </c>
      <c r="D201" t="str">
        <f>IF(Universe!D201&lt;&gt;"",Universe!D201,"")</f>
        <v>Real Estate</v>
      </c>
      <c r="E201" t="str">
        <f>Universe!G201</f>
        <v>Exclude</v>
      </c>
      <c r="F201" t="str">
        <f>IF($E201&lt;&gt;"Include","",_xlfn.LET(_xlpm.latest,_xlfn.MAXIFS(Raw_Fund!$C:$C,Raw_Fund!$B:$B,Data!$C201),IF(_xlpm.latest=0,"",_xlpm.latest)))</f>
        <v/>
      </c>
      <c r="G201" t="str">
        <f>IF($F201="","",INDEX(Raw_Fund!$E:$AZ,MATCH($C201&amp;"|"&amp;$F201,Raw_Fund!$A:$A,0),MATCH(G$3,Raw_Fund!$E$1:$AZ$1,0)))</f>
        <v/>
      </c>
      <c r="H201" t="str">
        <f t="shared" si="3"/>
        <v/>
      </c>
      <c r="I201" s="6" t="str">
        <f>_xlfn.LET(
_xlpm.rowNo, MATCH($C201&amp;"|"&amp;
($F201+I$4),Raw_Fund!$A:$A,0),
_xlpm.colNo,
MATCH(I$3,Raw_Fund!$E$1:$AZ$1,0),
_xlpm.val,
INDEX(Raw_Fund!$E:$AZ,_xlpm.rowNo,_xlpm.colNo),
IF(ISNUMBER(_xlpm.val),_xlpm.val*$H201,""))</f>
        <v/>
      </c>
      <c r="J201" s="6" t="str">
        <f>_xlfn.LET(
_xlpm.rowNo, MATCH($C201&amp;"|"&amp;
($F201+J$4),Raw_Fund!$A:$A,0),
_xlpm.colNo,
MATCH(J$3,Raw_Fund!$E$1:$AZ$1,0),
_xlpm.val,
INDEX(Raw_Fund!$E:$AZ,_xlpm.rowNo,_xlpm.colNo),
IF(ISNUMBER(_xlpm.val),_xlpm.val*$H201,""))</f>
        <v/>
      </c>
      <c r="K201" s="6" t="str">
        <f>_xlfn.LET(
_xlpm.rowNo, MATCH($C201&amp;"|"&amp;
($F201+K$4),Raw_Fund!$A:$A,0),
_xlpm.colNo,
MATCH(K$3,Raw_Fund!$E$1:$AZ$1,0),
_xlpm.val,
INDEX(Raw_Fund!$E:$AZ,_xlpm.rowNo,_xlpm.colNo),
IF(ISNUMBER(_xlpm.val),_xlpm.val*$H201,""))</f>
        <v/>
      </c>
      <c r="L201" s="6" t="str">
        <f>_xlfn.LET(
_xlpm.rowNo, MATCH($C201&amp;"|"&amp;
($F201+L$4),Raw_Fund!$A:$A,0),
_xlpm.colNo,
MATCH(L$3,Raw_Fund!$E$1:$AZ$1,0),
_xlpm.val,
INDEX(Raw_Fund!$E:$AZ,_xlpm.rowNo,_xlpm.colNo),
IF(ISNUMBER(_xlpm.val),_xlpm.val*$H201,""))</f>
        <v/>
      </c>
      <c r="M201" s="6" t="str">
        <f>_xlfn.LET(
_xlpm.rowNo, MATCH($C201&amp;"|"&amp;
($F201+M$4),Raw_Fund!$A:$A,0),
_xlpm.colNo,
MATCH(M$3,Raw_Fund!$E$1:$AZ$1,0),
_xlpm.val,
INDEX(Raw_Fund!$E:$AZ,_xlpm.rowNo,_xlpm.colNo),
IF(ISNUMBER(_xlpm.val),_xlpm.val*$H201,""))</f>
        <v/>
      </c>
      <c r="N201" s="6" t="str">
        <f>_xlfn.LET(
_xlpm.rowNo, MATCH($C201&amp;"|"&amp;
($F201+N$4),Raw_Fund!$A:$A,0),
_xlpm.colNo,
MATCH(N$3,Raw_Fund!$E$1:$AZ$1,0),
_xlpm.val,
INDEX(Raw_Fund!$E:$AZ,_xlpm.rowNo,_xlpm.colNo),
IF(ISNUMBER(_xlpm.val),_xlpm.val*$H201,""))</f>
        <v/>
      </c>
      <c r="O201" s="6" t="str">
        <f>_xlfn.LET(
_xlpm.rowNo, MATCH($C201&amp;"|"&amp;
($F201+O$4),Raw_Fund!$A:$A,0),
_xlpm.colNo,
MATCH(O$3,Raw_Fund!$E$1:$AZ$1,0),
_xlpm.val,
INDEX(Raw_Fund!$E:$AZ,_xlpm.rowNo,_xlpm.colNo),
IF(ISNUMBER(_xlpm.val),_xlpm.val*$H201,""))</f>
        <v/>
      </c>
      <c r="P201" s="6" t="str">
        <f>_xlfn.LET(
_xlpm.rowNo, MATCH($C201&amp;"|"&amp;
($F201+P$4),Raw_Fund!$A:$A,0),
_xlpm.colNo,
MATCH(P$3,Raw_Fund!$E$1:$AZ$1,0),
_xlpm.val,
INDEX(Raw_Fund!$E:$AZ,_xlpm.rowNo,_xlpm.colNo),
IF(ISNUMBER(_xlpm.val),_xlpm.val*$H201,""))</f>
        <v/>
      </c>
      <c r="Q201" s="6" t="str">
        <f>_xlfn.LET(
_xlpm.rowNo, MATCH($C201&amp;"|"&amp;
($F201+Q$4),Raw_Fund!$A:$A,0),
_xlpm.colNo,
MATCH(Q$3,Raw_Fund!$E$1:$AZ$1,0),
_xlpm.val,
INDEX(Raw_Fund!$E:$AZ,_xlpm.rowNo,_xlpm.colNo),
IF(ISNUMBER(_xlpm.val),_xlpm.val*$H201,""))</f>
        <v/>
      </c>
      <c r="R201" s="6" t="str">
        <f>_xlfn.LET(
_xlpm.rowNo, MATCH($C201&amp;"|"&amp;
($F201+R$4),Raw_Fund!$A:$A,0),
_xlpm.colNo,
MATCH(R$3,Raw_Fund!$E$1:$AZ$1,0),
_xlpm.val,
INDEX(Raw_Fund!$E:$AZ,_xlpm.rowNo,_xlpm.colNo),
IF(ISNUMBER(_xlpm.val),_xlpm.val*$H201,""))</f>
        <v/>
      </c>
      <c r="S201" s="6" t="str">
        <f>_xlfn.LET(
_xlpm.rowNo, MATCH($C201&amp;"|"&amp;
($F201+S$4),Raw_Fund!$A:$A,0),
_xlpm.colNo,
MATCH(S$3,Raw_Fund!$E$1:$AZ$1,0),
_xlpm.val,
INDEX(Raw_Fund!$E:$AZ,_xlpm.rowNo,_xlpm.colNo),
IF(ISNUMBER(_xlpm.val),_xlpm.val*$H201,""))</f>
        <v/>
      </c>
      <c r="T201" s="6" t="str">
        <f>_xlfn.LET(
_xlpm.rowNo, MATCH($C201&amp;"|"&amp;
($F201+T$4),Raw_Fund!$A:$A,0),
_xlpm.colNo,
MATCH(T$3,Raw_Fund!$E$1:$AZ$1,0),
_xlpm.val,
INDEX(Raw_Fund!$E:$AZ,_xlpm.rowNo,_xlpm.colNo),
IF(ISNUMBER(_xlpm.val),_xlpm.val*$H201,""))</f>
        <v/>
      </c>
      <c r="U201" s="6" t="str">
        <f>_xlfn.LET(
_xlpm.rowNo, MATCH($C201&amp;"|"&amp;
($F201+U$4),Raw_Fund!$A:$A,0),
_xlpm.colNo,
MATCH(U$3,Raw_Fund!$E$1:$AZ$1,0),
_xlpm.val,
INDEX(Raw_Fund!$E:$AZ,_xlpm.rowNo,_xlpm.colNo),
IF(ISNUMBER(_xlpm.val),_xlpm.val*$H201,""))</f>
        <v/>
      </c>
      <c r="V201" s="6" t="str">
        <f>_xlfn.LET(
_xlpm.rowNo, MATCH($C201&amp;"|"&amp;
($F201+V$4),Raw_Fund!$A:$A,0),
_xlpm.colNo,
MATCH(V$3,Raw_Fund!$E$1:$AZ$1,0),
_xlpm.val,
INDEX(Raw_Fund!$E:$AZ,_xlpm.rowNo,_xlpm.colNo),
IF(ISNUMBER(_xlpm.val),_xlpm.val*$H201,""))</f>
        <v/>
      </c>
      <c r="W201" s="6" t="str">
        <f>_xlfn.LET(
_xlpm.rowNo, MATCH($C201&amp;"|"&amp;
($F201+W$4),Raw_Fund!$A:$A,0),
_xlpm.colNo,
MATCH(W$3,Raw_Fund!$E$1:$AZ$1,0),
_xlpm.val,
INDEX(Raw_Fund!$E:$AZ,_xlpm.rowNo,_xlpm.colNo),
IF(ISNUMBER(_xlpm.val),_xlpm.val*$H201,""))</f>
        <v/>
      </c>
      <c r="X201" s="6" t="str">
        <f>_xlfn.LET(
_xlpm.rowNo, MATCH($C201&amp;"|"&amp;
($F201+X$4),Raw_Fund!$A:$A,0),
_xlpm.colNo,
MATCH(X$3,Raw_Fund!$E$1:$AZ$1,0),
_xlpm.val,
INDEX(Raw_Fund!$E:$AZ,_xlpm.rowNo,_xlpm.colNo),
IF(ISNUMBER(_xlpm.val),_xlpm.val*$H201,""))</f>
        <v/>
      </c>
      <c r="Y201" s="6" t="str">
        <f>_xlfn.LET(
_xlpm.rowNo, MATCH($C201&amp;"|"&amp;
($F201+Y$4),Raw_Fund!$A:$A,0),
_xlpm.colNo,
MATCH(Y$3,Raw_Fund!$E$1:$AZ$1,0),
_xlpm.val,
INDEX(Raw_Fund!$E:$AZ,_xlpm.rowNo,_xlpm.colNo),
IF(ISNUMBER(_xlpm.val),_xlpm.val*$H201,""))</f>
        <v/>
      </c>
      <c r="Z201" s="6" t="str">
        <f>IF($E201&lt;&gt;"Include","",_xlfn.XLOOKUP($C201,Raw_Mkt!$A:$A,Raw_Mkt!$B:$B))</f>
        <v/>
      </c>
    </row>
    <row r="202" spans="1:26" x14ac:dyDescent="0.4">
      <c r="A202" t="str">
        <f>IF(Universe!A202&lt;&gt;"",Universe!A202,"")</f>
        <v>SAGA</v>
      </c>
      <c r="B202" t="str">
        <f>IF(Universe!B202&lt;&gt;"",Universe!B202,"")</f>
        <v>Saga</v>
      </c>
      <c r="C202" t="str">
        <f>IF(Universe!C202&lt;&gt;"",Universe!C202,"")</f>
        <v>GB00BMX64W89</v>
      </c>
      <c r="D202" t="str">
        <f>IF(Universe!D202&lt;&gt;"",Universe!D202,"")</f>
        <v>Consumer Discretionary</v>
      </c>
      <c r="E202" t="str">
        <f>Universe!G202</f>
        <v>Include</v>
      </c>
      <c r="F202" t="str">
        <f>IF($E202&lt;&gt;"Include","",_xlfn.LET(_xlpm.latest,_xlfn.MAXIFS(Raw_Fund!$C:$C,Raw_Fund!$B:$B,Data!$C202),IF(_xlpm.latest=0,"",_xlpm.latest)))</f>
        <v/>
      </c>
      <c r="G202" t="str">
        <f>IF($F202="","",INDEX(Raw_Fund!$E:$AZ,MATCH($C202&amp;"|"&amp;$F202,Raw_Fund!$A:$A,0),MATCH(G$3,Raw_Fund!$E$1:$AZ$1,0)))</f>
        <v/>
      </c>
      <c r="H202" t="str">
        <f t="shared" si="3"/>
        <v/>
      </c>
      <c r="I202" s="6" t="str">
        <f>_xlfn.LET(
_xlpm.rowNo, MATCH($C202&amp;"|"&amp;
($F202+I$4),Raw_Fund!$A:$A,0),
_xlpm.colNo,
MATCH(I$3,Raw_Fund!$E$1:$AZ$1,0),
_xlpm.val,
INDEX(Raw_Fund!$E:$AZ,_xlpm.rowNo,_xlpm.colNo),
IF(ISNUMBER(_xlpm.val),_xlpm.val*$H202,""))</f>
        <v/>
      </c>
      <c r="J202" s="6" t="str">
        <f>_xlfn.LET(
_xlpm.rowNo, MATCH($C202&amp;"|"&amp;
($F202+J$4),Raw_Fund!$A:$A,0),
_xlpm.colNo,
MATCH(J$3,Raw_Fund!$E$1:$AZ$1,0),
_xlpm.val,
INDEX(Raw_Fund!$E:$AZ,_xlpm.rowNo,_xlpm.colNo),
IF(ISNUMBER(_xlpm.val),_xlpm.val*$H202,""))</f>
        <v/>
      </c>
      <c r="K202" s="6" t="str">
        <f>_xlfn.LET(
_xlpm.rowNo, MATCH($C202&amp;"|"&amp;
($F202+K$4),Raw_Fund!$A:$A,0),
_xlpm.colNo,
MATCH(K$3,Raw_Fund!$E$1:$AZ$1,0),
_xlpm.val,
INDEX(Raw_Fund!$E:$AZ,_xlpm.rowNo,_xlpm.colNo),
IF(ISNUMBER(_xlpm.val),_xlpm.val*$H202,""))</f>
        <v/>
      </c>
      <c r="L202" s="6" t="str">
        <f>_xlfn.LET(
_xlpm.rowNo, MATCH($C202&amp;"|"&amp;
($F202+L$4),Raw_Fund!$A:$A,0),
_xlpm.colNo,
MATCH(L$3,Raw_Fund!$E$1:$AZ$1,0),
_xlpm.val,
INDEX(Raw_Fund!$E:$AZ,_xlpm.rowNo,_xlpm.colNo),
IF(ISNUMBER(_xlpm.val),_xlpm.val*$H202,""))</f>
        <v/>
      </c>
      <c r="M202" s="6" t="str">
        <f>_xlfn.LET(
_xlpm.rowNo, MATCH($C202&amp;"|"&amp;
($F202+M$4),Raw_Fund!$A:$A,0),
_xlpm.colNo,
MATCH(M$3,Raw_Fund!$E$1:$AZ$1,0),
_xlpm.val,
INDEX(Raw_Fund!$E:$AZ,_xlpm.rowNo,_xlpm.colNo),
IF(ISNUMBER(_xlpm.val),_xlpm.val*$H202,""))</f>
        <v/>
      </c>
      <c r="N202" s="6" t="str">
        <f>_xlfn.LET(
_xlpm.rowNo, MATCH($C202&amp;"|"&amp;
($F202+N$4),Raw_Fund!$A:$A,0),
_xlpm.colNo,
MATCH(N$3,Raw_Fund!$E$1:$AZ$1,0),
_xlpm.val,
INDEX(Raw_Fund!$E:$AZ,_xlpm.rowNo,_xlpm.colNo),
IF(ISNUMBER(_xlpm.val),_xlpm.val*$H202,""))</f>
        <v/>
      </c>
      <c r="O202" s="6" t="str">
        <f>_xlfn.LET(
_xlpm.rowNo, MATCH($C202&amp;"|"&amp;
($F202+O$4),Raw_Fund!$A:$A,0),
_xlpm.colNo,
MATCH(O$3,Raw_Fund!$E$1:$AZ$1,0),
_xlpm.val,
INDEX(Raw_Fund!$E:$AZ,_xlpm.rowNo,_xlpm.colNo),
IF(ISNUMBER(_xlpm.val),_xlpm.val*$H202,""))</f>
        <v/>
      </c>
      <c r="P202" s="6" t="str">
        <f>_xlfn.LET(
_xlpm.rowNo, MATCH($C202&amp;"|"&amp;
($F202+P$4),Raw_Fund!$A:$A,0),
_xlpm.colNo,
MATCH(P$3,Raw_Fund!$E$1:$AZ$1,0),
_xlpm.val,
INDEX(Raw_Fund!$E:$AZ,_xlpm.rowNo,_xlpm.colNo),
IF(ISNUMBER(_xlpm.val),_xlpm.val*$H202,""))</f>
        <v/>
      </c>
      <c r="Q202" s="6" t="str">
        <f>_xlfn.LET(
_xlpm.rowNo, MATCH($C202&amp;"|"&amp;
($F202+Q$4),Raw_Fund!$A:$A,0),
_xlpm.colNo,
MATCH(Q$3,Raw_Fund!$E$1:$AZ$1,0),
_xlpm.val,
INDEX(Raw_Fund!$E:$AZ,_xlpm.rowNo,_xlpm.colNo),
IF(ISNUMBER(_xlpm.val),_xlpm.val*$H202,""))</f>
        <v/>
      </c>
      <c r="R202" s="6" t="str">
        <f>_xlfn.LET(
_xlpm.rowNo, MATCH($C202&amp;"|"&amp;
($F202+R$4),Raw_Fund!$A:$A,0),
_xlpm.colNo,
MATCH(R$3,Raw_Fund!$E$1:$AZ$1,0),
_xlpm.val,
INDEX(Raw_Fund!$E:$AZ,_xlpm.rowNo,_xlpm.colNo),
IF(ISNUMBER(_xlpm.val),_xlpm.val*$H202,""))</f>
        <v/>
      </c>
      <c r="S202" s="6" t="str">
        <f>_xlfn.LET(
_xlpm.rowNo, MATCH($C202&amp;"|"&amp;
($F202+S$4),Raw_Fund!$A:$A,0),
_xlpm.colNo,
MATCH(S$3,Raw_Fund!$E$1:$AZ$1,0),
_xlpm.val,
INDEX(Raw_Fund!$E:$AZ,_xlpm.rowNo,_xlpm.colNo),
IF(ISNUMBER(_xlpm.val),_xlpm.val*$H202,""))</f>
        <v/>
      </c>
      <c r="T202" s="6" t="str">
        <f>_xlfn.LET(
_xlpm.rowNo, MATCH($C202&amp;"|"&amp;
($F202+T$4),Raw_Fund!$A:$A,0),
_xlpm.colNo,
MATCH(T$3,Raw_Fund!$E$1:$AZ$1,0),
_xlpm.val,
INDEX(Raw_Fund!$E:$AZ,_xlpm.rowNo,_xlpm.colNo),
IF(ISNUMBER(_xlpm.val),_xlpm.val*$H202,""))</f>
        <v/>
      </c>
      <c r="U202" s="6" t="str">
        <f>_xlfn.LET(
_xlpm.rowNo, MATCH($C202&amp;"|"&amp;
($F202+U$4),Raw_Fund!$A:$A,0),
_xlpm.colNo,
MATCH(U$3,Raw_Fund!$E$1:$AZ$1,0),
_xlpm.val,
INDEX(Raw_Fund!$E:$AZ,_xlpm.rowNo,_xlpm.colNo),
IF(ISNUMBER(_xlpm.val),_xlpm.val*$H202,""))</f>
        <v/>
      </c>
      <c r="V202" s="6" t="str">
        <f>_xlfn.LET(
_xlpm.rowNo, MATCH($C202&amp;"|"&amp;
($F202+V$4),Raw_Fund!$A:$A,0),
_xlpm.colNo,
MATCH(V$3,Raw_Fund!$E$1:$AZ$1,0),
_xlpm.val,
INDEX(Raw_Fund!$E:$AZ,_xlpm.rowNo,_xlpm.colNo),
IF(ISNUMBER(_xlpm.val),_xlpm.val*$H202,""))</f>
        <v/>
      </c>
      <c r="W202" s="6" t="str">
        <f>_xlfn.LET(
_xlpm.rowNo, MATCH($C202&amp;"|"&amp;
($F202+W$4),Raw_Fund!$A:$A,0),
_xlpm.colNo,
MATCH(W$3,Raw_Fund!$E$1:$AZ$1,0),
_xlpm.val,
INDEX(Raw_Fund!$E:$AZ,_xlpm.rowNo,_xlpm.colNo),
IF(ISNUMBER(_xlpm.val),_xlpm.val*$H202,""))</f>
        <v/>
      </c>
      <c r="X202" s="6" t="str">
        <f>_xlfn.LET(
_xlpm.rowNo, MATCH($C202&amp;"|"&amp;
($F202+X$4),Raw_Fund!$A:$A,0),
_xlpm.colNo,
MATCH(X$3,Raw_Fund!$E$1:$AZ$1,0),
_xlpm.val,
INDEX(Raw_Fund!$E:$AZ,_xlpm.rowNo,_xlpm.colNo),
IF(ISNUMBER(_xlpm.val),_xlpm.val*$H202,""))</f>
        <v/>
      </c>
      <c r="Y202" s="6" t="str">
        <f>_xlfn.LET(
_xlpm.rowNo, MATCH($C202&amp;"|"&amp;
($F202+Y$4),Raw_Fund!$A:$A,0),
_xlpm.colNo,
MATCH(Y$3,Raw_Fund!$E$1:$AZ$1,0),
_xlpm.val,
INDEX(Raw_Fund!$E:$AZ,_xlpm.rowNo,_xlpm.colNo),
IF(ISNUMBER(_xlpm.val),_xlpm.val*$H202,""))</f>
        <v/>
      </c>
      <c r="Z202" s="6" t="e">
        <f>IF($E202&lt;&gt;"Include","",_xlfn.XLOOKUP($C202,Raw_Mkt!$A:$A,Raw_Mkt!$B:$B))</f>
        <v>#N/A</v>
      </c>
    </row>
    <row r="203" spans="1:26" x14ac:dyDescent="0.4">
      <c r="A203" t="str">
        <f>IF(Universe!A203&lt;&gt;"",Universe!A203,"")</f>
        <v>SVS</v>
      </c>
      <c r="B203" t="str">
        <f>IF(Universe!B203&lt;&gt;"",Universe!B203,"")</f>
        <v>Savills</v>
      </c>
      <c r="C203" t="str">
        <f>IF(Universe!C203&lt;&gt;"",Universe!C203,"")</f>
        <v>GB00B135BJ46</v>
      </c>
      <c r="D203" t="str">
        <f>IF(Universe!D203&lt;&gt;"",Universe!D203,"")</f>
        <v>Real Estate</v>
      </c>
      <c r="E203" t="str">
        <f>Universe!G203</f>
        <v>Exclude</v>
      </c>
      <c r="F203" t="str">
        <f>IF($E203&lt;&gt;"Include","",_xlfn.LET(_xlpm.latest,_xlfn.MAXIFS(Raw_Fund!$C:$C,Raw_Fund!$B:$B,Data!$C203),IF(_xlpm.latest=0,"",_xlpm.latest)))</f>
        <v/>
      </c>
      <c r="G203" t="str">
        <f>IF($F203="","",INDEX(Raw_Fund!$E:$AZ,MATCH($C203&amp;"|"&amp;$F203,Raw_Fund!$A:$A,0),MATCH(G$3,Raw_Fund!$E$1:$AZ$1,0)))</f>
        <v/>
      </c>
      <c r="H203" t="str">
        <f t="shared" si="3"/>
        <v/>
      </c>
      <c r="I203" s="6" t="str">
        <f>_xlfn.LET(
_xlpm.rowNo, MATCH($C203&amp;"|"&amp;
($F203+I$4),Raw_Fund!$A:$A,0),
_xlpm.colNo,
MATCH(I$3,Raw_Fund!$E$1:$AZ$1,0),
_xlpm.val,
INDEX(Raw_Fund!$E:$AZ,_xlpm.rowNo,_xlpm.colNo),
IF(ISNUMBER(_xlpm.val),_xlpm.val*$H203,""))</f>
        <v/>
      </c>
      <c r="J203" s="6" t="str">
        <f>_xlfn.LET(
_xlpm.rowNo, MATCH($C203&amp;"|"&amp;
($F203+J$4),Raw_Fund!$A:$A,0),
_xlpm.colNo,
MATCH(J$3,Raw_Fund!$E$1:$AZ$1,0),
_xlpm.val,
INDEX(Raw_Fund!$E:$AZ,_xlpm.rowNo,_xlpm.colNo),
IF(ISNUMBER(_xlpm.val),_xlpm.val*$H203,""))</f>
        <v/>
      </c>
      <c r="K203" s="6" t="str">
        <f>_xlfn.LET(
_xlpm.rowNo, MATCH($C203&amp;"|"&amp;
($F203+K$4),Raw_Fund!$A:$A,0),
_xlpm.colNo,
MATCH(K$3,Raw_Fund!$E$1:$AZ$1,0),
_xlpm.val,
INDEX(Raw_Fund!$E:$AZ,_xlpm.rowNo,_xlpm.colNo),
IF(ISNUMBER(_xlpm.val),_xlpm.val*$H203,""))</f>
        <v/>
      </c>
      <c r="L203" s="6" t="str">
        <f>_xlfn.LET(
_xlpm.rowNo, MATCH($C203&amp;"|"&amp;
($F203+L$4),Raw_Fund!$A:$A,0),
_xlpm.colNo,
MATCH(L$3,Raw_Fund!$E$1:$AZ$1,0),
_xlpm.val,
INDEX(Raw_Fund!$E:$AZ,_xlpm.rowNo,_xlpm.colNo),
IF(ISNUMBER(_xlpm.val),_xlpm.val*$H203,""))</f>
        <v/>
      </c>
      <c r="M203" s="6" t="str">
        <f>_xlfn.LET(
_xlpm.rowNo, MATCH($C203&amp;"|"&amp;
($F203+M$4),Raw_Fund!$A:$A,0),
_xlpm.colNo,
MATCH(M$3,Raw_Fund!$E$1:$AZ$1,0),
_xlpm.val,
INDEX(Raw_Fund!$E:$AZ,_xlpm.rowNo,_xlpm.colNo),
IF(ISNUMBER(_xlpm.val),_xlpm.val*$H203,""))</f>
        <v/>
      </c>
      <c r="N203" s="6" t="str">
        <f>_xlfn.LET(
_xlpm.rowNo, MATCH($C203&amp;"|"&amp;
($F203+N$4),Raw_Fund!$A:$A,0),
_xlpm.colNo,
MATCH(N$3,Raw_Fund!$E$1:$AZ$1,0),
_xlpm.val,
INDEX(Raw_Fund!$E:$AZ,_xlpm.rowNo,_xlpm.colNo),
IF(ISNUMBER(_xlpm.val),_xlpm.val*$H203,""))</f>
        <v/>
      </c>
      <c r="O203" s="6" t="str">
        <f>_xlfn.LET(
_xlpm.rowNo, MATCH($C203&amp;"|"&amp;
($F203+O$4),Raw_Fund!$A:$A,0),
_xlpm.colNo,
MATCH(O$3,Raw_Fund!$E$1:$AZ$1,0),
_xlpm.val,
INDEX(Raw_Fund!$E:$AZ,_xlpm.rowNo,_xlpm.colNo),
IF(ISNUMBER(_xlpm.val),_xlpm.val*$H203,""))</f>
        <v/>
      </c>
      <c r="P203" s="6" t="str">
        <f>_xlfn.LET(
_xlpm.rowNo, MATCH($C203&amp;"|"&amp;
($F203+P$4),Raw_Fund!$A:$A,0),
_xlpm.colNo,
MATCH(P$3,Raw_Fund!$E$1:$AZ$1,0),
_xlpm.val,
INDEX(Raw_Fund!$E:$AZ,_xlpm.rowNo,_xlpm.colNo),
IF(ISNUMBER(_xlpm.val),_xlpm.val*$H203,""))</f>
        <v/>
      </c>
      <c r="Q203" s="6" t="str">
        <f>_xlfn.LET(
_xlpm.rowNo, MATCH($C203&amp;"|"&amp;
($F203+Q$4),Raw_Fund!$A:$A,0),
_xlpm.colNo,
MATCH(Q$3,Raw_Fund!$E$1:$AZ$1,0),
_xlpm.val,
INDEX(Raw_Fund!$E:$AZ,_xlpm.rowNo,_xlpm.colNo),
IF(ISNUMBER(_xlpm.val),_xlpm.val*$H203,""))</f>
        <v/>
      </c>
      <c r="R203" s="6" t="str">
        <f>_xlfn.LET(
_xlpm.rowNo, MATCH($C203&amp;"|"&amp;
($F203+R$4),Raw_Fund!$A:$A,0),
_xlpm.colNo,
MATCH(R$3,Raw_Fund!$E$1:$AZ$1,0),
_xlpm.val,
INDEX(Raw_Fund!$E:$AZ,_xlpm.rowNo,_xlpm.colNo),
IF(ISNUMBER(_xlpm.val),_xlpm.val*$H203,""))</f>
        <v/>
      </c>
      <c r="S203" s="6" t="str">
        <f>_xlfn.LET(
_xlpm.rowNo, MATCH($C203&amp;"|"&amp;
($F203+S$4),Raw_Fund!$A:$A,0),
_xlpm.colNo,
MATCH(S$3,Raw_Fund!$E$1:$AZ$1,0),
_xlpm.val,
INDEX(Raw_Fund!$E:$AZ,_xlpm.rowNo,_xlpm.colNo),
IF(ISNUMBER(_xlpm.val),_xlpm.val*$H203,""))</f>
        <v/>
      </c>
      <c r="T203" s="6" t="str">
        <f>_xlfn.LET(
_xlpm.rowNo, MATCH($C203&amp;"|"&amp;
($F203+T$4),Raw_Fund!$A:$A,0),
_xlpm.colNo,
MATCH(T$3,Raw_Fund!$E$1:$AZ$1,0),
_xlpm.val,
INDEX(Raw_Fund!$E:$AZ,_xlpm.rowNo,_xlpm.colNo),
IF(ISNUMBER(_xlpm.val),_xlpm.val*$H203,""))</f>
        <v/>
      </c>
      <c r="U203" s="6" t="str">
        <f>_xlfn.LET(
_xlpm.rowNo, MATCH($C203&amp;"|"&amp;
($F203+U$4),Raw_Fund!$A:$A,0),
_xlpm.colNo,
MATCH(U$3,Raw_Fund!$E$1:$AZ$1,0),
_xlpm.val,
INDEX(Raw_Fund!$E:$AZ,_xlpm.rowNo,_xlpm.colNo),
IF(ISNUMBER(_xlpm.val),_xlpm.val*$H203,""))</f>
        <v/>
      </c>
      <c r="V203" s="6" t="str">
        <f>_xlfn.LET(
_xlpm.rowNo, MATCH($C203&amp;"|"&amp;
($F203+V$4),Raw_Fund!$A:$A,0),
_xlpm.colNo,
MATCH(V$3,Raw_Fund!$E$1:$AZ$1,0),
_xlpm.val,
INDEX(Raw_Fund!$E:$AZ,_xlpm.rowNo,_xlpm.colNo),
IF(ISNUMBER(_xlpm.val),_xlpm.val*$H203,""))</f>
        <v/>
      </c>
      <c r="W203" s="6" t="str">
        <f>_xlfn.LET(
_xlpm.rowNo, MATCH($C203&amp;"|"&amp;
($F203+W$4),Raw_Fund!$A:$A,0),
_xlpm.colNo,
MATCH(W$3,Raw_Fund!$E$1:$AZ$1,0),
_xlpm.val,
INDEX(Raw_Fund!$E:$AZ,_xlpm.rowNo,_xlpm.colNo),
IF(ISNUMBER(_xlpm.val),_xlpm.val*$H203,""))</f>
        <v/>
      </c>
      <c r="X203" s="6" t="str">
        <f>_xlfn.LET(
_xlpm.rowNo, MATCH($C203&amp;"|"&amp;
($F203+X$4),Raw_Fund!$A:$A,0),
_xlpm.colNo,
MATCH(X$3,Raw_Fund!$E$1:$AZ$1,0),
_xlpm.val,
INDEX(Raw_Fund!$E:$AZ,_xlpm.rowNo,_xlpm.colNo),
IF(ISNUMBER(_xlpm.val),_xlpm.val*$H203,""))</f>
        <v/>
      </c>
      <c r="Y203" s="6" t="str">
        <f>_xlfn.LET(
_xlpm.rowNo, MATCH($C203&amp;"|"&amp;
($F203+Y$4),Raw_Fund!$A:$A,0),
_xlpm.colNo,
MATCH(Y$3,Raw_Fund!$E$1:$AZ$1,0),
_xlpm.val,
INDEX(Raw_Fund!$E:$AZ,_xlpm.rowNo,_xlpm.colNo),
IF(ISNUMBER(_xlpm.val),_xlpm.val*$H203,""))</f>
        <v/>
      </c>
      <c r="Z203" s="6" t="str">
        <f>IF($E203&lt;&gt;"Include","",_xlfn.XLOOKUP($C203,Raw_Mkt!$A:$A,Raw_Mkt!$B:$B))</f>
        <v/>
      </c>
    </row>
    <row r="204" spans="1:26" x14ac:dyDescent="0.4">
      <c r="A204" t="str">
        <f>IF(Universe!A204&lt;&gt;"",Universe!A204,"")</f>
        <v>MNTN</v>
      </c>
      <c r="B204" t="str">
        <f>IF(Universe!B204&lt;&gt;"",Universe!B204,"")</f>
        <v>Schiehallion Fund</v>
      </c>
      <c r="C204" t="str">
        <f>IF(Universe!C204&lt;&gt;"",Universe!C204,"")</f>
        <v>GG00BJ0CDD21</v>
      </c>
      <c r="D204" t="str">
        <f>IF(Universe!D204&lt;&gt;"",Universe!D204,"")</f>
        <v>Financials</v>
      </c>
      <c r="E204" t="str">
        <f>Universe!G204</f>
        <v>Exclude</v>
      </c>
      <c r="F204" t="str">
        <f>IF($E204&lt;&gt;"Include","",_xlfn.LET(_xlpm.latest,_xlfn.MAXIFS(Raw_Fund!$C:$C,Raw_Fund!$B:$B,Data!$C204),IF(_xlpm.latest=0,"",_xlpm.latest)))</f>
        <v/>
      </c>
      <c r="G204" t="str">
        <f>IF($F204="","",INDEX(Raw_Fund!$E:$AZ,MATCH($C204&amp;"|"&amp;$F204,Raw_Fund!$A:$A,0),MATCH(G$3,Raw_Fund!$E$1:$AZ$1,0)))</f>
        <v/>
      </c>
      <c r="H204" t="str">
        <f t="shared" si="3"/>
        <v/>
      </c>
      <c r="I204" s="6" t="str">
        <f>_xlfn.LET(
_xlpm.rowNo, MATCH($C204&amp;"|"&amp;
($F204+I$4),Raw_Fund!$A:$A,0),
_xlpm.colNo,
MATCH(I$3,Raw_Fund!$E$1:$AZ$1,0),
_xlpm.val,
INDEX(Raw_Fund!$E:$AZ,_xlpm.rowNo,_xlpm.colNo),
IF(ISNUMBER(_xlpm.val),_xlpm.val*$H204,""))</f>
        <v/>
      </c>
      <c r="J204" s="6" t="str">
        <f>_xlfn.LET(
_xlpm.rowNo, MATCH($C204&amp;"|"&amp;
($F204+J$4),Raw_Fund!$A:$A,0),
_xlpm.colNo,
MATCH(J$3,Raw_Fund!$E$1:$AZ$1,0),
_xlpm.val,
INDEX(Raw_Fund!$E:$AZ,_xlpm.rowNo,_xlpm.colNo),
IF(ISNUMBER(_xlpm.val),_xlpm.val*$H204,""))</f>
        <v/>
      </c>
      <c r="K204" s="6" t="str">
        <f>_xlfn.LET(
_xlpm.rowNo, MATCH($C204&amp;"|"&amp;
($F204+K$4),Raw_Fund!$A:$A,0),
_xlpm.colNo,
MATCH(K$3,Raw_Fund!$E$1:$AZ$1,0),
_xlpm.val,
INDEX(Raw_Fund!$E:$AZ,_xlpm.rowNo,_xlpm.colNo),
IF(ISNUMBER(_xlpm.val),_xlpm.val*$H204,""))</f>
        <v/>
      </c>
      <c r="L204" s="6" t="str">
        <f>_xlfn.LET(
_xlpm.rowNo, MATCH($C204&amp;"|"&amp;
($F204+L$4),Raw_Fund!$A:$A,0),
_xlpm.colNo,
MATCH(L$3,Raw_Fund!$E$1:$AZ$1,0),
_xlpm.val,
INDEX(Raw_Fund!$E:$AZ,_xlpm.rowNo,_xlpm.colNo),
IF(ISNUMBER(_xlpm.val),_xlpm.val*$H204,""))</f>
        <v/>
      </c>
      <c r="M204" s="6" t="str">
        <f>_xlfn.LET(
_xlpm.rowNo, MATCH($C204&amp;"|"&amp;
($F204+M$4),Raw_Fund!$A:$A,0),
_xlpm.colNo,
MATCH(M$3,Raw_Fund!$E$1:$AZ$1,0),
_xlpm.val,
INDEX(Raw_Fund!$E:$AZ,_xlpm.rowNo,_xlpm.colNo),
IF(ISNUMBER(_xlpm.val),_xlpm.val*$H204,""))</f>
        <v/>
      </c>
      <c r="N204" s="6" t="str">
        <f>_xlfn.LET(
_xlpm.rowNo, MATCH($C204&amp;"|"&amp;
($F204+N$4),Raw_Fund!$A:$A,0),
_xlpm.colNo,
MATCH(N$3,Raw_Fund!$E$1:$AZ$1,0),
_xlpm.val,
INDEX(Raw_Fund!$E:$AZ,_xlpm.rowNo,_xlpm.colNo),
IF(ISNUMBER(_xlpm.val),_xlpm.val*$H204,""))</f>
        <v/>
      </c>
      <c r="O204" s="6" t="str">
        <f>_xlfn.LET(
_xlpm.rowNo, MATCH($C204&amp;"|"&amp;
($F204+O$4),Raw_Fund!$A:$A,0),
_xlpm.colNo,
MATCH(O$3,Raw_Fund!$E$1:$AZ$1,0),
_xlpm.val,
INDEX(Raw_Fund!$E:$AZ,_xlpm.rowNo,_xlpm.colNo),
IF(ISNUMBER(_xlpm.val),_xlpm.val*$H204,""))</f>
        <v/>
      </c>
      <c r="P204" s="6" t="str">
        <f>_xlfn.LET(
_xlpm.rowNo, MATCH($C204&amp;"|"&amp;
($F204+P$4),Raw_Fund!$A:$A,0),
_xlpm.colNo,
MATCH(P$3,Raw_Fund!$E$1:$AZ$1,0),
_xlpm.val,
INDEX(Raw_Fund!$E:$AZ,_xlpm.rowNo,_xlpm.colNo),
IF(ISNUMBER(_xlpm.val),_xlpm.val*$H204,""))</f>
        <v/>
      </c>
      <c r="Q204" s="6" t="str">
        <f>_xlfn.LET(
_xlpm.rowNo, MATCH($C204&amp;"|"&amp;
($F204+Q$4),Raw_Fund!$A:$A,0),
_xlpm.colNo,
MATCH(Q$3,Raw_Fund!$E$1:$AZ$1,0),
_xlpm.val,
INDEX(Raw_Fund!$E:$AZ,_xlpm.rowNo,_xlpm.colNo),
IF(ISNUMBER(_xlpm.val),_xlpm.val*$H204,""))</f>
        <v/>
      </c>
      <c r="R204" s="6" t="str">
        <f>_xlfn.LET(
_xlpm.rowNo, MATCH($C204&amp;"|"&amp;
($F204+R$4),Raw_Fund!$A:$A,0),
_xlpm.colNo,
MATCH(R$3,Raw_Fund!$E$1:$AZ$1,0),
_xlpm.val,
INDEX(Raw_Fund!$E:$AZ,_xlpm.rowNo,_xlpm.colNo),
IF(ISNUMBER(_xlpm.val),_xlpm.val*$H204,""))</f>
        <v/>
      </c>
      <c r="S204" s="6" t="str">
        <f>_xlfn.LET(
_xlpm.rowNo, MATCH($C204&amp;"|"&amp;
($F204+S$4),Raw_Fund!$A:$A,0),
_xlpm.colNo,
MATCH(S$3,Raw_Fund!$E$1:$AZ$1,0),
_xlpm.val,
INDEX(Raw_Fund!$E:$AZ,_xlpm.rowNo,_xlpm.colNo),
IF(ISNUMBER(_xlpm.val),_xlpm.val*$H204,""))</f>
        <v/>
      </c>
      <c r="T204" s="6" t="str">
        <f>_xlfn.LET(
_xlpm.rowNo, MATCH($C204&amp;"|"&amp;
($F204+T$4),Raw_Fund!$A:$A,0),
_xlpm.colNo,
MATCH(T$3,Raw_Fund!$E$1:$AZ$1,0),
_xlpm.val,
INDEX(Raw_Fund!$E:$AZ,_xlpm.rowNo,_xlpm.colNo),
IF(ISNUMBER(_xlpm.val),_xlpm.val*$H204,""))</f>
        <v/>
      </c>
      <c r="U204" s="6" t="str">
        <f>_xlfn.LET(
_xlpm.rowNo, MATCH($C204&amp;"|"&amp;
($F204+U$4),Raw_Fund!$A:$A,0),
_xlpm.colNo,
MATCH(U$3,Raw_Fund!$E$1:$AZ$1,0),
_xlpm.val,
INDEX(Raw_Fund!$E:$AZ,_xlpm.rowNo,_xlpm.colNo),
IF(ISNUMBER(_xlpm.val),_xlpm.val*$H204,""))</f>
        <v/>
      </c>
      <c r="V204" s="6" t="str">
        <f>_xlfn.LET(
_xlpm.rowNo, MATCH($C204&amp;"|"&amp;
($F204+V$4),Raw_Fund!$A:$A,0),
_xlpm.colNo,
MATCH(V$3,Raw_Fund!$E$1:$AZ$1,0),
_xlpm.val,
INDEX(Raw_Fund!$E:$AZ,_xlpm.rowNo,_xlpm.colNo),
IF(ISNUMBER(_xlpm.val),_xlpm.val*$H204,""))</f>
        <v/>
      </c>
      <c r="W204" s="6" t="str">
        <f>_xlfn.LET(
_xlpm.rowNo, MATCH($C204&amp;"|"&amp;
($F204+W$4),Raw_Fund!$A:$A,0),
_xlpm.colNo,
MATCH(W$3,Raw_Fund!$E$1:$AZ$1,0),
_xlpm.val,
INDEX(Raw_Fund!$E:$AZ,_xlpm.rowNo,_xlpm.colNo),
IF(ISNUMBER(_xlpm.val),_xlpm.val*$H204,""))</f>
        <v/>
      </c>
      <c r="X204" s="6" t="str">
        <f>_xlfn.LET(
_xlpm.rowNo, MATCH($C204&amp;"|"&amp;
($F204+X$4),Raw_Fund!$A:$A,0),
_xlpm.colNo,
MATCH(X$3,Raw_Fund!$E$1:$AZ$1,0),
_xlpm.val,
INDEX(Raw_Fund!$E:$AZ,_xlpm.rowNo,_xlpm.colNo),
IF(ISNUMBER(_xlpm.val),_xlpm.val*$H204,""))</f>
        <v/>
      </c>
      <c r="Y204" s="6" t="str">
        <f>_xlfn.LET(
_xlpm.rowNo, MATCH($C204&amp;"|"&amp;
($F204+Y$4),Raw_Fund!$A:$A,0),
_xlpm.colNo,
MATCH(Y$3,Raw_Fund!$E$1:$AZ$1,0),
_xlpm.val,
INDEX(Raw_Fund!$E:$AZ,_xlpm.rowNo,_xlpm.colNo),
IF(ISNUMBER(_xlpm.val),_xlpm.val*$H204,""))</f>
        <v/>
      </c>
      <c r="Z204" s="6" t="str">
        <f>IF($E204&lt;&gt;"Include","",_xlfn.XLOOKUP($C204,Raw_Mkt!$A:$A,Raw_Mkt!$B:$B))</f>
        <v/>
      </c>
    </row>
    <row r="205" spans="1:26" x14ac:dyDescent="0.4">
      <c r="A205" t="str">
        <f>IF(Universe!A205&lt;&gt;"",Universe!A205,"")</f>
        <v>ATR</v>
      </c>
      <c r="B205" t="str">
        <f>IF(Universe!B205&lt;&gt;"",Universe!B205,"")</f>
        <v>Schroder Asian Total Return Investment Company</v>
      </c>
      <c r="C205" t="str">
        <f>IF(Universe!C205&lt;&gt;"",Universe!C205,"")</f>
        <v>GB0008710799</v>
      </c>
      <c r="D205" t="str">
        <f>IF(Universe!D205&lt;&gt;"",Universe!D205,"")</f>
        <v>Financials</v>
      </c>
      <c r="E205" t="str">
        <f>Universe!G205</f>
        <v>Exclude</v>
      </c>
      <c r="F205" t="str">
        <f>IF($E205&lt;&gt;"Include","",_xlfn.LET(_xlpm.latest,_xlfn.MAXIFS(Raw_Fund!$C:$C,Raw_Fund!$B:$B,Data!$C205),IF(_xlpm.latest=0,"",_xlpm.latest)))</f>
        <v/>
      </c>
      <c r="G205" t="str">
        <f>IF($F205="","",INDEX(Raw_Fund!$E:$AZ,MATCH($C205&amp;"|"&amp;$F205,Raw_Fund!$A:$A,0),MATCH(G$3,Raw_Fund!$E$1:$AZ$1,0)))</f>
        <v/>
      </c>
      <c r="H205" t="str">
        <f t="shared" si="3"/>
        <v/>
      </c>
      <c r="I205" s="6" t="str">
        <f>_xlfn.LET(
_xlpm.rowNo, MATCH($C205&amp;"|"&amp;
($F205+I$4),Raw_Fund!$A:$A,0),
_xlpm.colNo,
MATCH(I$3,Raw_Fund!$E$1:$AZ$1,0),
_xlpm.val,
INDEX(Raw_Fund!$E:$AZ,_xlpm.rowNo,_xlpm.colNo),
IF(ISNUMBER(_xlpm.val),_xlpm.val*$H205,""))</f>
        <v/>
      </c>
      <c r="J205" s="6" t="str">
        <f>_xlfn.LET(
_xlpm.rowNo, MATCH($C205&amp;"|"&amp;
($F205+J$4),Raw_Fund!$A:$A,0),
_xlpm.colNo,
MATCH(J$3,Raw_Fund!$E$1:$AZ$1,0),
_xlpm.val,
INDEX(Raw_Fund!$E:$AZ,_xlpm.rowNo,_xlpm.colNo),
IF(ISNUMBER(_xlpm.val),_xlpm.val*$H205,""))</f>
        <v/>
      </c>
      <c r="K205" s="6" t="str">
        <f>_xlfn.LET(
_xlpm.rowNo, MATCH($C205&amp;"|"&amp;
($F205+K$4),Raw_Fund!$A:$A,0),
_xlpm.colNo,
MATCH(K$3,Raw_Fund!$E$1:$AZ$1,0),
_xlpm.val,
INDEX(Raw_Fund!$E:$AZ,_xlpm.rowNo,_xlpm.colNo),
IF(ISNUMBER(_xlpm.val),_xlpm.val*$H205,""))</f>
        <v/>
      </c>
      <c r="L205" s="6" t="str">
        <f>_xlfn.LET(
_xlpm.rowNo, MATCH($C205&amp;"|"&amp;
($F205+L$4),Raw_Fund!$A:$A,0),
_xlpm.colNo,
MATCH(L$3,Raw_Fund!$E$1:$AZ$1,0),
_xlpm.val,
INDEX(Raw_Fund!$E:$AZ,_xlpm.rowNo,_xlpm.colNo),
IF(ISNUMBER(_xlpm.val),_xlpm.val*$H205,""))</f>
        <v/>
      </c>
      <c r="M205" s="6" t="str">
        <f>_xlfn.LET(
_xlpm.rowNo, MATCH($C205&amp;"|"&amp;
($F205+M$4),Raw_Fund!$A:$A,0),
_xlpm.colNo,
MATCH(M$3,Raw_Fund!$E$1:$AZ$1,0),
_xlpm.val,
INDEX(Raw_Fund!$E:$AZ,_xlpm.rowNo,_xlpm.colNo),
IF(ISNUMBER(_xlpm.val),_xlpm.val*$H205,""))</f>
        <v/>
      </c>
      <c r="N205" s="6" t="str">
        <f>_xlfn.LET(
_xlpm.rowNo, MATCH($C205&amp;"|"&amp;
($F205+N$4),Raw_Fund!$A:$A,0),
_xlpm.colNo,
MATCH(N$3,Raw_Fund!$E$1:$AZ$1,0),
_xlpm.val,
INDEX(Raw_Fund!$E:$AZ,_xlpm.rowNo,_xlpm.colNo),
IF(ISNUMBER(_xlpm.val),_xlpm.val*$H205,""))</f>
        <v/>
      </c>
      <c r="O205" s="6" t="str">
        <f>_xlfn.LET(
_xlpm.rowNo, MATCH($C205&amp;"|"&amp;
($F205+O$4),Raw_Fund!$A:$A,0),
_xlpm.colNo,
MATCH(O$3,Raw_Fund!$E$1:$AZ$1,0),
_xlpm.val,
INDEX(Raw_Fund!$E:$AZ,_xlpm.rowNo,_xlpm.colNo),
IF(ISNUMBER(_xlpm.val),_xlpm.val*$H205,""))</f>
        <v/>
      </c>
      <c r="P205" s="6" t="str">
        <f>_xlfn.LET(
_xlpm.rowNo, MATCH($C205&amp;"|"&amp;
($F205+P$4),Raw_Fund!$A:$A,0),
_xlpm.colNo,
MATCH(P$3,Raw_Fund!$E$1:$AZ$1,0),
_xlpm.val,
INDEX(Raw_Fund!$E:$AZ,_xlpm.rowNo,_xlpm.colNo),
IF(ISNUMBER(_xlpm.val),_xlpm.val*$H205,""))</f>
        <v/>
      </c>
      <c r="Q205" s="6" t="str">
        <f>_xlfn.LET(
_xlpm.rowNo, MATCH($C205&amp;"|"&amp;
($F205+Q$4),Raw_Fund!$A:$A,0),
_xlpm.colNo,
MATCH(Q$3,Raw_Fund!$E$1:$AZ$1,0),
_xlpm.val,
INDEX(Raw_Fund!$E:$AZ,_xlpm.rowNo,_xlpm.colNo),
IF(ISNUMBER(_xlpm.val),_xlpm.val*$H205,""))</f>
        <v/>
      </c>
      <c r="R205" s="6" t="str">
        <f>_xlfn.LET(
_xlpm.rowNo, MATCH($C205&amp;"|"&amp;
($F205+R$4),Raw_Fund!$A:$A,0),
_xlpm.colNo,
MATCH(R$3,Raw_Fund!$E$1:$AZ$1,0),
_xlpm.val,
INDEX(Raw_Fund!$E:$AZ,_xlpm.rowNo,_xlpm.colNo),
IF(ISNUMBER(_xlpm.val),_xlpm.val*$H205,""))</f>
        <v/>
      </c>
      <c r="S205" s="6" t="str">
        <f>_xlfn.LET(
_xlpm.rowNo, MATCH($C205&amp;"|"&amp;
($F205+S$4),Raw_Fund!$A:$A,0),
_xlpm.colNo,
MATCH(S$3,Raw_Fund!$E$1:$AZ$1,0),
_xlpm.val,
INDEX(Raw_Fund!$E:$AZ,_xlpm.rowNo,_xlpm.colNo),
IF(ISNUMBER(_xlpm.val),_xlpm.val*$H205,""))</f>
        <v/>
      </c>
      <c r="T205" s="6" t="str">
        <f>_xlfn.LET(
_xlpm.rowNo, MATCH($C205&amp;"|"&amp;
($F205+T$4),Raw_Fund!$A:$A,0),
_xlpm.colNo,
MATCH(T$3,Raw_Fund!$E$1:$AZ$1,0),
_xlpm.val,
INDEX(Raw_Fund!$E:$AZ,_xlpm.rowNo,_xlpm.colNo),
IF(ISNUMBER(_xlpm.val),_xlpm.val*$H205,""))</f>
        <v/>
      </c>
      <c r="U205" s="6" t="str">
        <f>_xlfn.LET(
_xlpm.rowNo, MATCH($C205&amp;"|"&amp;
($F205+U$4),Raw_Fund!$A:$A,0),
_xlpm.colNo,
MATCH(U$3,Raw_Fund!$E$1:$AZ$1,0),
_xlpm.val,
INDEX(Raw_Fund!$E:$AZ,_xlpm.rowNo,_xlpm.colNo),
IF(ISNUMBER(_xlpm.val),_xlpm.val*$H205,""))</f>
        <v/>
      </c>
      <c r="V205" s="6" t="str">
        <f>_xlfn.LET(
_xlpm.rowNo, MATCH($C205&amp;"|"&amp;
($F205+V$4),Raw_Fund!$A:$A,0),
_xlpm.colNo,
MATCH(V$3,Raw_Fund!$E$1:$AZ$1,0),
_xlpm.val,
INDEX(Raw_Fund!$E:$AZ,_xlpm.rowNo,_xlpm.colNo),
IF(ISNUMBER(_xlpm.val),_xlpm.val*$H205,""))</f>
        <v/>
      </c>
      <c r="W205" s="6" t="str">
        <f>_xlfn.LET(
_xlpm.rowNo, MATCH($C205&amp;"|"&amp;
($F205+W$4),Raw_Fund!$A:$A,0),
_xlpm.colNo,
MATCH(W$3,Raw_Fund!$E$1:$AZ$1,0),
_xlpm.val,
INDEX(Raw_Fund!$E:$AZ,_xlpm.rowNo,_xlpm.colNo),
IF(ISNUMBER(_xlpm.val),_xlpm.val*$H205,""))</f>
        <v/>
      </c>
      <c r="X205" s="6" t="str">
        <f>_xlfn.LET(
_xlpm.rowNo, MATCH($C205&amp;"|"&amp;
($F205+X$4),Raw_Fund!$A:$A,0),
_xlpm.colNo,
MATCH(X$3,Raw_Fund!$E$1:$AZ$1,0),
_xlpm.val,
INDEX(Raw_Fund!$E:$AZ,_xlpm.rowNo,_xlpm.colNo),
IF(ISNUMBER(_xlpm.val),_xlpm.val*$H205,""))</f>
        <v/>
      </c>
      <c r="Y205" s="6" t="str">
        <f>_xlfn.LET(
_xlpm.rowNo, MATCH($C205&amp;"|"&amp;
($F205+Y$4),Raw_Fund!$A:$A,0),
_xlpm.colNo,
MATCH(Y$3,Raw_Fund!$E$1:$AZ$1,0),
_xlpm.val,
INDEX(Raw_Fund!$E:$AZ,_xlpm.rowNo,_xlpm.colNo),
IF(ISNUMBER(_xlpm.val),_xlpm.val*$H205,""))</f>
        <v/>
      </c>
      <c r="Z205" s="6" t="str">
        <f>IF($E205&lt;&gt;"Include","",_xlfn.XLOOKUP($C205,Raw_Mkt!$A:$A,Raw_Mkt!$B:$B))</f>
        <v/>
      </c>
    </row>
    <row r="206" spans="1:26" x14ac:dyDescent="0.4">
      <c r="A206" t="str">
        <f>IF(Universe!A206&lt;&gt;"",Universe!A206,"")</f>
        <v>SDP</v>
      </c>
      <c r="B206" t="str">
        <f>IF(Universe!B206&lt;&gt;"",Universe!B206,"")</f>
        <v>Schroder AsiaPacific Fund</v>
      </c>
      <c r="C206" t="str">
        <f>IF(Universe!C206&lt;&gt;"",Universe!C206,"")</f>
        <v>GB0007918872</v>
      </c>
      <c r="D206" t="str">
        <f>IF(Universe!D206&lt;&gt;"",Universe!D206,"")</f>
        <v>Financials</v>
      </c>
      <c r="E206" t="str">
        <f>Universe!G206</f>
        <v>Exclude</v>
      </c>
      <c r="F206" t="str">
        <f>IF($E206&lt;&gt;"Include","",_xlfn.LET(_xlpm.latest,_xlfn.MAXIFS(Raw_Fund!$C:$C,Raw_Fund!$B:$B,Data!$C206),IF(_xlpm.latest=0,"",_xlpm.latest)))</f>
        <v/>
      </c>
      <c r="G206" t="str">
        <f>IF($F206="","",INDEX(Raw_Fund!$E:$AZ,MATCH($C206&amp;"|"&amp;$F206,Raw_Fund!$A:$A,0),MATCH(G$3,Raw_Fund!$E$1:$AZ$1,0)))</f>
        <v/>
      </c>
      <c r="H206" t="str">
        <f t="shared" si="3"/>
        <v/>
      </c>
      <c r="I206" s="6" t="str">
        <f>_xlfn.LET(
_xlpm.rowNo, MATCH($C206&amp;"|"&amp;
($F206+I$4),Raw_Fund!$A:$A,0),
_xlpm.colNo,
MATCH(I$3,Raw_Fund!$E$1:$AZ$1,0),
_xlpm.val,
INDEX(Raw_Fund!$E:$AZ,_xlpm.rowNo,_xlpm.colNo),
IF(ISNUMBER(_xlpm.val),_xlpm.val*$H206,""))</f>
        <v/>
      </c>
      <c r="J206" s="6" t="str">
        <f>_xlfn.LET(
_xlpm.rowNo, MATCH($C206&amp;"|"&amp;
($F206+J$4),Raw_Fund!$A:$A,0),
_xlpm.colNo,
MATCH(J$3,Raw_Fund!$E$1:$AZ$1,0),
_xlpm.val,
INDEX(Raw_Fund!$E:$AZ,_xlpm.rowNo,_xlpm.colNo),
IF(ISNUMBER(_xlpm.val),_xlpm.val*$H206,""))</f>
        <v/>
      </c>
      <c r="K206" s="6" t="str">
        <f>_xlfn.LET(
_xlpm.rowNo, MATCH($C206&amp;"|"&amp;
($F206+K$4),Raw_Fund!$A:$A,0),
_xlpm.colNo,
MATCH(K$3,Raw_Fund!$E$1:$AZ$1,0),
_xlpm.val,
INDEX(Raw_Fund!$E:$AZ,_xlpm.rowNo,_xlpm.colNo),
IF(ISNUMBER(_xlpm.val),_xlpm.val*$H206,""))</f>
        <v/>
      </c>
      <c r="L206" s="6" t="str">
        <f>_xlfn.LET(
_xlpm.rowNo, MATCH($C206&amp;"|"&amp;
($F206+L$4),Raw_Fund!$A:$A,0),
_xlpm.colNo,
MATCH(L$3,Raw_Fund!$E$1:$AZ$1,0),
_xlpm.val,
INDEX(Raw_Fund!$E:$AZ,_xlpm.rowNo,_xlpm.colNo),
IF(ISNUMBER(_xlpm.val),_xlpm.val*$H206,""))</f>
        <v/>
      </c>
      <c r="M206" s="6" t="str">
        <f>_xlfn.LET(
_xlpm.rowNo, MATCH($C206&amp;"|"&amp;
($F206+M$4),Raw_Fund!$A:$A,0),
_xlpm.colNo,
MATCH(M$3,Raw_Fund!$E$1:$AZ$1,0),
_xlpm.val,
INDEX(Raw_Fund!$E:$AZ,_xlpm.rowNo,_xlpm.colNo),
IF(ISNUMBER(_xlpm.val),_xlpm.val*$H206,""))</f>
        <v/>
      </c>
      <c r="N206" s="6" t="str">
        <f>_xlfn.LET(
_xlpm.rowNo, MATCH($C206&amp;"|"&amp;
($F206+N$4),Raw_Fund!$A:$A,0),
_xlpm.colNo,
MATCH(N$3,Raw_Fund!$E$1:$AZ$1,0),
_xlpm.val,
INDEX(Raw_Fund!$E:$AZ,_xlpm.rowNo,_xlpm.colNo),
IF(ISNUMBER(_xlpm.val),_xlpm.val*$H206,""))</f>
        <v/>
      </c>
      <c r="O206" s="6" t="str">
        <f>_xlfn.LET(
_xlpm.rowNo, MATCH($C206&amp;"|"&amp;
($F206+O$4),Raw_Fund!$A:$A,0),
_xlpm.colNo,
MATCH(O$3,Raw_Fund!$E$1:$AZ$1,0),
_xlpm.val,
INDEX(Raw_Fund!$E:$AZ,_xlpm.rowNo,_xlpm.colNo),
IF(ISNUMBER(_xlpm.val),_xlpm.val*$H206,""))</f>
        <v/>
      </c>
      <c r="P206" s="6" t="str">
        <f>_xlfn.LET(
_xlpm.rowNo, MATCH($C206&amp;"|"&amp;
($F206+P$4),Raw_Fund!$A:$A,0),
_xlpm.colNo,
MATCH(P$3,Raw_Fund!$E$1:$AZ$1,0),
_xlpm.val,
INDEX(Raw_Fund!$E:$AZ,_xlpm.rowNo,_xlpm.colNo),
IF(ISNUMBER(_xlpm.val),_xlpm.val*$H206,""))</f>
        <v/>
      </c>
      <c r="Q206" s="6" t="str">
        <f>_xlfn.LET(
_xlpm.rowNo, MATCH($C206&amp;"|"&amp;
($F206+Q$4),Raw_Fund!$A:$A,0),
_xlpm.colNo,
MATCH(Q$3,Raw_Fund!$E$1:$AZ$1,0),
_xlpm.val,
INDEX(Raw_Fund!$E:$AZ,_xlpm.rowNo,_xlpm.colNo),
IF(ISNUMBER(_xlpm.val),_xlpm.val*$H206,""))</f>
        <v/>
      </c>
      <c r="R206" s="6" t="str">
        <f>_xlfn.LET(
_xlpm.rowNo, MATCH($C206&amp;"|"&amp;
($F206+R$4),Raw_Fund!$A:$A,0),
_xlpm.colNo,
MATCH(R$3,Raw_Fund!$E$1:$AZ$1,0),
_xlpm.val,
INDEX(Raw_Fund!$E:$AZ,_xlpm.rowNo,_xlpm.colNo),
IF(ISNUMBER(_xlpm.val),_xlpm.val*$H206,""))</f>
        <v/>
      </c>
      <c r="S206" s="6" t="str">
        <f>_xlfn.LET(
_xlpm.rowNo, MATCH($C206&amp;"|"&amp;
($F206+S$4),Raw_Fund!$A:$A,0),
_xlpm.colNo,
MATCH(S$3,Raw_Fund!$E$1:$AZ$1,0),
_xlpm.val,
INDEX(Raw_Fund!$E:$AZ,_xlpm.rowNo,_xlpm.colNo),
IF(ISNUMBER(_xlpm.val),_xlpm.val*$H206,""))</f>
        <v/>
      </c>
      <c r="T206" s="6" t="str">
        <f>_xlfn.LET(
_xlpm.rowNo, MATCH($C206&amp;"|"&amp;
($F206+T$4),Raw_Fund!$A:$A,0),
_xlpm.colNo,
MATCH(T$3,Raw_Fund!$E$1:$AZ$1,0),
_xlpm.val,
INDEX(Raw_Fund!$E:$AZ,_xlpm.rowNo,_xlpm.colNo),
IF(ISNUMBER(_xlpm.val),_xlpm.val*$H206,""))</f>
        <v/>
      </c>
      <c r="U206" s="6" t="str">
        <f>_xlfn.LET(
_xlpm.rowNo, MATCH($C206&amp;"|"&amp;
($F206+U$4),Raw_Fund!$A:$A,0),
_xlpm.colNo,
MATCH(U$3,Raw_Fund!$E$1:$AZ$1,0),
_xlpm.val,
INDEX(Raw_Fund!$E:$AZ,_xlpm.rowNo,_xlpm.colNo),
IF(ISNUMBER(_xlpm.val),_xlpm.val*$H206,""))</f>
        <v/>
      </c>
      <c r="V206" s="6" t="str">
        <f>_xlfn.LET(
_xlpm.rowNo, MATCH($C206&amp;"|"&amp;
($F206+V$4),Raw_Fund!$A:$A,0),
_xlpm.colNo,
MATCH(V$3,Raw_Fund!$E$1:$AZ$1,0),
_xlpm.val,
INDEX(Raw_Fund!$E:$AZ,_xlpm.rowNo,_xlpm.colNo),
IF(ISNUMBER(_xlpm.val),_xlpm.val*$H206,""))</f>
        <v/>
      </c>
      <c r="W206" s="6" t="str">
        <f>_xlfn.LET(
_xlpm.rowNo, MATCH($C206&amp;"|"&amp;
($F206+W$4),Raw_Fund!$A:$A,0),
_xlpm.colNo,
MATCH(W$3,Raw_Fund!$E$1:$AZ$1,0),
_xlpm.val,
INDEX(Raw_Fund!$E:$AZ,_xlpm.rowNo,_xlpm.colNo),
IF(ISNUMBER(_xlpm.val),_xlpm.val*$H206,""))</f>
        <v/>
      </c>
      <c r="X206" s="6" t="str">
        <f>_xlfn.LET(
_xlpm.rowNo, MATCH($C206&amp;"|"&amp;
($F206+X$4),Raw_Fund!$A:$A,0),
_xlpm.colNo,
MATCH(X$3,Raw_Fund!$E$1:$AZ$1,0),
_xlpm.val,
INDEX(Raw_Fund!$E:$AZ,_xlpm.rowNo,_xlpm.colNo),
IF(ISNUMBER(_xlpm.val),_xlpm.val*$H206,""))</f>
        <v/>
      </c>
      <c r="Y206" s="6" t="str">
        <f>_xlfn.LET(
_xlpm.rowNo, MATCH($C206&amp;"|"&amp;
($F206+Y$4),Raw_Fund!$A:$A,0),
_xlpm.colNo,
MATCH(Y$3,Raw_Fund!$E$1:$AZ$1,0),
_xlpm.val,
INDEX(Raw_Fund!$E:$AZ,_xlpm.rowNo,_xlpm.colNo),
IF(ISNUMBER(_xlpm.val),_xlpm.val*$H206,""))</f>
        <v/>
      </c>
      <c r="Z206" s="6" t="str">
        <f>IF($E206&lt;&gt;"Include","",_xlfn.XLOOKUP($C206,Raw_Mkt!$A:$A,Raw_Mkt!$B:$B))</f>
        <v/>
      </c>
    </row>
    <row r="207" spans="1:26" x14ac:dyDescent="0.4">
      <c r="A207" t="str">
        <f>IF(Universe!A207&lt;&gt;"",Universe!A207,"")</f>
        <v>SOI</v>
      </c>
      <c r="B207" t="str">
        <f>IF(Universe!B207&lt;&gt;"",Universe!B207,"")</f>
        <v>Schroder Oriental Income Fund</v>
      </c>
      <c r="C207" t="str">
        <f>IF(Universe!C207&lt;&gt;"",Universe!C207,"")</f>
        <v>GB00B0CRWN59</v>
      </c>
      <c r="D207" t="str">
        <f>IF(Universe!D207&lt;&gt;"",Universe!D207,"")</f>
        <v>Financials</v>
      </c>
      <c r="E207" t="str">
        <f>Universe!G207</f>
        <v>Exclude</v>
      </c>
      <c r="F207" t="str">
        <f>IF($E207&lt;&gt;"Include","",_xlfn.LET(_xlpm.latest,_xlfn.MAXIFS(Raw_Fund!$C:$C,Raw_Fund!$B:$B,Data!$C207),IF(_xlpm.latest=0,"",_xlpm.latest)))</f>
        <v/>
      </c>
      <c r="G207" t="str">
        <f>IF($F207="","",INDEX(Raw_Fund!$E:$AZ,MATCH($C207&amp;"|"&amp;$F207,Raw_Fund!$A:$A,0),MATCH(G$3,Raw_Fund!$E$1:$AZ$1,0)))</f>
        <v/>
      </c>
      <c r="H207" t="str">
        <f t="shared" si="3"/>
        <v/>
      </c>
      <c r="I207" s="6" t="str">
        <f>_xlfn.LET(
_xlpm.rowNo, MATCH($C207&amp;"|"&amp;
($F207+I$4),Raw_Fund!$A:$A,0),
_xlpm.colNo,
MATCH(I$3,Raw_Fund!$E$1:$AZ$1,0),
_xlpm.val,
INDEX(Raw_Fund!$E:$AZ,_xlpm.rowNo,_xlpm.colNo),
IF(ISNUMBER(_xlpm.val),_xlpm.val*$H207,""))</f>
        <v/>
      </c>
      <c r="J207" s="6" t="str">
        <f>_xlfn.LET(
_xlpm.rowNo, MATCH($C207&amp;"|"&amp;
($F207+J$4),Raw_Fund!$A:$A,0),
_xlpm.colNo,
MATCH(J$3,Raw_Fund!$E$1:$AZ$1,0),
_xlpm.val,
INDEX(Raw_Fund!$E:$AZ,_xlpm.rowNo,_xlpm.colNo),
IF(ISNUMBER(_xlpm.val),_xlpm.val*$H207,""))</f>
        <v/>
      </c>
      <c r="K207" s="6" t="str">
        <f>_xlfn.LET(
_xlpm.rowNo, MATCH($C207&amp;"|"&amp;
($F207+K$4),Raw_Fund!$A:$A,0),
_xlpm.colNo,
MATCH(K$3,Raw_Fund!$E$1:$AZ$1,0),
_xlpm.val,
INDEX(Raw_Fund!$E:$AZ,_xlpm.rowNo,_xlpm.colNo),
IF(ISNUMBER(_xlpm.val),_xlpm.val*$H207,""))</f>
        <v/>
      </c>
      <c r="L207" s="6" t="str">
        <f>_xlfn.LET(
_xlpm.rowNo, MATCH($C207&amp;"|"&amp;
($F207+L$4),Raw_Fund!$A:$A,0),
_xlpm.colNo,
MATCH(L$3,Raw_Fund!$E$1:$AZ$1,0),
_xlpm.val,
INDEX(Raw_Fund!$E:$AZ,_xlpm.rowNo,_xlpm.colNo),
IF(ISNUMBER(_xlpm.val),_xlpm.val*$H207,""))</f>
        <v/>
      </c>
      <c r="M207" s="6" t="str">
        <f>_xlfn.LET(
_xlpm.rowNo, MATCH($C207&amp;"|"&amp;
($F207+M$4),Raw_Fund!$A:$A,0),
_xlpm.colNo,
MATCH(M$3,Raw_Fund!$E$1:$AZ$1,0),
_xlpm.val,
INDEX(Raw_Fund!$E:$AZ,_xlpm.rowNo,_xlpm.colNo),
IF(ISNUMBER(_xlpm.val),_xlpm.val*$H207,""))</f>
        <v/>
      </c>
      <c r="N207" s="6" t="str">
        <f>_xlfn.LET(
_xlpm.rowNo, MATCH($C207&amp;"|"&amp;
($F207+N$4),Raw_Fund!$A:$A,0),
_xlpm.colNo,
MATCH(N$3,Raw_Fund!$E$1:$AZ$1,0),
_xlpm.val,
INDEX(Raw_Fund!$E:$AZ,_xlpm.rowNo,_xlpm.colNo),
IF(ISNUMBER(_xlpm.val),_xlpm.val*$H207,""))</f>
        <v/>
      </c>
      <c r="O207" s="6" t="str">
        <f>_xlfn.LET(
_xlpm.rowNo, MATCH($C207&amp;"|"&amp;
($F207+O$4),Raw_Fund!$A:$A,0),
_xlpm.colNo,
MATCH(O$3,Raw_Fund!$E$1:$AZ$1,0),
_xlpm.val,
INDEX(Raw_Fund!$E:$AZ,_xlpm.rowNo,_xlpm.colNo),
IF(ISNUMBER(_xlpm.val),_xlpm.val*$H207,""))</f>
        <v/>
      </c>
      <c r="P207" s="6" t="str">
        <f>_xlfn.LET(
_xlpm.rowNo, MATCH($C207&amp;"|"&amp;
($F207+P$4),Raw_Fund!$A:$A,0),
_xlpm.colNo,
MATCH(P$3,Raw_Fund!$E$1:$AZ$1,0),
_xlpm.val,
INDEX(Raw_Fund!$E:$AZ,_xlpm.rowNo,_xlpm.colNo),
IF(ISNUMBER(_xlpm.val),_xlpm.val*$H207,""))</f>
        <v/>
      </c>
      <c r="Q207" s="6" t="str">
        <f>_xlfn.LET(
_xlpm.rowNo, MATCH($C207&amp;"|"&amp;
($F207+Q$4),Raw_Fund!$A:$A,0),
_xlpm.colNo,
MATCH(Q$3,Raw_Fund!$E$1:$AZ$1,0),
_xlpm.val,
INDEX(Raw_Fund!$E:$AZ,_xlpm.rowNo,_xlpm.colNo),
IF(ISNUMBER(_xlpm.val),_xlpm.val*$H207,""))</f>
        <v/>
      </c>
      <c r="R207" s="6" t="str">
        <f>_xlfn.LET(
_xlpm.rowNo, MATCH($C207&amp;"|"&amp;
($F207+R$4),Raw_Fund!$A:$A,0),
_xlpm.colNo,
MATCH(R$3,Raw_Fund!$E$1:$AZ$1,0),
_xlpm.val,
INDEX(Raw_Fund!$E:$AZ,_xlpm.rowNo,_xlpm.colNo),
IF(ISNUMBER(_xlpm.val),_xlpm.val*$H207,""))</f>
        <v/>
      </c>
      <c r="S207" s="6" t="str">
        <f>_xlfn.LET(
_xlpm.rowNo, MATCH($C207&amp;"|"&amp;
($F207+S$4),Raw_Fund!$A:$A,0),
_xlpm.colNo,
MATCH(S$3,Raw_Fund!$E$1:$AZ$1,0),
_xlpm.val,
INDEX(Raw_Fund!$E:$AZ,_xlpm.rowNo,_xlpm.colNo),
IF(ISNUMBER(_xlpm.val),_xlpm.val*$H207,""))</f>
        <v/>
      </c>
      <c r="T207" s="6" t="str">
        <f>_xlfn.LET(
_xlpm.rowNo, MATCH($C207&amp;"|"&amp;
($F207+T$4),Raw_Fund!$A:$A,0),
_xlpm.colNo,
MATCH(T$3,Raw_Fund!$E$1:$AZ$1,0),
_xlpm.val,
INDEX(Raw_Fund!$E:$AZ,_xlpm.rowNo,_xlpm.colNo),
IF(ISNUMBER(_xlpm.val),_xlpm.val*$H207,""))</f>
        <v/>
      </c>
      <c r="U207" s="6" t="str">
        <f>_xlfn.LET(
_xlpm.rowNo, MATCH($C207&amp;"|"&amp;
($F207+U$4),Raw_Fund!$A:$A,0),
_xlpm.colNo,
MATCH(U$3,Raw_Fund!$E$1:$AZ$1,0),
_xlpm.val,
INDEX(Raw_Fund!$E:$AZ,_xlpm.rowNo,_xlpm.colNo),
IF(ISNUMBER(_xlpm.val),_xlpm.val*$H207,""))</f>
        <v/>
      </c>
      <c r="V207" s="6" t="str">
        <f>_xlfn.LET(
_xlpm.rowNo, MATCH($C207&amp;"|"&amp;
($F207+V$4),Raw_Fund!$A:$A,0),
_xlpm.colNo,
MATCH(V$3,Raw_Fund!$E$1:$AZ$1,0),
_xlpm.val,
INDEX(Raw_Fund!$E:$AZ,_xlpm.rowNo,_xlpm.colNo),
IF(ISNUMBER(_xlpm.val),_xlpm.val*$H207,""))</f>
        <v/>
      </c>
      <c r="W207" s="6" t="str">
        <f>_xlfn.LET(
_xlpm.rowNo, MATCH($C207&amp;"|"&amp;
($F207+W$4),Raw_Fund!$A:$A,0),
_xlpm.colNo,
MATCH(W$3,Raw_Fund!$E$1:$AZ$1,0),
_xlpm.val,
INDEX(Raw_Fund!$E:$AZ,_xlpm.rowNo,_xlpm.colNo),
IF(ISNUMBER(_xlpm.val),_xlpm.val*$H207,""))</f>
        <v/>
      </c>
      <c r="X207" s="6" t="str">
        <f>_xlfn.LET(
_xlpm.rowNo, MATCH($C207&amp;"|"&amp;
($F207+X$4),Raw_Fund!$A:$A,0),
_xlpm.colNo,
MATCH(X$3,Raw_Fund!$E$1:$AZ$1,0),
_xlpm.val,
INDEX(Raw_Fund!$E:$AZ,_xlpm.rowNo,_xlpm.colNo),
IF(ISNUMBER(_xlpm.val),_xlpm.val*$H207,""))</f>
        <v/>
      </c>
      <c r="Y207" s="6" t="str">
        <f>_xlfn.LET(
_xlpm.rowNo, MATCH($C207&amp;"|"&amp;
($F207+Y$4),Raw_Fund!$A:$A,0),
_xlpm.colNo,
MATCH(Y$3,Raw_Fund!$E$1:$AZ$1,0),
_xlpm.val,
INDEX(Raw_Fund!$E:$AZ,_xlpm.rowNo,_xlpm.colNo),
IF(ISNUMBER(_xlpm.val),_xlpm.val*$H207,""))</f>
        <v/>
      </c>
      <c r="Z207" s="6" t="str">
        <f>IF($E207&lt;&gt;"Include","",_xlfn.XLOOKUP($C207,Raw_Mkt!$A:$A,Raw_Mkt!$B:$B))</f>
        <v/>
      </c>
    </row>
    <row r="208" spans="1:26" x14ac:dyDescent="0.4">
      <c r="A208" t="str">
        <f>IF(Universe!A208&lt;&gt;"",Universe!A208,"")</f>
        <v>SAIN</v>
      </c>
      <c r="B208" t="str">
        <f>IF(Universe!B208&lt;&gt;"",Universe!B208,"")</f>
        <v>Scottish American Investment Company</v>
      </c>
      <c r="C208" t="str">
        <f>IF(Universe!C208&lt;&gt;"",Universe!C208,"")</f>
        <v>GB0007873697</v>
      </c>
      <c r="D208" t="str">
        <f>IF(Universe!D208&lt;&gt;"",Universe!D208,"")</f>
        <v>Financials</v>
      </c>
      <c r="E208" t="str">
        <f>Universe!G208</f>
        <v>Exclude</v>
      </c>
      <c r="F208" t="str">
        <f>IF($E208&lt;&gt;"Include","",_xlfn.LET(_xlpm.latest,_xlfn.MAXIFS(Raw_Fund!$C:$C,Raw_Fund!$B:$B,Data!$C208),IF(_xlpm.latest=0,"",_xlpm.latest)))</f>
        <v/>
      </c>
      <c r="G208" t="str">
        <f>IF($F208="","",INDEX(Raw_Fund!$E:$AZ,MATCH($C208&amp;"|"&amp;$F208,Raw_Fund!$A:$A,0),MATCH(G$3,Raw_Fund!$E$1:$AZ$1,0)))</f>
        <v/>
      </c>
      <c r="H208" t="str">
        <f t="shared" si="3"/>
        <v/>
      </c>
      <c r="I208" s="6" t="str">
        <f>_xlfn.LET(
_xlpm.rowNo, MATCH($C208&amp;"|"&amp;
($F208+I$4),Raw_Fund!$A:$A,0),
_xlpm.colNo,
MATCH(I$3,Raw_Fund!$E$1:$AZ$1,0),
_xlpm.val,
INDEX(Raw_Fund!$E:$AZ,_xlpm.rowNo,_xlpm.colNo),
IF(ISNUMBER(_xlpm.val),_xlpm.val*$H208,""))</f>
        <v/>
      </c>
      <c r="J208" s="6" t="str">
        <f>_xlfn.LET(
_xlpm.rowNo, MATCH($C208&amp;"|"&amp;
($F208+J$4),Raw_Fund!$A:$A,0),
_xlpm.colNo,
MATCH(J$3,Raw_Fund!$E$1:$AZ$1,0),
_xlpm.val,
INDEX(Raw_Fund!$E:$AZ,_xlpm.rowNo,_xlpm.colNo),
IF(ISNUMBER(_xlpm.val),_xlpm.val*$H208,""))</f>
        <v/>
      </c>
      <c r="K208" s="6" t="str">
        <f>_xlfn.LET(
_xlpm.rowNo, MATCH($C208&amp;"|"&amp;
($F208+K$4),Raw_Fund!$A:$A,0),
_xlpm.colNo,
MATCH(K$3,Raw_Fund!$E$1:$AZ$1,0),
_xlpm.val,
INDEX(Raw_Fund!$E:$AZ,_xlpm.rowNo,_xlpm.colNo),
IF(ISNUMBER(_xlpm.val),_xlpm.val*$H208,""))</f>
        <v/>
      </c>
      <c r="L208" s="6" t="str">
        <f>_xlfn.LET(
_xlpm.rowNo, MATCH($C208&amp;"|"&amp;
($F208+L$4),Raw_Fund!$A:$A,0),
_xlpm.colNo,
MATCH(L$3,Raw_Fund!$E$1:$AZ$1,0),
_xlpm.val,
INDEX(Raw_Fund!$E:$AZ,_xlpm.rowNo,_xlpm.colNo),
IF(ISNUMBER(_xlpm.val),_xlpm.val*$H208,""))</f>
        <v/>
      </c>
      <c r="M208" s="6" t="str">
        <f>_xlfn.LET(
_xlpm.rowNo, MATCH($C208&amp;"|"&amp;
($F208+M$4),Raw_Fund!$A:$A,0),
_xlpm.colNo,
MATCH(M$3,Raw_Fund!$E$1:$AZ$1,0),
_xlpm.val,
INDEX(Raw_Fund!$E:$AZ,_xlpm.rowNo,_xlpm.colNo),
IF(ISNUMBER(_xlpm.val),_xlpm.val*$H208,""))</f>
        <v/>
      </c>
      <c r="N208" s="6" t="str">
        <f>_xlfn.LET(
_xlpm.rowNo, MATCH($C208&amp;"|"&amp;
($F208+N$4),Raw_Fund!$A:$A,0),
_xlpm.colNo,
MATCH(N$3,Raw_Fund!$E$1:$AZ$1,0),
_xlpm.val,
INDEX(Raw_Fund!$E:$AZ,_xlpm.rowNo,_xlpm.colNo),
IF(ISNUMBER(_xlpm.val),_xlpm.val*$H208,""))</f>
        <v/>
      </c>
      <c r="O208" s="6" t="str">
        <f>_xlfn.LET(
_xlpm.rowNo, MATCH($C208&amp;"|"&amp;
($F208+O$4),Raw_Fund!$A:$A,0),
_xlpm.colNo,
MATCH(O$3,Raw_Fund!$E$1:$AZ$1,0),
_xlpm.val,
INDEX(Raw_Fund!$E:$AZ,_xlpm.rowNo,_xlpm.colNo),
IF(ISNUMBER(_xlpm.val),_xlpm.val*$H208,""))</f>
        <v/>
      </c>
      <c r="P208" s="6" t="str">
        <f>_xlfn.LET(
_xlpm.rowNo, MATCH($C208&amp;"|"&amp;
($F208+P$4),Raw_Fund!$A:$A,0),
_xlpm.colNo,
MATCH(P$3,Raw_Fund!$E$1:$AZ$1,0),
_xlpm.val,
INDEX(Raw_Fund!$E:$AZ,_xlpm.rowNo,_xlpm.colNo),
IF(ISNUMBER(_xlpm.val),_xlpm.val*$H208,""))</f>
        <v/>
      </c>
      <c r="Q208" s="6" t="str">
        <f>_xlfn.LET(
_xlpm.rowNo, MATCH($C208&amp;"|"&amp;
($F208+Q$4),Raw_Fund!$A:$A,0),
_xlpm.colNo,
MATCH(Q$3,Raw_Fund!$E$1:$AZ$1,0),
_xlpm.val,
INDEX(Raw_Fund!$E:$AZ,_xlpm.rowNo,_xlpm.colNo),
IF(ISNUMBER(_xlpm.val),_xlpm.val*$H208,""))</f>
        <v/>
      </c>
      <c r="R208" s="6" t="str">
        <f>_xlfn.LET(
_xlpm.rowNo, MATCH($C208&amp;"|"&amp;
($F208+R$4),Raw_Fund!$A:$A,0),
_xlpm.colNo,
MATCH(R$3,Raw_Fund!$E$1:$AZ$1,0),
_xlpm.val,
INDEX(Raw_Fund!$E:$AZ,_xlpm.rowNo,_xlpm.colNo),
IF(ISNUMBER(_xlpm.val),_xlpm.val*$H208,""))</f>
        <v/>
      </c>
      <c r="S208" s="6" t="str">
        <f>_xlfn.LET(
_xlpm.rowNo, MATCH($C208&amp;"|"&amp;
($F208+S$4),Raw_Fund!$A:$A,0),
_xlpm.colNo,
MATCH(S$3,Raw_Fund!$E$1:$AZ$1,0),
_xlpm.val,
INDEX(Raw_Fund!$E:$AZ,_xlpm.rowNo,_xlpm.colNo),
IF(ISNUMBER(_xlpm.val),_xlpm.val*$H208,""))</f>
        <v/>
      </c>
      <c r="T208" s="6" t="str">
        <f>_xlfn.LET(
_xlpm.rowNo, MATCH($C208&amp;"|"&amp;
($F208+T$4),Raw_Fund!$A:$A,0),
_xlpm.colNo,
MATCH(T$3,Raw_Fund!$E$1:$AZ$1,0),
_xlpm.val,
INDEX(Raw_Fund!$E:$AZ,_xlpm.rowNo,_xlpm.colNo),
IF(ISNUMBER(_xlpm.val),_xlpm.val*$H208,""))</f>
        <v/>
      </c>
      <c r="U208" s="6" t="str">
        <f>_xlfn.LET(
_xlpm.rowNo, MATCH($C208&amp;"|"&amp;
($F208+U$4),Raw_Fund!$A:$A,0),
_xlpm.colNo,
MATCH(U$3,Raw_Fund!$E$1:$AZ$1,0),
_xlpm.val,
INDEX(Raw_Fund!$E:$AZ,_xlpm.rowNo,_xlpm.colNo),
IF(ISNUMBER(_xlpm.val),_xlpm.val*$H208,""))</f>
        <v/>
      </c>
      <c r="V208" s="6" t="str">
        <f>_xlfn.LET(
_xlpm.rowNo, MATCH($C208&amp;"|"&amp;
($F208+V$4),Raw_Fund!$A:$A,0),
_xlpm.colNo,
MATCH(V$3,Raw_Fund!$E$1:$AZ$1,0),
_xlpm.val,
INDEX(Raw_Fund!$E:$AZ,_xlpm.rowNo,_xlpm.colNo),
IF(ISNUMBER(_xlpm.val),_xlpm.val*$H208,""))</f>
        <v/>
      </c>
      <c r="W208" s="6" t="str">
        <f>_xlfn.LET(
_xlpm.rowNo, MATCH($C208&amp;"|"&amp;
($F208+W$4),Raw_Fund!$A:$A,0),
_xlpm.colNo,
MATCH(W$3,Raw_Fund!$E$1:$AZ$1,0),
_xlpm.val,
INDEX(Raw_Fund!$E:$AZ,_xlpm.rowNo,_xlpm.colNo),
IF(ISNUMBER(_xlpm.val),_xlpm.val*$H208,""))</f>
        <v/>
      </c>
      <c r="X208" s="6" t="str">
        <f>_xlfn.LET(
_xlpm.rowNo, MATCH($C208&amp;"|"&amp;
($F208+X$4),Raw_Fund!$A:$A,0),
_xlpm.colNo,
MATCH(X$3,Raw_Fund!$E$1:$AZ$1,0),
_xlpm.val,
INDEX(Raw_Fund!$E:$AZ,_xlpm.rowNo,_xlpm.colNo),
IF(ISNUMBER(_xlpm.val),_xlpm.val*$H208,""))</f>
        <v/>
      </c>
      <c r="Y208" s="6" t="str">
        <f>_xlfn.LET(
_xlpm.rowNo, MATCH($C208&amp;"|"&amp;
($F208+Y$4),Raw_Fund!$A:$A,0),
_xlpm.colNo,
MATCH(Y$3,Raw_Fund!$E$1:$AZ$1,0),
_xlpm.val,
INDEX(Raw_Fund!$E:$AZ,_xlpm.rowNo,_xlpm.colNo),
IF(ISNUMBER(_xlpm.val),_xlpm.val*$H208,""))</f>
        <v/>
      </c>
      <c r="Z208" s="6" t="str">
        <f>IF($E208&lt;&gt;"Include","",_xlfn.XLOOKUP($C208,Raw_Mkt!$A:$A,Raw_Mkt!$B:$B))</f>
        <v/>
      </c>
    </row>
    <row r="209" spans="1:26" x14ac:dyDescent="0.4">
      <c r="A209" t="str">
        <f>IF(Universe!A209&lt;&gt;"",Universe!A209,"")</f>
        <v>SEIT</v>
      </c>
      <c r="B209" t="str">
        <f>IF(Universe!B209&lt;&gt;"",Universe!B209,"")</f>
        <v>SDCL Efficiency Income Trust</v>
      </c>
      <c r="C209" t="str">
        <f>IF(Universe!C209&lt;&gt;"",Universe!C209,"")</f>
        <v>GB00BGHVZM47</v>
      </c>
      <c r="D209" t="str">
        <f>IF(Universe!D209&lt;&gt;"",Universe!D209,"")</f>
        <v>Financials</v>
      </c>
      <c r="E209" t="str">
        <f>Universe!G209</f>
        <v>Exclude</v>
      </c>
      <c r="F209" t="str">
        <f>IF($E209&lt;&gt;"Include","",_xlfn.LET(_xlpm.latest,_xlfn.MAXIFS(Raw_Fund!$C:$C,Raw_Fund!$B:$B,Data!$C209),IF(_xlpm.latest=0,"",_xlpm.latest)))</f>
        <v/>
      </c>
      <c r="G209" t="str">
        <f>IF($F209="","",INDEX(Raw_Fund!$E:$AZ,MATCH($C209&amp;"|"&amp;$F209,Raw_Fund!$A:$A,0),MATCH(G$3,Raw_Fund!$E$1:$AZ$1,0)))</f>
        <v/>
      </c>
      <c r="H209" t="str">
        <f t="shared" si="3"/>
        <v/>
      </c>
      <c r="I209" s="6" t="str">
        <f>_xlfn.LET(
_xlpm.rowNo, MATCH($C209&amp;"|"&amp;
($F209+I$4),Raw_Fund!$A:$A,0),
_xlpm.colNo,
MATCH(I$3,Raw_Fund!$E$1:$AZ$1,0),
_xlpm.val,
INDEX(Raw_Fund!$E:$AZ,_xlpm.rowNo,_xlpm.colNo),
IF(ISNUMBER(_xlpm.val),_xlpm.val*$H209,""))</f>
        <v/>
      </c>
      <c r="J209" s="6" t="str">
        <f>_xlfn.LET(
_xlpm.rowNo, MATCH($C209&amp;"|"&amp;
($F209+J$4),Raw_Fund!$A:$A,0),
_xlpm.colNo,
MATCH(J$3,Raw_Fund!$E$1:$AZ$1,0),
_xlpm.val,
INDEX(Raw_Fund!$E:$AZ,_xlpm.rowNo,_xlpm.colNo),
IF(ISNUMBER(_xlpm.val),_xlpm.val*$H209,""))</f>
        <v/>
      </c>
      <c r="K209" s="6" t="str">
        <f>_xlfn.LET(
_xlpm.rowNo, MATCH($C209&amp;"|"&amp;
($F209+K$4),Raw_Fund!$A:$A,0),
_xlpm.colNo,
MATCH(K$3,Raw_Fund!$E$1:$AZ$1,0),
_xlpm.val,
INDEX(Raw_Fund!$E:$AZ,_xlpm.rowNo,_xlpm.colNo),
IF(ISNUMBER(_xlpm.val),_xlpm.val*$H209,""))</f>
        <v/>
      </c>
      <c r="L209" s="6" t="str">
        <f>_xlfn.LET(
_xlpm.rowNo, MATCH($C209&amp;"|"&amp;
($F209+L$4),Raw_Fund!$A:$A,0),
_xlpm.colNo,
MATCH(L$3,Raw_Fund!$E$1:$AZ$1,0),
_xlpm.val,
INDEX(Raw_Fund!$E:$AZ,_xlpm.rowNo,_xlpm.colNo),
IF(ISNUMBER(_xlpm.val),_xlpm.val*$H209,""))</f>
        <v/>
      </c>
      <c r="M209" s="6" t="str">
        <f>_xlfn.LET(
_xlpm.rowNo, MATCH($C209&amp;"|"&amp;
($F209+M$4),Raw_Fund!$A:$A,0),
_xlpm.colNo,
MATCH(M$3,Raw_Fund!$E$1:$AZ$1,0),
_xlpm.val,
INDEX(Raw_Fund!$E:$AZ,_xlpm.rowNo,_xlpm.colNo),
IF(ISNUMBER(_xlpm.val),_xlpm.val*$H209,""))</f>
        <v/>
      </c>
      <c r="N209" s="6" t="str">
        <f>_xlfn.LET(
_xlpm.rowNo, MATCH($C209&amp;"|"&amp;
($F209+N$4),Raw_Fund!$A:$A,0),
_xlpm.colNo,
MATCH(N$3,Raw_Fund!$E$1:$AZ$1,0),
_xlpm.val,
INDEX(Raw_Fund!$E:$AZ,_xlpm.rowNo,_xlpm.colNo),
IF(ISNUMBER(_xlpm.val),_xlpm.val*$H209,""))</f>
        <v/>
      </c>
      <c r="O209" s="6" t="str">
        <f>_xlfn.LET(
_xlpm.rowNo, MATCH($C209&amp;"|"&amp;
($F209+O$4),Raw_Fund!$A:$A,0),
_xlpm.colNo,
MATCH(O$3,Raw_Fund!$E$1:$AZ$1,0),
_xlpm.val,
INDEX(Raw_Fund!$E:$AZ,_xlpm.rowNo,_xlpm.colNo),
IF(ISNUMBER(_xlpm.val),_xlpm.val*$H209,""))</f>
        <v/>
      </c>
      <c r="P209" s="6" t="str">
        <f>_xlfn.LET(
_xlpm.rowNo, MATCH($C209&amp;"|"&amp;
($F209+P$4),Raw_Fund!$A:$A,0),
_xlpm.colNo,
MATCH(P$3,Raw_Fund!$E$1:$AZ$1,0),
_xlpm.val,
INDEX(Raw_Fund!$E:$AZ,_xlpm.rowNo,_xlpm.colNo),
IF(ISNUMBER(_xlpm.val),_xlpm.val*$H209,""))</f>
        <v/>
      </c>
      <c r="Q209" s="6" t="str">
        <f>_xlfn.LET(
_xlpm.rowNo, MATCH($C209&amp;"|"&amp;
($F209+Q$4),Raw_Fund!$A:$A,0),
_xlpm.colNo,
MATCH(Q$3,Raw_Fund!$E$1:$AZ$1,0),
_xlpm.val,
INDEX(Raw_Fund!$E:$AZ,_xlpm.rowNo,_xlpm.colNo),
IF(ISNUMBER(_xlpm.val),_xlpm.val*$H209,""))</f>
        <v/>
      </c>
      <c r="R209" s="6" t="str">
        <f>_xlfn.LET(
_xlpm.rowNo, MATCH($C209&amp;"|"&amp;
($F209+R$4),Raw_Fund!$A:$A,0),
_xlpm.colNo,
MATCH(R$3,Raw_Fund!$E$1:$AZ$1,0),
_xlpm.val,
INDEX(Raw_Fund!$E:$AZ,_xlpm.rowNo,_xlpm.colNo),
IF(ISNUMBER(_xlpm.val),_xlpm.val*$H209,""))</f>
        <v/>
      </c>
      <c r="S209" s="6" t="str">
        <f>_xlfn.LET(
_xlpm.rowNo, MATCH($C209&amp;"|"&amp;
($F209+S$4),Raw_Fund!$A:$A,0),
_xlpm.colNo,
MATCH(S$3,Raw_Fund!$E$1:$AZ$1,0),
_xlpm.val,
INDEX(Raw_Fund!$E:$AZ,_xlpm.rowNo,_xlpm.colNo),
IF(ISNUMBER(_xlpm.val),_xlpm.val*$H209,""))</f>
        <v/>
      </c>
      <c r="T209" s="6" t="str">
        <f>_xlfn.LET(
_xlpm.rowNo, MATCH($C209&amp;"|"&amp;
($F209+T$4),Raw_Fund!$A:$A,0),
_xlpm.colNo,
MATCH(T$3,Raw_Fund!$E$1:$AZ$1,0),
_xlpm.val,
INDEX(Raw_Fund!$E:$AZ,_xlpm.rowNo,_xlpm.colNo),
IF(ISNUMBER(_xlpm.val),_xlpm.val*$H209,""))</f>
        <v/>
      </c>
      <c r="U209" s="6" t="str">
        <f>_xlfn.LET(
_xlpm.rowNo, MATCH($C209&amp;"|"&amp;
($F209+U$4),Raw_Fund!$A:$A,0),
_xlpm.colNo,
MATCH(U$3,Raw_Fund!$E$1:$AZ$1,0),
_xlpm.val,
INDEX(Raw_Fund!$E:$AZ,_xlpm.rowNo,_xlpm.colNo),
IF(ISNUMBER(_xlpm.val),_xlpm.val*$H209,""))</f>
        <v/>
      </c>
      <c r="V209" s="6" t="str">
        <f>_xlfn.LET(
_xlpm.rowNo, MATCH($C209&amp;"|"&amp;
($F209+V$4),Raw_Fund!$A:$A,0),
_xlpm.colNo,
MATCH(V$3,Raw_Fund!$E$1:$AZ$1,0),
_xlpm.val,
INDEX(Raw_Fund!$E:$AZ,_xlpm.rowNo,_xlpm.colNo),
IF(ISNUMBER(_xlpm.val),_xlpm.val*$H209,""))</f>
        <v/>
      </c>
      <c r="W209" s="6" t="str">
        <f>_xlfn.LET(
_xlpm.rowNo, MATCH($C209&amp;"|"&amp;
($F209+W$4),Raw_Fund!$A:$A,0),
_xlpm.colNo,
MATCH(W$3,Raw_Fund!$E$1:$AZ$1,0),
_xlpm.val,
INDEX(Raw_Fund!$E:$AZ,_xlpm.rowNo,_xlpm.colNo),
IF(ISNUMBER(_xlpm.val),_xlpm.val*$H209,""))</f>
        <v/>
      </c>
      <c r="X209" s="6" t="str">
        <f>_xlfn.LET(
_xlpm.rowNo, MATCH($C209&amp;"|"&amp;
($F209+X$4),Raw_Fund!$A:$A,0),
_xlpm.colNo,
MATCH(X$3,Raw_Fund!$E$1:$AZ$1,0),
_xlpm.val,
INDEX(Raw_Fund!$E:$AZ,_xlpm.rowNo,_xlpm.colNo),
IF(ISNUMBER(_xlpm.val),_xlpm.val*$H209,""))</f>
        <v/>
      </c>
      <c r="Y209" s="6" t="str">
        <f>_xlfn.LET(
_xlpm.rowNo, MATCH($C209&amp;"|"&amp;
($F209+Y$4),Raw_Fund!$A:$A,0),
_xlpm.colNo,
MATCH(Y$3,Raw_Fund!$E$1:$AZ$1,0),
_xlpm.val,
INDEX(Raw_Fund!$E:$AZ,_xlpm.rowNo,_xlpm.colNo),
IF(ISNUMBER(_xlpm.val),_xlpm.val*$H209,""))</f>
        <v/>
      </c>
      <c r="Z209" s="6" t="str">
        <f>IF($E209&lt;&gt;"Include","",_xlfn.XLOOKUP($C209,Raw_Mkt!$A:$A,Raw_Mkt!$B:$B))</f>
        <v/>
      </c>
    </row>
    <row r="210" spans="1:26" x14ac:dyDescent="0.4">
      <c r="A210" t="str">
        <f>IF(Universe!A210&lt;&gt;"",Universe!A210,"")</f>
        <v>SEQI</v>
      </c>
      <c r="B210" t="str">
        <f>IF(Universe!B210&lt;&gt;"",Universe!B210,"")</f>
        <v>Sequoia Economic Infrastructure Income Fund</v>
      </c>
      <c r="C210" t="str">
        <f>IF(Universe!C210&lt;&gt;"",Universe!C210,"")</f>
        <v>GG00BV54HY67</v>
      </c>
      <c r="D210" t="str">
        <f>IF(Universe!D210&lt;&gt;"",Universe!D210,"")</f>
        <v>Financials</v>
      </c>
      <c r="E210" t="str">
        <f>Universe!G210</f>
        <v>Exclude</v>
      </c>
      <c r="F210" t="str">
        <f>IF($E210&lt;&gt;"Include","",_xlfn.LET(_xlpm.latest,_xlfn.MAXIFS(Raw_Fund!$C:$C,Raw_Fund!$B:$B,Data!$C210),IF(_xlpm.latest=0,"",_xlpm.latest)))</f>
        <v/>
      </c>
      <c r="G210" t="str">
        <f>IF($F210="","",INDEX(Raw_Fund!$E:$AZ,MATCH($C210&amp;"|"&amp;$F210,Raw_Fund!$A:$A,0),MATCH(G$3,Raw_Fund!$E$1:$AZ$1,0)))</f>
        <v/>
      </c>
      <c r="H210" t="str">
        <f t="shared" si="3"/>
        <v/>
      </c>
      <c r="I210" s="6" t="str">
        <f>_xlfn.LET(
_xlpm.rowNo, MATCH($C210&amp;"|"&amp;
($F210+I$4),Raw_Fund!$A:$A,0),
_xlpm.colNo,
MATCH(I$3,Raw_Fund!$E$1:$AZ$1,0),
_xlpm.val,
INDEX(Raw_Fund!$E:$AZ,_xlpm.rowNo,_xlpm.colNo),
IF(ISNUMBER(_xlpm.val),_xlpm.val*$H210,""))</f>
        <v/>
      </c>
      <c r="J210" s="6" t="str">
        <f>_xlfn.LET(
_xlpm.rowNo, MATCH($C210&amp;"|"&amp;
($F210+J$4),Raw_Fund!$A:$A,0),
_xlpm.colNo,
MATCH(J$3,Raw_Fund!$E$1:$AZ$1,0),
_xlpm.val,
INDEX(Raw_Fund!$E:$AZ,_xlpm.rowNo,_xlpm.colNo),
IF(ISNUMBER(_xlpm.val),_xlpm.val*$H210,""))</f>
        <v/>
      </c>
      <c r="K210" s="6" t="str">
        <f>_xlfn.LET(
_xlpm.rowNo, MATCH($C210&amp;"|"&amp;
($F210+K$4),Raw_Fund!$A:$A,0),
_xlpm.colNo,
MATCH(K$3,Raw_Fund!$E$1:$AZ$1,0),
_xlpm.val,
INDEX(Raw_Fund!$E:$AZ,_xlpm.rowNo,_xlpm.colNo),
IF(ISNUMBER(_xlpm.val),_xlpm.val*$H210,""))</f>
        <v/>
      </c>
      <c r="L210" s="6" t="str">
        <f>_xlfn.LET(
_xlpm.rowNo, MATCH($C210&amp;"|"&amp;
($F210+L$4),Raw_Fund!$A:$A,0),
_xlpm.colNo,
MATCH(L$3,Raw_Fund!$E$1:$AZ$1,0),
_xlpm.val,
INDEX(Raw_Fund!$E:$AZ,_xlpm.rowNo,_xlpm.colNo),
IF(ISNUMBER(_xlpm.val),_xlpm.val*$H210,""))</f>
        <v/>
      </c>
      <c r="M210" s="6" t="str">
        <f>_xlfn.LET(
_xlpm.rowNo, MATCH($C210&amp;"|"&amp;
($F210+M$4),Raw_Fund!$A:$A,0),
_xlpm.colNo,
MATCH(M$3,Raw_Fund!$E$1:$AZ$1,0),
_xlpm.val,
INDEX(Raw_Fund!$E:$AZ,_xlpm.rowNo,_xlpm.colNo),
IF(ISNUMBER(_xlpm.val),_xlpm.val*$H210,""))</f>
        <v/>
      </c>
      <c r="N210" s="6" t="str">
        <f>_xlfn.LET(
_xlpm.rowNo, MATCH($C210&amp;"|"&amp;
($F210+N$4),Raw_Fund!$A:$A,0),
_xlpm.colNo,
MATCH(N$3,Raw_Fund!$E$1:$AZ$1,0),
_xlpm.val,
INDEX(Raw_Fund!$E:$AZ,_xlpm.rowNo,_xlpm.colNo),
IF(ISNUMBER(_xlpm.val),_xlpm.val*$H210,""))</f>
        <v/>
      </c>
      <c r="O210" s="6" t="str">
        <f>_xlfn.LET(
_xlpm.rowNo, MATCH($C210&amp;"|"&amp;
($F210+O$4),Raw_Fund!$A:$A,0),
_xlpm.colNo,
MATCH(O$3,Raw_Fund!$E$1:$AZ$1,0),
_xlpm.val,
INDEX(Raw_Fund!$E:$AZ,_xlpm.rowNo,_xlpm.colNo),
IF(ISNUMBER(_xlpm.val),_xlpm.val*$H210,""))</f>
        <v/>
      </c>
      <c r="P210" s="6" t="str">
        <f>_xlfn.LET(
_xlpm.rowNo, MATCH($C210&amp;"|"&amp;
($F210+P$4),Raw_Fund!$A:$A,0),
_xlpm.colNo,
MATCH(P$3,Raw_Fund!$E$1:$AZ$1,0),
_xlpm.val,
INDEX(Raw_Fund!$E:$AZ,_xlpm.rowNo,_xlpm.colNo),
IF(ISNUMBER(_xlpm.val),_xlpm.val*$H210,""))</f>
        <v/>
      </c>
      <c r="Q210" s="6" t="str">
        <f>_xlfn.LET(
_xlpm.rowNo, MATCH($C210&amp;"|"&amp;
($F210+Q$4),Raw_Fund!$A:$A,0),
_xlpm.colNo,
MATCH(Q$3,Raw_Fund!$E$1:$AZ$1,0),
_xlpm.val,
INDEX(Raw_Fund!$E:$AZ,_xlpm.rowNo,_xlpm.colNo),
IF(ISNUMBER(_xlpm.val),_xlpm.val*$H210,""))</f>
        <v/>
      </c>
      <c r="R210" s="6" t="str">
        <f>_xlfn.LET(
_xlpm.rowNo, MATCH($C210&amp;"|"&amp;
($F210+R$4),Raw_Fund!$A:$A,0),
_xlpm.colNo,
MATCH(R$3,Raw_Fund!$E$1:$AZ$1,0),
_xlpm.val,
INDEX(Raw_Fund!$E:$AZ,_xlpm.rowNo,_xlpm.colNo),
IF(ISNUMBER(_xlpm.val),_xlpm.val*$H210,""))</f>
        <v/>
      </c>
      <c r="S210" s="6" t="str">
        <f>_xlfn.LET(
_xlpm.rowNo, MATCH($C210&amp;"|"&amp;
($F210+S$4),Raw_Fund!$A:$A,0),
_xlpm.colNo,
MATCH(S$3,Raw_Fund!$E$1:$AZ$1,0),
_xlpm.val,
INDEX(Raw_Fund!$E:$AZ,_xlpm.rowNo,_xlpm.colNo),
IF(ISNUMBER(_xlpm.val),_xlpm.val*$H210,""))</f>
        <v/>
      </c>
      <c r="T210" s="6" t="str">
        <f>_xlfn.LET(
_xlpm.rowNo, MATCH($C210&amp;"|"&amp;
($F210+T$4),Raw_Fund!$A:$A,0),
_xlpm.colNo,
MATCH(T$3,Raw_Fund!$E$1:$AZ$1,0),
_xlpm.val,
INDEX(Raw_Fund!$E:$AZ,_xlpm.rowNo,_xlpm.colNo),
IF(ISNUMBER(_xlpm.val),_xlpm.val*$H210,""))</f>
        <v/>
      </c>
      <c r="U210" s="6" t="str">
        <f>_xlfn.LET(
_xlpm.rowNo, MATCH($C210&amp;"|"&amp;
($F210+U$4),Raw_Fund!$A:$A,0),
_xlpm.colNo,
MATCH(U$3,Raw_Fund!$E$1:$AZ$1,0),
_xlpm.val,
INDEX(Raw_Fund!$E:$AZ,_xlpm.rowNo,_xlpm.colNo),
IF(ISNUMBER(_xlpm.val),_xlpm.val*$H210,""))</f>
        <v/>
      </c>
      <c r="V210" s="6" t="str">
        <f>_xlfn.LET(
_xlpm.rowNo, MATCH($C210&amp;"|"&amp;
($F210+V$4),Raw_Fund!$A:$A,0),
_xlpm.colNo,
MATCH(V$3,Raw_Fund!$E$1:$AZ$1,0),
_xlpm.val,
INDEX(Raw_Fund!$E:$AZ,_xlpm.rowNo,_xlpm.colNo),
IF(ISNUMBER(_xlpm.val),_xlpm.val*$H210,""))</f>
        <v/>
      </c>
      <c r="W210" s="6" t="str">
        <f>_xlfn.LET(
_xlpm.rowNo, MATCH($C210&amp;"|"&amp;
($F210+W$4),Raw_Fund!$A:$A,0),
_xlpm.colNo,
MATCH(W$3,Raw_Fund!$E$1:$AZ$1,0),
_xlpm.val,
INDEX(Raw_Fund!$E:$AZ,_xlpm.rowNo,_xlpm.colNo),
IF(ISNUMBER(_xlpm.val),_xlpm.val*$H210,""))</f>
        <v/>
      </c>
      <c r="X210" s="6" t="str">
        <f>_xlfn.LET(
_xlpm.rowNo, MATCH($C210&amp;"|"&amp;
($F210+X$4),Raw_Fund!$A:$A,0),
_xlpm.colNo,
MATCH(X$3,Raw_Fund!$E$1:$AZ$1,0),
_xlpm.val,
INDEX(Raw_Fund!$E:$AZ,_xlpm.rowNo,_xlpm.colNo),
IF(ISNUMBER(_xlpm.val),_xlpm.val*$H210,""))</f>
        <v/>
      </c>
      <c r="Y210" s="6" t="str">
        <f>_xlfn.LET(
_xlpm.rowNo, MATCH($C210&amp;"|"&amp;
($F210+Y$4),Raw_Fund!$A:$A,0),
_xlpm.colNo,
MATCH(Y$3,Raw_Fund!$E$1:$AZ$1,0),
_xlpm.val,
INDEX(Raw_Fund!$E:$AZ,_xlpm.rowNo,_xlpm.colNo),
IF(ISNUMBER(_xlpm.val),_xlpm.val*$H210,""))</f>
        <v/>
      </c>
      <c r="Z210" s="6" t="str">
        <f>IF($E210&lt;&gt;"Include","",_xlfn.XLOOKUP($C210,Raw_Mkt!$A:$A,Raw_Mkt!$B:$B))</f>
        <v/>
      </c>
    </row>
    <row r="211" spans="1:26" x14ac:dyDescent="0.4">
      <c r="A211" t="str">
        <f>IF(Universe!A211&lt;&gt;"",Universe!A211,"")</f>
        <v>SSIT</v>
      </c>
      <c r="B211" t="str">
        <f>IF(Universe!B211&lt;&gt;"",Universe!B211,"")</f>
        <v>Seraphim Space Investment Trust</v>
      </c>
      <c r="C211" t="str">
        <f>IF(Universe!C211&lt;&gt;"",Universe!C211,"")</f>
        <v>GB00BKPG0138</v>
      </c>
      <c r="D211" t="str">
        <f>IF(Universe!D211&lt;&gt;"",Universe!D211,"")</f>
        <v>Financials</v>
      </c>
      <c r="E211" t="str">
        <f>Universe!G211</f>
        <v>Exclude</v>
      </c>
      <c r="F211" t="str">
        <f>IF($E211&lt;&gt;"Include","",_xlfn.LET(_xlpm.latest,_xlfn.MAXIFS(Raw_Fund!$C:$C,Raw_Fund!$B:$B,Data!$C211),IF(_xlpm.latest=0,"",_xlpm.latest)))</f>
        <v/>
      </c>
      <c r="G211" t="str">
        <f>IF($F211="","",INDEX(Raw_Fund!$E:$AZ,MATCH($C211&amp;"|"&amp;$F211,Raw_Fund!$A:$A,0),MATCH(G$3,Raw_Fund!$E$1:$AZ$1,0)))</f>
        <v/>
      </c>
      <c r="H211" t="str">
        <f t="shared" si="3"/>
        <v/>
      </c>
      <c r="I211" s="6" t="str">
        <f>_xlfn.LET(
_xlpm.rowNo, MATCH($C211&amp;"|"&amp;
($F211+I$4),Raw_Fund!$A:$A,0),
_xlpm.colNo,
MATCH(I$3,Raw_Fund!$E$1:$AZ$1,0),
_xlpm.val,
INDEX(Raw_Fund!$E:$AZ,_xlpm.rowNo,_xlpm.colNo),
IF(ISNUMBER(_xlpm.val),_xlpm.val*$H211,""))</f>
        <v/>
      </c>
      <c r="J211" s="6" t="str">
        <f>_xlfn.LET(
_xlpm.rowNo, MATCH($C211&amp;"|"&amp;
($F211+J$4),Raw_Fund!$A:$A,0),
_xlpm.colNo,
MATCH(J$3,Raw_Fund!$E$1:$AZ$1,0),
_xlpm.val,
INDEX(Raw_Fund!$E:$AZ,_xlpm.rowNo,_xlpm.colNo),
IF(ISNUMBER(_xlpm.val),_xlpm.val*$H211,""))</f>
        <v/>
      </c>
      <c r="K211" s="6" t="str">
        <f>_xlfn.LET(
_xlpm.rowNo, MATCH($C211&amp;"|"&amp;
($F211+K$4),Raw_Fund!$A:$A,0),
_xlpm.colNo,
MATCH(K$3,Raw_Fund!$E$1:$AZ$1,0),
_xlpm.val,
INDEX(Raw_Fund!$E:$AZ,_xlpm.rowNo,_xlpm.colNo),
IF(ISNUMBER(_xlpm.val),_xlpm.val*$H211,""))</f>
        <v/>
      </c>
      <c r="L211" s="6" t="str">
        <f>_xlfn.LET(
_xlpm.rowNo, MATCH($C211&amp;"|"&amp;
($F211+L$4),Raw_Fund!$A:$A,0),
_xlpm.colNo,
MATCH(L$3,Raw_Fund!$E$1:$AZ$1,0),
_xlpm.val,
INDEX(Raw_Fund!$E:$AZ,_xlpm.rowNo,_xlpm.colNo),
IF(ISNUMBER(_xlpm.val),_xlpm.val*$H211,""))</f>
        <v/>
      </c>
      <c r="M211" s="6" t="str">
        <f>_xlfn.LET(
_xlpm.rowNo, MATCH($C211&amp;"|"&amp;
($F211+M$4),Raw_Fund!$A:$A,0),
_xlpm.colNo,
MATCH(M$3,Raw_Fund!$E$1:$AZ$1,0),
_xlpm.val,
INDEX(Raw_Fund!$E:$AZ,_xlpm.rowNo,_xlpm.colNo),
IF(ISNUMBER(_xlpm.val),_xlpm.val*$H211,""))</f>
        <v/>
      </c>
      <c r="N211" s="6" t="str">
        <f>_xlfn.LET(
_xlpm.rowNo, MATCH($C211&amp;"|"&amp;
($F211+N$4),Raw_Fund!$A:$A,0),
_xlpm.colNo,
MATCH(N$3,Raw_Fund!$E$1:$AZ$1,0),
_xlpm.val,
INDEX(Raw_Fund!$E:$AZ,_xlpm.rowNo,_xlpm.colNo),
IF(ISNUMBER(_xlpm.val),_xlpm.val*$H211,""))</f>
        <v/>
      </c>
      <c r="O211" s="6" t="str">
        <f>_xlfn.LET(
_xlpm.rowNo, MATCH($C211&amp;"|"&amp;
($F211+O$4),Raw_Fund!$A:$A,0),
_xlpm.colNo,
MATCH(O$3,Raw_Fund!$E$1:$AZ$1,0),
_xlpm.val,
INDEX(Raw_Fund!$E:$AZ,_xlpm.rowNo,_xlpm.colNo),
IF(ISNUMBER(_xlpm.val),_xlpm.val*$H211,""))</f>
        <v/>
      </c>
      <c r="P211" s="6" t="str">
        <f>_xlfn.LET(
_xlpm.rowNo, MATCH($C211&amp;"|"&amp;
($F211+P$4),Raw_Fund!$A:$A,0),
_xlpm.colNo,
MATCH(P$3,Raw_Fund!$E$1:$AZ$1,0),
_xlpm.val,
INDEX(Raw_Fund!$E:$AZ,_xlpm.rowNo,_xlpm.colNo),
IF(ISNUMBER(_xlpm.val),_xlpm.val*$H211,""))</f>
        <v/>
      </c>
      <c r="Q211" s="6" t="str">
        <f>_xlfn.LET(
_xlpm.rowNo, MATCH($C211&amp;"|"&amp;
($F211+Q$4),Raw_Fund!$A:$A,0),
_xlpm.colNo,
MATCH(Q$3,Raw_Fund!$E$1:$AZ$1,0),
_xlpm.val,
INDEX(Raw_Fund!$E:$AZ,_xlpm.rowNo,_xlpm.colNo),
IF(ISNUMBER(_xlpm.val),_xlpm.val*$H211,""))</f>
        <v/>
      </c>
      <c r="R211" s="6" t="str">
        <f>_xlfn.LET(
_xlpm.rowNo, MATCH($C211&amp;"|"&amp;
($F211+R$4),Raw_Fund!$A:$A,0),
_xlpm.colNo,
MATCH(R$3,Raw_Fund!$E$1:$AZ$1,0),
_xlpm.val,
INDEX(Raw_Fund!$E:$AZ,_xlpm.rowNo,_xlpm.colNo),
IF(ISNUMBER(_xlpm.val),_xlpm.val*$H211,""))</f>
        <v/>
      </c>
      <c r="S211" s="6" t="str">
        <f>_xlfn.LET(
_xlpm.rowNo, MATCH($C211&amp;"|"&amp;
($F211+S$4),Raw_Fund!$A:$A,0),
_xlpm.colNo,
MATCH(S$3,Raw_Fund!$E$1:$AZ$1,0),
_xlpm.val,
INDEX(Raw_Fund!$E:$AZ,_xlpm.rowNo,_xlpm.colNo),
IF(ISNUMBER(_xlpm.val),_xlpm.val*$H211,""))</f>
        <v/>
      </c>
      <c r="T211" s="6" t="str">
        <f>_xlfn.LET(
_xlpm.rowNo, MATCH($C211&amp;"|"&amp;
($F211+T$4),Raw_Fund!$A:$A,0),
_xlpm.colNo,
MATCH(T$3,Raw_Fund!$E$1:$AZ$1,0),
_xlpm.val,
INDEX(Raw_Fund!$E:$AZ,_xlpm.rowNo,_xlpm.colNo),
IF(ISNUMBER(_xlpm.val),_xlpm.val*$H211,""))</f>
        <v/>
      </c>
      <c r="U211" s="6" t="str">
        <f>_xlfn.LET(
_xlpm.rowNo, MATCH($C211&amp;"|"&amp;
($F211+U$4),Raw_Fund!$A:$A,0),
_xlpm.colNo,
MATCH(U$3,Raw_Fund!$E$1:$AZ$1,0),
_xlpm.val,
INDEX(Raw_Fund!$E:$AZ,_xlpm.rowNo,_xlpm.colNo),
IF(ISNUMBER(_xlpm.val),_xlpm.val*$H211,""))</f>
        <v/>
      </c>
      <c r="V211" s="6" t="str">
        <f>_xlfn.LET(
_xlpm.rowNo, MATCH($C211&amp;"|"&amp;
($F211+V$4),Raw_Fund!$A:$A,0),
_xlpm.colNo,
MATCH(V$3,Raw_Fund!$E$1:$AZ$1,0),
_xlpm.val,
INDEX(Raw_Fund!$E:$AZ,_xlpm.rowNo,_xlpm.colNo),
IF(ISNUMBER(_xlpm.val),_xlpm.val*$H211,""))</f>
        <v/>
      </c>
      <c r="W211" s="6" t="str">
        <f>_xlfn.LET(
_xlpm.rowNo, MATCH($C211&amp;"|"&amp;
($F211+W$4),Raw_Fund!$A:$A,0),
_xlpm.colNo,
MATCH(W$3,Raw_Fund!$E$1:$AZ$1,0),
_xlpm.val,
INDEX(Raw_Fund!$E:$AZ,_xlpm.rowNo,_xlpm.colNo),
IF(ISNUMBER(_xlpm.val),_xlpm.val*$H211,""))</f>
        <v/>
      </c>
      <c r="X211" s="6" t="str">
        <f>_xlfn.LET(
_xlpm.rowNo, MATCH($C211&amp;"|"&amp;
($F211+X$4),Raw_Fund!$A:$A,0),
_xlpm.colNo,
MATCH(X$3,Raw_Fund!$E$1:$AZ$1,0),
_xlpm.val,
INDEX(Raw_Fund!$E:$AZ,_xlpm.rowNo,_xlpm.colNo),
IF(ISNUMBER(_xlpm.val),_xlpm.val*$H211,""))</f>
        <v/>
      </c>
      <c r="Y211" s="6" t="str">
        <f>_xlfn.LET(
_xlpm.rowNo, MATCH($C211&amp;"|"&amp;
($F211+Y$4),Raw_Fund!$A:$A,0),
_xlpm.colNo,
MATCH(Y$3,Raw_Fund!$E$1:$AZ$1,0),
_xlpm.val,
INDEX(Raw_Fund!$E:$AZ,_xlpm.rowNo,_xlpm.colNo),
IF(ISNUMBER(_xlpm.val),_xlpm.val*$H211,""))</f>
        <v/>
      </c>
      <c r="Z211" s="6" t="str">
        <f>IF($E211&lt;&gt;"Include","",_xlfn.XLOOKUP($C211,Raw_Mkt!$A:$A,Raw_Mkt!$B:$B))</f>
        <v/>
      </c>
    </row>
    <row r="212" spans="1:26" x14ac:dyDescent="0.4">
      <c r="A212" t="str">
        <f>IF(Universe!A212&lt;&gt;"",Universe!A212,"")</f>
        <v>SRP</v>
      </c>
      <c r="B212" t="str">
        <f>IF(Universe!B212&lt;&gt;"",Universe!B212,"")</f>
        <v>Serco</v>
      </c>
      <c r="C212" t="str">
        <f>IF(Universe!C212&lt;&gt;"",Universe!C212,"")</f>
        <v>GB0007973794</v>
      </c>
      <c r="D212" t="str">
        <f>IF(Universe!D212&lt;&gt;"",Universe!D212,"")</f>
        <v>Industrials</v>
      </c>
      <c r="E212" t="str">
        <f>Universe!G212</f>
        <v>Include</v>
      </c>
      <c r="F212" t="str">
        <f>IF($E212&lt;&gt;"Include","",_xlfn.LET(_xlpm.latest,_xlfn.MAXIFS(Raw_Fund!$C:$C,Raw_Fund!$B:$B,Data!$C212),IF(_xlpm.latest=0,"",_xlpm.latest)))</f>
        <v/>
      </c>
      <c r="G212" t="str">
        <f>IF($F212="","",INDEX(Raw_Fund!$E:$AZ,MATCH($C212&amp;"|"&amp;$F212,Raw_Fund!$A:$A,0),MATCH(G$3,Raw_Fund!$E$1:$AZ$1,0)))</f>
        <v/>
      </c>
      <c r="H212" t="str">
        <f t="shared" si="3"/>
        <v/>
      </c>
      <c r="I212" s="6" t="str">
        <f>_xlfn.LET(
_xlpm.rowNo, MATCH($C212&amp;"|"&amp;
($F212+I$4),Raw_Fund!$A:$A,0),
_xlpm.colNo,
MATCH(I$3,Raw_Fund!$E$1:$AZ$1,0),
_xlpm.val,
INDEX(Raw_Fund!$E:$AZ,_xlpm.rowNo,_xlpm.colNo),
IF(ISNUMBER(_xlpm.val),_xlpm.val*$H212,""))</f>
        <v/>
      </c>
      <c r="J212" s="6" t="str">
        <f>_xlfn.LET(
_xlpm.rowNo, MATCH($C212&amp;"|"&amp;
($F212+J$4),Raw_Fund!$A:$A,0),
_xlpm.colNo,
MATCH(J$3,Raw_Fund!$E$1:$AZ$1,0),
_xlpm.val,
INDEX(Raw_Fund!$E:$AZ,_xlpm.rowNo,_xlpm.colNo),
IF(ISNUMBER(_xlpm.val),_xlpm.val*$H212,""))</f>
        <v/>
      </c>
      <c r="K212" s="6" t="str">
        <f>_xlfn.LET(
_xlpm.rowNo, MATCH($C212&amp;"|"&amp;
($F212+K$4),Raw_Fund!$A:$A,0),
_xlpm.colNo,
MATCH(K$3,Raw_Fund!$E$1:$AZ$1,0),
_xlpm.val,
INDEX(Raw_Fund!$E:$AZ,_xlpm.rowNo,_xlpm.colNo),
IF(ISNUMBER(_xlpm.val),_xlpm.val*$H212,""))</f>
        <v/>
      </c>
      <c r="L212" s="6" t="str">
        <f>_xlfn.LET(
_xlpm.rowNo, MATCH($C212&amp;"|"&amp;
($F212+L$4),Raw_Fund!$A:$A,0),
_xlpm.colNo,
MATCH(L$3,Raw_Fund!$E$1:$AZ$1,0),
_xlpm.val,
INDEX(Raw_Fund!$E:$AZ,_xlpm.rowNo,_xlpm.colNo),
IF(ISNUMBER(_xlpm.val),_xlpm.val*$H212,""))</f>
        <v/>
      </c>
      <c r="M212" s="6" t="str">
        <f>_xlfn.LET(
_xlpm.rowNo, MATCH($C212&amp;"|"&amp;
($F212+M$4),Raw_Fund!$A:$A,0),
_xlpm.colNo,
MATCH(M$3,Raw_Fund!$E$1:$AZ$1,0),
_xlpm.val,
INDEX(Raw_Fund!$E:$AZ,_xlpm.rowNo,_xlpm.colNo),
IF(ISNUMBER(_xlpm.val),_xlpm.val*$H212,""))</f>
        <v/>
      </c>
      <c r="N212" s="6" t="str">
        <f>_xlfn.LET(
_xlpm.rowNo, MATCH($C212&amp;"|"&amp;
($F212+N$4),Raw_Fund!$A:$A,0),
_xlpm.colNo,
MATCH(N$3,Raw_Fund!$E$1:$AZ$1,0),
_xlpm.val,
INDEX(Raw_Fund!$E:$AZ,_xlpm.rowNo,_xlpm.colNo),
IF(ISNUMBER(_xlpm.val),_xlpm.val*$H212,""))</f>
        <v/>
      </c>
      <c r="O212" s="6" t="str">
        <f>_xlfn.LET(
_xlpm.rowNo, MATCH($C212&amp;"|"&amp;
($F212+O$4),Raw_Fund!$A:$A,0),
_xlpm.colNo,
MATCH(O$3,Raw_Fund!$E$1:$AZ$1,0),
_xlpm.val,
INDEX(Raw_Fund!$E:$AZ,_xlpm.rowNo,_xlpm.colNo),
IF(ISNUMBER(_xlpm.val),_xlpm.val*$H212,""))</f>
        <v/>
      </c>
      <c r="P212" s="6" t="str">
        <f>_xlfn.LET(
_xlpm.rowNo, MATCH($C212&amp;"|"&amp;
($F212+P$4),Raw_Fund!$A:$A,0),
_xlpm.colNo,
MATCH(P$3,Raw_Fund!$E$1:$AZ$1,0),
_xlpm.val,
INDEX(Raw_Fund!$E:$AZ,_xlpm.rowNo,_xlpm.colNo),
IF(ISNUMBER(_xlpm.val),_xlpm.val*$H212,""))</f>
        <v/>
      </c>
      <c r="Q212" s="6" t="str">
        <f>_xlfn.LET(
_xlpm.rowNo, MATCH($C212&amp;"|"&amp;
($F212+Q$4),Raw_Fund!$A:$A,0),
_xlpm.colNo,
MATCH(Q$3,Raw_Fund!$E$1:$AZ$1,0),
_xlpm.val,
INDEX(Raw_Fund!$E:$AZ,_xlpm.rowNo,_xlpm.colNo),
IF(ISNUMBER(_xlpm.val),_xlpm.val*$H212,""))</f>
        <v/>
      </c>
      <c r="R212" s="6" t="str">
        <f>_xlfn.LET(
_xlpm.rowNo, MATCH($C212&amp;"|"&amp;
($F212+R$4),Raw_Fund!$A:$A,0),
_xlpm.colNo,
MATCH(R$3,Raw_Fund!$E$1:$AZ$1,0),
_xlpm.val,
INDEX(Raw_Fund!$E:$AZ,_xlpm.rowNo,_xlpm.colNo),
IF(ISNUMBER(_xlpm.val),_xlpm.val*$H212,""))</f>
        <v/>
      </c>
      <c r="S212" s="6" t="str">
        <f>_xlfn.LET(
_xlpm.rowNo, MATCH($C212&amp;"|"&amp;
($F212+S$4),Raw_Fund!$A:$A,0),
_xlpm.colNo,
MATCH(S$3,Raw_Fund!$E$1:$AZ$1,0),
_xlpm.val,
INDEX(Raw_Fund!$E:$AZ,_xlpm.rowNo,_xlpm.colNo),
IF(ISNUMBER(_xlpm.val),_xlpm.val*$H212,""))</f>
        <v/>
      </c>
      <c r="T212" s="6" t="str">
        <f>_xlfn.LET(
_xlpm.rowNo, MATCH($C212&amp;"|"&amp;
($F212+T$4),Raw_Fund!$A:$A,0),
_xlpm.colNo,
MATCH(T$3,Raw_Fund!$E$1:$AZ$1,0),
_xlpm.val,
INDEX(Raw_Fund!$E:$AZ,_xlpm.rowNo,_xlpm.colNo),
IF(ISNUMBER(_xlpm.val),_xlpm.val*$H212,""))</f>
        <v/>
      </c>
      <c r="U212" s="6" t="str">
        <f>_xlfn.LET(
_xlpm.rowNo, MATCH($C212&amp;"|"&amp;
($F212+U$4),Raw_Fund!$A:$A,0),
_xlpm.colNo,
MATCH(U$3,Raw_Fund!$E$1:$AZ$1,0),
_xlpm.val,
INDEX(Raw_Fund!$E:$AZ,_xlpm.rowNo,_xlpm.colNo),
IF(ISNUMBER(_xlpm.val),_xlpm.val*$H212,""))</f>
        <v/>
      </c>
      <c r="V212" s="6" t="str">
        <f>_xlfn.LET(
_xlpm.rowNo, MATCH($C212&amp;"|"&amp;
($F212+V$4),Raw_Fund!$A:$A,0),
_xlpm.colNo,
MATCH(V$3,Raw_Fund!$E$1:$AZ$1,0),
_xlpm.val,
INDEX(Raw_Fund!$E:$AZ,_xlpm.rowNo,_xlpm.colNo),
IF(ISNUMBER(_xlpm.val),_xlpm.val*$H212,""))</f>
        <v/>
      </c>
      <c r="W212" s="6" t="str">
        <f>_xlfn.LET(
_xlpm.rowNo, MATCH($C212&amp;"|"&amp;
($F212+W$4),Raw_Fund!$A:$A,0),
_xlpm.colNo,
MATCH(W$3,Raw_Fund!$E$1:$AZ$1,0),
_xlpm.val,
INDEX(Raw_Fund!$E:$AZ,_xlpm.rowNo,_xlpm.colNo),
IF(ISNUMBER(_xlpm.val),_xlpm.val*$H212,""))</f>
        <v/>
      </c>
      <c r="X212" s="6" t="str">
        <f>_xlfn.LET(
_xlpm.rowNo, MATCH($C212&amp;"|"&amp;
($F212+X$4),Raw_Fund!$A:$A,0),
_xlpm.colNo,
MATCH(X$3,Raw_Fund!$E$1:$AZ$1,0),
_xlpm.val,
INDEX(Raw_Fund!$E:$AZ,_xlpm.rowNo,_xlpm.colNo),
IF(ISNUMBER(_xlpm.val),_xlpm.val*$H212,""))</f>
        <v/>
      </c>
      <c r="Y212" s="6" t="str">
        <f>_xlfn.LET(
_xlpm.rowNo, MATCH($C212&amp;"|"&amp;
($F212+Y$4),Raw_Fund!$A:$A,0),
_xlpm.colNo,
MATCH(Y$3,Raw_Fund!$E$1:$AZ$1,0),
_xlpm.val,
INDEX(Raw_Fund!$E:$AZ,_xlpm.rowNo,_xlpm.colNo),
IF(ISNUMBER(_xlpm.val),_xlpm.val*$H212,""))</f>
        <v/>
      </c>
      <c r="Z212" s="6" t="e">
        <f>IF($E212&lt;&gt;"Include","",_xlfn.XLOOKUP($C212,Raw_Mkt!$A:$A,Raw_Mkt!$B:$B))</f>
        <v>#N/A</v>
      </c>
    </row>
    <row r="213" spans="1:26" x14ac:dyDescent="0.4">
      <c r="A213" t="str">
        <f>IF(Universe!A213&lt;&gt;"",Universe!A213,"")</f>
        <v>SHC</v>
      </c>
      <c r="B213" t="str">
        <f>IF(Universe!B213&lt;&gt;"",Universe!B213,"")</f>
        <v>Shaftesbury Capital</v>
      </c>
      <c r="C213" t="str">
        <f>IF(Universe!C213&lt;&gt;"",Universe!C213,"")</f>
        <v>GB00B62G9D36</v>
      </c>
      <c r="D213" t="str">
        <f>IF(Universe!D213&lt;&gt;"",Universe!D213,"")</f>
        <v>Real Estate</v>
      </c>
      <c r="E213" t="str">
        <f>Universe!G213</f>
        <v>Exclude</v>
      </c>
      <c r="F213" t="str">
        <f>IF($E213&lt;&gt;"Include","",_xlfn.LET(_xlpm.latest,_xlfn.MAXIFS(Raw_Fund!$C:$C,Raw_Fund!$B:$B,Data!$C213),IF(_xlpm.latest=0,"",_xlpm.latest)))</f>
        <v/>
      </c>
      <c r="G213" t="str">
        <f>IF($F213="","",INDEX(Raw_Fund!$E:$AZ,MATCH($C213&amp;"|"&amp;$F213,Raw_Fund!$A:$A,0),MATCH(G$3,Raw_Fund!$E$1:$AZ$1,0)))</f>
        <v/>
      </c>
      <c r="H213" t="str">
        <f t="shared" si="3"/>
        <v/>
      </c>
      <c r="I213" s="6" t="str">
        <f>_xlfn.LET(
_xlpm.rowNo, MATCH($C213&amp;"|"&amp;
($F213+I$4),Raw_Fund!$A:$A,0),
_xlpm.colNo,
MATCH(I$3,Raw_Fund!$E$1:$AZ$1,0),
_xlpm.val,
INDEX(Raw_Fund!$E:$AZ,_xlpm.rowNo,_xlpm.colNo),
IF(ISNUMBER(_xlpm.val),_xlpm.val*$H213,""))</f>
        <v/>
      </c>
      <c r="J213" s="6" t="str">
        <f>_xlfn.LET(
_xlpm.rowNo, MATCH($C213&amp;"|"&amp;
($F213+J$4),Raw_Fund!$A:$A,0),
_xlpm.colNo,
MATCH(J$3,Raw_Fund!$E$1:$AZ$1,0),
_xlpm.val,
INDEX(Raw_Fund!$E:$AZ,_xlpm.rowNo,_xlpm.colNo),
IF(ISNUMBER(_xlpm.val),_xlpm.val*$H213,""))</f>
        <v/>
      </c>
      <c r="K213" s="6" t="str">
        <f>_xlfn.LET(
_xlpm.rowNo, MATCH($C213&amp;"|"&amp;
($F213+K$4),Raw_Fund!$A:$A,0),
_xlpm.colNo,
MATCH(K$3,Raw_Fund!$E$1:$AZ$1,0),
_xlpm.val,
INDEX(Raw_Fund!$E:$AZ,_xlpm.rowNo,_xlpm.colNo),
IF(ISNUMBER(_xlpm.val),_xlpm.val*$H213,""))</f>
        <v/>
      </c>
      <c r="L213" s="6" t="str">
        <f>_xlfn.LET(
_xlpm.rowNo, MATCH($C213&amp;"|"&amp;
($F213+L$4),Raw_Fund!$A:$A,0),
_xlpm.colNo,
MATCH(L$3,Raw_Fund!$E$1:$AZ$1,0),
_xlpm.val,
INDEX(Raw_Fund!$E:$AZ,_xlpm.rowNo,_xlpm.colNo),
IF(ISNUMBER(_xlpm.val),_xlpm.val*$H213,""))</f>
        <v/>
      </c>
      <c r="M213" s="6" t="str">
        <f>_xlfn.LET(
_xlpm.rowNo, MATCH($C213&amp;"|"&amp;
($F213+M$4),Raw_Fund!$A:$A,0),
_xlpm.colNo,
MATCH(M$3,Raw_Fund!$E$1:$AZ$1,0),
_xlpm.val,
INDEX(Raw_Fund!$E:$AZ,_xlpm.rowNo,_xlpm.colNo),
IF(ISNUMBER(_xlpm.val),_xlpm.val*$H213,""))</f>
        <v/>
      </c>
      <c r="N213" s="6" t="str">
        <f>_xlfn.LET(
_xlpm.rowNo, MATCH($C213&amp;"|"&amp;
($F213+N$4),Raw_Fund!$A:$A,0),
_xlpm.colNo,
MATCH(N$3,Raw_Fund!$E$1:$AZ$1,0),
_xlpm.val,
INDEX(Raw_Fund!$E:$AZ,_xlpm.rowNo,_xlpm.colNo),
IF(ISNUMBER(_xlpm.val),_xlpm.val*$H213,""))</f>
        <v/>
      </c>
      <c r="O213" s="6" t="str">
        <f>_xlfn.LET(
_xlpm.rowNo, MATCH($C213&amp;"|"&amp;
($F213+O$4),Raw_Fund!$A:$A,0),
_xlpm.colNo,
MATCH(O$3,Raw_Fund!$E$1:$AZ$1,0),
_xlpm.val,
INDEX(Raw_Fund!$E:$AZ,_xlpm.rowNo,_xlpm.colNo),
IF(ISNUMBER(_xlpm.val),_xlpm.val*$H213,""))</f>
        <v/>
      </c>
      <c r="P213" s="6" t="str">
        <f>_xlfn.LET(
_xlpm.rowNo, MATCH($C213&amp;"|"&amp;
($F213+P$4),Raw_Fund!$A:$A,0),
_xlpm.colNo,
MATCH(P$3,Raw_Fund!$E$1:$AZ$1,0),
_xlpm.val,
INDEX(Raw_Fund!$E:$AZ,_xlpm.rowNo,_xlpm.colNo),
IF(ISNUMBER(_xlpm.val),_xlpm.val*$H213,""))</f>
        <v/>
      </c>
      <c r="Q213" s="6" t="str">
        <f>_xlfn.LET(
_xlpm.rowNo, MATCH($C213&amp;"|"&amp;
($F213+Q$4),Raw_Fund!$A:$A,0),
_xlpm.colNo,
MATCH(Q$3,Raw_Fund!$E$1:$AZ$1,0),
_xlpm.val,
INDEX(Raw_Fund!$E:$AZ,_xlpm.rowNo,_xlpm.colNo),
IF(ISNUMBER(_xlpm.val),_xlpm.val*$H213,""))</f>
        <v/>
      </c>
      <c r="R213" s="6" t="str">
        <f>_xlfn.LET(
_xlpm.rowNo, MATCH($C213&amp;"|"&amp;
($F213+R$4),Raw_Fund!$A:$A,0),
_xlpm.colNo,
MATCH(R$3,Raw_Fund!$E$1:$AZ$1,0),
_xlpm.val,
INDEX(Raw_Fund!$E:$AZ,_xlpm.rowNo,_xlpm.colNo),
IF(ISNUMBER(_xlpm.val),_xlpm.val*$H213,""))</f>
        <v/>
      </c>
      <c r="S213" s="6" t="str">
        <f>_xlfn.LET(
_xlpm.rowNo, MATCH($C213&amp;"|"&amp;
($F213+S$4),Raw_Fund!$A:$A,0),
_xlpm.colNo,
MATCH(S$3,Raw_Fund!$E$1:$AZ$1,0),
_xlpm.val,
INDEX(Raw_Fund!$E:$AZ,_xlpm.rowNo,_xlpm.colNo),
IF(ISNUMBER(_xlpm.val),_xlpm.val*$H213,""))</f>
        <v/>
      </c>
      <c r="T213" s="6" t="str">
        <f>_xlfn.LET(
_xlpm.rowNo, MATCH($C213&amp;"|"&amp;
($F213+T$4),Raw_Fund!$A:$A,0),
_xlpm.colNo,
MATCH(T$3,Raw_Fund!$E$1:$AZ$1,0),
_xlpm.val,
INDEX(Raw_Fund!$E:$AZ,_xlpm.rowNo,_xlpm.colNo),
IF(ISNUMBER(_xlpm.val),_xlpm.val*$H213,""))</f>
        <v/>
      </c>
      <c r="U213" s="6" t="str">
        <f>_xlfn.LET(
_xlpm.rowNo, MATCH($C213&amp;"|"&amp;
($F213+U$4),Raw_Fund!$A:$A,0),
_xlpm.colNo,
MATCH(U$3,Raw_Fund!$E$1:$AZ$1,0),
_xlpm.val,
INDEX(Raw_Fund!$E:$AZ,_xlpm.rowNo,_xlpm.colNo),
IF(ISNUMBER(_xlpm.val),_xlpm.val*$H213,""))</f>
        <v/>
      </c>
      <c r="V213" s="6" t="str">
        <f>_xlfn.LET(
_xlpm.rowNo, MATCH($C213&amp;"|"&amp;
($F213+V$4),Raw_Fund!$A:$A,0),
_xlpm.colNo,
MATCH(V$3,Raw_Fund!$E$1:$AZ$1,0),
_xlpm.val,
INDEX(Raw_Fund!$E:$AZ,_xlpm.rowNo,_xlpm.colNo),
IF(ISNUMBER(_xlpm.val),_xlpm.val*$H213,""))</f>
        <v/>
      </c>
      <c r="W213" s="6" t="str">
        <f>_xlfn.LET(
_xlpm.rowNo, MATCH($C213&amp;"|"&amp;
($F213+W$4),Raw_Fund!$A:$A,0),
_xlpm.colNo,
MATCH(W$3,Raw_Fund!$E$1:$AZ$1,0),
_xlpm.val,
INDEX(Raw_Fund!$E:$AZ,_xlpm.rowNo,_xlpm.colNo),
IF(ISNUMBER(_xlpm.val),_xlpm.val*$H213,""))</f>
        <v/>
      </c>
      <c r="X213" s="6" t="str">
        <f>_xlfn.LET(
_xlpm.rowNo, MATCH($C213&amp;"|"&amp;
($F213+X$4),Raw_Fund!$A:$A,0),
_xlpm.colNo,
MATCH(X$3,Raw_Fund!$E$1:$AZ$1,0),
_xlpm.val,
INDEX(Raw_Fund!$E:$AZ,_xlpm.rowNo,_xlpm.colNo),
IF(ISNUMBER(_xlpm.val),_xlpm.val*$H213,""))</f>
        <v/>
      </c>
      <c r="Y213" s="6" t="str">
        <f>_xlfn.LET(
_xlpm.rowNo, MATCH($C213&amp;"|"&amp;
($F213+Y$4),Raw_Fund!$A:$A,0),
_xlpm.colNo,
MATCH(Y$3,Raw_Fund!$E$1:$AZ$1,0),
_xlpm.val,
INDEX(Raw_Fund!$E:$AZ,_xlpm.rowNo,_xlpm.colNo),
IF(ISNUMBER(_xlpm.val),_xlpm.val*$H213,""))</f>
        <v/>
      </c>
      <c r="Z213" s="6" t="str">
        <f>IF($E213&lt;&gt;"Include","",_xlfn.XLOOKUP($C213,Raw_Mkt!$A:$A,Raw_Mkt!$B:$B))</f>
        <v/>
      </c>
    </row>
    <row r="214" spans="1:26" x14ac:dyDescent="0.4">
      <c r="A214" t="str">
        <f>IF(Universe!A214&lt;&gt;"",Universe!A214,"")</f>
        <v>SHAW</v>
      </c>
      <c r="B214" t="str">
        <f>IF(Universe!B214&lt;&gt;"",Universe!B214,"")</f>
        <v>Shawbrook Bank</v>
      </c>
      <c r="C214" t="str">
        <f>IF(Universe!C214&lt;&gt;"",Universe!C214,"")</f>
        <v>GB00BV9DPV21</v>
      </c>
      <c r="D214" t="str">
        <f>IF(Universe!D214&lt;&gt;"",Universe!D214,"")</f>
        <v>Financials</v>
      </c>
      <c r="E214" t="str">
        <f>Universe!G214</f>
        <v>Exclude</v>
      </c>
      <c r="F214" t="str">
        <f>IF($E214&lt;&gt;"Include","",_xlfn.LET(_xlpm.latest,_xlfn.MAXIFS(Raw_Fund!$C:$C,Raw_Fund!$B:$B,Data!$C214),IF(_xlpm.latest=0,"",_xlpm.latest)))</f>
        <v/>
      </c>
      <c r="G214" t="str">
        <f>IF($F214="","",INDEX(Raw_Fund!$E:$AZ,MATCH($C214&amp;"|"&amp;$F214,Raw_Fund!$A:$A,0),MATCH(G$3,Raw_Fund!$E$1:$AZ$1,0)))</f>
        <v/>
      </c>
      <c r="H214" t="str">
        <f t="shared" si="3"/>
        <v/>
      </c>
      <c r="I214" s="6" t="str">
        <f>_xlfn.LET(
_xlpm.rowNo, MATCH($C214&amp;"|"&amp;
($F214+I$4),Raw_Fund!$A:$A,0),
_xlpm.colNo,
MATCH(I$3,Raw_Fund!$E$1:$AZ$1,0),
_xlpm.val,
INDEX(Raw_Fund!$E:$AZ,_xlpm.rowNo,_xlpm.colNo),
IF(ISNUMBER(_xlpm.val),_xlpm.val*$H214,""))</f>
        <v/>
      </c>
      <c r="J214" s="6" t="str">
        <f>_xlfn.LET(
_xlpm.rowNo, MATCH($C214&amp;"|"&amp;
($F214+J$4),Raw_Fund!$A:$A,0),
_xlpm.colNo,
MATCH(J$3,Raw_Fund!$E$1:$AZ$1,0),
_xlpm.val,
INDEX(Raw_Fund!$E:$AZ,_xlpm.rowNo,_xlpm.colNo),
IF(ISNUMBER(_xlpm.val),_xlpm.val*$H214,""))</f>
        <v/>
      </c>
      <c r="K214" s="6" t="str">
        <f>_xlfn.LET(
_xlpm.rowNo, MATCH($C214&amp;"|"&amp;
($F214+K$4),Raw_Fund!$A:$A,0),
_xlpm.colNo,
MATCH(K$3,Raw_Fund!$E$1:$AZ$1,0),
_xlpm.val,
INDEX(Raw_Fund!$E:$AZ,_xlpm.rowNo,_xlpm.colNo),
IF(ISNUMBER(_xlpm.val),_xlpm.val*$H214,""))</f>
        <v/>
      </c>
      <c r="L214" s="6" t="str">
        <f>_xlfn.LET(
_xlpm.rowNo, MATCH($C214&amp;"|"&amp;
($F214+L$4),Raw_Fund!$A:$A,0),
_xlpm.colNo,
MATCH(L$3,Raw_Fund!$E$1:$AZ$1,0),
_xlpm.val,
INDEX(Raw_Fund!$E:$AZ,_xlpm.rowNo,_xlpm.colNo),
IF(ISNUMBER(_xlpm.val),_xlpm.val*$H214,""))</f>
        <v/>
      </c>
      <c r="M214" s="6" t="str">
        <f>_xlfn.LET(
_xlpm.rowNo, MATCH($C214&amp;"|"&amp;
($F214+M$4),Raw_Fund!$A:$A,0),
_xlpm.colNo,
MATCH(M$3,Raw_Fund!$E$1:$AZ$1,0),
_xlpm.val,
INDEX(Raw_Fund!$E:$AZ,_xlpm.rowNo,_xlpm.colNo),
IF(ISNUMBER(_xlpm.val),_xlpm.val*$H214,""))</f>
        <v/>
      </c>
      <c r="N214" s="6" t="str">
        <f>_xlfn.LET(
_xlpm.rowNo, MATCH($C214&amp;"|"&amp;
($F214+N$4),Raw_Fund!$A:$A,0),
_xlpm.colNo,
MATCH(N$3,Raw_Fund!$E$1:$AZ$1,0),
_xlpm.val,
INDEX(Raw_Fund!$E:$AZ,_xlpm.rowNo,_xlpm.colNo),
IF(ISNUMBER(_xlpm.val),_xlpm.val*$H214,""))</f>
        <v/>
      </c>
      <c r="O214" s="6" t="str">
        <f>_xlfn.LET(
_xlpm.rowNo, MATCH($C214&amp;"|"&amp;
($F214+O$4),Raw_Fund!$A:$A,0),
_xlpm.colNo,
MATCH(O$3,Raw_Fund!$E$1:$AZ$1,0),
_xlpm.val,
INDEX(Raw_Fund!$E:$AZ,_xlpm.rowNo,_xlpm.colNo),
IF(ISNUMBER(_xlpm.val),_xlpm.val*$H214,""))</f>
        <v/>
      </c>
      <c r="P214" s="6" t="str">
        <f>_xlfn.LET(
_xlpm.rowNo, MATCH($C214&amp;"|"&amp;
($F214+P$4),Raw_Fund!$A:$A,0),
_xlpm.colNo,
MATCH(P$3,Raw_Fund!$E$1:$AZ$1,0),
_xlpm.val,
INDEX(Raw_Fund!$E:$AZ,_xlpm.rowNo,_xlpm.colNo),
IF(ISNUMBER(_xlpm.val),_xlpm.val*$H214,""))</f>
        <v/>
      </c>
      <c r="Q214" s="6" t="str">
        <f>_xlfn.LET(
_xlpm.rowNo, MATCH($C214&amp;"|"&amp;
($F214+Q$4),Raw_Fund!$A:$A,0),
_xlpm.colNo,
MATCH(Q$3,Raw_Fund!$E$1:$AZ$1,0),
_xlpm.val,
INDEX(Raw_Fund!$E:$AZ,_xlpm.rowNo,_xlpm.colNo),
IF(ISNUMBER(_xlpm.val),_xlpm.val*$H214,""))</f>
        <v/>
      </c>
      <c r="R214" s="6" t="str">
        <f>_xlfn.LET(
_xlpm.rowNo, MATCH($C214&amp;"|"&amp;
($F214+R$4),Raw_Fund!$A:$A,0),
_xlpm.colNo,
MATCH(R$3,Raw_Fund!$E$1:$AZ$1,0),
_xlpm.val,
INDEX(Raw_Fund!$E:$AZ,_xlpm.rowNo,_xlpm.colNo),
IF(ISNUMBER(_xlpm.val),_xlpm.val*$H214,""))</f>
        <v/>
      </c>
      <c r="S214" s="6" t="str">
        <f>_xlfn.LET(
_xlpm.rowNo, MATCH($C214&amp;"|"&amp;
($F214+S$4),Raw_Fund!$A:$A,0),
_xlpm.colNo,
MATCH(S$3,Raw_Fund!$E$1:$AZ$1,0),
_xlpm.val,
INDEX(Raw_Fund!$E:$AZ,_xlpm.rowNo,_xlpm.colNo),
IF(ISNUMBER(_xlpm.val),_xlpm.val*$H214,""))</f>
        <v/>
      </c>
      <c r="T214" s="6" t="str">
        <f>_xlfn.LET(
_xlpm.rowNo, MATCH($C214&amp;"|"&amp;
($F214+T$4),Raw_Fund!$A:$A,0),
_xlpm.colNo,
MATCH(T$3,Raw_Fund!$E$1:$AZ$1,0),
_xlpm.val,
INDEX(Raw_Fund!$E:$AZ,_xlpm.rowNo,_xlpm.colNo),
IF(ISNUMBER(_xlpm.val),_xlpm.val*$H214,""))</f>
        <v/>
      </c>
      <c r="U214" s="6" t="str">
        <f>_xlfn.LET(
_xlpm.rowNo, MATCH($C214&amp;"|"&amp;
($F214+U$4),Raw_Fund!$A:$A,0),
_xlpm.colNo,
MATCH(U$3,Raw_Fund!$E$1:$AZ$1,0),
_xlpm.val,
INDEX(Raw_Fund!$E:$AZ,_xlpm.rowNo,_xlpm.colNo),
IF(ISNUMBER(_xlpm.val),_xlpm.val*$H214,""))</f>
        <v/>
      </c>
      <c r="V214" s="6" t="str">
        <f>_xlfn.LET(
_xlpm.rowNo, MATCH($C214&amp;"|"&amp;
($F214+V$4),Raw_Fund!$A:$A,0),
_xlpm.colNo,
MATCH(V$3,Raw_Fund!$E$1:$AZ$1,0),
_xlpm.val,
INDEX(Raw_Fund!$E:$AZ,_xlpm.rowNo,_xlpm.colNo),
IF(ISNUMBER(_xlpm.val),_xlpm.val*$H214,""))</f>
        <v/>
      </c>
      <c r="W214" s="6" t="str">
        <f>_xlfn.LET(
_xlpm.rowNo, MATCH($C214&amp;"|"&amp;
($F214+W$4),Raw_Fund!$A:$A,0),
_xlpm.colNo,
MATCH(W$3,Raw_Fund!$E$1:$AZ$1,0),
_xlpm.val,
INDEX(Raw_Fund!$E:$AZ,_xlpm.rowNo,_xlpm.colNo),
IF(ISNUMBER(_xlpm.val),_xlpm.val*$H214,""))</f>
        <v/>
      </c>
      <c r="X214" s="6" t="str">
        <f>_xlfn.LET(
_xlpm.rowNo, MATCH($C214&amp;"|"&amp;
($F214+X$4),Raw_Fund!$A:$A,0),
_xlpm.colNo,
MATCH(X$3,Raw_Fund!$E$1:$AZ$1,0),
_xlpm.val,
INDEX(Raw_Fund!$E:$AZ,_xlpm.rowNo,_xlpm.colNo),
IF(ISNUMBER(_xlpm.val),_xlpm.val*$H214,""))</f>
        <v/>
      </c>
      <c r="Y214" s="6" t="str">
        <f>_xlfn.LET(
_xlpm.rowNo, MATCH($C214&amp;"|"&amp;
($F214+Y$4),Raw_Fund!$A:$A,0),
_xlpm.colNo,
MATCH(Y$3,Raw_Fund!$E$1:$AZ$1,0),
_xlpm.val,
INDEX(Raw_Fund!$E:$AZ,_xlpm.rowNo,_xlpm.colNo),
IF(ISNUMBER(_xlpm.val),_xlpm.val*$H214,""))</f>
        <v/>
      </c>
      <c r="Z214" s="6" t="str">
        <f>IF($E214&lt;&gt;"Include","",_xlfn.XLOOKUP($C214,Raw_Mkt!$A:$A,Raw_Mkt!$B:$B))</f>
        <v/>
      </c>
    </row>
    <row r="215" spans="1:26" x14ac:dyDescent="0.4">
      <c r="A215" t="str">
        <f>IF(Universe!A215&lt;&gt;"",Universe!A215,"")</f>
        <v>SRE</v>
      </c>
      <c r="B215" t="str">
        <f>IF(Universe!B215&lt;&gt;"",Universe!B215,"")</f>
        <v>Sirius Real Estate</v>
      </c>
      <c r="C215" t="str">
        <f>IF(Universe!C215&lt;&gt;"",Universe!C215,"")</f>
        <v>GG00B1W3VF54</v>
      </c>
      <c r="D215" t="str">
        <f>IF(Universe!D215&lt;&gt;"",Universe!D215,"")</f>
        <v>Real Estate</v>
      </c>
      <c r="E215" t="str">
        <f>Universe!G215</f>
        <v>Exclude</v>
      </c>
      <c r="F215" t="str">
        <f>IF($E215&lt;&gt;"Include","",_xlfn.LET(_xlpm.latest,_xlfn.MAXIFS(Raw_Fund!$C:$C,Raw_Fund!$B:$B,Data!$C215),IF(_xlpm.latest=0,"",_xlpm.latest)))</f>
        <v/>
      </c>
      <c r="G215" t="str">
        <f>IF($F215="","",INDEX(Raw_Fund!$E:$AZ,MATCH($C215&amp;"|"&amp;$F215,Raw_Fund!$A:$A,0),MATCH(G$3,Raw_Fund!$E$1:$AZ$1,0)))</f>
        <v/>
      </c>
      <c r="H215" t="str">
        <f t="shared" si="3"/>
        <v/>
      </c>
      <c r="I215" s="6" t="str">
        <f>_xlfn.LET(
_xlpm.rowNo, MATCH($C215&amp;"|"&amp;
($F215+I$4),Raw_Fund!$A:$A,0),
_xlpm.colNo,
MATCH(I$3,Raw_Fund!$E$1:$AZ$1,0),
_xlpm.val,
INDEX(Raw_Fund!$E:$AZ,_xlpm.rowNo,_xlpm.colNo),
IF(ISNUMBER(_xlpm.val),_xlpm.val*$H215,""))</f>
        <v/>
      </c>
      <c r="J215" s="6" t="str">
        <f>_xlfn.LET(
_xlpm.rowNo, MATCH($C215&amp;"|"&amp;
($F215+J$4),Raw_Fund!$A:$A,0),
_xlpm.colNo,
MATCH(J$3,Raw_Fund!$E$1:$AZ$1,0),
_xlpm.val,
INDEX(Raw_Fund!$E:$AZ,_xlpm.rowNo,_xlpm.colNo),
IF(ISNUMBER(_xlpm.val),_xlpm.val*$H215,""))</f>
        <v/>
      </c>
      <c r="K215" s="6" t="str">
        <f>_xlfn.LET(
_xlpm.rowNo, MATCH($C215&amp;"|"&amp;
($F215+K$4),Raw_Fund!$A:$A,0),
_xlpm.colNo,
MATCH(K$3,Raw_Fund!$E$1:$AZ$1,0),
_xlpm.val,
INDEX(Raw_Fund!$E:$AZ,_xlpm.rowNo,_xlpm.colNo),
IF(ISNUMBER(_xlpm.val),_xlpm.val*$H215,""))</f>
        <v/>
      </c>
      <c r="L215" s="6" t="str">
        <f>_xlfn.LET(
_xlpm.rowNo, MATCH($C215&amp;"|"&amp;
($F215+L$4),Raw_Fund!$A:$A,0),
_xlpm.colNo,
MATCH(L$3,Raw_Fund!$E$1:$AZ$1,0),
_xlpm.val,
INDEX(Raw_Fund!$E:$AZ,_xlpm.rowNo,_xlpm.colNo),
IF(ISNUMBER(_xlpm.val),_xlpm.val*$H215,""))</f>
        <v/>
      </c>
      <c r="M215" s="6" t="str">
        <f>_xlfn.LET(
_xlpm.rowNo, MATCH($C215&amp;"|"&amp;
($F215+M$4),Raw_Fund!$A:$A,0),
_xlpm.colNo,
MATCH(M$3,Raw_Fund!$E$1:$AZ$1,0),
_xlpm.val,
INDEX(Raw_Fund!$E:$AZ,_xlpm.rowNo,_xlpm.colNo),
IF(ISNUMBER(_xlpm.val),_xlpm.val*$H215,""))</f>
        <v/>
      </c>
      <c r="N215" s="6" t="str">
        <f>_xlfn.LET(
_xlpm.rowNo, MATCH($C215&amp;"|"&amp;
($F215+N$4),Raw_Fund!$A:$A,0),
_xlpm.colNo,
MATCH(N$3,Raw_Fund!$E$1:$AZ$1,0),
_xlpm.val,
INDEX(Raw_Fund!$E:$AZ,_xlpm.rowNo,_xlpm.colNo),
IF(ISNUMBER(_xlpm.val),_xlpm.val*$H215,""))</f>
        <v/>
      </c>
      <c r="O215" s="6" t="str">
        <f>_xlfn.LET(
_xlpm.rowNo, MATCH($C215&amp;"|"&amp;
($F215+O$4),Raw_Fund!$A:$A,0),
_xlpm.colNo,
MATCH(O$3,Raw_Fund!$E$1:$AZ$1,0),
_xlpm.val,
INDEX(Raw_Fund!$E:$AZ,_xlpm.rowNo,_xlpm.colNo),
IF(ISNUMBER(_xlpm.val),_xlpm.val*$H215,""))</f>
        <v/>
      </c>
      <c r="P215" s="6" t="str">
        <f>_xlfn.LET(
_xlpm.rowNo, MATCH($C215&amp;"|"&amp;
($F215+P$4),Raw_Fund!$A:$A,0),
_xlpm.colNo,
MATCH(P$3,Raw_Fund!$E$1:$AZ$1,0),
_xlpm.val,
INDEX(Raw_Fund!$E:$AZ,_xlpm.rowNo,_xlpm.colNo),
IF(ISNUMBER(_xlpm.val),_xlpm.val*$H215,""))</f>
        <v/>
      </c>
      <c r="Q215" s="6" t="str">
        <f>_xlfn.LET(
_xlpm.rowNo, MATCH($C215&amp;"|"&amp;
($F215+Q$4),Raw_Fund!$A:$A,0),
_xlpm.colNo,
MATCH(Q$3,Raw_Fund!$E$1:$AZ$1,0),
_xlpm.val,
INDEX(Raw_Fund!$E:$AZ,_xlpm.rowNo,_xlpm.colNo),
IF(ISNUMBER(_xlpm.val),_xlpm.val*$H215,""))</f>
        <v/>
      </c>
      <c r="R215" s="6" t="str">
        <f>_xlfn.LET(
_xlpm.rowNo, MATCH($C215&amp;"|"&amp;
($F215+R$4),Raw_Fund!$A:$A,0),
_xlpm.colNo,
MATCH(R$3,Raw_Fund!$E$1:$AZ$1,0),
_xlpm.val,
INDEX(Raw_Fund!$E:$AZ,_xlpm.rowNo,_xlpm.colNo),
IF(ISNUMBER(_xlpm.val),_xlpm.val*$H215,""))</f>
        <v/>
      </c>
      <c r="S215" s="6" t="str">
        <f>_xlfn.LET(
_xlpm.rowNo, MATCH($C215&amp;"|"&amp;
($F215+S$4),Raw_Fund!$A:$A,0),
_xlpm.colNo,
MATCH(S$3,Raw_Fund!$E$1:$AZ$1,0),
_xlpm.val,
INDEX(Raw_Fund!$E:$AZ,_xlpm.rowNo,_xlpm.colNo),
IF(ISNUMBER(_xlpm.val),_xlpm.val*$H215,""))</f>
        <v/>
      </c>
      <c r="T215" s="6" t="str">
        <f>_xlfn.LET(
_xlpm.rowNo, MATCH($C215&amp;"|"&amp;
($F215+T$4),Raw_Fund!$A:$A,0),
_xlpm.colNo,
MATCH(T$3,Raw_Fund!$E$1:$AZ$1,0),
_xlpm.val,
INDEX(Raw_Fund!$E:$AZ,_xlpm.rowNo,_xlpm.colNo),
IF(ISNUMBER(_xlpm.val),_xlpm.val*$H215,""))</f>
        <v/>
      </c>
      <c r="U215" s="6" t="str">
        <f>_xlfn.LET(
_xlpm.rowNo, MATCH($C215&amp;"|"&amp;
($F215+U$4),Raw_Fund!$A:$A,0),
_xlpm.colNo,
MATCH(U$3,Raw_Fund!$E$1:$AZ$1,0),
_xlpm.val,
INDEX(Raw_Fund!$E:$AZ,_xlpm.rowNo,_xlpm.colNo),
IF(ISNUMBER(_xlpm.val),_xlpm.val*$H215,""))</f>
        <v/>
      </c>
      <c r="V215" s="6" t="str">
        <f>_xlfn.LET(
_xlpm.rowNo, MATCH($C215&amp;"|"&amp;
($F215+V$4),Raw_Fund!$A:$A,0),
_xlpm.colNo,
MATCH(V$3,Raw_Fund!$E$1:$AZ$1,0),
_xlpm.val,
INDEX(Raw_Fund!$E:$AZ,_xlpm.rowNo,_xlpm.colNo),
IF(ISNUMBER(_xlpm.val),_xlpm.val*$H215,""))</f>
        <v/>
      </c>
      <c r="W215" s="6" t="str">
        <f>_xlfn.LET(
_xlpm.rowNo, MATCH($C215&amp;"|"&amp;
($F215+W$4),Raw_Fund!$A:$A,0),
_xlpm.colNo,
MATCH(W$3,Raw_Fund!$E$1:$AZ$1,0),
_xlpm.val,
INDEX(Raw_Fund!$E:$AZ,_xlpm.rowNo,_xlpm.colNo),
IF(ISNUMBER(_xlpm.val),_xlpm.val*$H215,""))</f>
        <v/>
      </c>
      <c r="X215" s="6" t="str">
        <f>_xlfn.LET(
_xlpm.rowNo, MATCH($C215&amp;"|"&amp;
($F215+X$4),Raw_Fund!$A:$A,0),
_xlpm.colNo,
MATCH(X$3,Raw_Fund!$E$1:$AZ$1,0),
_xlpm.val,
INDEX(Raw_Fund!$E:$AZ,_xlpm.rowNo,_xlpm.colNo),
IF(ISNUMBER(_xlpm.val),_xlpm.val*$H215,""))</f>
        <v/>
      </c>
      <c r="Y215" s="6" t="str">
        <f>_xlfn.LET(
_xlpm.rowNo, MATCH($C215&amp;"|"&amp;
($F215+Y$4),Raw_Fund!$A:$A,0),
_xlpm.colNo,
MATCH(Y$3,Raw_Fund!$E$1:$AZ$1,0),
_xlpm.val,
INDEX(Raw_Fund!$E:$AZ,_xlpm.rowNo,_xlpm.colNo),
IF(ISNUMBER(_xlpm.val),_xlpm.val*$H215,""))</f>
        <v/>
      </c>
      <c r="Z215" s="6" t="str">
        <f>IF($E215&lt;&gt;"Include","",_xlfn.XLOOKUP($C215,Raw_Mkt!$A:$A,Raw_Mkt!$B:$B))</f>
        <v/>
      </c>
    </row>
    <row r="216" spans="1:26" x14ac:dyDescent="0.4">
      <c r="A216" t="str">
        <f>IF(Universe!A216&lt;&gt;"",Universe!A216,"")</f>
        <v>SCT</v>
      </c>
      <c r="B216" t="str">
        <f>IF(Universe!B216&lt;&gt;"",Universe!B216,"")</f>
        <v>Softcat</v>
      </c>
      <c r="C216" t="str">
        <f>IF(Universe!C216&lt;&gt;"",Universe!C216,"")</f>
        <v>GB00BYZDVK82</v>
      </c>
      <c r="D216" t="str">
        <f>IF(Universe!D216&lt;&gt;"",Universe!D216,"")</f>
        <v>Technology</v>
      </c>
      <c r="E216" t="str">
        <f>Universe!G216</f>
        <v>Include</v>
      </c>
      <c r="F216" t="str">
        <f>IF($E216&lt;&gt;"Include","",_xlfn.LET(_xlpm.latest,_xlfn.MAXIFS(Raw_Fund!$C:$C,Raw_Fund!$B:$B,Data!$C216),IF(_xlpm.latest=0,"",_xlpm.latest)))</f>
        <v/>
      </c>
      <c r="G216" t="str">
        <f>IF($F216="","",INDEX(Raw_Fund!$E:$AZ,MATCH($C216&amp;"|"&amp;$F216,Raw_Fund!$A:$A,0),MATCH(G$3,Raw_Fund!$E$1:$AZ$1,0)))</f>
        <v/>
      </c>
      <c r="H216" t="str">
        <f t="shared" si="3"/>
        <v/>
      </c>
      <c r="I216" s="6" t="str">
        <f>_xlfn.LET(
_xlpm.rowNo, MATCH($C216&amp;"|"&amp;
($F216+I$4),Raw_Fund!$A:$A,0),
_xlpm.colNo,
MATCH(I$3,Raw_Fund!$E$1:$AZ$1,0),
_xlpm.val,
INDEX(Raw_Fund!$E:$AZ,_xlpm.rowNo,_xlpm.colNo),
IF(ISNUMBER(_xlpm.val),_xlpm.val*$H216,""))</f>
        <v/>
      </c>
      <c r="J216" s="6" t="str">
        <f>_xlfn.LET(
_xlpm.rowNo, MATCH($C216&amp;"|"&amp;
($F216+J$4),Raw_Fund!$A:$A,0),
_xlpm.colNo,
MATCH(J$3,Raw_Fund!$E$1:$AZ$1,0),
_xlpm.val,
INDEX(Raw_Fund!$E:$AZ,_xlpm.rowNo,_xlpm.colNo),
IF(ISNUMBER(_xlpm.val),_xlpm.val*$H216,""))</f>
        <v/>
      </c>
      <c r="K216" s="6" t="str">
        <f>_xlfn.LET(
_xlpm.rowNo, MATCH($C216&amp;"|"&amp;
($F216+K$4),Raw_Fund!$A:$A,0),
_xlpm.colNo,
MATCH(K$3,Raw_Fund!$E$1:$AZ$1,0),
_xlpm.val,
INDEX(Raw_Fund!$E:$AZ,_xlpm.rowNo,_xlpm.colNo),
IF(ISNUMBER(_xlpm.val),_xlpm.val*$H216,""))</f>
        <v/>
      </c>
      <c r="L216" s="6" t="str">
        <f>_xlfn.LET(
_xlpm.rowNo, MATCH($C216&amp;"|"&amp;
($F216+L$4),Raw_Fund!$A:$A,0),
_xlpm.colNo,
MATCH(L$3,Raw_Fund!$E$1:$AZ$1,0),
_xlpm.val,
INDEX(Raw_Fund!$E:$AZ,_xlpm.rowNo,_xlpm.colNo),
IF(ISNUMBER(_xlpm.val),_xlpm.val*$H216,""))</f>
        <v/>
      </c>
      <c r="M216" s="6" t="str">
        <f>_xlfn.LET(
_xlpm.rowNo, MATCH($C216&amp;"|"&amp;
($F216+M$4),Raw_Fund!$A:$A,0),
_xlpm.colNo,
MATCH(M$3,Raw_Fund!$E$1:$AZ$1,0),
_xlpm.val,
INDEX(Raw_Fund!$E:$AZ,_xlpm.rowNo,_xlpm.colNo),
IF(ISNUMBER(_xlpm.val),_xlpm.val*$H216,""))</f>
        <v/>
      </c>
      <c r="N216" s="6" t="str">
        <f>_xlfn.LET(
_xlpm.rowNo, MATCH($C216&amp;"|"&amp;
($F216+N$4),Raw_Fund!$A:$A,0),
_xlpm.colNo,
MATCH(N$3,Raw_Fund!$E$1:$AZ$1,0),
_xlpm.val,
INDEX(Raw_Fund!$E:$AZ,_xlpm.rowNo,_xlpm.colNo),
IF(ISNUMBER(_xlpm.val),_xlpm.val*$H216,""))</f>
        <v/>
      </c>
      <c r="O216" s="6" t="str">
        <f>_xlfn.LET(
_xlpm.rowNo, MATCH($C216&amp;"|"&amp;
($F216+O$4),Raw_Fund!$A:$A,0),
_xlpm.colNo,
MATCH(O$3,Raw_Fund!$E$1:$AZ$1,0),
_xlpm.val,
INDEX(Raw_Fund!$E:$AZ,_xlpm.rowNo,_xlpm.colNo),
IF(ISNUMBER(_xlpm.val),_xlpm.val*$H216,""))</f>
        <v/>
      </c>
      <c r="P216" s="6" t="str">
        <f>_xlfn.LET(
_xlpm.rowNo, MATCH($C216&amp;"|"&amp;
($F216+P$4),Raw_Fund!$A:$A,0),
_xlpm.colNo,
MATCH(P$3,Raw_Fund!$E$1:$AZ$1,0),
_xlpm.val,
INDEX(Raw_Fund!$E:$AZ,_xlpm.rowNo,_xlpm.colNo),
IF(ISNUMBER(_xlpm.val),_xlpm.val*$H216,""))</f>
        <v/>
      </c>
      <c r="Q216" s="6" t="str">
        <f>_xlfn.LET(
_xlpm.rowNo, MATCH($C216&amp;"|"&amp;
($F216+Q$4),Raw_Fund!$A:$A,0),
_xlpm.colNo,
MATCH(Q$3,Raw_Fund!$E$1:$AZ$1,0),
_xlpm.val,
INDEX(Raw_Fund!$E:$AZ,_xlpm.rowNo,_xlpm.colNo),
IF(ISNUMBER(_xlpm.val),_xlpm.val*$H216,""))</f>
        <v/>
      </c>
      <c r="R216" s="6" t="str">
        <f>_xlfn.LET(
_xlpm.rowNo, MATCH($C216&amp;"|"&amp;
($F216+R$4),Raw_Fund!$A:$A,0),
_xlpm.colNo,
MATCH(R$3,Raw_Fund!$E$1:$AZ$1,0),
_xlpm.val,
INDEX(Raw_Fund!$E:$AZ,_xlpm.rowNo,_xlpm.colNo),
IF(ISNUMBER(_xlpm.val),_xlpm.val*$H216,""))</f>
        <v/>
      </c>
      <c r="S216" s="6" t="str">
        <f>_xlfn.LET(
_xlpm.rowNo, MATCH($C216&amp;"|"&amp;
($F216+S$4),Raw_Fund!$A:$A,0),
_xlpm.colNo,
MATCH(S$3,Raw_Fund!$E$1:$AZ$1,0),
_xlpm.val,
INDEX(Raw_Fund!$E:$AZ,_xlpm.rowNo,_xlpm.colNo),
IF(ISNUMBER(_xlpm.val),_xlpm.val*$H216,""))</f>
        <v/>
      </c>
      <c r="T216" s="6" t="str">
        <f>_xlfn.LET(
_xlpm.rowNo, MATCH($C216&amp;"|"&amp;
($F216+T$4),Raw_Fund!$A:$A,0),
_xlpm.colNo,
MATCH(T$3,Raw_Fund!$E$1:$AZ$1,0),
_xlpm.val,
INDEX(Raw_Fund!$E:$AZ,_xlpm.rowNo,_xlpm.colNo),
IF(ISNUMBER(_xlpm.val),_xlpm.val*$H216,""))</f>
        <v/>
      </c>
      <c r="U216" s="6" t="str">
        <f>_xlfn.LET(
_xlpm.rowNo, MATCH($C216&amp;"|"&amp;
($F216+U$4),Raw_Fund!$A:$A,0),
_xlpm.colNo,
MATCH(U$3,Raw_Fund!$E$1:$AZ$1,0),
_xlpm.val,
INDEX(Raw_Fund!$E:$AZ,_xlpm.rowNo,_xlpm.colNo),
IF(ISNUMBER(_xlpm.val),_xlpm.val*$H216,""))</f>
        <v/>
      </c>
      <c r="V216" s="6" t="str">
        <f>_xlfn.LET(
_xlpm.rowNo, MATCH($C216&amp;"|"&amp;
($F216+V$4),Raw_Fund!$A:$A,0),
_xlpm.colNo,
MATCH(V$3,Raw_Fund!$E$1:$AZ$1,0),
_xlpm.val,
INDEX(Raw_Fund!$E:$AZ,_xlpm.rowNo,_xlpm.colNo),
IF(ISNUMBER(_xlpm.val),_xlpm.val*$H216,""))</f>
        <v/>
      </c>
      <c r="W216" s="6" t="str">
        <f>_xlfn.LET(
_xlpm.rowNo, MATCH($C216&amp;"|"&amp;
($F216+W$4),Raw_Fund!$A:$A,0),
_xlpm.colNo,
MATCH(W$3,Raw_Fund!$E$1:$AZ$1,0),
_xlpm.val,
INDEX(Raw_Fund!$E:$AZ,_xlpm.rowNo,_xlpm.colNo),
IF(ISNUMBER(_xlpm.val),_xlpm.val*$H216,""))</f>
        <v/>
      </c>
      <c r="X216" s="6" t="str">
        <f>_xlfn.LET(
_xlpm.rowNo, MATCH($C216&amp;"|"&amp;
($F216+X$4),Raw_Fund!$A:$A,0),
_xlpm.colNo,
MATCH(X$3,Raw_Fund!$E$1:$AZ$1,0),
_xlpm.val,
INDEX(Raw_Fund!$E:$AZ,_xlpm.rowNo,_xlpm.colNo),
IF(ISNUMBER(_xlpm.val),_xlpm.val*$H216,""))</f>
        <v/>
      </c>
      <c r="Y216" s="6" t="str">
        <f>_xlfn.LET(
_xlpm.rowNo, MATCH($C216&amp;"|"&amp;
($F216+Y$4),Raw_Fund!$A:$A,0),
_xlpm.colNo,
MATCH(Y$3,Raw_Fund!$E$1:$AZ$1,0),
_xlpm.val,
INDEX(Raw_Fund!$E:$AZ,_xlpm.rowNo,_xlpm.colNo),
IF(ISNUMBER(_xlpm.val),_xlpm.val*$H216,""))</f>
        <v/>
      </c>
      <c r="Z216" s="6" t="e">
        <f>IF($E216&lt;&gt;"Include","",_xlfn.XLOOKUP($C216,Raw_Mkt!$A:$A,Raw_Mkt!$B:$B))</f>
        <v>#N/A</v>
      </c>
    </row>
    <row r="217" spans="1:26" x14ac:dyDescent="0.4">
      <c r="A217" t="str">
        <f>IF(Universe!A217&lt;&gt;"",Universe!A217,"")</f>
        <v>SPI</v>
      </c>
      <c r="B217" t="str">
        <f>IF(Universe!B217&lt;&gt;"",Universe!B217,"")</f>
        <v>Spire Healthcare</v>
      </c>
      <c r="C217" t="str">
        <f>IF(Universe!C217&lt;&gt;"",Universe!C217,"")</f>
        <v>GB00BNLPYF73</v>
      </c>
      <c r="D217" t="str">
        <f>IF(Universe!D217&lt;&gt;"",Universe!D217,"")</f>
        <v>Health Care</v>
      </c>
      <c r="E217" t="str">
        <f>Universe!G217</f>
        <v>Include</v>
      </c>
      <c r="F217" t="str">
        <f>IF($E217&lt;&gt;"Include","",_xlfn.LET(_xlpm.latest,_xlfn.MAXIFS(Raw_Fund!$C:$C,Raw_Fund!$B:$B,Data!$C217),IF(_xlpm.latest=0,"",_xlpm.latest)))</f>
        <v/>
      </c>
      <c r="G217" t="str">
        <f>IF($F217="","",INDEX(Raw_Fund!$E:$AZ,MATCH($C217&amp;"|"&amp;$F217,Raw_Fund!$A:$A,0),MATCH(G$3,Raw_Fund!$E$1:$AZ$1,0)))</f>
        <v/>
      </c>
      <c r="H217" t="str">
        <f t="shared" si="3"/>
        <v/>
      </c>
      <c r="I217" s="6" t="str">
        <f>_xlfn.LET(
_xlpm.rowNo, MATCH($C217&amp;"|"&amp;
($F217+I$4),Raw_Fund!$A:$A,0),
_xlpm.colNo,
MATCH(I$3,Raw_Fund!$E$1:$AZ$1,0),
_xlpm.val,
INDEX(Raw_Fund!$E:$AZ,_xlpm.rowNo,_xlpm.colNo),
IF(ISNUMBER(_xlpm.val),_xlpm.val*$H217,""))</f>
        <v/>
      </c>
      <c r="J217" s="6" t="str">
        <f>_xlfn.LET(
_xlpm.rowNo, MATCH($C217&amp;"|"&amp;
($F217+J$4),Raw_Fund!$A:$A,0),
_xlpm.colNo,
MATCH(J$3,Raw_Fund!$E$1:$AZ$1,0),
_xlpm.val,
INDEX(Raw_Fund!$E:$AZ,_xlpm.rowNo,_xlpm.colNo),
IF(ISNUMBER(_xlpm.val),_xlpm.val*$H217,""))</f>
        <v/>
      </c>
      <c r="K217" s="6" t="str">
        <f>_xlfn.LET(
_xlpm.rowNo, MATCH($C217&amp;"|"&amp;
($F217+K$4),Raw_Fund!$A:$A,0),
_xlpm.colNo,
MATCH(K$3,Raw_Fund!$E$1:$AZ$1,0),
_xlpm.val,
INDEX(Raw_Fund!$E:$AZ,_xlpm.rowNo,_xlpm.colNo),
IF(ISNUMBER(_xlpm.val),_xlpm.val*$H217,""))</f>
        <v/>
      </c>
      <c r="L217" s="6" t="str">
        <f>_xlfn.LET(
_xlpm.rowNo, MATCH($C217&amp;"|"&amp;
($F217+L$4),Raw_Fund!$A:$A,0),
_xlpm.colNo,
MATCH(L$3,Raw_Fund!$E$1:$AZ$1,0),
_xlpm.val,
INDEX(Raw_Fund!$E:$AZ,_xlpm.rowNo,_xlpm.colNo),
IF(ISNUMBER(_xlpm.val),_xlpm.val*$H217,""))</f>
        <v/>
      </c>
      <c r="M217" s="6" t="str">
        <f>_xlfn.LET(
_xlpm.rowNo, MATCH($C217&amp;"|"&amp;
($F217+M$4),Raw_Fund!$A:$A,0),
_xlpm.colNo,
MATCH(M$3,Raw_Fund!$E$1:$AZ$1,0),
_xlpm.val,
INDEX(Raw_Fund!$E:$AZ,_xlpm.rowNo,_xlpm.colNo),
IF(ISNUMBER(_xlpm.val),_xlpm.val*$H217,""))</f>
        <v/>
      </c>
      <c r="N217" s="6" t="str">
        <f>_xlfn.LET(
_xlpm.rowNo, MATCH($C217&amp;"|"&amp;
($F217+N$4),Raw_Fund!$A:$A,0),
_xlpm.colNo,
MATCH(N$3,Raw_Fund!$E$1:$AZ$1,0),
_xlpm.val,
INDEX(Raw_Fund!$E:$AZ,_xlpm.rowNo,_xlpm.colNo),
IF(ISNUMBER(_xlpm.val),_xlpm.val*$H217,""))</f>
        <v/>
      </c>
      <c r="O217" s="6" t="str">
        <f>_xlfn.LET(
_xlpm.rowNo, MATCH($C217&amp;"|"&amp;
($F217+O$4),Raw_Fund!$A:$A,0),
_xlpm.colNo,
MATCH(O$3,Raw_Fund!$E$1:$AZ$1,0),
_xlpm.val,
INDEX(Raw_Fund!$E:$AZ,_xlpm.rowNo,_xlpm.colNo),
IF(ISNUMBER(_xlpm.val),_xlpm.val*$H217,""))</f>
        <v/>
      </c>
      <c r="P217" s="6" t="str">
        <f>_xlfn.LET(
_xlpm.rowNo, MATCH($C217&amp;"|"&amp;
($F217+P$4),Raw_Fund!$A:$A,0),
_xlpm.colNo,
MATCH(P$3,Raw_Fund!$E$1:$AZ$1,0),
_xlpm.val,
INDEX(Raw_Fund!$E:$AZ,_xlpm.rowNo,_xlpm.colNo),
IF(ISNUMBER(_xlpm.val),_xlpm.val*$H217,""))</f>
        <v/>
      </c>
      <c r="Q217" s="6" t="str">
        <f>_xlfn.LET(
_xlpm.rowNo, MATCH($C217&amp;"|"&amp;
($F217+Q$4),Raw_Fund!$A:$A,0),
_xlpm.colNo,
MATCH(Q$3,Raw_Fund!$E$1:$AZ$1,0),
_xlpm.val,
INDEX(Raw_Fund!$E:$AZ,_xlpm.rowNo,_xlpm.colNo),
IF(ISNUMBER(_xlpm.val),_xlpm.val*$H217,""))</f>
        <v/>
      </c>
      <c r="R217" s="6" t="str">
        <f>_xlfn.LET(
_xlpm.rowNo, MATCH($C217&amp;"|"&amp;
($F217+R$4),Raw_Fund!$A:$A,0),
_xlpm.colNo,
MATCH(R$3,Raw_Fund!$E$1:$AZ$1,0),
_xlpm.val,
INDEX(Raw_Fund!$E:$AZ,_xlpm.rowNo,_xlpm.colNo),
IF(ISNUMBER(_xlpm.val),_xlpm.val*$H217,""))</f>
        <v/>
      </c>
      <c r="S217" s="6" t="str">
        <f>_xlfn.LET(
_xlpm.rowNo, MATCH($C217&amp;"|"&amp;
($F217+S$4),Raw_Fund!$A:$A,0),
_xlpm.colNo,
MATCH(S$3,Raw_Fund!$E$1:$AZ$1,0),
_xlpm.val,
INDEX(Raw_Fund!$E:$AZ,_xlpm.rowNo,_xlpm.colNo),
IF(ISNUMBER(_xlpm.val),_xlpm.val*$H217,""))</f>
        <v/>
      </c>
      <c r="T217" s="6" t="str">
        <f>_xlfn.LET(
_xlpm.rowNo, MATCH($C217&amp;"|"&amp;
($F217+T$4),Raw_Fund!$A:$A,0),
_xlpm.colNo,
MATCH(T$3,Raw_Fund!$E$1:$AZ$1,0),
_xlpm.val,
INDEX(Raw_Fund!$E:$AZ,_xlpm.rowNo,_xlpm.colNo),
IF(ISNUMBER(_xlpm.val),_xlpm.val*$H217,""))</f>
        <v/>
      </c>
      <c r="U217" s="6" t="str">
        <f>_xlfn.LET(
_xlpm.rowNo, MATCH($C217&amp;"|"&amp;
($F217+U$4),Raw_Fund!$A:$A,0),
_xlpm.colNo,
MATCH(U$3,Raw_Fund!$E$1:$AZ$1,0),
_xlpm.val,
INDEX(Raw_Fund!$E:$AZ,_xlpm.rowNo,_xlpm.colNo),
IF(ISNUMBER(_xlpm.val),_xlpm.val*$H217,""))</f>
        <v/>
      </c>
      <c r="V217" s="6" t="str">
        <f>_xlfn.LET(
_xlpm.rowNo, MATCH($C217&amp;"|"&amp;
($F217+V$4),Raw_Fund!$A:$A,0),
_xlpm.colNo,
MATCH(V$3,Raw_Fund!$E$1:$AZ$1,0),
_xlpm.val,
INDEX(Raw_Fund!$E:$AZ,_xlpm.rowNo,_xlpm.colNo),
IF(ISNUMBER(_xlpm.val),_xlpm.val*$H217,""))</f>
        <v/>
      </c>
      <c r="W217" s="6" t="str">
        <f>_xlfn.LET(
_xlpm.rowNo, MATCH($C217&amp;"|"&amp;
($F217+W$4),Raw_Fund!$A:$A,0),
_xlpm.colNo,
MATCH(W$3,Raw_Fund!$E$1:$AZ$1,0),
_xlpm.val,
INDEX(Raw_Fund!$E:$AZ,_xlpm.rowNo,_xlpm.colNo),
IF(ISNUMBER(_xlpm.val),_xlpm.val*$H217,""))</f>
        <v/>
      </c>
      <c r="X217" s="6" t="str">
        <f>_xlfn.LET(
_xlpm.rowNo, MATCH($C217&amp;"|"&amp;
($F217+X$4),Raw_Fund!$A:$A,0),
_xlpm.colNo,
MATCH(X$3,Raw_Fund!$E$1:$AZ$1,0),
_xlpm.val,
INDEX(Raw_Fund!$E:$AZ,_xlpm.rowNo,_xlpm.colNo),
IF(ISNUMBER(_xlpm.val),_xlpm.val*$H217,""))</f>
        <v/>
      </c>
      <c r="Y217" s="6" t="str">
        <f>_xlfn.LET(
_xlpm.rowNo, MATCH($C217&amp;"|"&amp;
($F217+Y$4),Raw_Fund!$A:$A,0),
_xlpm.colNo,
MATCH(Y$3,Raw_Fund!$E$1:$AZ$1,0),
_xlpm.val,
INDEX(Raw_Fund!$E:$AZ,_xlpm.rowNo,_xlpm.colNo),
IF(ISNUMBER(_xlpm.val),_xlpm.val*$H217,""))</f>
        <v/>
      </c>
      <c r="Z217" s="6" t="e">
        <f>IF($E217&lt;&gt;"Include","",_xlfn.XLOOKUP($C217,Raw_Mkt!$A:$A,Raw_Mkt!$B:$B))</f>
        <v>#N/A</v>
      </c>
    </row>
    <row r="218" spans="1:26" x14ac:dyDescent="0.4">
      <c r="A218" t="str">
        <f>IF(Universe!A218&lt;&gt;"",Universe!A218,"")</f>
        <v>SSPG</v>
      </c>
      <c r="B218" t="str">
        <f>IF(Universe!B218&lt;&gt;"",Universe!B218,"")</f>
        <v>SSP Group</v>
      </c>
      <c r="C218" t="str">
        <f>IF(Universe!C218&lt;&gt;"",Universe!C218,"")</f>
        <v>GB00BGBN7C04</v>
      </c>
      <c r="D218" t="str">
        <f>IF(Universe!D218&lt;&gt;"",Universe!D218,"")</f>
        <v>Consumer Discretionary</v>
      </c>
      <c r="E218" t="str">
        <f>Universe!G218</f>
        <v>Include</v>
      </c>
      <c r="F218" t="str">
        <f>IF($E218&lt;&gt;"Include","",_xlfn.LET(_xlpm.latest,_xlfn.MAXIFS(Raw_Fund!$C:$C,Raw_Fund!$B:$B,Data!$C218),IF(_xlpm.latest=0,"",_xlpm.latest)))</f>
        <v/>
      </c>
      <c r="G218" t="str">
        <f>IF($F218="","",INDEX(Raw_Fund!$E:$AZ,MATCH($C218&amp;"|"&amp;$F218,Raw_Fund!$A:$A,0),MATCH(G$3,Raw_Fund!$E$1:$AZ$1,0)))</f>
        <v/>
      </c>
      <c r="H218" t="str">
        <f t="shared" si="3"/>
        <v/>
      </c>
      <c r="I218" s="6" t="str">
        <f>_xlfn.LET(
_xlpm.rowNo, MATCH($C218&amp;"|"&amp;
($F218+I$4),Raw_Fund!$A:$A,0),
_xlpm.colNo,
MATCH(I$3,Raw_Fund!$E$1:$AZ$1,0),
_xlpm.val,
INDEX(Raw_Fund!$E:$AZ,_xlpm.rowNo,_xlpm.colNo),
IF(ISNUMBER(_xlpm.val),_xlpm.val*$H218,""))</f>
        <v/>
      </c>
      <c r="J218" s="6" t="str">
        <f>_xlfn.LET(
_xlpm.rowNo, MATCH($C218&amp;"|"&amp;
($F218+J$4),Raw_Fund!$A:$A,0),
_xlpm.colNo,
MATCH(J$3,Raw_Fund!$E$1:$AZ$1,0),
_xlpm.val,
INDEX(Raw_Fund!$E:$AZ,_xlpm.rowNo,_xlpm.colNo),
IF(ISNUMBER(_xlpm.val),_xlpm.val*$H218,""))</f>
        <v/>
      </c>
      <c r="K218" s="6" t="str">
        <f>_xlfn.LET(
_xlpm.rowNo, MATCH($C218&amp;"|"&amp;
($F218+K$4),Raw_Fund!$A:$A,0),
_xlpm.colNo,
MATCH(K$3,Raw_Fund!$E$1:$AZ$1,0),
_xlpm.val,
INDEX(Raw_Fund!$E:$AZ,_xlpm.rowNo,_xlpm.colNo),
IF(ISNUMBER(_xlpm.val),_xlpm.val*$H218,""))</f>
        <v/>
      </c>
      <c r="L218" s="6" t="str">
        <f>_xlfn.LET(
_xlpm.rowNo, MATCH($C218&amp;"|"&amp;
($F218+L$4),Raw_Fund!$A:$A,0),
_xlpm.colNo,
MATCH(L$3,Raw_Fund!$E$1:$AZ$1,0),
_xlpm.val,
INDEX(Raw_Fund!$E:$AZ,_xlpm.rowNo,_xlpm.colNo),
IF(ISNUMBER(_xlpm.val),_xlpm.val*$H218,""))</f>
        <v/>
      </c>
      <c r="M218" s="6" t="str">
        <f>_xlfn.LET(
_xlpm.rowNo, MATCH($C218&amp;"|"&amp;
($F218+M$4),Raw_Fund!$A:$A,0),
_xlpm.colNo,
MATCH(M$3,Raw_Fund!$E$1:$AZ$1,0),
_xlpm.val,
INDEX(Raw_Fund!$E:$AZ,_xlpm.rowNo,_xlpm.colNo),
IF(ISNUMBER(_xlpm.val),_xlpm.val*$H218,""))</f>
        <v/>
      </c>
      <c r="N218" s="6" t="str">
        <f>_xlfn.LET(
_xlpm.rowNo, MATCH($C218&amp;"|"&amp;
($F218+N$4),Raw_Fund!$A:$A,0),
_xlpm.colNo,
MATCH(N$3,Raw_Fund!$E$1:$AZ$1,0),
_xlpm.val,
INDEX(Raw_Fund!$E:$AZ,_xlpm.rowNo,_xlpm.colNo),
IF(ISNUMBER(_xlpm.val),_xlpm.val*$H218,""))</f>
        <v/>
      </c>
      <c r="O218" s="6" t="str">
        <f>_xlfn.LET(
_xlpm.rowNo, MATCH($C218&amp;"|"&amp;
($F218+O$4),Raw_Fund!$A:$A,0),
_xlpm.colNo,
MATCH(O$3,Raw_Fund!$E$1:$AZ$1,0),
_xlpm.val,
INDEX(Raw_Fund!$E:$AZ,_xlpm.rowNo,_xlpm.colNo),
IF(ISNUMBER(_xlpm.val),_xlpm.val*$H218,""))</f>
        <v/>
      </c>
      <c r="P218" s="6" t="str">
        <f>_xlfn.LET(
_xlpm.rowNo, MATCH($C218&amp;"|"&amp;
($F218+P$4),Raw_Fund!$A:$A,0),
_xlpm.colNo,
MATCH(P$3,Raw_Fund!$E$1:$AZ$1,0),
_xlpm.val,
INDEX(Raw_Fund!$E:$AZ,_xlpm.rowNo,_xlpm.colNo),
IF(ISNUMBER(_xlpm.val),_xlpm.val*$H218,""))</f>
        <v/>
      </c>
      <c r="Q218" s="6" t="str">
        <f>_xlfn.LET(
_xlpm.rowNo, MATCH($C218&amp;"|"&amp;
($F218+Q$4),Raw_Fund!$A:$A,0),
_xlpm.colNo,
MATCH(Q$3,Raw_Fund!$E$1:$AZ$1,0),
_xlpm.val,
INDEX(Raw_Fund!$E:$AZ,_xlpm.rowNo,_xlpm.colNo),
IF(ISNUMBER(_xlpm.val),_xlpm.val*$H218,""))</f>
        <v/>
      </c>
      <c r="R218" s="6" t="str">
        <f>_xlfn.LET(
_xlpm.rowNo, MATCH($C218&amp;"|"&amp;
($F218+R$4),Raw_Fund!$A:$A,0),
_xlpm.colNo,
MATCH(R$3,Raw_Fund!$E$1:$AZ$1,0),
_xlpm.val,
INDEX(Raw_Fund!$E:$AZ,_xlpm.rowNo,_xlpm.colNo),
IF(ISNUMBER(_xlpm.val),_xlpm.val*$H218,""))</f>
        <v/>
      </c>
      <c r="S218" s="6" t="str">
        <f>_xlfn.LET(
_xlpm.rowNo, MATCH($C218&amp;"|"&amp;
($F218+S$4),Raw_Fund!$A:$A,0),
_xlpm.colNo,
MATCH(S$3,Raw_Fund!$E$1:$AZ$1,0),
_xlpm.val,
INDEX(Raw_Fund!$E:$AZ,_xlpm.rowNo,_xlpm.colNo),
IF(ISNUMBER(_xlpm.val),_xlpm.val*$H218,""))</f>
        <v/>
      </c>
      <c r="T218" s="6" t="str">
        <f>_xlfn.LET(
_xlpm.rowNo, MATCH($C218&amp;"|"&amp;
($F218+T$4),Raw_Fund!$A:$A,0),
_xlpm.colNo,
MATCH(T$3,Raw_Fund!$E$1:$AZ$1,0),
_xlpm.val,
INDEX(Raw_Fund!$E:$AZ,_xlpm.rowNo,_xlpm.colNo),
IF(ISNUMBER(_xlpm.val),_xlpm.val*$H218,""))</f>
        <v/>
      </c>
      <c r="U218" s="6" t="str">
        <f>_xlfn.LET(
_xlpm.rowNo, MATCH($C218&amp;"|"&amp;
($F218+U$4),Raw_Fund!$A:$A,0),
_xlpm.colNo,
MATCH(U$3,Raw_Fund!$E$1:$AZ$1,0),
_xlpm.val,
INDEX(Raw_Fund!$E:$AZ,_xlpm.rowNo,_xlpm.colNo),
IF(ISNUMBER(_xlpm.val),_xlpm.val*$H218,""))</f>
        <v/>
      </c>
      <c r="V218" s="6" t="str">
        <f>_xlfn.LET(
_xlpm.rowNo, MATCH($C218&amp;"|"&amp;
($F218+V$4),Raw_Fund!$A:$A,0),
_xlpm.colNo,
MATCH(V$3,Raw_Fund!$E$1:$AZ$1,0),
_xlpm.val,
INDEX(Raw_Fund!$E:$AZ,_xlpm.rowNo,_xlpm.colNo),
IF(ISNUMBER(_xlpm.val),_xlpm.val*$H218,""))</f>
        <v/>
      </c>
      <c r="W218" s="6" t="str">
        <f>_xlfn.LET(
_xlpm.rowNo, MATCH($C218&amp;"|"&amp;
($F218+W$4),Raw_Fund!$A:$A,0),
_xlpm.colNo,
MATCH(W$3,Raw_Fund!$E$1:$AZ$1,0),
_xlpm.val,
INDEX(Raw_Fund!$E:$AZ,_xlpm.rowNo,_xlpm.colNo),
IF(ISNUMBER(_xlpm.val),_xlpm.val*$H218,""))</f>
        <v/>
      </c>
      <c r="X218" s="6" t="str">
        <f>_xlfn.LET(
_xlpm.rowNo, MATCH($C218&amp;"|"&amp;
($F218+X$4),Raw_Fund!$A:$A,0),
_xlpm.colNo,
MATCH(X$3,Raw_Fund!$E$1:$AZ$1,0),
_xlpm.val,
INDEX(Raw_Fund!$E:$AZ,_xlpm.rowNo,_xlpm.colNo),
IF(ISNUMBER(_xlpm.val),_xlpm.val*$H218,""))</f>
        <v/>
      </c>
      <c r="Y218" s="6" t="str">
        <f>_xlfn.LET(
_xlpm.rowNo, MATCH($C218&amp;"|"&amp;
($F218+Y$4),Raw_Fund!$A:$A,0),
_xlpm.colNo,
MATCH(Y$3,Raw_Fund!$E$1:$AZ$1,0),
_xlpm.val,
INDEX(Raw_Fund!$E:$AZ,_xlpm.rowNo,_xlpm.colNo),
IF(ISNUMBER(_xlpm.val),_xlpm.val*$H218,""))</f>
        <v/>
      </c>
      <c r="Z218" s="6" t="e">
        <f>IF($E218&lt;&gt;"Include","",_xlfn.XLOOKUP($C218,Raw_Mkt!$A:$A,Raw_Mkt!$B:$B))</f>
        <v>#N/A</v>
      </c>
    </row>
    <row r="219" spans="1:26" x14ac:dyDescent="0.4">
      <c r="A219" t="str">
        <f>IF(Universe!A219&lt;&gt;"",Universe!A219,"")</f>
        <v>SUPR</v>
      </c>
      <c r="B219" t="str">
        <f>IF(Universe!B219&lt;&gt;"",Universe!B219,"")</f>
        <v>Supermarket Income REIT</v>
      </c>
      <c r="C219" t="str">
        <f>IF(Universe!C219&lt;&gt;"",Universe!C219,"")</f>
        <v>GB00BF345X11</v>
      </c>
      <c r="D219" t="str">
        <f>IF(Universe!D219&lt;&gt;"",Universe!D219,"")</f>
        <v>Real Estate</v>
      </c>
      <c r="E219" t="str">
        <f>Universe!G219</f>
        <v>Exclude</v>
      </c>
      <c r="F219" t="str">
        <f>IF($E219&lt;&gt;"Include","",_xlfn.LET(_xlpm.latest,_xlfn.MAXIFS(Raw_Fund!$C:$C,Raw_Fund!$B:$B,Data!$C219),IF(_xlpm.latest=0,"",_xlpm.latest)))</f>
        <v/>
      </c>
      <c r="G219" t="str">
        <f>IF($F219="","",INDEX(Raw_Fund!$E:$AZ,MATCH($C219&amp;"|"&amp;$F219,Raw_Fund!$A:$A,0),MATCH(G$3,Raw_Fund!$E$1:$AZ$1,0)))</f>
        <v/>
      </c>
      <c r="H219" t="str">
        <f t="shared" si="3"/>
        <v/>
      </c>
      <c r="I219" s="6" t="str">
        <f>_xlfn.LET(
_xlpm.rowNo, MATCH($C219&amp;"|"&amp;
($F219+I$4),Raw_Fund!$A:$A,0),
_xlpm.colNo,
MATCH(I$3,Raw_Fund!$E$1:$AZ$1,0),
_xlpm.val,
INDEX(Raw_Fund!$E:$AZ,_xlpm.rowNo,_xlpm.colNo),
IF(ISNUMBER(_xlpm.val),_xlpm.val*$H219,""))</f>
        <v/>
      </c>
      <c r="J219" s="6" t="str">
        <f>_xlfn.LET(
_xlpm.rowNo, MATCH($C219&amp;"|"&amp;
($F219+J$4),Raw_Fund!$A:$A,0),
_xlpm.colNo,
MATCH(J$3,Raw_Fund!$E$1:$AZ$1,0),
_xlpm.val,
INDEX(Raw_Fund!$E:$AZ,_xlpm.rowNo,_xlpm.colNo),
IF(ISNUMBER(_xlpm.val),_xlpm.val*$H219,""))</f>
        <v/>
      </c>
      <c r="K219" s="6" t="str">
        <f>_xlfn.LET(
_xlpm.rowNo, MATCH($C219&amp;"|"&amp;
($F219+K$4),Raw_Fund!$A:$A,0),
_xlpm.colNo,
MATCH(K$3,Raw_Fund!$E$1:$AZ$1,0),
_xlpm.val,
INDEX(Raw_Fund!$E:$AZ,_xlpm.rowNo,_xlpm.colNo),
IF(ISNUMBER(_xlpm.val),_xlpm.val*$H219,""))</f>
        <v/>
      </c>
      <c r="L219" s="6" t="str">
        <f>_xlfn.LET(
_xlpm.rowNo, MATCH($C219&amp;"|"&amp;
($F219+L$4),Raw_Fund!$A:$A,0),
_xlpm.colNo,
MATCH(L$3,Raw_Fund!$E$1:$AZ$1,0),
_xlpm.val,
INDEX(Raw_Fund!$E:$AZ,_xlpm.rowNo,_xlpm.colNo),
IF(ISNUMBER(_xlpm.val),_xlpm.val*$H219,""))</f>
        <v/>
      </c>
      <c r="M219" s="6" t="str">
        <f>_xlfn.LET(
_xlpm.rowNo, MATCH($C219&amp;"|"&amp;
($F219+M$4),Raw_Fund!$A:$A,0),
_xlpm.colNo,
MATCH(M$3,Raw_Fund!$E$1:$AZ$1,0),
_xlpm.val,
INDEX(Raw_Fund!$E:$AZ,_xlpm.rowNo,_xlpm.colNo),
IF(ISNUMBER(_xlpm.val),_xlpm.val*$H219,""))</f>
        <v/>
      </c>
      <c r="N219" s="6" t="str">
        <f>_xlfn.LET(
_xlpm.rowNo, MATCH($C219&amp;"|"&amp;
($F219+N$4),Raw_Fund!$A:$A,0),
_xlpm.colNo,
MATCH(N$3,Raw_Fund!$E$1:$AZ$1,0),
_xlpm.val,
INDEX(Raw_Fund!$E:$AZ,_xlpm.rowNo,_xlpm.colNo),
IF(ISNUMBER(_xlpm.val),_xlpm.val*$H219,""))</f>
        <v/>
      </c>
      <c r="O219" s="6" t="str">
        <f>_xlfn.LET(
_xlpm.rowNo, MATCH($C219&amp;"|"&amp;
($F219+O$4),Raw_Fund!$A:$A,0),
_xlpm.colNo,
MATCH(O$3,Raw_Fund!$E$1:$AZ$1,0),
_xlpm.val,
INDEX(Raw_Fund!$E:$AZ,_xlpm.rowNo,_xlpm.colNo),
IF(ISNUMBER(_xlpm.val),_xlpm.val*$H219,""))</f>
        <v/>
      </c>
      <c r="P219" s="6" t="str">
        <f>_xlfn.LET(
_xlpm.rowNo, MATCH($C219&amp;"|"&amp;
($F219+P$4),Raw_Fund!$A:$A,0),
_xlpm.colNo,
MATCH(P$3,Raw_Fund!$E$1:$AZ$1,0),
_xlpm.val,
INDEX(Raw_Fund!$E:$AZ,_xlpm.rowNo,_xlpm.colNo),
IF(ISNUMBER(_xlpm.val),_xlpm.val*$H219,""))</f>
        <v/>
      </c>
      <c r="Q219" s="6" t="str">
        <f>_xlfn.LET(
_xlpm.rowNo, MATCH($C219&amp;"|"&amp;
($F219+Q$4),Raw_Fund!$A:$A,0),
_xlpm.colNo,
MATCH(Q$3,Raw_Fund!$E$1:$AZ$1,0),
_xlpm.val,
INDEX(Raw_Fund!$E:$AZ,_xlpm.rowNo,_xlpm.colNo),
IF(ISNUMBER(_xlpm.val),_xlpm.val*$H219,""))</f>
        <v/>
      </c>
      <c r="R219" s="6" t="str">
        <f>_xlfn.LET(
_xlpm.rowNo, MATCH($C219&amp;"|"&amp;
($F219+R$4),Raw_Fund!$A:$A,0),
_xlpm.colNo,
MATCH(R$3,Raw_Fund!$E$1:$AZ$1,0),
_xlpm.val,
INDEX(Raw_Fund!$E:$AZ,_xlpm.rowNo,_xlpm.colNo),
IF(ISNUMBER(_xlpm.val),_xlpm.val*$H219,""))</f>
        <v/>
      </c>
      <c r="S219" s="6" t="str">
        <f>_xlfn.LET(
_xlpm.rowNo, MATCH($C219&amp;"|"&amp;
($F219+S$4),Raw_Fund!$A:$A,0),
_xlpm.colNo,
MATCH(S$3,Raw_Fund!$E$1:$AZ$1,0),
_xlpm.val,
INDEX(Raw_Fund!$E:$AZ,_xlpm.rowNo,_xlpm.colNo),
IF(ISNUMBER(_xlpm.val),_xlpm.val*$H219,""))</f>
        <v/>
      </c>
      <c r="T219" s="6" t="str">
        <f>_xlfn.LET(
_xlpm.rowNo, MATCH($C219&amp;"|"&amp;
($F219+T$4),Raw_Fund!$A:$A,0),
_xlpm.colNo,
MATCH(T$3,Raw_Fund!$E$1:$AZ$1,0),
_xlpm.val,
INDEX(Raw_Fund!$E:$AZ,_xlpm.rowNo,_xlpm.colNo),
IF(ISNUMBER(_xlpm.val),_xlpm.val*$H219,""))</f>
        <v/>
      </c>
      <c r="U219" s="6" t="str">
        <f>_xlfn.LET(
_xlpm.rowNo, MATCH($C219&amp;"|"&amp;
($F219+U$4),Raw_Fund!$A:$A,0),
_xlpm.colNo,
MATCH(U$3,Raw_Fund!$E$1:$AZ$1,0),
_xlpm.val,
INDEX(Raw_Fund!$E:$AZ,_xlpm.rowNo,_xlpm.colNo),
IF(ISNUMBER(_xlpm.val),_xlpm.val*$H219,""))</f>
        <v/>
      </c>
      <c r="V219" s="6" t="str">
        <f>_xlfn.LET(
_xlpm.rowNo, MATCH($C219&amp;"|"&amp;
($F219+V$4),Raw_Fund!$A:$A,0),
_xlpm.colNo,
MATCH(V$3,Raw_Fund!$E$1:$AZ$1,0),
_xlpm.val,
INDEX(Raw_Fund!$E:$AZ,_xlpm.rowNo,_xlpm.colNo),
IF(ISNUMBER(_xlpm.val),_xlpm.val*$H219,""))</f>
        <v/>
      </c>
      <c r="W219" s="6" t="str">
        <f>_xlfn.LET(
_xlpm.rowNo, MATCH($C219&amp;"|"&amp;
($F219+W$4),Raw_Fund!$A:$A,0),
_xlpm.colNo,
MATCH(W$3,Raw_Fund!$E$1:$AZ$1,0),
_xlpm.val,
INDEX(Raw_Fund!$E:$AZ,_xlpm.rowNo,_xlpm.colNo),
IF(ISNUMBER(_xlpm.val),_xlpm.val*$H219,""))</f>
        <v/>
      </c>
      <c r="X219" s="6" t="str">
        <f>_xlfn.LET(
_xlpm.rowNo, MATCH($C219&amp;"|"&amp;
($F219+X$4),Raw_Fund!$A:$A,0),
_xlpm.colNo,
MATCH(X$3,Raw_Fund!$E$1:$AZ$1,0),
_xlpm.val,
INDEX(Raw_Fund!$E:$AZ,_xlpm.rowNo,_xlpm.colNo),
IF(ISNUMBER(_xlpm.val),_xlpm.val*$H219,""))</f>
        <v/>
      </c>
      <c r="Y219" s="6" t="str">
        <f>_xlfn.LET(
_xlpm.rowNo, MATCH($C219&amp;"|"&amp;
($F219+Y$4),Raw_Fund!$A:$A,0),
_xlpm.colNo,
MATCH(Y$3,Raw_Fund!$E$1:$AZ$1,0),
_xlpm.val,
INDEX(Raw_Fund!$E:$AZ,_xlpm.rowNo,_xlpm.colNo),
IF(ISNUMBER(_xlpm.val),_xlpm.val*$H219,""))</f>
        <v/>
      </c>
      <c r="Z219" s="6" t="str">
        <f>IF($E219&lt;&gt;"Include","",_xlfn.XLOOKUP($C219,Raw_Mkt!$A:$A,Raw_Mkt!$B:$B))</f>
        <v/>
      </c>
    </row>
    <row r="220" spans="1:26" x14ac:dyDescent="0.4">
      <c r="A220" t="str">
        <f>IF(Universe!A220&lt;&gt;"",Universe!A220,"")</f>
        <v>SYNC</v>
      </c>
      <c r="B220" t="str">
        <f>IF(Universe!B220&lt;&gt;"",Universe!B220,"")</f>
        <v>Syncona</v>
      </c>
      <c r="C220" t="str">
        <f>IF(Universe!C220&lt;&gt;"",Universe!C220,"")</f>
        <v>GG00B8P59C08</v>
      </c>
      <c r="D220" t="str">
        <f>IF(Universe!D220&lt;&gt;"",Universe!D220,"")</f>
        <v>Financials</v>
      </c>
      <c r="E220" t="str">
        <f>Universe!G220</f>
        <v>Exclude</v>
      </c>
      <c r="F220" t="str">
        <f>IF($E220&lt;&gt;"Include","",_xlfn.LET(_xlpm.latest,_xlfn.MAXIFS(Raw_Fund!$C:$C,Raw_Fund!$B:$B,Data!$C220),IF(_xlpm.latest=0,"",_xlpm.latest)))</f>
        <v/>
      </c>
      <c r="G220" t="str">
        <f>IF($F220="","",INDEX(Raw_Fund!$E:$AZ,MATCH($C220&amp;"|"&amp;$F220,Raw_Fund!$A:$A,0),MATCH(G$3,Raw_Fund!$E$1:$AZ$1,0)))</f>
        <v/>
      </c>
      <c r="H220" t="str">
        <f t="shared" si="3"/>
        <v/>
      </c>
      <c r="I220" s="6" t="str">
        <f>_xlfn.LET(
_xlpm.rowNo, MATCH($C220&amp;"|"&amp;
($F220+I$4),Raw_Fund!$A:$A,0),
_xlpm.colNo,
MATCH(I$3,Raw_Fund!$E$1:$AZ$1,0),
_xlpm.val,
INDEX(Raw_Fund!$E:$AZ,_xlpm.rowNo,_xlpm.colNo),
IF(ISNUMBER(_xlpm.val),_xlpm.val*$H220,""))</f>
        <v/>
      </c>
      <c r="J220" s="6" t="str">
        <f>_xlfn.LET(
_xlpm.rowNo, MATCH($C220&amp;"|"&amp;
($F220+J$4),Raw_Fund!$A:$A,0),
_xlpm.colNo,
MATCH(J$3,Raw_Fund!$E$1:$AZ$1,0),
_xlpm.val,
INDEX(Raw_Fund!$E:$AZ,_xlpm.rowNo,_xlpm.colNo),
IF(ISNUMBER(_xlpm.val),_xlpm.val*$H220,""))</f>
        <v/>
      </c>
      <c r="K220" s="6" t="str">
        <f>_xlfn.LET(
_xlpm.rowNo, MATCH($C220&amp;"|"&amp;
($F220+K$4),Raw_Fund!$A:$A,0),
_xlpm.colNo,
MATCH(K$3,Raw_Fund!$E$1:$AZ$1,0),
_xlpm.val,
INDEX(Raw_Fund!$E:$AZ,_xlpm.rowNo,_xlpm.colNo),
IF(ISNUMBER(_xlpm.val),_xlpm.val*$H220,""))</f>
        <v/>
      </c>
      <c r="L220" s="6" t="str">
        <f>_xlfn.LET(
_xlpm.rowNo, MATCH($C220&amp;"|"&amp;
($F220+L$4),Raw_Fund!$A:$A,0),
_xlpm.colNo,
MATCH(L$3,Raw_Fund!$E$1:$AZ$1,0),
_xlpm.val,
INDEX(Raw_Fund!$E:$AZ,_xlpm.rowNo,_xlpm.colNo),
IF(ISNUMBER(_xlpm.val),_xlpm.val*$H220,""))</f>
        <v/>
      </c>
      <c r="M220" s="6" t="str">
        <f>_xlfn.LET(
_xlpm.rowNo, MATCH($C220&amp;"|"&amp;
($F220+M$4),Raw_Fund!$A:$A,0),
_xlpm.colNo,
MATCH(M$3,Raw_Fund!$E$1:$AZ$1,0),
_xlpm.val,
INDEX(Raw_Fund!$E:$AZ,_xlpm.rowNo,_xlpm.colNo),
IF(ISNUMBER(_xlpm.val),_xlpm.val*$H220,""))</f>
        <v/>
      </c>
      <c r="N220" s="6" t="str">
        <f>_xlfn.LET(
_xlpm.rowNo, MATCH($C220&amp;"|"&amp;
($F220+N$4),Raw_Fund!$A:$A,0),
_xlpm.colNo,
MATCH(N$3,Raw_Fund!$E$1:$AZ$1,0),
_xlpm.val,
INDEX(Raw_Fund!$E:$AZ,_xlpm.rowNo,_xlpm.colNo),
IF(ISNUMBER(_xlpm.val),_xlpm.val*$H220,""))</f>
        <v/>
      </c>
      <c r="O220" s="6" t="str">
        <f>_xlfn.LET(
_xlpm.rowNo, MATCH($C220&amp;"|"&amp;
($F220+O$4),Raw_Fund!$A:$A,0),
_xlpm.colNo,
MATCH(O$3,Raw_Fund!$E$1:$AZ$1,0),
_xlpm.val,
INDEX(Raw_Fund!$E:$AZ,_xlpm.rowNo,_xlpm.colNo),
IF(ISNUMBER(_xlpm.val),_xlpm.val*$H220,""))</f>
        <v/>
      </c>
      <c r="P220" s="6" t="str">
        <f>_xlfn.LET(
_xlpm.rowNo, MATCH($C220&amp;"|"&amp;
($F220+P$4),Raw_Fund!$A:$A,0),
_xlpm.colNo,
MATCH(P$3,Raw_Fund!$E$1:$AZ$1,0),
_xlpm.val,
INDEX(Raw_Fund!$E:$AZ,_xlpm.rowNo,_xlpm.colNo),
IF(ISNUMBER(_xlpm.val),_xlpm.val*$H220,""))</f>
        <v/>
      </c>
      <c r="Q220" s="6" t="str">
        <f>_xlfn.LET(
_xlpm.rowNo, MATCH($C220&amp;"|"&amp;
($F220+Q$4),Raw_Fund!$A:$A,0),
_xlpm.colNo,
MATCH(Q$3,Raw_Fund!$E$1:$AZ$1,0),
_xlpm.val,
INDEX(Raw_Fund!$E:$AZ,_xlpm.rowNo,_xlpm.colNo),
IF(ISNUMBER(_xlpm.val),_xlpm.val*$H220,""))</f>
        <v/>
      </c>
      <c r="R220" s="6" t="str">
        <f>_xlfn.LET(
_xlpm.rowNo, MATCH($C220&amp;"|"&amp;
($F220+R$4),Raw_Fund!$A:$A,0),
_xlpm.colNo,
MATCH(R$3,Raw_Fund!$E$1:$AZ$1,0),
_xlpm.val,
INDEX(Raw_Fund!$E:$AZ,_xlpm.rowNo,_xlpm.colNo),
IF(ISNUMBER(_xlpm.val),_xlpm.val*$H220,""))</f>
        <v/>
      </c>
      <c r="S220" s="6" t="str">
        <f>_xlfn.LET(
_xlpm.rowNo, MATCH($C220&amp;"|"&amp;
($F220+S$4),Raw_Fund!$A:$A,0),
_xlpm.colNo,
MATCH(S$3,Raw_Fund!$E$1:$AZ$1,0),
_xlpm.val,
INDEX(Raw_Fund!$E:$AZ,_xlpm.rowNo,_xlpm.colNo),
IF(ISNUMBER(_xlpm.val),_xlpm.val*$H220,""))</f>
        <v/>
      </c>
      <c r="T220" s="6" t="str">
        <f>_xlfn.LET(
_xlpm.rowNo, MATCH($C220&amp;"|"&amp;
($F220+T$4),Raw_Fund!$A:$A,0),
_xlpm.colNo,
MATCH(T$3,Raw_Fund!$E$1:$AZ$1,0),
_xlpm.val,
INDEX(Raw_Fund!$E:$AZ,_xlpm.rowNo,_xlpm.colNo),
IF(ISNUMBER(_xlpm.val),_xlpm.val*$H220,""))</f>
        <v/>
      </c>
      <c r="U220" s="6" t="str">
        <f>_xlfn.LET(
_xlpm.rowNo, MATCH($C220&amp;"|"&amp;
($F220+U$4),Raw_Fund!$A:$A,0),
_xlpm.colNo,
MATCH(U$3,Raw_Fund!$E$1:$AZ$1,0),
_xlpm.val,
INDEX(Raw_Fund!$E:$AZ,_xlpm.rowNo,_xlpm.colNo),
IF(ISNUMBER(_xlpm.val),_xlpm.val*$H220,""))</f>
        <v/>
      </c>
      <c r="V220" s="6" t="str">
        <f>_xlfn.LET(
_xlpm.rowNo, MATCH($C220&amp;"|"&amp;
($F220+V$4),Raw_Fund!$A:$A,0),
_xlpm.colNo,
MATCH(V$3,Raw_Fund!$E$1:$AZ$1,0),
_xlpm.val,
INDEX(Raw_Fund!$E:$AZ,_xlpm.rowNo,_xlpm.colNo),
IF(ISNUMBER(_xlpm.val),_xlpm.val*$H220,""))</f>
        <v/>
      </c>
      <c r="W220" s="6" t="str">
        <f>_xlfn.LET(
_xlpm.rowNo, MATCH($C220&amp;"|"&amp;
($F220+W$4),Raw_Fund!$A:$A,0),
_xlpm.colNo,
MATCH(W$3,Raw_Fund!$E$1:$AZ$1,0),
_xlpm.val,
INDEX(Raw_Fund!$E:$AZ,_xlpm.rowNo,_xlpm.colNo),
IF(ISNUMBER(_xlpm.val),_xlpm.val*$H220,""))</f>
        <v/>
      </c>
      <c r="X220" s="6" t="str">
        <f>_xlfn.LET(
_xlpm.rowNo, MATCH($C220&amp;"|"&amp;
($F220+X$4),Raw_Fund!$A:$A,0),
_xlpm.colNo,
MATCH(X$3,Raw_Fund!$E$1:$AZ$1,0),
_xlpm.val,
INDEX(Raw_Fund!$E:$AZ,_xlpm.rowNo,_xlpm.colNo),
IF(ISNUMBER(_xlpm.val),_xlpm.val*$H220,""))</f>
        <v/>
      </c>
      <c r="Y220" s="6" t="str">
        <f>_xlfn.LET(
_xlpm.rowNo, MATCH($C220&amp;"|"&amp;
($F220+Y$4),Raw_Fund!$A:$A,0),
_xlpm.colNo,
MATCH(Y$3,Raw_Fund!$E$1:$AZ$1,0),
_xlpm.val,
INDEX(Raw_Fund!$E:$AZ,_xlpm.rowNo,_xlpm.colNo),
IF(ISNUMBER(_xlpm.val),_xlpm.val*$H220,""))</f>
        <v/>
      </c>
      <c r="Z220" s="6" t="str">
        <f>IF($E220&lt;&gt;"Include","",_xlfn.XLOOKUP($C220,Raw_Mkt!$A:$A,Raw_Mkt!$B:$B))</f>
        <v/>
      </c>
    </row>
    <row r="221" spans="1:26" x14ac:dyDescent="0.4">
      <c r="A221" t="str">
        <f>IF(Universe!A221&lt;&gt;"",Universe!A221,"")</f>
        <v>THRL</v>
      </c>
      <c r="B221" t="str">
        <f>IF(Universe!B221&lt;&gt;"",Universe!B221,"")</f>
        <v>Target Healthcare REIT</v>
      </c>
      <c r="C221" t="str">
        <f>IF(Universe!C221&lt;&gt;"",Universe!C221,"")</f>
        <v>GB00BJGTLF51</v>
      </c>
      <c r="D221" t="str">
        <f>IF(Universe!D221&lt;&gt;"",Universe!D221,"")</f>
        <v>Real Estate</v>
      </c>
      <c r="E221" t="str">
        <f>Universe!G221</f>
        <v>Exclude</v>
      </c>
      <c r="F221" t="str">
        <f>IF($E221&lt;&gt;"Include","",_xlfn.LET(_xlpm.latest,_xlfn.MAXIFS(Raw_Fund!$C:$C,Raw_Fund!$B:$B,Data!$C221),IF(_xlpm.latest=0,"",_xlpm.latest)))</f>
        <v/>
      </c>
      <c r="G221" t="str">
        <f>IF($F221="","",INDEX(Raw_Fund!$E:$AZ,MATCH($C221&amp;"|"&amp;$F221,Raw_Fund!$A:$A,0),MATCH(G$3,Raw_Fund!$E$1:$AZ$1,0)))</f>
        <v/>
      </c>
      <c r="H221" t="str">
        <f t="shared" si="3"/>
        <v/>
      </c>
      <c r="I221" s="6" t="str">
        <f>_xlfn.LET(
_xlpm.rowNo, MATCH($C221&amp;"|"&amp;
($F221+I$4),Raw_Fund!$A:$A,0),
_xlpm.colNo,
MATCH(I$3,Raw_Fund!$E$1:$AZ$1,0),
_xlpm.val,
INDEX(Raw_Fund!$E:$AZ,_xlpm.rowNo,_xlpm.colNo),
IF(ISNUMBER(_xlpm.val),_xlpm.val*$H221,""))</f>
        <v/>
      </c>
      <c r="J221" s="6" t="str">
        <f>_xlfn.LET(
_xlpm.rowNo, MATCH($C221&amp;"|"&amp;
($F221+J$4),Raw_Fund!$A:$A,0),
_xlpm.colNo,
MATCH(J$3,Raw_Fund!$E$1:$AZ$1,0),
_xlpm.val,
INDEX(Raw_Fund!$E:$AZ,_xlpm.rowNo,_xlpm.colNo),
IF(ISNUMBER(_xlpm.val),_xlpm.val*$H221,""))</f>
        <v/>
      </c>
      <c r="K221" s="6" t="str">
        <f>_xlfn.LET(
_xlpm.rowNo, MATCH($C221&amp;"|"&amp;
($F221+K$4),Raw_Fund!$A:$A,0),
_xlpm.colNo,
MATCH(K$3,Raw_Fund!$E$1:$AZ$1,0),
_xlpm.val,
INDEX(Raw_Fund!$E:$AZ,_xlpm.rowNo,_xlpm.colNo),
IF(ISNUMBER(_xlpm.val),_xlpm.val*$H221,""))</f>
        <v/>
      </c>
      <c r="L221" s="6" t="str">
        <f>_xlfn.LET(
_xlpm.rowNo, MATCH($C221&amp;"|"&amp;
($F221+L$4),Raw_Fund!$A:$A,0),
_xlpm.colNo,
MATCH(L$3,Raw_Fund!$E$1:$AZ$1,0),
_xlpm.val,
INDEX(Raw_Fund!$E:$AZ,_xlpm.rowNo,_xlpm.colNo),
IF(ISNUMBER(_xlpm.val),_xlpm.val*$H221,""))</f>
        <v/>
      </c>
      <c r="M221" s="6" t="str">
        <f>_xlfn.LET(
_xlpm.rowNo, MATCH($C221&amp;"|"&amp;
($F221+M$4),Raw_Fund!$A:$A,0),
_xlpm.colNo,
MATCH(M$3,Raw_Fund!$E$1:$AZ$1,0),
_xlpm.val,
INDEX(Raw_Fund!$E:$AZ,_xlpm.rowNo,_xlpm.colNo),
IF(ISNUMBER(_xlpm.val),_xlpm.val*$H221,""))</f>
        <v/>
      </c>
      <c r="N221" s="6" t="str">
        <f>_xlfn.LET(
_xlpm.rowNo, MATCH($C221&amp;"|"&amp;
($F221+N$4),Raw_Fund!$A:$A,0),
_xlpm.colNo,
MATCH(N$3,Raw_Fund!$E$1:$AZ$1,0),
_xlpm.val,
INDEX(Raw_Fund!$E:$AZ,_xlpm.rowNo,_xlpm.colNo),
IF(ISNUMBER(_xlpm.val),_xlpm.val*$H221,""))</f>
        <v/>
      </c>
      <c r="O221" s="6" t="str">
        <f>_xlfn.LET(
_xlpm.rowNo, MATCH($C221&amp;"|"&amp;
($F221+O$4),Raw_Fund!$A:$A,0),
_xlpm.colNo,
MATCH(O$3,Raw_Fund!$E$1:$AZ$1,0),
_xlpm.val,
INDEX(Raw_Fund!$E:$AZ,_xlpm.rowNo,_xlpm.colNo),
IF(ISNUMBER(_xlpm.val),_xlpm.val*$H221,""))</f>
        <v/>
      </c>
      <c r="P221" s="6" t="str">
        <f>_xlfn.LET(
_xlpm.rowNo, MATCH($C221&amp;"|"&amp;
($F221+P$4),Raw_Fund!$A:$A,0),
_xlpm.colNo,
MATCH(P$3,Raw_Fund!$E$1:$AZ$1,0),
_xlpm.val,
INDEX(Raw_Fund!$E:$AZ,_xlpm.rowNo,_xlpm.colNo),
IF(ISNUMBER(_xlpm.val),_xlpm.val*$H221,""))</f>
        <v/>
      </c>
      <c r="Q221" s="6" t="str">
        <f>_xlfn.LET(
_xlpm.rowNo, MATCH($C221&amp;"|"&amp;
($F221+Q$4),Raw_Fund!$A:$A,0),
_xlpm.colNo,
MATCH(Q$3,Raw_Fund!$E$1:$AZ$1,0),
_xlpm.val,
INDEX(Raw_Fund!$E:$AZ,_xlpm.rowNo,_xlpm.colNo),
IF(ISNUMBER(_xlpm.val),_xlpm.val*$H221,""))</f>
        <v/>
      </c>
      <c r="R221" s="6" t="str">
        <f>_xlfn.LET(
_xlpm.rowNo, MATCH($C221&amp;"|"&amp;
($F221+R$4),Raw_Fund!$A:$A,0),
_xlpm.colNo,
MATCH(R$3,Raw_Fund!$E$1:$AZ$1,0),
_xlpm.val,
INDEX(Raw_Fund!$E:$AZ,_xlpm.rowNo,_xlpm.colNo),
IF(ISNUMBER(_xlpm.val),_xlpm.val*$H221,""))</f>
        <v/>
      </c>
      <c r="S221" s="6" t="str">
        <f>_xlfn.LET(
_xlpm.rowNo, MATCH($C221&amp;"|"&amp;
($F221+S$4),Raw_Fund!$A:$A,0),
_xlpm.colNo,
MATCH(S$3,Raw_Fund!$E$1:$AZ$1,0),
_xlpm.val,
INDEX(Raw_Fund!$E:$AZ,_xlpm.rowNo,_xlpm.colNo),
IF(ISNUMBER(_xlpm.val),_xlpm.val*$H221,""))</f>
        <v/>
      </c>
      <c r="T221" s="6" t="str">
        <f>_xlfn.LET(
_xlpm.rowNo, MATCH($C221&amp;"|"&amp;
($F221+T$4),Raw_Fund!$A:$A,0),
_xlpm.colNo,
MATCH(T$3,Raw_Fund!$E$1:$AZ$1,0),
_xlpm.val,
INDEX(Raw_Fund!$E:$AZ,_xlpm.rowNo,_xlpm.colNo),
IF(ISNUMBER(_xlpm.val),_xlpm.val*$H221,""))</f>
        <v/>
      </c>
      <c r="U221" s="6" t="str">
        <f>_xlfn.LET(
_xlpm.rowNo, MATCH($C221&amp;"|"&amp;
($F221+U$4),Raw_Fund!$A:$A,0),
_xlpm.colNo,
MATCH(U$3,Raw_Fund!$E$1:$AZ$1,0),
_xlpm.val,
INDEX(Raw_Fund!$E:$AZ,_xlpm.rowNo,_xlpm.colNo),
IF(ISNUMBER(_xlpm.val),_xlpm.val*$H221,""))</f>
        <v/>
      </c>
      <c r="V221" s="6" t="str">
        <f>_xlfn.LET(
_xlpm.rowNo, MATCH($C221&amp;"|"&amp;
($F221+V$4),Raw_Fund!$A:$A,0),
_xlpm.colNo,
MATCH(V$3,Raw_Fund!$E$1:$AZ$1,0),
_xlpm.val,
INDEX(Raw_Fund!$E:$AZ,_xlpm.rowNo,_xlpm.colNo),
IF(ISNUMBER(_xlpm.val),_xlpm.val*$H221,""))</f>
        <v/>
      </c>
      <c r="W221" s="6" t="str">
        <f>_xlfn.LET(
_xlpm.rowNo, MATCH($C221&amp;"|"&amp;
($F221+W$4),Raw_Fund!$A:$A,0),
_xlpm.colNo,
MATCH(W$3,Raw_Fund!$E$1:$AZ$1,0),
_xlpm.val,
INDEX(Raw_Fund!$E:$AZ,_xlpm.rowNo,_xlpm.colNo),
IF(ISNUMBER(_xlpm.val),_xlpm.val*$H221,""))</f>
        <v/>
      </c>
      <c r="X221" s="6" t="str">
        <f>_xlfn.LET(
_xlpm.rowNo, MATCH($C221&amp;"|"&amp;
($F221+X$4),Raw_Fund!$A:$A,0),
_xlpm.colNo,
MATCH(X$3,Raw_Fund!$E$1:$AZ$1,0),
_xlpm.val,
INDEX(Raw_Fund!$E:$AZ,_xlpm.rowNo,_xlpm.colNo),
IF(ISNUMBER(_xlpm.val),_xlpm.val*$H221,""))</f>
        <v/>
      </c>
      <c r="Y221" s="6" t="str">
        <f>_xlfn.LET(
_xlpm.rowNo, MATCH($C221&amp;"|"&amp;
($F221+Y$4),Raw_Fund!$A:$A,0),
_xlpm.colNo,
MATCH(Y$3,Raw_Fund!$E$1:$AZ$1,0),
_xlpm.val,
INDEX(Raw_Fund!$E:$AZ,_xlpm.rowNo,_xlpm.colNo),
IF(ISNUMBER(_xlpm.val),_xlpm.val*$H221,""))</f>
        <v/>
      </c>
      <c r="Z221" s="6" t="str">
        <f>IF($E221&lt;&gt;"Include","",_xlfn.XLOOKUP($C221,Raw_Mkt!$A:$A,Raw_Mkt!$B:$B))</f>
        <v/>
      </c>
    </row>
    <row r="222" spans="1:26" x14ac:dyDescent="0.4">
      <c r="A222" t="str">
        <f>IF(Universe!A222&lt;&gt;"",Universe!A222,"")</f>
        <v>TATE</v>
      </c>
      <c r="B222" t="str">
        <f>IF(Universe!B222&lt;&gt;"",Universe!B222,"")</f>
        <v>Tate &amp; Lyle</v>
      </c>
      <c r="C222" t="str">
        <f>IF(Universe!C222&lt;&gt;"",Universe!C222,"")</f>
        <v>GB00BP92CJ43</v>
      </c>
      <c r="D222" t="str">
        <f>IF(Universe!D222&lt;&gt;"",Universe!D222,"")</f>
        <v>Consumer Staples</v>
      </c>
      <c r="E222" t="str">
        <f>Universe!G222</f>
        <v>Include</v>
      </c>
      <c r="F222" t="str">
        <f>IF($E222&lt;&gt;"Include","",_xlfn.LET(_xlpm.latest,_xlfn.MAXIFS(Raw_Fund!$C:$C,Raw_Fund!$B:$B,Data!$C222),IF(_xlpm.latest=0,"",_xlpm.latest)))</f>
        <v/>
      </c>
      <c r="G222" t="str">
        <f>IF($F222="","",INDEX(Raw_Fund!$E:$AZ,MATCH($C222&amp;"|"&amp;$F222,Raw_Fund!$A:$A,0),MATCH(G$3,Raw_Fund!$E$1:$AZ$1,0)))</f>
        <v/>
      </c>
      <c r="H222" t="str">
        <f t="shared" si="3"/>
        <v/>
      </c>
      <c r="I222" s="6" t="str">
        <f>_xlfn.LET(
_xlpm.rowNo, MATCH($C222&amp;"|"&amp;
($F222+I$4),Raw_Fund!$A:$A,0),
_xlpm.colNo,
MATCH(I$3,Raw_Fund!$E$1:$AZ$1,0),
_xlpm.val,
INDEX(Raw_Fund!$E:$AZ,_xlpm.rowNo,_xlpm.colNo),
IF(ISNUMBER(_xlpm.val),_xlpm.val*$H222,""))</f>
        <v/>
      </c>
      <c r="J222" s="6" t="str">
        <f>_xlfn.LET(
_xlpm.rowNo, MATCH($C222&amp;"|"&amp;
($F222+J$4),Raw_Fund!$A:$A,0),
_xlpm.colNo,
MATCH(J$3,Raw_Fund!$E$1:$AZ$1,0),
_xlpm.val,
INDEX(Raw_Fund!$E:$AZ,_xlpm.rowNo,_xlpm.colNo),
IF(ISNUMBER(_xlpm.val),_xlpm.val*$H222,""))</f>
        <v/>
      </c>
      <c r="K222" s="6" t="str">
        <f>_xlfn.LET(
_xlpm.rowNo, MATCH($C222&amp;"|"&amp;
($F222+K$4),Raw_Fund!$A:$A,0),
_xlpm.colNo,
MATCH(K$3,Raw_Fund!$E$1:$AZ$1,0),
_xlpm.val,
INDEX(Raw_Fund!$E:$AZ,_xlpm.rowNo,_xlpm.colNo),
IF(ISNUMBER(_xlpm.val),_xlpm.val*$H222,""))</f>
        <v/>
      </c>
      <c r="L222" s="6" t="str">
        <f>_xlfn.LET(
_xlpm.rowNo, MATCH($C222&amp;"|"&amp;
($F222+L$4),Raw_Fund!$A:$A,0),
_xlpm.colNo,
MATCH(L$3,Raw_Fund!$E$1:$AZ$1,0),
_xlpm.val,
INDEX(Raw_Fund!$E:$AZ,_xlpm.rowNo,_xlpm.colNo),
IF(ISNUMBER(_xlpm.val),_xlpm.val*$H222,""))</f>
        <v/>
      </c>
      <c r="M222" s="6" t="str">
        <f>_xlfn.LET(
_xlpm.rowNo, MATCH($C222&amp;"|"&amp;
($F222+M$4),Raw_Fund!$A:$A,0),
_xlpm.colNo,
MATCH(M$3,Raw_Fund!$E$1:$AZ$1,0),
_xlpm.val,
INDEX(Raw_Fund!$E:$AZ,_xlpm.rowNo,_xlpm.colNo),
IF(ISNUMBER(_xlpm.val),_xlpm.val*$H222,""))</f>
        <v/>
      </c>
      <c r="N222" s="6" t="str">
        <f>_xlfn.LET(
_xlpm.rowNo, MATCH($C222&amp;"|"&amp;
($F222+N$4),Raw_Fund!$A:$A,0),
_xlpm.colNo,
MATCH(N$3,Raw_Fund!$E$1:$AZ$1,0),
_xlpm.val,
INDEX(Raw_Fund!$E:$AZ,_xlpm.rowNo,_xlpm.colNo),
IF(ISNUMBER(_xlpm.val),_xlpm.val*$H222,""))</f>
        <v/>
      </c>
      <c r="O222" s="6" t="str">
        <f>_xlfn.LET(
_xlpm.rowNo, MATCH($C222&amp;"|"&amp;
($F222+O$4),Raw_Fund!$A:$A,0),
_xlpm.colNo,
MATCH(O$3,Raw_Fund!$E$1:$AZ$1,0),
_xlpm.val,
INDEX(Raw_Fund!$E:$AZ,_xlpm.rowNo,_xlpm.colNo),
IF(ISNUMBER(_xlpm.val),_xlpm.val*$H222,""))</f>
        <v/>
      </c>
      <c r="P222" s="6" t="str">
        <f>_xlfn.LET(
_xlpm.rowNo, MATCH($C222&amp;"|"&amp;
($F222+P$4),Raw_Fund!$A:$A,0),
_xlpm.colNo,
MATCH(P$3,Raw_Fund!$E$1:$AZ$1,0),
_xlpm.val,
INDEX(Raw_Fund!$E:$AZ,_xlpm.rowNo,_xlpm.colNo),
IF(ISNUMBER(_xlpm.val),_xlpm.val*$H222,""))</f>
        <v/>
      </c>
      <c r="Q222" s="6" t="str">
        <f>_xlfn.LET(
_xlpm.rowNo, MATCH($C222&amp;"|"&amp;
($F222+Q$4),Raw_Fund!$A:$A,0),
_xlpm.colNo,
MATCH(Q$3,Raw_Fund!$E$1:$AZ$1,0),
_xlpm.val,
INDEX(Raw_Fund!$E:$AZ,_xlpm.rowNo,_xlpm.colNo),
IF(ISNUMBER(_xlpm.val),_xlpm.val*$H222,""))</f>
        <v/>
      </c>
      <c r="R222" s="6" t="str">
        <f>_xlfn.LET(
_xlpm.rowNo, MATCH($C222&amp;"|"&amp;
($F222+R$4),Raw_Fund!$A:$A,0),
_xlpm.colNo,
MATCH(R$3,Raw_Fund!$E$1:$AZ$1,0),
_xlpm.val,
INDEX(Raw_Fund!$E:$AZ,_xlpm.rowNo,_xlpm.colNo),
IF(ISNUMBER(_xlpm.val),_xlpm.val*$H222,""))</f>
        <v/>
      </c>
      <c r="S222" s="6" t="str">
        <f>_xlfn.LET(
_xlpm.rowNo, MATCH($C222&amp;"|"&amp;
($F222+S$4),Raw_Fund!$A:$A,0),
_xlpm.colNo,
MATCH(S$3,Raw_Fund!$E$1:$AZ$1,0),
_xlpm.val,
INDEX(Raw_Fund!$E:$AZ,_xlpm.rowNo,_xlpm.colNo),
IF(ISNUMBER(_xlpm.val),_xlpm.val*$H222,""))</f>
        <v/>
      </c>
      <c r="T222" s="6" t="str">
        <f>_xlfn.LET(
_xlpm.rowNo, MATCH($C222&amp;"|"&amp;
($F222+T$4),Raw_Fund!$A:$A,0),
_xlpm.colNo,
MATCH(T$3,Raw_Fund!$E$1:$AZ$1,0),
_xlpm.val,
INDEX(Raw_Fund!$E:$AZ,_xlpm.rowNo,_xlpm.colNo),
IF(ISNUMBER(_xlpm.val),_xlpm.val*$H222,""))</f>
        <v/>
      </c>
      <c r="U222" s="6" t="str">
        <f>_xlfn.LET(
_xlpm.rowNo, MATCH($C222&amp;"|"&amp;
($F222+U$4),Raw_Fund!$A:$A,0),
_xlpm.colNo,
MATCH(U$3,Raw_Fund!$E$1:$AZ$1,0),
_xlpm.val,
INDEX(Raw_Fund!$E:$AZ,_xlpm.rowNo,_xlpm.colNo),
IF(ISNUMBER(_xlpm.val),_xlpm.val*$H222,""))</f>
        <v/>
      </c>
      <c r="V222" s="6" t="str">
        <f>_xlfn.LET(
_xlpm.rowNo, MATCH($C222&amp;"|"&amp;
($F222+V$4),Raw_Fund!$A:$A,0),
_xlpm.colNo,
MATCH(V$3,Raw_Fund!$E$1:$AZ$1,0),
_xlpm.val,
INDEX(Raw_Fund!$E:$AZ,_xlpm.rowNo,_xlpm.colNo),
IF(ISNUMBER(_xlpm.val),_xlpm.val*$H222,""))</f>
        <v/>
      </c>
      <c r="W222" s="6" t="str">
        <f>_xlfn.LET(
_xlpm.rowNo, MATCH($C222&amp;"|"&amp;
($F222+W$4),Raw_Fund!$A:$A,0),
_xlpm.colNo,
MATCH(W$3,Raw_Fund!$E$1:$AZ$1,0),
_xlpm.val,
INDEX(Raw_Fund!$E:$AZ,_xlpm.rowNo,_xlpm.colNo),
IF(ISNUMBER(_xlpm.val),_xlpm.val*$H222,""))</f>
        <v/>
      </c>
      <c r="X222" s="6" t="str">
        <f>_xlfn.LET(
_xlpm.rowNo, MATCH($C222&amp;"|"&amp;
($F222+X$4),Raw_Fund!$A:$A,0),
_xlpm.colNo,
MATCH(X$3,Raw_Fund!$E$1:$AZ$1,0),
_xlpm.val,
INDEX(Raw_Fund!$E:$AZ,_xlpm.rowNo,_xlpm.colNo),
IF(ISNUMBER(_xlpm.val),_xlpm.val*$H222,""))</f>
        <v/>
      </c>
      <c r="Y222" s="6" t="str">
        <f>_xlfn.LET(
_xlpm.rowNo, MATCH($C222&amp;"|"&amp;
($F222+Y$4),Raw_Fund!$A:$A,0),
_xlpm.colNo,
MATCH(Y$3,Raw_Fund!$E$1:$AZ$1,0),
_xlpm.val,
INDEX(Raw_Fund!$E:$AZ,_xlpm.rowNo,_xlpm.colNo),
IF(ISNUMBER(_xlpm.val),_xlpm.val*$H222,""))</f>
        <v/>
      </c>
      <c r="Z222" s="6" t="e">
        <f>IF($E222&lt;&gt;"Include","",_xlfn.XLOOKUP($C222,Raw_Mkt!$A:$A,Raw_Mkt!$B:$B))</f>
        <v>#N/A</v>
      </c>
    </row>
    <row r="223" spans="1:26" x14ac:dyDescent="0.4">
      <c r="A223" t="str">
        <f>IF(Universe!A223&lt;&gt;"",Universe!A223,"")</f>
        <v>TW</v>
      </c>
      <c r="B223" t="str">
        <f>IF(Universe!B223&lt;&gt;"",Universe!B223,"")</f>
        <v>Taylor Wimpey</v>
      </c>
      <c r="C223" t="str">
        <f>IF(Universe!C223&lt;&gt;"",Universe!C223,"")</f>
        <v>GB0008782301</v>
      </c>
      <c r="D223" t="str">
        <f>IF(Universe!D223&lt;&gt;"",Universe!D223,"")</f>
        <v>Consumer Discretionary</v>
      </c>
      <c r="E223" t="str">
        <f>Universe!G223</f>
        <v>Include</v>
      </c>
      <c r="F223" t="str">
        <f>IF($E223&lt;&gt;"Include","",_xlfn.LET(_xlpm.latest,_xlfn.MAXIFS(Raw_Fund!$C:$C,Raw_Fund!$B:$B,Data!$C223),IF(_xlpm.latest=0,"",_xlpm.latest)))</f>
        <v/>
      </c>
      <c r="G223" t="str">
        <f>IF($F223="","",INDEX(Raw_Fund!$E:$AZ,MATCH($C223&amp;"|"&amp;$F223,Raw_Fund!$A:$A,0),MATCH(G$3,Raw_Fund!$E$1:$AZ$1,0)))</f>
        <v/>
      </c>
      <c r="H223" t="str">
        <f t="shared" si="3"/>
        <v/>
      </c>
      <c r="I223" s="6" t="str">
        <f>_xlfn.LET(
_xlpm.rowNo, MATCH($C223&amp;"|"&amp;
($F223+I$4),Raw_Fund!$A:$A,0),
_xlpm.colNo,
MATCH(I$3,Raw_Fund!$E$1:$AZ$1,0),
_xlpm.val,
INDEX(Raw_Fund!$E:$AZ,_xlpm.rowNo,_xlpm.colNo),
IF(ISNUMBER(_xlpm.val),_xlpm.val*$H223,""))</f>
        <v/>
      </c>
      <c r="J223" s="6" t="str">
        <f>_xlfn.LET(
_xlpm.rowNo, MATCH($C223&amp;"|"&amp;
($F223+J$4),Raw_Fund!$A:$A,0),
_xlpm.colNo,
MATCH(J$3,Raw_Fund!$E$1:$AZ$1,0),
_xlpm.val,
INDEX(Raw_Fund!$E:$AZ,_xlpm.rowNo,_xlpm.colNo),
IF(ISNUMBER(_xlpm.val),_xlpm.val*$H223,""))</f>
        <v/>
      </c>
      <c r="K223" s="6" t="str">
        <f>_xlfn.LET(
_xlpm.rowNo, MATCH($C223&amp;"|"&amp;
($F223+K$4),Raw_Fund!$A:$A,0),
_xlpm.colNo,
MATCH(K$3,Raw_Fund!$E$1:$AZ$1,0),
_xlpm.val,
INDEX(Raw_Fund!$E:$AZ,_xlpm.rowNo,_xlpm.colNo),
IF(ISNUMBER(_xlpm.val),_xlpm.val*$H223,""))</f>
        <v/>
      </c>
      <c r="L223" s="6" t="str">
        <f>_xlfn.LET(
_xlpm.rowNo, MATCH($C223&amp;"|"&amp;
($F223+L$4),Raw_Fund!$A:$A,0),
_xlpm.colNo,
MATCH(L$3,Raw_Fund!$E$1:$AZ$1,0),
_xlpm.val,
INDEX(Raw_Fund!$E:$AZ,_xlpm.rowNo,_xlpm.colNo),
IF(ISNUMBER(_xlpm.val),_xlpm.val*$H223,""))</f>
        <v/>
      </c>
      <c r="M223" s="6" t="str">
        <f>_xlfn.LET(
_xlpm.rowNo, MATCH($C223&amp;"|"&amp;
($F223+M$4),Raw_Fund!$A:$A,0),
_xlpm.colNo,
MATCH(M$3,Raw_Fund!$E$1:$AZ$1,0),
_xlpm.val,
INDEX(Raw_Fund!$E:$AZ,_xlpm.rowNo,_xlpm.colNo),
IF(ISNUMBER(_xlpm.val),_xlpm.val*$H223,""))</f>
        <v/>
      </c>
      <c r="N223" s="6" t="str">
        <f>_xlfn.LET(
_xlpm.rowNo, MATCH($C223&amp;"|"&amp;
($F223+N$4),Raw_Fund!$A:$A,0),
_xlpm.colNo,
MATCH(N$3,Raw_Fund!$E$1:$AZ$1,0),
_xlpm.val,
INDEX(Raw_Fund!$E:$AZ,_xlpm.rowNo,_xlpm.colNo),
IF(ISNUMBER(_xlpm.val),_xlpm.val*$H223,""))</f>
        <v/>
      </c>
      <c r="O223" s="6" t="str">
        <f>_xlfn.LET(
_xlpm.rowNo, MATCH($C223&amp;"|"&amp;
($F223+O$4),Raw_Fund!$A:$A,0),
_xlpm.colNo,
MATCH(O$3,Raw_Fund!$E$1:$AZ$1,0),
_xlpm.val,
INDEX(Raw_Fund!$E:$AZ,_xlpm.rowNo,_xlpm.colNo),
IF(ISNUMBER(_xlpm.val),_xlpm.val*$H223,""))</f>
        <v/>
      </c>
      <c r="P223" s="6" t="str">
        <f>_xlfn.LET(
_xlpm.rowNo, MATCH($C223&amp;"|"&amp;
($F223+P$4),Raw_Fund!$A:$A,0),
_xlpm.colNo,
MATCH(P$3,Raw_Fund!$E$1:$AZ$1,0),
_xlpm.val,
INDEX(Raw_Fund!$E:$AZ,_xlpm.rowNo,_xlpm.colNo),
IF(ISNUMBER(_xlpm.val),_xlpm.val*$H223,""))</f>
        <v/>
      </c>
      <c r="Q223" s="6" t="str">
        <f>_xlfn.LET(
_xlpm.rowNo, MATCH($C223&amp;"|"&amp;
($F223+Q$4),Raw_Fund!$A:$A,0),
_xlpm.colNo,
MATCH(Q$3,Raw_Fund!$E$1:$AZ$1,0),
_xlpm.val,
INDEX(Raw_Fund!$E:$AZ,_xlpm.rowNo,_xlpm.colNo),
IF(ISNUMBER(_xlpm.val),_xlpm.val*$H223,""))</f>
        <v/>
      </c>
      <c r="R223" s="6" t="str">
        <f>_xlfn.LET(
_xlpm.rowNo, MATCH($C223&amp;"|"&amp;
($F223+R$4),Raw_Fund!$A:$A,0),
_xlpm.colNo,
MATCH(R$3,Raw_Fund!$E$1:$AZ$1,0),
_xlpm.val,
INDEX(Raw_Fund!$E:$AZ,_xlpm.rowNo,_xlpm.colNo),
IF(ISNUMBER(_xlpm.val),_xlpm.val*$H223,""))</f>
        <v/>
      </c>
      <c r="S223" s="6" t="str">
        <f>_xlfn.LET(
_xlpm.rowNo, MATCH($C223&amp;"|"&amp;
($F223+S$4),Raw_Fund!$A:$A,0),
_xlpm.colNo,
MATCH(S$3,Raw_Fund!$E$1:$AZ$1,0),
_xlpm.val,
INDEX(Raw_Fund!$E:$AZ,_xlpm.rowNo,_xlpm.colNo),
IF(ISNUMBER(_xlpm.val),_xlpm.val*$H223,""))</f>
        <v/>
      </c>
      <c r="T223" s="6" t="str">
        <f>_xlfn.LET(
_xlpm.rowNo, MATCH($C223&amp;"|"&amp;
($F223+T$4),Raw_Fund!$A:$A,0),
_xlpm.colNo,
MATCH(T$3,Raw_Fund!$E$1:$AZ$1,0),
_xlpm.val,
INDEX(Raw_Fund!$E:$AZ,_xlpm.rowNo,_xlpm.colNo),
IF(ISNUMBER(_xlpm.val),_xlpm.val*$H223,""))</f>
        <v/>
      </c>
      <c r="U223" s="6" t="str">
        <f>_xlfn.LET(
_xlpm.rowNo, MATCH($C223&amp;"|"&amp;
($F223+U$4),Raw_Fund!$A:$A,0),
_xlpm.colNo,
MATCH(U$3,Raw_Fund!$E$1:$AZ$1,0),
_xlpm.val,
INDEX(Raw_Fund!$E:$AZ,_xlpm.rowNo,_xlpm.colNo),
IF(ISNUMBER(_xlpm.val),_xlpm.val*$H223,""))</f>
        <v/>
      </c>
      <c r="V223" s="6" t="str">
        <f>_xlfn.LET(
_xlpm.rowNo, MATCH($C223&amp;"|"&amp;
($F223+V$4),Raw_Fund!$A:$A,0),
_xlpm.colNo,
MATCH(V$3,Raw_Fund!$E$1:$AZ$1,0),
_xlpm.val,
INDEX(Raw_Fund!$E:$AZ,_xlpm.rowNo,_xlpm.colNo),
IF(ISNUMBER(_xlpm.val),_xlpm.val*$H223,""))</f>
        <v/>
      </c>
      <c r="W223" s="6" t="str">
        <f>_xlfn.LET(
_xlpm.rowNo, MATCH($C223&amp;"|"&amp;
($F223+W$4),Raw_Fund!$A:$A,0),
_xlpm.colNo,
MATCH(W$3,Raw_Fund!$E$1:$AZ$1,0),
_xlpm.val,
INDEX(Raw_Fund!$E:$AZ,_xlpm.rowNo,_xlpm.colNo),
IF(ISNUMBER(_xlpm.val),_xlpm.val*$H223,""))</f>
        <v/>
      </c>
      <c r="X223" s="6" t="str">
        <f>_xlfn.LET(
_xlpm.rowNo, MATCH($C223&amp;"|"&amp;
($F223+X$4),Raw_Fund!$A:$A,0),
_xlpm.colNo,
MATCH(X$3,Raw_Fund!$E$1:$AZ$1,0),
_xlpm.val,
INDEX(Raw_Fund!$E:$AZ,_xlpm.rowNo,_xlpm.colNo),
IF(ISNUMBER(_xlpm.val),_xlpm.val*$H223,""))</f>
        <v/>
      </c>
      <c r="Y223" s="6" t="str">
        <f>_xlfn.LET(
_xlpm.rowNo, MATCH($C223&amp;"|"&amp;
($F223+Y$4),Raw_Fund!$A:$A,0),
_xlpm.colNo,
MATCH(Y$3,Raw_Fund!$E$1:$AZ$1,0),
_xlpm.val,
INDEX(Raw_Fund!$E:$AZ,_xlpm.rowNo,_xlpm.colNo),
IF(ISNUMBER(_xlpm.val),_xlpm.val*$H223,""))</f>
        <v/>
      </c>
      <c r="Z223" s="6" t="e">
        <f>IF($E223&lt;&gt;"Include","",_xlfn.XLOOKUP($C223,Raw_Mkt!$A:$A,Raw_Mkt!$B:$B))</f>
        <v>#N/A</v>
      </c>
    </row>
    <row r="224" spans="1:26" x14ac:dyDescent="0.4">
      <c r="A224" t="str">
        <f>IF(Universe!A224&lt;&gt;"",Universe!A224,"")</f>
        <v>TBCG</v>
      </c>
      <c r="B224" t="str">
        <f>IF(Universe!B224&lt;&gt;"",Universe!B224,"")</f>
        <v>TBC Bank</v>
      </c>
      <c r="C224" t="str">
        <f>IF(Universe!C224&lt;&gt;"",Universe!C224,"")</f>
        <v>GB00BYT18307</v>
      </c>
      <c r="D224" t="str">
        <f>IF(Universe!D224&lt;&gt;"",Universe!D224,"")</f>
        <v>Financials</v>
      </c>
      <c r="E224" t="str">
        <f>Universe!G224</f>
        <v>Exclude</v>
      </c>
      <c r="F224" t="str">
        <f>IF($E224&lt;&gt;"Include","",_xlfn.LET(_xlpm.latest,_xlfn.MAXIFS(Raw_Fund!$C:$C,Raw_Fund!$B:$B,Data!$C224),IF(_xlpm.latest=0,"",_xlpm.latest)))</f>
        <v/>
      </c>
      <c r="G224" t="str">
        <f>IF($F224="","",INDEX(Raw_Fund!$E:$AZ,MATCH($C224&amp;"|"&amp;$F224,Raw_Fund!$A:$A,0),MATCH(G$3,Raw_Fund!$E$1:$AZ$1,0)))</f>
        <v/>
      </c>
      <c r="H224" t="str">
        <f t="shared" si="3"/>
        <v/>
      </c>
      <c r="I224" s="6" t="str">
        <f>_xlfn.LET(
_xlpm.rowNo, MATCH($C224&amp;"|"&amp;
($F224+I$4),Raw_Fund!$A:$A,0),
_xlpm.colNo,
MATCH(I$3,Raw_Fund!$E$1:$AZ$1,0),
_xlpm.val,
INDEX(Raw_Fund!$E:$AZ,_xlpm.rowNo,_xlpm.colNo),
IF(ISNUMBER(_xlpm.val),_xlpm.val*$H224,""))</f>
        <v/>
      </c>
      <c r="J224" s="6" t="str">
        <f>_xlfn.LET(
_xlpm.rowNo, MATCH($C224&amp;"|"&amp;
($F224+J$4),Raw_Fund!$A:$A,0),
_xlpm.colNo,
MATCH(J$3,Raw_Fund!$E$1:$AZ$1,0),
_xlpm.val,
INDEX(Raw_Fund!$E:$AZ,_xlpm.rowNo,_xlpm.colNo),
IF(ISNUMBER(_xlpm.val),_xlpm.val*$H224,""))</f>
        <v/>
      </c>
      <c r="K224" s="6" t="str">
        <f>_xlfn.LET(
_xlpm.rowNo, MATCH($C224&amp;"|"&amp;
($F224+K$4),Raw_Fund!$A:$A,0),
_xlpm.colNo,
MATCH(K$3,Raw_Fund!$E$1:$AZ$1,0),
_xlpm.val,
INDEX(Raw_Fund!$E:$AZ,_xlpm.rowNo,_xlpm.colNo),
IF(ISNUMBER(_xlpm.val),_xlpm.val*$H224,""))</f>
        <v/>
      </c>
      <c r="L224" s="6" t="str">
        <f>_xlfn.LET(
_xlpm.rowNo, MATCH($C224&amp;"|"&amp;
($F224+L$4),Raw_Fund!$A:$A,0),
_xlpm.colNo,
MATCH(L$3,Raw_Fund!$E$1:$AZ$1,0),
_xlpm.val,
INDEX(Raw_Fund!$E:$AZ,_xlpm.rowNo,_xlpm.colNo),
IF(ISNUMBER(_xlpm.val),_xlpm.val*$H224,""))</f>
        <v/>
      </c>
      <c r="M224" s="6" t="str">
        <f>_xlfn.LET(
_xlpm.rowNo, MATCH($C224&amp;"|"&amp;
($F224+M$4),Raw_Fund!$A:$A,0),
_xlpm.colNo,
MATCH(M$3,Raw_Fund!$E$1:$AZ$1,0),
_xlpm.val,
INDEX(Raw_Fund!$E:$AZ,_xlpm.rowNo,_xlpm.colNo),
IF(ISNUMBER(_xlpm.val),_xlpm.val*$H224,""))</f>
        <v/>
      </c>
      <c r="N224" s="6" t="str">
        <f>_xlfn.LET(
_xlpm.rowNo, MATCH($C224&amp;"|"&amp;
($F224+N$4),Raw_Fund!$A:$A,0),
_xlpm.colNo,
MATCH(N$3,Raw_Fund!$E$1:$AZ$1,0),
_xlpm.val,
INDEX(Raw_Fund!$E:$AZ,_xlpm.rowNo,_xlpm.colNo),
IF(ISNUMBER(_xlpm.val),_xlpm.val*$H224,""))</f>
        <v/>
      </c>
      <c r="O224" s="6" t="str">
        <f>_xlfn.LET(
_xlpm.rowNo, MATCH($C224&amp;"|"&amp;
($F224+O$4),Raw_Fund!$A:$A,0),
_xlpm.colNo,
MATCH(O$3,Raw_Fund!$E$1:$AZ$1,0),
_xlpm.val,
INDEX(Raw_Fund!$E:$AZ,_xlpm.rowNo,_xlpm.colNo),
IF(ISNUMBER(_xlpm.val),_xlpm.val*$H224,""))</f>
        <v/>
      </c>
      <c r="P224" s="6" t="str">
        <f>_xlfn.LET(
_xlpm.rowNo, MATCH($C224&amp;"|"&amp;
($F224+P$4),Raw_Fund!$A:$A,0),
_xlpm.colNo,
MATCH(P$3,Raw_Fund!$E$1:$AZ$1,0),
_xlpm.val,
INDEX(Raw_Fund!$E:$AZ,_xlpm.rowNo,_xlpm.colNo),
IF(ISNUMBER(_xlpm.val),_xlpm.val*$H224,""))</f>
        <v/>
      </c>
      <c r="Q224" s="6" t="str">
        <f>_xlfn.LET(
_xlpm.rowNo, MATCH($C224&amp;"|"&amp;
($F224+Q$4),Raw_Fund!$A:$A,0),
_xlpm.colNo,
MATCH(Q$3,Raw_Fund!$E$1:$AZ$1,0),
_xlpm.val,
INDEX(Raw_Fund!$E:$AZ,_xlpm.rowNo,_xlpm.colNo),
IF(ISNUMBER(_xlpm.val),_xlpm.val*$H224,""))</f>
        <v/>
      </c>
      <c r="R224" s="6" t="str">
        <f>_xlfn.LET(
_xlpm.rowNo, MATCH($C224&amp;"|"&amp;
($F224+R$4),Raw_Fund!$A:$A,0),
_xlpm.colNo,
MATCH(R$3,Raw_Fund!$E$1:$AZ$1,0),
_xlpm.val,
INDEX(Raw_Fund!$E:$AZ,_xlpm.rowNo,_xlpm.colNo),
IF(ISNUMBER(_xlpm.val),_xlpm.val*$H224,""))</f>
        <v/>
      </c>
      <c r="S224" s="6" t="str">
        <f>_xlfn.LET(
_xlpm.rowNo, MATCH($C224&amp;"|"&amp;
($F224+S$4),Raw_Fund!$A:$A,0),
_xlpm.colNo,
MATCH(S$3,Raw_Fund!$E$1:$AZ$1,0),
_xlpm.val,
INDEX(Raw_Fund!$E:$AZ,_xlpm.rowNo,_xlpm.colNo),
IF(ISNUMBER(_xlpm.val),_xlpm.val*$H224,""))</f>
        <v/>
      </c>
      <c r="T224" s="6" t="str">
        <f>_xlfn.LET(
_xlpm.rowNo, MATCH($C224&amp;"|"&amp;
($F224+T$4),Raw_Fund!$A:$A,0),
_xlpm.colNo,
MATCH(T$3,Raw_Fund!$E$1:$AZ$1,0),
_xlpm.val,
INDEX(Raw_Fund!$E:$AZ,_xlpm.rowNo,_xlpm.colNo),
IF(ISNUMBER(_xlpm.val),_xlpm.val*$H224,""))</f>
        <v/>
      </c>
      <c r="U224" s="6" t="str">
        <f>_xlfn.LET(
_xlpm.rowNo, MATCH($C224&amp;"|"&amp;
($F224+U$4),Raw_Fund!$A:$A,0),
_xlpm.colNo,
MATCH(U$3,Raw_Fund!$E$1:$AZ$1,0),
_xlpm.val,
INDEX(Raw_Fund!$E:$AZ,_xlpm.rowNo,_xlpm.colNo),
IF(ISNUMBER(_xlpm.val),_xlpm.val*$H224,""))</f>
        <v/>
      </c>
      <c r="V224" s="6" t="str">
        <f>_xlfn.LET(
_xlpm.rowNo, MATCH($C224&amp;"|"&amp;
($F224+V$4),Raw_Fund!$A:$A,0),
_xlpm.colNo,
MATCH(V$3,Raw_Fund!$E$1:$AZ$1,0),
_xlpm.val,
INDEX(Raw_Fund!$E:$AZ,_xlpm.rowNo,_xlpm.colNo),
IF(ISNUMBER(_xlpm.val),_xlpm.val*$H224,""))</f>
        <v/>
      </c>
      <c r="W224" s="6" t="str">
        <f>_xlfn.LET(
_xlpm.rowNo, MATCH($C224&amp;"|"&amp;
($F224+W$4),Raw_Fund!$A:$A,0),
_xlpm.colNo,
MATCH(W$3,Raw_Fund!$E$1:$AZ$1,0),
_xlpm.val,
INDEX(Raw_Fund!$E:$AZ,_xlpm.rowNo,_xlpm.colNo),
IF(ISNUMBER(_xlpm.val),_xlpm.val*$H224,""))</f>
        <v/>
      </c>
      <c r="X224" s="6" t="str">
        <f>_xlfn.LET(
_xlpm.rowNo, MATCH($C224&amp;"|"&amp;
($F224+X$4),Raw_Fund!$A:$A,0),
_xlpm.colNo,
MATCH(X$3,Raw_Fund!$E$1:$AZ$1,0),
_xlpm.val,
INDEX(Raw_Fund!$E:$AZ,_xlpm.rowNo,_xlpm.colNo),
IF(ISNUMBER(_xlpm.val),_xlpm.val*$H224,""))</f>
        <v/>
      </c>
      <c r="Y224" s="6" t="str">
        <f>_xlfn.LET(
_xlpm.rowNo, MATCH($C224&amp;"|"&amp;
($F224+Y$4),Raw_Fund!$A:$A,0),
_xlpm.colNo,
MATCH(Y$3,Raw_Fund!$E$1:$AZ$1,0),
_xlpm.val,
INDEX(Raw_Fund!$E:$AZ,_xlpm.rowNo,_xlpm.colNo),
IF(ISNUMBER(_xlpm.val),_xlpm.val*$H224,""))</f>
        <v/>
      </c>
      <c r="Z224" s="6" t="str">
        <f>IF($E224&lt;&gt;"Include","",_xlfn.XLOOKUP($C224,Raw_Mkt!$A:$A,Raw_Mkt!$B:$B))</f>
        <v/>
      </c>
    </row>
    <row r="225" spans="1:26" x14ac:dyDescent="0.4">
      <c r="A225" t="str">
        <f>IF(Universe!A225&lt;&gt;"",Universe!A225,"")</f>
        <v>TEP</v>
      </c>
      <c r="B225" t="str">
        <f>IF(Universe!B225&lt;&gt;"",Universe!B225,"")</f>
        <v>Telecom Plus</v>
      </c>
      <c r="C225" t="str">
        <f>IF(Universe!C225&lt;&gt;"",Universe!C225,"")</f>
        <v>GB0008794710</v>
      </c>
      <c r="D225" t="str">
        <f>IF(Universe!D225&lt;&gt;"",Universe!D225,"")</f>
        <v>Telecommunications</v>
      </c>
      <c r="E225" t="str">
        <f>Universe!G225</f>
        <v>Include</v>
      </c>
      <c r="F225" t="str">
        <f>IF($E225&lt;&gt;"Include","",_xlfn.LET(_xlpm.latest,_xlfn.MAXIFS(Raw_Fund!$C:$C,Raw_Fund!$B:$B,Data!$C225),IF(_xlpm.latest=0,"",_xlpm.latest)))</f>
        <v/>
      </c>
      <c r="G225" t="str">
        <f>IF($F225="","",INDEX(Raw_Fund!$E:$AZ,MATCH($C225&amp;"|"&amp;$F225,Raw_Fund!$A:$A,0),MATCH(G$3,Raw_Fund!$E$1:$AZ$1,0)))</f>
        <v/>
      </c>
      <c r="H225" t="str">
        <f t="shared" si="3"/>
        <v/>
      </c>
      <c r="I225" s="6" t="str">
        <f>_xlfn.LET(
_xlpm.rowNo, MATCH($C225&amp;"|"&amp;
($F225+I$4),Raw_Fund!$A:$A,0),
_xlpm.colNo,
MATCH(I$3,Raw_Fund!$E$1:$AZ$1,0),
_xlpm.val,
INDEX(Raw_Fund!$E:$AZ,_xlpm.rowNo,_xlpm.colNo),
IF(ISNUMBER(_xlpm.val),_xlpm.val*$H225,""))</f>
        <v/>
      </c>
      <c r="J225" s="6" t="str">
        <f>_xlfn.LET(
_xlpm.rowNo, MATCH($C225&amp;"|"&amp;
($F225+J$4),Raw_Fund!$A:$A,0),
_xlpm.colNo,
MATCH(J$3,Raw_Fund!$E$1:$AZ$1,0),
_xlpm.val,
INDEX(Raw_Fund!$E:$AZ,_xlpm.rowNo,_xlpm.colNo),
IF(ISNUMBER(_xlpm.val),_xlpm.val*$H225,""))</f>
        <v/>
      </c>
      <c r="K225" s="6" t="str">
        <f>_xlfn.LET(
_xlpm.rowNo, MATCH($C225&amp;"|"&amp;
($F225+K$4),Raw_Fund!$A:$A,0),
_xlpm.colNo,
MATCH(K$3,Raw_Fund!$E$1:$AZ$1,0),
_xlpm.val,
INDEX(Raw_Fund!$E:$AZ,_xlpm.rowNo,_xlpm.colNo),
IF(ISNUMBER(_xlpm.val),_xlpm.val*$H225,""))</f>
        <v/>
      </c>
      <c r="L225" s="6" t="str">
        <f>_xlfn.LET(
_xlpm.rowNo, MATCH($C225&amp;"|"&amp;
($F225+L$4),Raw_Fund!$A:$A,0),
_xlpm.colNo,
MATCH(L$3,Raw_Fund!$E$1:$AZ$1,0),
_xlpm.val,
INDEX(Raw_Fund!$E:$AZ,_xlpm.rowNo,_xlpm.colNo),
IF(ISNUMBER(_xlpm.val),_xlpm.val*$H225,""))</f>
        <v/>
      </c>
      <c r="M225" s="6" t="str">
        <f>_xlfn.LET(
_xlpm.rowNo, MATCH($C225&amp;"|"&amp;
($F225+M$4),Raw_Fund!$A:$A,0),
_xlpm.colNo,
MATCH(M$3,Raw_Fund!$E$1:$AZ$1,0),
_xlpm.val,
INDEX(Raw_Fund!$E:$AZ,_xlpm.rowNo,_xlpm.colNo),
IF(ISNUMBER(_xlpm.val),_xlpm.val*$H225,""))</f>
        <v/>
      </c>
      <c r="N225" s="6" t="str">
        <f>_xlfn.LET(
_xlpm.rowNo, MATCH($C225&amp;"|"&amp;
($F225+N$4),Raw_Fund!$A:$A,0),
_xlpm.colNo,
MATCH(N$3,Raw_Fund!$E$1:$AZ$1,0),
_xlpm.val,
INDEX(Raw_Fund!$E:$AZ,_xlpm.rowNo,_xlpm.colNo),
IF(ISNUMBER(_xlpm.val),_xlpm.val*$H225,""))</f>
        <v/>
      </c>
      <c r="O225" s="6" t="str">
        <f>_xlfn.LET(
_xlpm.rowNo, MATCH($C225&amp;"|"&amp;
($F225+O$4),Raw_Fund!$A:$A,0),
_xlpm.colNo,
MATCH(O$3,Raw_Fund!$E$1:$AZ$1,0),
_xlpm.val,
INDEX(Raw_Fund!$E:$AZ,_xlpm.rowNo,_xlpm.colNo),
IF(ISNUMBER(_xlpm.val),_xlpm.val*$H225,""))</f>
        <v/>
      </c>
      <c r="P225" s="6" t="str">
        <f>_xlfn.LET(
_xlpm.rowNo, MATCH($C225&amp;"|"&amp;
($F225+P$4),Raw_Fund!$A:$A,0),
_xlpm.colNo,
MATCH(P$3,Raw_Fund!$E$1:$AZ$1,0),
_xlpm.val,
INDEX(Raw_Fund!$E:$AZ,_xlpm.rowNo,_xlpm.colNo),
IF(ISNUMBER(_xlpm.val),_xlpm.val*$H225,""))</f>
        <v/>
      </c>
      <c r="Q225" s="6" t="str">
        <f>_xlfn.LET(
_xlpm.rowNo, MATCH($C225&amp;"|"&amp;
($F225+Q$4),Raw_Fund!$A:$A,0),
_xlpm.colNo,
MATCH(Q$3,Raw_Fund!$E$1:$AZ$1,0),
_xlpm.val,
INDEX(Raw_Fund!$E:$AZ,_xlpm.rowNo,_xlpm.colNo),
IF(ISNUMBER(_xlpm.val),_xlpm.val*$H225,""))</f>
        <v/>
      </c>
      <c r="R225" s="6" t="str">
        <f>_xlfn.LET(
_xlpm.rowNo, MATCH($C225&amp;"|"&amp;
($F225+R$4),Raw_Fund!$A:$A,0),
_xlpm.colNo,
MATCH(R$3,Raw_Fund!$E$1:$AZ$1,0),
_xlpm.val,
INDEX(Raw_Fund!$E:$AZ,_xlpm.rowNo,_xlpm.colNo),
IF(ISNUMBER(_xlpm.val),_xlpm.val*$H225,""))</f>
        <v/>
      </c>
      <c r="S225" s="6" t="str">
        <f>_xlfn.LET(
_xlpm.rowNo, MATCH($C225&amp;"|"&amp;
($F225+S$4),Raw_Fund!$A:$A,0),
_xlpm.colNo,
MATCH(S$3,Raw_Fund!$E$1:$AZ$1,0),
_xlpm.val,
INDEX(Raw_Fund!$E:$AZ,_xlpm.rowNo,_xlpm.colNo),
IF(ISNUMBER(_xlpm.val),_xlpm.val*$H225,""))</f>
        <v/>
      </c>
      <c r="T225" s="6" t="str">
        <f>_xlfn.LET(
_xlpm.rowNo, MATCH($C225&amp;"|"&amp;
($F225+T$4),Raw_Fund!$A:$A,0),
_xlpm.colNo,
MATCH(T$3,Raw_Fund!$E$1:$AZ$1,0),
_xlpm.val,
INDEX(Raw_Fund!$E:$AZ,_xlpm.rowNo,_xlpm.colNo),
IF(ISNUMBER(_xlpm.val),_xlpm.val*$H225,""))</f>
        <v/>
      </c>
      <c r="U225" s="6" t="str">
        <f>_xlfn.LET(
_xlpm.rowNo, MATCH($C225&amp;"|"&amp;
($F225+U$4),Raw_Fund!$A:$A,0),
_xlpm.colNo,
MATCH(U$3,Raw_Fund!$E$1:$AZ$1,0),
_xlpm.val,
INDEX(Raw_Fund!$E:$AZ,_xlpm.rowNo,_xlpm.colNo),
IF(ISNUMBER(_xlpm.val),_xlpm.val*$H225,""))</f>
        <v/>
      </c>
      <c r="V225" s="6" t="str">
        <f>_xlfn.LET(
_xlpm.rowNo, MATCH($C225&amp;"|"&amp;
($F225+V$4),Raw_Fund!$A:$A,0),
_xlpm.colNo,
MATCH(V$3,Raw_Fund!$E$1:$AZ$1,0),
_xlpm.val,
INDEX(Raw_Fund!$E:$AZ,_xlpm.rowNo,_xlpm.colNo),
IF(ISNUMBER(_xlpm.val),_xlpm.val*$H225,""))</f>
        <v/>
      </c>
      <c r="W225" s="6" t="str">
        <f>_xlfn.LET(
_xlpm.rowNo, MATCH($C225&amp;"|"&amp;
($F225+W$4),Raw_Fund!$A:$A,0),
_xlpm.colNo,
MATCH(W$3,Raw_Fund!$E$1:$AZ$1,0),
_xlpm.val,
INDEX(Raw_Fund!$E:$AZ,_xlpm.rowNo,_xlpm.colNo),
IF(ISNUMBER(_xlpm.val),_xlpm.val*$H225,""))</f>
        <v/>
      </c>
      <c r="X225" s="6" t="str">
        <f>_xlfn.LET(
_xlpm.rowNo, MATCH($C225&amp;"|"&amp;
($F225+X$4),Raw_Fund!$A:$A,0),
_xlpm.colNo,
MATCH(X$3,Raw_Fund!$E$1:$AZ$1,0),
_xlpm.val,
INDEX(Raw_Fund!$E:$AZ,_xlpm.rowNo,_xlpm.colNo),
IF(ISNUMBER(_xlpm.val),_xlpm.val*$H225,""))</f>
        <v/>
      </c>
      <c r="Y225" s="6" t="str">
        <f>_xlfn.LET(
_xlpm.rowNo, MATCH($C225&amp;"|"&amp;
($F225+Y$4),Raw_Fund!$A:$A,0),
_xlpm.colNo,
MATCH(Y$3,Raw_Fund!$E$1:$AZ$1,0),
_xlpm.val,
INDEX(Raw_Fund!$E:$AZ,_xlpm.rowNo,_xlpm.colNo),
IF(ISNUMBER(_xlpm.val),_xlpm.val*$H225,""))</f>
        <v/>
      </c>
      <c r="Z225" s="6" t="e">
        <f>IF($E225&lt;&gt;"Include","",_xlfn.XLOOKUP($C225,Raw_Mkt!$A:$A,Raw_Mkt!$B:$B))</f>
        <v>#N/A</v>
      </c>
    </row>
    <row r="226" spans="1:26" x14ac:dyDescent="0.4">
      <c r="A226" t="str">
        <f>IF(Universe!A226&lt;&gt;"",Universe!A226,"")</f>
        <v>TMPL</v>
      </c>
      <c r="B226" t="str">
        <f>IF(Universe!B226&lt;&gt;"",Universe!B226,"")</f>
        <v>Temple Bar Investment Trust</v>
      </c>
      <c r="C226" t="str">
        <f>IF(Universe!C226&lt;&gt;"",Universe!C226,"")</f>
        <v>GB00BMV92D64</v>
      </c>
      <c r="D226" t="str">
        <f>IF(Universe!D226&lt;&gt;"",Universe!D226,"")</f>
        <v>Financials</v>
      </c>
      <c r="E226" t="str">
        <f>Universe!G226</f>
        <v>Exclude</v>
      </c>
      <c r="F226" t="str">
        <f>IF($E226&lt;&gt;"Include","",_xlfn.LET(_xlpm.latest,_xlfn.MAXIFS(Raw_Fund!$C:$C,Raw_Fund!$B:$B,Data!$C226),IF(_xlpm.latest=0,"",_xlpm.latest)))</f>
        <v/>
      </c>
      <c r="G226" t="str">
        <f>IF($F226="","",INDEX(Raw_Fund!$E:$AZ,MATCH($C226&amp;"|"&amp;$F226,Raw_Fund!$A:$A,0),MATCH(G$3,Raw_Fund!$E$1:$AZ$1,0)))</f>
        <v/>
      </c>
      <c r="H226" t="str">
        <f t="shared" si="3"/>
        <v/>
      </c>
      <c r="I226" s="6" t="str">
        <f>_xlfn.LET(
_xlpm.rowNo, MATCH($C226&amp;"|"&amp;
($F226+I$4),Raw_Fund!$A:$A,0),
_xlpm.colNo,
MATCH(I$3,Raw_Fund!$E$1:$AZ$1,0),
_xlpm.val,
INDEX(Raw_Fund!$E:$AZ,_xlpm.rowNo,_xlpm.colNo),
IF(ISNUMBER(_xlpm.val),_xlpm.val*$H226,""))</f>
        <v/>
      </c>
      <c r="J226" s="6" t="str">
        <f>_xlfn.LET(
_xlpm.rowNo, MATCH($C226&amp;"|"&amp;
($F226+J$4),Raw_Fund!$A:$A,0),
_xlpm.colNo,
MATCH(J$3,Raw_Fund!$E$1:$AZ$1,0),
_xlpm.val,
INDEX(Raw_Fund!$E:$AZ,_xlpm.rowNo,_xlpm.colNo),
IF(ISNUMBER(_xlpm.val),_xlpm.val*$H226,""))</f>
        <v/>
      </c>
      <c r="K226" s="6" t="str">
        <f>_xlfn.LET(
_xlpm.rowNo, MATCH($C226&amp;"|"&amp;
($F226+K$4),Raw_Fund!$A:$A,0),
_xlpm.colNo,
MATCH(K$3,Raw_Fund!$E$1:$AZ$1,0),
_xlpm.val,
INDEX(Raw_Fund!$E:$AZ,_xlpm.rowNo,_xlpm.colNo),
IF(ISNUMBER(_xlpm.val),_xlpm.val*$H226,""))</f>
        <v/>
      </c>
      <c r="L226" s="6" t="str">
        <f>_xlfn.LET(
_xlpm.rowNo, MATCH($C226&amp;"|"&amp;
($F226+L$4),Raw_Fund!$A:$A,0),
_xlpm.colNo,
MATCH(L$3,Raw_Fund!$E$1:$AZ$1,0),
_xlpm.val,
INDEX(Raw_Fund!$E:$AZ,_xlpm.rowNo,_xlpm.colNo),
IF(ISNUMBER(_xlpm.val),_xlpm.val*$H226,""))</f>
        <v/>
      </c>
      <c r="M226" s="6" t="str">
        <f>_xlfn.LET(
_xlpm.rowNo, MATCH($C226&amp;"|"&amp;
($F226+M$4),Raw_Fund!$A:$A,0),
_xlpm.colNo,
MATCH(M$3,Raw_Fund!$E$1:$AZ$1,0),
_xlpm.val,
INDEX(Raw_Fund!$E:$AZ,_xlpm.rowNo,_xlpm.colNo),
IF(ISNUMBER(_xlpm.val),_xlpm.val*$H226,""))</f>
        <v/>
      </c>
      <c r="N226" s="6" t="str">
        <f>_xlfn.LET(
_xlpm.rowNo, MATCH($C226&amp;"|"&amp;
($F226+N$4),Raw_Fund!$A:$A,0),
_xlpm.colNo,
MATCH(N$3,Raw_Fund!$E$1:$AZ$1,0),
_xlpm.val,
INDEX(Raw_Fund!$E:$AZ,_xlpm.rowNo,_xlpm.colNo),
IF(ISNUMBER(_xlpm.val),_xlpm.val*$H226,""))</f>
        <v/>
      </c>
      <c r="O226" s="6" t="str">
        <f>_xlfn.LET(
_xlpm.rowNo, MATCH($C226&amp;"|"&amp;
($F226+O$4),Raw_Fund!$A:$A,0),
_xlpm.colNo,
MATCH(O$3,Raw_Fund!$E$1:$AZ$1,0),
_xlpm.val,
INDEX(Raw_Fund!$E:$AZ,_xlpm.rowNo,_xlpm.colNo),
IF(ISNUMBER(_xlpm.val),_xlpm.val*$H226,""))</f>
        <v/>
      </c>
      <c r="P226" s="6" t="str">
        <f>_xlfn.LET(
_xlpm.rowNo, MATCH($C226&amp;"|"&amp;
($F226+P$4),Raw_Fund!$A:$A,0),
_xlpm.colNo,
MATCH(P$3,Raw_Fund!$E$1:$AZ$1,0),
_xlpm.val,
INDEX(Raw_Fund!$E:$AZ,_xlpm.rowNo,_xlpm.colNo),
IF(ISNUMBER(_xlpm.val),_xlpm.val*$H226,""))</f>
        <v/>
      </c>
      <c r="Q226" s="6" t="str">
        <f>_xlfn.LET(
_xlpm.rowNo, MATCH($C226&amp;"|"&amp;
($F226+Q$4),Raw_Fund!$A:$A,0),
_xlpm.colNo,
MATCH(Q$3,Raw_Fund!$E$1:$AZ$1,0),
_xlpm.val,
INDEX(Raw_Fund!$E:$AZ,_xlpm.rowNo,_xlpm.colNo),
IF(ISNUMBER(_xlpm.val),_xlpm.val*$H226,""))</f>
        <v/>
      </c>
      <c r="R226" s="6" t="str">
        <f>_xlfn.LET(
_xlpm.rowNo, MATCH($C226&amp;"|"&amp;
($F226+R$4),Raw_Fund!$A:$A,0),
_xlpm.colNo,
MATCH(R$3,Raw_Fund!$E$1:$AZ$1,0),
_xlpm.val,
INDEX(Raw_Fund!$E:$AZ,_xlpm.rowNo,_xlpm.colNo),
IF(ISNUMBER(_xlpm.val),_xlpm.val*$H226,""))</f>
        <v/>
      </c>
      <c r="S226" s="6" t="str">
        <f>_xlfn.LET(
_xlpm.rowNo, MATCH($C226&amp;"|"&amp;
($F226+S$4),Raw_Fund!$A:$A,0),
_xlpm.colNo,
MATCH(S$3,Raw_Fund!$E$1:$AZ$1,0),
_xlpm.val,
INDEX(Raw_Fund!$E:$AZ,_xlpm.rowNo,_xlpm.colNo),
IF(ISNUMBER(_xlpm.val),_xlpm.val*$H226,""))</f>
        <v/>
      </c>
      <c r="T226" s="6" t="str">
        <f>_xlfn.LET(
_xlpm.rowNo, MATCH($C226&amp;"|"&amp;
($F226+T$4),Raw_Fund!$A:$A,0),
_xlpm.colNo,
MATCH(T$3,Raw_Fund!$E$1:$AZ$1,0),
_xlpm.val,
INDEX(Raw_Fund!$E:$AZ,_xlpm.rowNo,_xlpm.colNo),
IF(ISNUMBER(_xlpm.val),_xlpm.val*$H226,""))</f>
        <v/>
      </c>
      <c r="U226" s="6" t="str">
        <f>_xlfn.LET(
_xlpm.rowNo, MATCH($C226&amp;"|"&amp;
($F226+U$4),Raw_Fund!$A:$A,0),
_xlpm.colNo,
MATCH(U$3,Raw_Fund!$E$1:$AZ$1,0),
_xlpm.val,
INDEX(Raw_Fund!$E:$AZ,_xlpm.rowNo,_xlpm.colNo),
IF(ISNUMBER(_xlpm.val),_xlpm.val*$H226,""))</f>
        <v/>
      </c>
      <c r="V226" s="6" t="str">
        <f>_xlfn.LET(
_xlpm.rowNo, MATCH($C226&amp;"|"&amp;
($F226+V$4),Raw_Fund!$A:$A,0),
_xlpm.colNo,
MATCH(V$3,Raw_Fund!$E$1:$AZ$1,0),
_xlpm.val,
INDEX(Raw_Fund!$E:$AZ,_xlpm.rowNo,_xlpm.colNo),
IF(ISNUMBER(_xlpm.val),_xlpm.val*$H226,""))</f>
        <v/>
      </c>
      <c r="W226" s="6" t="str">
        <f>_xlfn.LET(
_xlpm.rowNo, MATCH($C226&amp;"|"&amp;
($F226+W$4),Raw_Fund!$A:$A,0),
_xlpm.colNo,
MATCH(W$3,Raw_Fund!$E$1:$AZ$1,0),
_xlpm.val,
INDEX(Raw_Fund!$E:$AZ,_xlpm.rowNo,_xlpm.colNo),
IF(ISNUMBER(_xlpm.val),_xlpm.val*$H226,""))</f>
        <v/>
      </c>
      <c r="X226" s="6" t="str">
        <f>_xlfn.LET(
_xlpm.rowNo, MATCH($C226&amp;"|"&amp;
($F226+X$4),Raw_Fund!$A:$A,0),
_xlpm.colNo,
MATCH(X$3,Raw_Fund!$E$1:$AZ$1,0),
_xlpm.val,
INDEX(Raw_Fund!$E:$AZ,_xlpm.rowNo,_xlpm.colNo),
IF(ISNUMBER(_xlpm.val),_xlpm.val*$H226,""))</f>
        <v/>
      </c>
      <c r="Y226" s="6" t="str">
        <f>_xlfn.LET(
_xlpm.rowNo, MATCH($C226&amp;"|"&amp;
($F226+Y$4),Raw_Fund!$A:$A,0),
_xlpm.colNo,
MATCH(Y$3,Raw_Fund!$E$1:$AZ$1,0),
_xlpm.val,
INDEX(Raw_Fund!$E:$AZ,_xlpm.rowNo,_xlpm.colNo),
IF(ISNUMBER(_xlpm.val),_xlpm.val*$H226,""))</f>
        <v/>
      </c>
      <c r="Z226" s="6" t="str">
        <f>IF($E226&lt;&gt;"Include","",_xlfn.XLOOKUP($C226,Raw_Mkt!$A:$A,Raw_Mkt!$B:$B))</f>
        <v/>
      </c>
    </row>
    <row r="227" spans="1:26" x14ac:dyDescent="0.4">
      <c r="A227" t="str">
        <f>IF(Universe!A227&lt;&gt;"",Universe!A227,"")</f>
        <v>TEM</v>
      </c>
      <c r="B227" t="str">
        <f>IF(Universe!B227&lt;&gt;"",Universe!B227,"")</f>
        <v>Templeton Emerging Markets Investment Trust</v>
      </c>
      <c r="C227" t="str">
        <f>IF(Universe!C227&lt;&gt;"",Universe!C227,"")</f>
        <v>GB00BKPG0S09</v>
      </c>
      <c r="D227" t="str">
        <f>IF(Universe!D227&lt;&gt;"",Universe!D227,"")</f>
        <v>Financials</v>
      </c>
      <c r="E227" t="str">
        <f>Universe!G227</f>
        <v>Exclude</v>
      </c>
      <c r="F227" t="str">
        <f>IF($E227&lt;&gt;"Include","",_xlfn.LET(_xlpm.latest,_xlfn.MAXIFS(Raw_Fund!$C:$C,Raw_Fund!$B:$B,Data!$C227),IF(_xlpm.latest=0,"",_xlpm.latest)))</f>
        <v/>
      </c>
      <c r="G227" t="str">
        <f>IF($F227="","",INDEX(Raw_Fund!$E:$AZ,MATCH($C227&amp;"|"&amp;$F227,Raw_Fund!$A:$A,0),MATCH(G$3,Raw_Fund!$E$1:$AZ$1,0)))</f>
        <v/>
      </c>
      <c r="H227" t="str">
        <f t="shared" si="3"/>
        <v/>
      </c>
      <c r="I227" s="6" t="str">
        <f>_xlfn.LET(
_xlpm.rowNo, MATCH($C227&amp;"|"&amp;
($F227+I$4),Raw_Fund!$A:$A,0),
_xlpm.colNo,
MATCH(I$3,Raw_Fund!$E$1:$AZ$1,0),
_xlpm.val,
INDEX(Raw_Fund!$E:$AZ,_xlpm.rowNo,_xlpm.colNo),
IF(ISNUMBER(_xlpm.val),_xlpm.val*$H227,""))</f>
        <v/>
      </c>
      <c r="J227" s="6" t="str">
        <f>_xlfn.LET(
_xlpm.rowNo, MATCH($C227&amp;"|"&amp;
($F227+J$4),Raw_Fund!$A:$A,0),
_xlpm.colNo,
MATCH(J$3,Raw_Fund!$E$1:$AZ$1,0),
_xlpm.val,
INDEX(Raw_Fund!$E:$AZ,_xlpm.rowNo,_xlpm.colNo),
IF(ISNUMBER(_xlpm.val),_xlpm.val*$H227,""))</f>
        <v/>
      </c>
      <c r="K227" s="6" t="str">
        <f>_xlfn.LET(
_xlpm.rowNo, MATCH($C227&amp;"|"&amp;
($F227+K$4),Raw_Fund!$A:$A,0),
_xlpm.colNo,
MATCH(K$3,Raw_Fund!$E$1:$AZ$1,0),
_xlpm.val,
INDEX(Raw_Fund!$E:$AZ,_xlpm.rowNo,_xlpm.colNo),
IF(ISNUMBER(_xlpm.val),_xlpm.val*$H227,""))</f>
        <v/>
      </c>
      <c r="L227" s="6" t="str">
        <f>_xlfn.LET(
_xlpm.rowNo, MATCH($C227&amp;"|"&amp;
($F227+L$4),Raw_Fund!$A:$A,0),
_xlpm.colNo,
MATCH(L$3,Raw_Fund!$E$1:$AZ$1,0),
_xlpm.val,
INDEX(Raw_Fund!$E:$AZ,_xlpm.rowNo,_xlpm.colNo),
IF(ISNUMBER(_xlpm.val),_xlpm.val*$H227,""))</f>
        <v/>
      </c>
      <c r="M227" s="6" t="str">
        <f>_xlfn.LET(
_xlpm.rowNo, MATCH($C227&amp;"|"&amp;
($F227+M$4),Raw_Fund!$A:$A,0),
_xlpm.colNo,
MATCH(M$3,Raw_Fund!$E$1:$AZ$1,0),
_xlpm.val,
INDEX(Raw_Fund!$E:$AZ,_xlpm.rowNo,_xlpm.colNo),
IF(ISNUMBER(_xlpm.val),_xlpm.val*$H227,""))</f>
        <v/>
      </c>
      <c r="N227" s="6" t="str">
        <f>_xlfn.LET(
_xlpm.rowNo, MATCH($C227&amp;"|"&amp;
($F227+N$4),Raw_Fund!$A:$A,0),
_xlpm.colNo,
MATCH(N$3,Raw_Fund!$E$1:$AZ$1,0),
_xlpm.val,
INDEX(Raw_Fund!$E:$AZ,_xlpm.rowNo,_xlpm.colNo),
IF(ISNUMBER(_xlpm.val),_xlpm.val*$H227,""))</f>
        <v/>
      </c>
      <c r="O227" s="6" t="str">
        <f>_xlfn.LET(
_xlpm.rowNo, MATCH($C227&amp;"|"&amp;
($F227+O$4),Raw_Fund!$A:$A,0),
_xlpm.colNo,
MATCH(O$3,Raw_Fund!$E$1:$AZ$1,0),
_xlpm.val,
INDEX(Raw_Fund!$E:$AZ,_xlpm.rowNo,_xlpm.colNo),
IF(ISNUMBER(_xlpm.val),_xlpm.val*$H227,""))</f>
        <v/>
      </c>
      <c r="P227" s="6" t="str">
        <f>_xlfn.LET(
_xlpm.rowNo, MATCH($C227&amp;"|"&amp;
($F227+P$4),Raw_Fund!$A:$A,0),
_xlpm.colNo,
MATCH(P$3,Raw_Fund!$E$1:$AZ$1,0),
_xlpm.val,
INDEX(Raw_Fund!$E:$AZ,_xlpm.rowNo,_xlpm.colNo),
IF(ISNUMBER(_xlpm.val),_xlpm.val*$H227,""))</f>
        <v/>
      </c>
      <c r="Q227" s="6" t="str">
        <f>_xlfn.LET(
_xlpm.rowNo, MATCH($C227&amp;"|"&amp;
($F227+Q$4),Raw_Fund!$A:$A,0),
_xlpm.colNo,
MATCH(Q$3,Raw_Fund!$E$1:$AZ$1,0),
_xlpm.val,
INDEX(Raw_Fund!$E:$AZ,_xlpm.rowNo,_xlpm.colNo),
IF(ISNUMBER(_xlpm.val),_xlpm.val*$H227,""))</f>
        <v/>
      </c>
      <c r="R227" s="6" t="str">
        <f>_xlfn.LET(
_xlpm.rowNo, MATCH($C227&amp;"|"&amp;
($F227+R$4),Raw_Fund!$A:$A,0),
_xlpm.colNo,
MATCH(R$3,Raw_Fund!$E$1:$AZ$1,0),
_xlpm.val,
INDEX(Raw_Fund!$E:$AZ,_xlpm.rowNo,_xlpm.colNo),
IF(ISNUMBER(_xlpm.val),_xlpm.val*$H227,""))</f>
        <v/>
      </c>
      <c r="S227" s="6" t="str">
        <f>_xlfn.LET(
_xlpm.rowNo, MATCH($C227&amp;"|"&amp;
($F227+S$4),Raw_Fund!$A:$A,0),
_xlpm.colNo,
MATCH(S$3,Raw_Fund!$E$1:$AZ$1,0),
_xlpm.val,
INDEX(Raw_Fund!$E:$AZ,_xlpm.rowNo,_xlpm.colNo),
IF(ISNUMBER(_xlpm.val),_xlpm.val*$H227,""))</f>
        <v/>
      </c>
      <c r="T227" s="6" t="str">
        <f>_xlfn.LET(
_xlpm.rowNo, MATCH($C227&amp;"|"&amp;
($F227+T$4),Raw_Fund!$A:$A,0),
_xlpm.colNo,
MATCH(T$3,Raw_Fund!$E$1:$AZ$1,0),
_xlpm.val,
INDEX(Raw_Fund!$E:$AZ,_xlpm.rowNo,_xlpm.colNo),
IF(ISNUMBER(_xlpm.val),_xlpm.val*$H227,""))</f>
        <v/>
      </c>
      <c r="U227" s="6" t="str">
        <f>_xlfn.LET(
_xlpm.rowNo, MATCH($C227&amp;"|"&amp;
($F227+U$4),Raw_Fund!$A:$A,0),
_xlpm.colNo,
MATCH(U$3,Raw_Fund!$E$1:$AZ$1,0),
_xlpm.val,
INDEX(Raw_Fund!$E:$AZ,_xlpm.rowNo,_xlpm.colNo),
IF(ISNUMBER(_xlpm.val),_xlpm.val*$H227,""))</f>
        <v/>
      </c>
      <c r="V227" s="6" t="str">
        <f>_xlfn.LET(
_xlpm.rowNo, MATCH($C227&amp;"|"&amp;
($F227+V$4),Raw_Fund!$A:$A,0),
_xlpm.colNo,
MATCH(V$3,Raw_Fund!$E$1:$AZ$1,0),
_xlpm.val,
INDEX(Raw_Fund!$E:$AZ,_xlpm.rowNo,_xlpm.colNo),
IF(ISNUMBER(_xlpm.val),_xlpm.val*$H227,""))</f>
        <v/>
      </c>
      <c r="W227" s="6" t="str">
        <f>_xlfn.LET(
_xlpm.rowNo, MATCH($C227&amp;"|"&amp;
($F227+W$4),Raw_Fund!$A:$A,0),
_xlpm.colNo,
MATCH(W$3,Raw_Fund!$E$1:$AZ$1,0),
_xlpm.val,
INDEX(Raw_Fund!$E:$AZ,_xlpm.rowNo,_xlpm.colNo),
IF(ISNUMBER(_xlpm.val),_xlpm.val*$H227,""))</f>
        <v/>
      </c>
      <c r="X227" s="6" t="str">
        <f>_xlfn.LET(
_xlpm.rowNo, MATCH($C227&amp;"|"&amp;
($F227+X$4),Raw_Fund!$A:$A,0),
_xlpm.colNo,
MATCH(X$3,Raw_Fund!$E$1:$AZ$1,0),
_xlpm.val,
INDEX(Raw_Fund!$E:$AZ,_xlpm.rowNo,_xlpm.colNo),
IF(ISNUMBER(_xlpm.val),_xlpm.val*$H227,""))</f>
        <v/>
      </c>
      <c r="Y227" s="6" t="str">
        <f>_xlfn.LET(
_xlpm.rowNo, MATCH($C227&amp;"|"&amp;
($F227+Y$4),Raw_Fund!$A:$A,0),
_xlpm.colNo,
MATCH(Y$3,Raw_Fund!$E$1:$AZ$1,0),
_xlpm.val,
INDEX(Raw_Fund!$E:$AZ,_xlpm.rowNo,_xlpm.colNo),
IF(ISNUMBER(_xlpm.val),_xlpm.val*$H227,""))</f>
        <v/>
      </c>
      <c r="Z227" s="6" t="str">
        <f>IF($E227&lt;&gt;"Include","",_xlfn.XLOOKUP($C227,Raw_Mkt!$A:$A,Raw_Mkt!$B:$B))</f>
        <v/>
      </c>
    </row>
    <row r="228" spans="1:26" x14ac:dyDescent="0.4">
      <c r="A228" t="str">
        <f>IF(Universe!A228&lt;&gt;"",Universe!A228,"")</f>
        <v>TRIG</v>
      </c>
      <c r="B228" t="str">
        <f>IF(Universe!B228&lt;&gt;"",Universe!B228,"")</f>
        <v>The Renewables Infrastructure Group</v>
      </c>
      <c r="C228" t="str">
        <f>IF(Universe!C228&lt;&gt;"",Universe!C228,"")</f>
        <v>GG00BBHX2H91</v>
      </c>
      <c r="D228" t="str">
        <f>IF(Universe!D228&lt;&gt;"",Universe!D228,"")</f>
        <v>Financials</v>
      </c>
      <c r="E228" t="str">
        <f>Universe!G228</f>
        <v>Exclude</v>
      </c>
      <c r="F228" t="str">
        <f>IF($E228&lt;&gt;"Include","",_xlfn.LET(_xlpm.latest,_xlfn.MAXIFS(Raw_Fund!$C:$C,Raw_Fund!$B:$B,Data!$C228),IF(_xlpm.latest=0,"",_xlpm.latest)))</f>
        <v/>
      </c>
      <c r="G228" t="str">
        <f>IF($F228="","",INDEX(Raw_Fund!$E:$AZ,MATCH($C228&amp;"|"&amp;$F228,Raw_Fund!$A:$A,0),MATCH(G$3,Raw_Fund!$E$1:$AZ$1,0)))</f>
        <v/>
      </c>
      <c r="H228" t="str">
        <f t="shared" si="3"/>
        <v/>
      </c>
      <c r="I228" s="6" t="str">
        <f>_xlfn.LET(
_xlpm.rowNo, MATCH($C228&amp;"|"&amp;
($F228+I$4),Raw_Fund!$A:$A,0),
_xlpm.colNo,
MATCH(I$3,Raw_Fund!$E$1:$AZ$1,0),
_xlpm.val,
INDEX(Raw_Fund!$E:$AZ,_xlpm.rowNo,_xlpm.colNo),
IF(ISNUMBER(_xlpm.val),_xlpm.val*$H228,""))</f>
        <v/>
      </c>
      <c r="J228" s="6" t="str">
        <f>_xlfn.LET(
_xlpm.rowNo, MATCH($C228&amp;"|"&amp;
($F228+J$4),Raw_Fund!$A:$A,0),
_xlpm.colNo,
MATCH(J$3,Raw_Fund!$E$1:$AZ$1,0),
_xlpm.val,
INDEX(Raw_Fund!$E:$AZ,_xlpm.rowNo,_xlpm.colNo),
IF(ISNUMBER(_xlpm.val),_xlpm.val*$H228,""))</f>
        <v/>
      </c>
      <c r="K228" s="6" t="str">
        <f>_xlfn.LET(
_xlpm.rowNo, MATCH($C228&amp;"|"&amp;
($F228+K$4),Raw_Fund!$A:$A,0),
_xlpm.colNo,
MATCH(K$3,Raw_Fund!$E$1:$AZ$1,0),
_xlpm.val,
INDEX(Raw_Fund!$E:$AZ,_xlpm.rowNo,_xlpm.colNo),
IF(ISNUMBER(_xlpm.val),_xlpm.val*$H228,""))</f>
        <v/>
      </c>
      <c r="L228" s="6" t="str">
        <f>_xlfn.LET(
_xlpm.rowNo, MATCH($C228&amp;"|"&amp;
($F228+L$4),Raw_Fund!$A:$A,0),
_xlpm.colNo,
MATCH(L$3,Raw_Fund!$E$1:$AZ$1,0),
_xlpm.val,
INDEX(Raw_Fund!$E:$AZ,_xlpm.rowNo,_xlpm.colNo),
IF(ISNUMBER(_xlpm.val),_xlpm.val*$H228,""))</f>
        <v/>
      </c>
      <c r="M228" s="6" t="str">
        <f>_xlfn.LET(
_xlpm.rowNo, MATCH($C228&amp;"|"&amp;
($F228+M$4),Raw_Fund!$A:$A,0),
_xlpm.colNo,
MATCH(M$3,Raw_Fund!$E$1:$AZ$1,0),
_xlpm.val,
INDEX(Raw_Fund!$E:$AZ,_xlpm.rowNo,_xlpm.colNo),
IF(ISNUMBER(_xlpm.val),_xlpm.val*$H228,""))</f>
        <v/>
      </c>
      <c r="N228" s="6" t="str">
        <f>_xlfn.LET(
_xlpm.rowNo, MATCH($C228&amp;"|"&amp;
($F228+N$4),Raw_Fund!$A:$A,0),
_xlpm.colNo,
MATCH(N$3,Raw_Fund!$E$1:$AZ$1,0),
_xlpm.val,
INDEX(Raw_Fund!$E:$AZ,_xlpm.rowNo,_xlpm.colNo),
IF(ISNUMBER(_xlpm.val),_xlpm.val*$H228,""))</f>
        <v/>
      </c>
      <c r="O228" s="6" t="str">
        <f>_xlfn.LET(
_xlpm.rowNo, MATCH($C228&amp;"|"&amp;
($F228+O$4),Raw_Fund!$A:$A,0),
_xlpm.colNo,
MATCH(O$3,Raw_Fund!$E$1:$AZ$1,0),
_xlpm.val,
INDEX(Raw_Fund!$E:$AZ,_xlpm.rowNo,_xlpm.colNo),
IF(ISNUMBER(_xlpm.val),_xlpm.val*$H228,""))</f>
        <v/>
      </c>
      <c r="P228" s="6" t="str">
        <f>_xlfn.LET(
_xlpm.rowNo, MATCH($C228&amp;"|"&amp;
($F228+P$4),Raw_Fund!$A:$A,0),
_xlpm.colNo,
MATCH(P$3,Raw_Fund!$E$1:$AZ$1,0),
_xlpm.val,
INDEX(Raw_Fund!$E:$AZ,_xlpm.rowNo,_xlpm.colNo),
IF(ISNUMBER(_xlpm.val),_xlpm.val*$H228,""))</f>
        <v/>
      </c>
      <c r="Q228" s="6" t="str">
        <f>_xlfn.LET(
_xlpm.rowNo, MATCH($C228&amp;"|"&amp;
($F228+Q$4),Raw_Fund!$A:$A,0),
_xlpm.colNo,
MATCH(Q$3,Raw_Fund!$E$1:$AZ$1,0),
_xlpm.val,
INDEX(Raw_Fund!$E:$AZ,_xlpm.rowNo,_xlpm.colNo),
IF(ISNUMBER(_xlpm.val),_xlpm.val*$H228,""))</f>
        <v/>
      </c>
      <c r="R228" s="6" t="str">
        <f>_xlfn.LET(
_xlpm.rowNo, MATCH($C228&amp;"|"&amp;
($F228+R$4),Raw_Fund!$A:$A,0),
_xlpm.colNo,
MATCH(R$3,Raw_Fund!$E$1:$AZ$1,0),
_xlpm.val,
INDEX(Raw_Fund!$E:$AZ,_xlpm.rowNo,_xlpm.colNo),
IF(ISNUMBER(_xlpm.val),_xlpm.val*$H228,""))</f>
        <v/>
      </c>
      <c r="S228" s="6" t="str">
        <f>_xlfn.LET(
_xlpm.rowNo, MATCH($C228&amp;"|"&amp;
($F228+S$4),Raw_Fund!$A:$A,0),
_xlpm.colNo,
MATCH(S$3,Raw_Fund!$E$1:$AZ$1,0),
_xlpm.val,
INDEX(Raw_Fund!$E:$AZ,_xlpm.rowNo,_xlpm.colNo),
IF(ISNUMBER(_xlpm.val),_xlpm.val*$H228,""))</f>
        <v/>
      </c>
      <c r="T228" s="6" t="str">
        <f>_xlfn.LET(
_xlpm.rowNo, MATCH($C228&amp;"|"&amp;
($F228+T$4),Raw_Fund!$A:$A,0),
_xlpm.colNo,
MATCH(T$3,Raw_Fund!$E$1:$AZ$1,0),
_xlpm.val,
INDEX(Raw_Fund!$E:$AZ,_xlpm.rowNo,_xlpm.colNo),
IF(ISNUMBER(_xlpm.val),_xlpm.val*$H228,""))</f>
        <v/>
      </c>
      <c r="U228" s="6" t="str">
        <f>_xlfn.LET(
_xlpm.rowNo, MATCH($C228&amp;"|"&amp;
($F228+U$4),Raw_Fund!$A:$A,0),
_xlpm.colNo,
MATCH(U$3,Raw_Fund!$E$1:$AZ$1,0),
_xlpm.val,
INDEX(Raw_Fund!$E:$AZ,_xlpm.rowNo,_xlpm.colNo),
IF(ISNUMBER(_xlpm.val),_xlpm.val*$H228,""))</f>
        <v/>
      </c>
      <c r="V228" s="6" t="str">
        <f>_xlfn.LET(
_xlpm.rowNo, MATCH($C228&amp;"|"&amp;
($F228+V$4),Raw_Fund!$A:$A,0),
_xlpm.colNo,
MATCH(V$3,Raw_Fund!$E$1:$AZ$1,0),
_xlpm.val,
INDEX(Raw_Fund!$E:$AZ,_xlpm.rowNo,_xlpm.colNo),
IF(ISNUMBER(_xlpm.val),_xlpm.val*$H228,""))</f>
        <v/>
      </c>
      <c r="W228" s="6" t="str">
        <f>_xlfn.LET(
_xlpm.rowNo, MATCH($C228&amp;"|"&amp;
($F228+W$4),Raw_Fund!$A:$A,0),
_xlpm.colNo,
MATCH(W$3,Raw_Fund!$E$1:$AZ$1,0),
_xlpm.val,
INDEX(Raw_Fund!$E:$AZ,_xlpm.rowNo,_xlpm.colNo),
IF(ISNUMBER(_xlpm.val),_xlpm.val*$H228,""))</f>
        <v/>
      </c>
      <c r="X228" s="6" t="str">
        <f>_xlfn.LET(
_xlpm.rowNo, MATCH($C228&amp;"|"&amp;
($F228+X$4),Raw_Fund!$A:$A,0),
_xlpm.colNo,
MATCH(X$3,Raw_Fund!$E$1:$AZ$1,0),
_xlpm.val,
INDEX(Raw_Fund!$E:$AZ,_xlpm.rowNo,_xlpm.colNo),
IF(ISNUMBER(_xlpm.val),_xlpm.val*$H228,""))</f>
        <v/>
      </c>
      <c r="Y228" s="6" t="str">
        <f>_xlfn.LET(
_xlpm.rowNo, MATCH($C228&amp;"|"&amp;
($F228+Y$4),Raw_Fund!$A:$A,0),
_xlpm.colNo,
MATCH(Y$3,Raw_Fund!$E$1:$AZ$1,0),
_xlpm.val,
INDEX(Raw_Fund!$E:$AZ,_xlpm.rowNo,_xlpm.colNo),
IF(ISNUMBER(_xlpm.val),_xlpm.val*$H228,""))</f>
        <v/>
      </c>
      <c r="Z228" s="6" t="str">
        <f>IF($E228&lt;&gt;"Include","",_xlfn.XLOOKUP($C228,Raw_Mkt!$A:$A,Raw_Mkt!$B:$B))</f>
        <v/>
      </c>
    </row>
    <row r="229" spans="1:26" x14ac:dyDescent="0.4">
      <c r="A229" t="str">
        <f>IF(Universe!A229&lt;&gt;"",Universe!A229,"")</f>
        <v>THG</v>
      </c>
      <c r="B229" t="str">
        <f>IF(Universe!B229&lt;&gt;"",Universe!B229,"")</f>
        <v>THG</v>
      </c>
      <c r="C229" t="str">
        <f>IF(Universe!C229&lt;&gt;"",Universe!C229,"")</f>
        <v>GB00BMTV7393</v>
      </c>
      <c r="D229" t="str">
        <f>IF(Universe!D229&lt;&gt;"",Universe!D229,"")</f>
        <v>Consumer Discretionary</v>
      </c>
      <c r="E229" t="str">
        <f>Universe!G229</f>
        <v>Include</v>
      </c>
      <c r="F229" t="str">
        <f>IF($E229&lt;&gt;"Include","",_xlfn.LET(_xlpm.latest,_xlfn.MAXIFS(Raw_Fund!$C:$C,Raw_Fund!$B:$B,Data!$C229),IF(_xlpm.latest=0,"",_xlpm.latest)))</f>
        <v/>
      </c>
      <c r="G229" t="str">
        <f>IF($F229="","",INDEX(Raw_Fund!$E:$AZ,MATCH($C229&amp;"|"&amp;$F229,Raw_Fund!$A:$A,0),MATCH(G$3,Raw_Fund!$E$1:$AZ$1,0)))</f>
        <v/>
      </c>
      <c r="H229" t="str">
        <f t="shared" si="3"/>
        <v/>
      </c>
      <c r="I229" s="6" t="str">
        <f>_xlfn.LET(
_xlpm.rowNo, MATCH($C229&amp;"|"&amp;
($F229+I$4),Raw_Fund!$A:$A,0),
_xlpm.colNo,
MATCH(I$3,Raw_Fund!$E$1:$AZ$1,0),
_xlpm.val,
INDEX(Raw_Fund!$E:$AZ,_xlpm.rowNo,_xlpm.colNo),
IF(ISNUMBER(_xlpm.val),_xlpm.val*$H229,""))</f>
        <v/>
      </c>
      <c r="J229" s="6" t="str">
        <f>_xlfn.LET(
_xlpm.rowNo, MATCH($C229&amp;"|"&amp;
($F229+J$4),Raw_Fund!$A:$A,0),
_xlpm.colNo,
MATCH(J$3,Raw_Fund!$E$1:$AZ$1,0),
_xlpm.val,
INDEX(Raw_Fund!$E:$AZ,_xlpm.rowNo,_xlpm.colNo),
IF(ISNUMBER(_xlpm.val),_xlpm.val*$H229,""))</f>
        <v/>
      </c>
      <c r="K229" s="6" t="str">
        <f>_xlfn.LET(
_xlpm.rowNo, MATCH($C229&amp;"|"&amp;
($F229+K$4),Raw_Fund!$A:$A,0),
_xlpm.colNo,
MATCH(K$3,Raw_Fund!$E$1:$AZ$1,0),
_xlpm.val,
INDEX(Raw_Fund!$E:$AZ,_xlpm.rowNo,_xlpm.colNo),
IF(ISNUMBER(_xlpm.val),_xlpm.val*$H229,""))</f>
        <v/>
      </c>
      <c r="L229" s="6" t="str">
        <f>_xlfn.LET(
_xlpm.rowNo, MATCH($C229&amp;"|"&amp;
($F229+L$4),Raw_Fund!$A:$A,0),
_xlpm.colNo,
MATCH(L$3,Raw_Fund!$E$1:$AZ$1,0),
_xlpm.val,
INDEX(Raw_Fund!$E:$AZ,_xlpm.rowNo,_xlpm.colNo),
IF(ISNUMBER(_xlpm.val),_xlpm.val*$H229,""))</f>
        <v/>
      </c>
      <c r="M229" s="6" t="str">
        <f>_xlfn.LET(
_xlpm.rowNo, MATCH($C229&amp;"|"&amp;
($F229+M$4),Raw_Fund!$A:$A,0),
_xlpm.colNo,
MATCH(M$3,Raw_Fund!$E$1:$AZ$1,0),
_xlpm.val,
INDEX(Raw_Fund!$E:$AZ,_xlpm.rowNo,_xlpm.colNo),
IF(ISNUMBER(_xlpm.val),_xlpm.val*$H229,""))</f>
        <v/>
      </c>
      <c r="N229" s="6" t="str">
        <f>_xlfn.LET(
_xlpm.rowNo, MATCH($C229&amp;"|"&amp;
($F229+N$4),Raw_Fund!$A:$A,0),
_xlpm.colNo,
MATCH(N$3,Raw_Fund!$E$1:$AZ$1,0),
_xlpm.val,
INDEX(Raw_Fund!$E:$AZ,_xlpm.rowNo,_xlpm.colNo),
IF(ISNUMBER(_xlpm.val),_xlpm.val*$H229,""))</f>
        <v/>
      </c>
      <c r="O229" s="6" t="str">
        <f>_xlfn.LET(
_xlpm.rowNo, MATCH($C229&amp;"|"&amp;
($F229+O$4),Raw_Fund!$A:$A,0),
_xlpm.colNo,
MATCH(O$3,Raw_Fund!$E$1:$AZ$1,0),
_xlpm.val,
INDEX(Raw_Fund!$E:$AZ,_xlpm.rowNo,_xlpm.colNo),
IF(ISNUMBER(_xlpm.val),_xlpm.val*$H229,""))</f>
        <v/>
      </c>
      <c r="P229" s="6" t="str">
        <f>_xlfn.LET(
_xlpm.rowNo, MATCH($C229&amp;"|"&amp;
($F229+P$4),Raw_Fund!$A:$A,0),
_xlpm.colNo,
MATCH(P$3,Raw_Fund!$E$1:$AZ$1,0),
_xlpm.val,
INDEX(Raw_Fund!$E:$AZ,_xlpm.rowNo,_xlpm.colNo),
IF(ISNUMBER(_xlpm.val),_xlpm.val*$H229,""))</f>
        <v/>
      </c>
      <c r="Q229" s="6" t="str">
        <f>_xlfn.LET(
_xlpm.rowNo, MATCH($C229&amp;"|"&amp;
($F229+Q$4),Raw_Fund!$A:$A,0),
_xlpm.colNo,
MATCH(Q$3,Raw_Fund!$E$1:$AZ$1,0),
_xlpm.val,
INDEX(Raw_Fund!$E:$AZ,_xlpm.rowNo,_xlpm.colNo),
IF(ISNUMBER(_xlpm.val),_xlpm.val*$H229,""))</f>
        <v/>
      </c>
      <c r="R229" s="6" t="str">
        <f>_xlfn.LET(
_xlpm.rowNo, MATCH($C229&amp;"|"&amp;
($F229+R$4),Raw_Fund!$A:$A,0),
_xlpm.colNo,
MATCH(R$3,Raw_Fund!$E$1:$AZ$1,0),
_xlpm.val,
INDEX(Raw_Fund!$E:$AZ,_xlpm.rowNo,_xlpm.colNo),
IF(ISNUMBER(_xlpm.val),_xlpm.val*$H229,""))</f>
        <v/>
      </c>
      <c r="S229" s="6" t="str">
        <f>_xlfn.LET(
_xlpm.rowNo, MATCH($C229&amp;"|"&amp;
($F229+S$4),Raw_Fund!$A:$A,0),
_xlpm.colNo,
MATCH(S$3,Raw_Fund!$E$1:$AZ$1,0),
_xlpm.val,
INDEX(Raw_Fund!$E:$AZ,_xlpm.rowNo,_xlpm.colNo),
IF(ISNUMBER(_xlpm.val),_xlpm.val*$H229,""))</f>
        <v/>
      </c>
      <c r="T229" s="6" t="str">
        <f>_xlfn.LET(
_xlpm.rowNo, MATCH($C229&amp;"|"&amp;
($F229+T$4),Raw_Fund!$A:$A,0),
_xlpm.colNo,
MATCH(T$3,Raw_Fund!$E$1:$AZ$1,0),
_xlpm.val,
INDEX(Raw_Fund!$E:$AZ,_xlpm.rowNo,_xlpm.colNo),
IF(ISNUMBER(_xlpm.val),_xlpm.val*$H229,""))</f>
        <v/>
      </c>
      <c r="U229" s="6" t="str">
        <f>_xlfn.LET(
_xlpm.rowNo, MATCH($C229&amp;"|"&amp;
($F229+U$4),Raw_Fund!$A:$A,0),
_xlpm.colNo,
MATCH(U$3,Raw_Fund!$E$1:$AZ$1,0),
_xlpm.val,
INDEX(Raw_Fund!$E:$AZ,_xlpm.rowNo,_xlpm.colNo),
IF(ISNUMBER(_xlpm.val),_xlpm.val*$H229,""))</f>
        <v/>
      </c>
      <c r="V229" s="6" t="str">
        <f>_xlfn.LET(
_xlpm.rowNo, MATCH($C229&amp;"|"&amp;
($F229+V$4),Raw_Fund!$A:$A,0),
_xlpm.colNo,
MATCH(V$3,Raw_Fund!$E$1:$AZ$1,0),
_xlpm.val,
INDEX(Raw_Fund!$E:$AZ,_xlpm.rowNo,_xlpm.colNo),
IF(ISNUMBER(_xlpm.val),_xlpm.val*$H229,""))</f>
        <v/>
      </c>
      <c r="W229" s="6" t="str">
        <f>_xlfn.LET(
_xlpm.rowNo, MATCH($C229&amp;"|"&amp;
($F229+W$4),Raw_Fund!$A:$A,0),
_xlpm.colNo,
MATCH(W$3,Raw_Fund!$E$1:$AZ$1,0),
_xlpm.val,
INDEX(Raw_Fund!$E:$AZ,_xlpm.rowNo,_xlpm.colNo),
IF(ISNUMBER(_xlpm.val),_xlpm.val*$H229,""))</f>
        <v/>
      </c>
      <c r="X229" s="6" t="str">
        <f>_xlfn.LET(
_xlpm.rowNo, MATCH($C229&amp;"|"&amp;
($F229+X$4),Raw_Fund!$A:$A,0),
_xlpm.colNo,
MATCH(X$3,Raw_Fund!$E$1:$AZ$1,0),
_xlpm.val,
INDEX(Raw_Fund!$E:$AZ,_xlpm.rowNo,_xlpm.colNo),
IF(ISNUMBER(_xlpm.val),_xlpm.val*$H229,""))</f>
        <v/>
      </c>
      <c r="Y229" s="6" t="str">
        <f>_xlfn.LET(
_xlpm.rowNo, MATCH($C229&amp;"|"&amp;
($F229+Y$4),Raw_Fund!$A:$A,0),
_xlpm.colNo,
MATCH(Y$3,Raw_Fund!$E$1:$AZ$1,0),
_xlpm.val,
INDEX(Raw_Fund!$E:$AZ,_xlpm.rowNo,_xlpm.colNo),
IF(ISNUMBER(_xlpm.val),_xlpm.val*$H229,""))</f>
        <v/>
      </c>
      <c r="Z229" s="6" t="e">
        <f>IF($E229&lt;&gt;"Include","",_xlfn.XLOOKUP($C229,Raw_Mkt!$A:$A,Raw_Mkt!$B:$B))</f>
        <v>#N/A</v>
      </c>
    </row>
    <row r="230" spans="1:26" x14ac:dyDescent="0.4">
      <c r="A230" t="str">
        <f>IF(Universe!A230&lt;&gt;"",Universe!A230,"")</f>
        <v>TCAP</v>
      </c>
      <c r="B230" t="str">
        <f>IF(Universe!B230&lt;&gt;"",Universe!B230,"")</f>
        <v>TP ICAP</v>
      </c>
      <c r="C230" t="str">
        <f>IF(Universe!C230&lt;&gt;"",Universe!C230,"")</f>
        <v>JE00BMDZN391</v>
      </c>
      <c r="D230" t="str">
        <f>IF(Universe!D230&lt;&gt;"",Universe!D230,"")</f>
        <v>Financials</v>
      </c>
      <c r="E230" t="str">
        <f>Universe!G230</f>
        <v>Exclude</v>
      </c>
      <c r="F230" t="str">
        <f>IF($E230&lt;&gt;"Include","",_xlfn.LET(_xlpm.latest,_xlfn.MAXIFS(Raw_Fund!$C:$C,Raw_Fund!$B:$B,Data!$C230),IF(_xlpm.latest=0,"",_xlpm.latest)))</f>
        <v/>
      </c>
      <c r="G230" t="str">
        <f>IF($F230="","",INDEX(Raw_Fund!$E:$AZ,MATCH($C230&amp;"|"&amp;$F230,Raw_Fund!$A:$A,0),MATCH(G$3,Raw_Fund!$E$1:$AZ$1,0)))</f>
        <v/>
      </c>
      <c r="H230" t="str">
        <f t="shared" si="3"/>
        <v/>
      </c>
      <c r="I230" s="6" t="str">
        <f>_xlfn.LET(
_xlpm.rowNo, MATCH($C230&amp;"|"&amp;
($F230+I$4),Raw_Fund!$A:$A,0),
_xlpm.colNo,
MATCH(I$3,Raw_Fund!$E$1:$AZ$1,0),
_xlpm.val,
INDEX(Raw_Fund!$E:$AZ,_xlpm.rowNo,_xlpm.colNo),
IF(ISNUMBER(_xlpm.val),_xlpm.val*$H230,""))</f>
        <v/>
      </c>
      <c r="J230" s="6" t="str">
        <f>_xlfn.LET(
_xlpm.rowNo, MATCH($C230&amp;"|"&amp;
($F230+J$4),Raw_Fund!$A:$A,0),
_xlpm.colNo,
MATCH(J$3,Raw_Fund!$E$1:$AZ$1,0),
_xlpm.val,
INDEX(Raw_Fund!$E:$AZ,_xlpm.rowNo,_xlpm.colNo),
IF(ISNUMBER(_xlpm.val),_xlpm.val*$H230,""))</f>
        <v/>
      </c>
      <c r="K230" s="6" t="str">
        <f>_xlfn.LET(
_xlpm.rowNo, MATCH($C230&amp;"|"&amp;
($F230+K$4),Raw_Fund!$A:$A,0),
_xlpm.colNo,
MATCH(K$3,Raw_Fund!$E$1:$AZ$1,0),
_xlpm.val,
INDEX(Raw_Fund!$E:$AZ,_xlpm.rowNo,_xlpm.colNo),
IF(ISNUMBER(_xlpm.val),_xlpm.val*$H230,""))</f>
        <v/>
      </c>
      <c r="L230" s="6" t="str">
        <f>_xlfn.LET(
_xlpm.rowNo, MATCH($C230&amp;"|"&amp;
($F230+L$4),Raw_Fund!$A:$A,0),
_xlpm.colNo,
MATCH(L$3,Raw_Fund!$E$1:$AZ$1,0),
_xlpm.val,
INDEX(Raw_Fund!$E:$AZ,_xlpm.rowNo,_xlpm.colNo),
IF(ISNUMBER(_xlpm.val),_xlpm.val*$H230,""))</f>
        <v/>
      </c>
      <c r="M230" s="6" t="str">
        <f>_xlfn.LET(
_xlpm.rowNo, MATCH($C230&amp;"|"&amp;
($F230+M$4),Raw_Fund!$A:$A,0),
_xlpm.colNo,
MATCH(M$3,Raw_Fund!$E$1:$AZ$1,0),
_xlpm.val,
INDEX(Raw_Fund!$E:$AZ,_xlpm.rowNo,_xlpm.colNo),
IF(ISNUMBER(_xlpm.val),_xlpm.val*$H230,""))</f>
        <v/>
      </c>
      <c r="N230" s="6" t="str">
        <f>_xlfn.LET(
_xlpm.rowNo, MATCH($C230&amp;"|"&amp;
($F230+N$4),Raw_Fund!$A:$A,0),
_xlpm.colNo,
MATCH(N$3,Raw_Fund!$E$1:$AZ$1,0),
_xlpm.val,
INDEX(Raw_Fund!$E:$AZ,_xlpm.rowNo,_xlpm.colNo),
IF(ISNUMBER(_xlpm.val),_xlpm.val*$H230,""))</f>
        <v/>
      </c>
      <c r="O230" s="6" t="str">
        <f>_xlfn.LET(
_xlpm.rowNo, MATCH($C230&amp;"|"&amp;
($F230+O$4),Raw_Fund!$A:$A,0),
_xlpm.colNo,
MATCH(O$3,Raw_Fund!$E$1:$AZ$1,0),
_xlpm.val,
INDEX(Raw_Fund!$E:$AZ,_xlpm.rowNo,_xlpm.colNo),
IF(ISNUMBER(_xlpm.val),_xlpm.val*$H230,""))</f>
        <v/>
      </c>
      <c r="P230" s="6" t="str">
        <f>_xlfn.LET(
_xlpm.rowNo, MATCH($C230&amp;"|"&amp;
($F230+P$4),Raw_Fund!$A:$A,0),
_xlpm.colNo,
MATCH(P$3,Raw_Fund!$E$1:$AZ$1,0),
_xlpm.val,
INDEX(Raw_Fund!$E:$AZ,_xlpm.rowNo,_xlpm.colNo),
IF(ISNUMBER(_xlpm.val),_xlpm.val*$H230,""))</f>
        <v/>
      </c>
      <c r="Q230" s="6" t="str">
        <f>_xlfn.LET(
_xlpm.rowNo, MATCH($C230&amp;"|"&amp;
($F230+Q$4),Raw_Fund!$A:$A,0),
_xlpm.colNo,
MATCH(Q$3,Raw_Fund!$E$1:$AZ$1,0),
_xlpm.val,
INDEX(Raw_Fund!$E:$AZ,_xlpm.rowNo,_xlpm.colNo),
IF(ISNUMBER(_xlpm.val),_xlpm.val*$H230,""))</f>
        <v/>
      </c>
      <c r="R230" s="6" t="str">
        <f>_xlfn.LET(
_xlpm.rowNo, MATCH($C230&amp;"|"&amp;
($F230+R$4),Raw_Fund!$A:$A,0),
_xlpm.colNo,
MATCH(R$3,Raw_Fund!$E$1:$AZ$1,0),
_xlpm.val,
INDEX(Raw_Fund!$E:$AZ,_xlpm.rowNo,_xlpm.colNo),
IF(ISNUMBER(_xlpm.val),_xlpm.val*$H230,""))</f>
        <v/>
      </c>
      <c r="S230" s="6" t="str">
        <f>_xlfn.LET(
_xlpm.rowNo, MATCH($C230&amp;"|"&amp;
($F230+S$4),Raw_Fund!$A:$A,0),
_xlpm.colNo,
MATCH(S$3,Raw_Fund!$E$1:$AZ$1,0),
_xlpm.val,
INDEX(Raw_Fund!$E:$AZ,_xlpm.rowNo,_xlpm.colNo),
IF(ISNUMBER(_xlpm.val),_xlpm.val*$H230,""))</f>
        <v/>
      </c>
      <c r="T230" s="6" t="str">
        <f>_xlfn.LET(
_xlpm.rowNo, MATCH($C230&amp;"|"&amp;
($F230+T$4),Raw_Fund!$A:$A,0),
_xlpm.colNo,
MATCH(T$3,Raw_Fund!$E$1:$AZ$1,0),
_xlpm.val,
INDEX(Raw_Fund!$E:$AZ,_xlpm.rowNo,_xlpm.colNo),
IF(ISNUMBER(_xlpm.val),_xlpm.val*$H230,""))</f>
        <v/>
      </c>
      <c r="U230" s="6" t="str">
        <f>_xlfn.LET(
_xlpm.rowNo, MATCH($C230&amp;"|"&amp;
($F230+U$4),Raw_Fund!$A:$A,0),
_xlpm.colNo,
MATCH(U$3,Raw_Fund!$E$1:$AZ$1,0),
_xlpm.val,
INDEX(Raw_Fund!$E:$AZ,_xlpm.rowNo,_xlpm.colNo),
IF(ISNUMBER(_xlpm.val),_xlpm.val*$H230,""))</f>
        <v/>
      </c>
      <c r="V230" s="6" t="str">
        <f>_xlfn.LET(
_xlpm.rowNo, MATCH($C230&amp;"|"&amp;
($F230+V$4),Raw_Fund!$A:$A,0),
_xlpm.colNo,
MATCH(V$3,Raw_Fund!$E$1:$AZ$1,0),
_xlpm.val,
INDEX(Raw_Fund!$E:$AZ,_xlpm.rowNo,_xlpm.colNo),
IF(ISNUMBER(_xlpm.val),_xlpm.val*$H230,""))</f>
        <v/>
      </c>
      <c r="W230" s="6" t="str">
        <f>_xlfn.LET(
_xlpm.rowNo, MATCH($C230&amp;"|"&amp;
($F230+W$4),Raw_Fund!$A:$A,0),
_xlpm.colNo,
MATCH(W$3,Raw_Fund!$E$1:$AZ$1,0),
_xlpm.val,
INDEX(Raw_Fund!$E:$AZ,_xlpm.rowNo,_xlpm.colNo),
IF(ISNUMBER(_xlpm.val),_xlpm.val*$H230,""))</f>
        <v/>
      </c>
      <c r="X230" s="6" t="str">
        <f>_xlfn.LET(
_xlpm.rowNo, MATCH($C230&amp;"|"&amp;
($F230+X$4),Raw_Fund!$A:$A,0),
_xlpm.colNo,
MATCH(X$3,Raw_Fund!$E$1:$AZ$1,0),
_xlpm.val,
INDEX(Raw_Fund!$E:$AZ,_xlpm.rowNo,_xlpm.colNo),
IF(ISNUMBER(_xlpm.val),_xlpm.val*$H230,""))</f>
        <v/>
      </c>
      <c r="Y230" s="6" t="str">
        <f>_xlfn.LET(
_xlpm.rowNo, MATCH($C230&amp;"|"&amp;
($F230+Y$4),Raw_Fund!$A:$A,0),
_xlpm.colNo,
MATCH(Y$3,Raw_Fund!$E$1:$AZ$1,0),
_xlpm.val,
INDEX(Raw_Fund!$E:$AZ,_xlpm.rowNo,_xlpm.colNo),
IF(ISNUMBER(_xlpm.val),_xlpm.val*$H230,""))</f>
        <v/>
      </c>
      <c r="Z230" s="6" t="str">
        <f>IF($E230&lt;&gt;"Include","",_xlfn.XLOOKUP($C230,Raw_Mkt!$A:$A,Raw_Mkt!$B:$B))</f>
        <v/>
      </c>
    </row>
    <row r="231" spans="1:26" x14ac:dyDescent="0.4">
      <c r="A231" t="str">
        <f>IF(Universe!A231&lt;&gt;"",Universe!A231,"")</f>
        <v>TRN</v>
      </c>
      <c r="B231" t="str">
        <f>IF(Universe!B231&lt;&gt;"",Universe!B231,"")</f>
        <v>Trainline</v>
      </c>
      <c r="C231" t="str">
        <f>IF(Universe!C231&lt;&gt;"",Universe!C231,"")</f>
        <v>GB00BKDTK925</v>
      </c>
      <c r="D231" t="str">
        <f>IF(Universe!D231&lt;&gt;"",Universe!D231,"")</f>
        <v>Consumer Discretionary</v>
      </c>
      <c r="E231" t="str">
        <f>Universe!G231</f>
        <v>Include</v>
      </c>
      <c r="F231" t="str">
        <f>IF($E231&lt;&gt;"Include","",_xlfn.LET(_xlpm.latest,_xlfn.MAXIFS(Raw_Fund!$C:$C,Raw_Fund!$B:$B,Data!$C231),IF(_xlpm.latest=0,"",_xlpm.latest)))</f>
        <v/>
      </c>
      <c r="G231" t="str">
        <f>IF($F231="","",INDEX(Raw_Fund!$E:$AZ,MATCH($C231&amp;"|"&amp;$F231,Raw_Fund!$A:$A,0),MATCH(G$3,Raw_Fund!$E$1:$AZ$1,0)))</f>
        <v/>
      </c>
      <c r="H231" t="str">
        <f t="shared" si="3"/>
        <v/>
      </c>
      <c r="I231" s="6" t="str">
        <f>_xlfn.LET(
_xlpm.rowNo, MATCH($C231&amp;"|"&amp;
($F231+I$4),Raw_Fund!$A:$A,0),
_xlpm.colNo,
MATCH(I$3,Raw_Fund!$E$1:$AZ$1,0),
_xlpm.val,
INDEX(Raw_Fund!$E:$AZ,_xlpm.rowNo,_xlpm.colNo),
IF(ISNUMBER(_xlpm.val),_xlpm.val*$H231,""))</f>
        <v/>
      </c>
      <c r="J231" s="6" t="str">
        <f>_xlfn.LET(
_xlpm.rowNo, MATCH($C231&amp;"|"&amp;
($F231+J$4),Raw_Fund!$A:$A,0),
_xlpm.colNo,
MATCH(J$3,Raw_Fund!$E$1:$AZ$1,0),
_xlpm.val,
INDEX(Raw_Fund!$E:$AZ,_xlpm.rowNo,_xlpm.colNo),
IF(ISNUMBER(_xlpm.val),_xlpm.val*$H231,""))</f>
        <v/>
      </c>
      <c r="K231" s="6" t="str">
        <f>_xlfn.LET(
_xlpm.rowNo, MATCH($C231&amp;"|"&amp;
($F231+K$4),Raw_Fund!$A:$A,0),
_xlpm.colNo,
MATCH(K$3,Raw_Fund!$E$1:$AZ$1,0),
_xlpm.val,
INDEX(Raw_Fund!$E:$AZ,_xlpm.rowNo,_xlpm.colNo),
IF(ISNUMBER(_xlpm.val),_xlpm.val*$H231,""))</f>
        <v/>
      </c>
      <c r="L231" s="6" t="str">
        <f>_xlfn.LET(
_xlpm.rowNo, MATCH($C231&amp;"|"&amp;
($F231+L$4),Raw_Fund!$A:$A,0),
_xlpm.colNo,
MATCH(L$3,Raw_Fund!$E$1:$AZ$1,0),
_xlpm.val,
INDEX(Raw_Fund!$E:$AZ,_xlpm.rowNo,_xlpm.colNo),
IF(ISNUMBER(_xlpm.val),_xlpm.val*$H231,""))</f>
        <v/>
      </c>
      <c r="M231" s="6" t="str">
        <f>_xlfn.LET(
_xlpm.rowNo, MATCH($C231&amp;"|"&amp;
($F231+M$4),Raw_Fund!$A:$A,0),
_xlpm.colNo,
MATCH(M$3,Raw_Fund!$E$1:$AZ$1,0),
_xlpm.val,
INDEX(Raw_Fund!$E:$AZ,_xlpm.rowNo,_xlpm.colNo),
IF(ISNUMBER(_xlpm.val),_xlpm.val*$H231,""))</f>
        <v/>
      </c>
      <c r="N231" s="6" t="str">
        <f>_xlfn.LET(
_xlpm.rowNo, MATCH($C231&amp;"|"&amp;
($F231+N$4),Raw_Fund!$A:$A,0),
_xlpm.colNo,
MATCH(N$3,Raw_Fund!$E$1:$AZ$1,0),
_xlpm.val,
INDEX(Raw_Fund!$E:$AZ,_xlpm.rowNo,_xlpm.colNo),
IF(ISNUMBER(_xlpm.val),_xlpm.val*$H231,""))</f>
        <v/>
      </c>
      <c r="O231" s="6" t="str">
        <f>_xlfn.LET(
_xlpm.rowNo, MATCH($C231&amp;"|"&amp;
($F231+O$4),Raw_Fund!$A:$A,0),
_xlpm.colNo,
MATCH(O$3,Raw_Fund!$E$1:$AZ$1,0),
_xlpm.val,
INDEX(Raw_Fund!$E:$AZ,_xlpm.rowNo,_xlpm.colNo),
IF(ISNUMBER(_xlpm.val),_xlpm.val*$H231,""))</f>
        <v/>
      </c>
      <c r="P231" s="6" t="str">
        <f>_xlfn.LET(
_xlpm.rowNo, MATCH($C231&amp;"|"&amp;
($F231+P$4),Raw_Fund!$A:$A,0),
_xlpm.colNo,
MATCH(P$3,Raw_Fund!$E$1:$AZ$1,0),
_xlpm.val,
INDEX(Raw_Fund!$E:$AZ,_xlpm.rowNo,_xlpm.colNo),
IF(ISNUMBER(_xlpm.val),_xlpm.val*$H231,""))</f>
        <v/>
      </c>
      <c r="Q231" s="6" t="str">
        <f>_xlfn.LET(
_xlpm.rowNo, MATCH($C231&amp;"|"&amp;
($F231+Q$4),Raw_Fund!$A:$A,0),
_xlpm.colNo,
MATCH(Q$3,Raw_Fund!$E$1:$AZ$1,0),
_xlpm.val,
INDEX(Raw_Fund!$E:$AZ,_xlpm.rowNo,_xlpm.colNo),
IF(ISNUMBER(_xlpm.val),_xlpm.val*$H231,""))</f>
        <v/>
      </c>
      <c r="R231" s="6" t="str">
        <f>_xlfn.LET(
_xlpm.rowNo, MATCH($C231&amp;"|"&amp;
($F231+R$4),Raw_Fund!$A:$A,0),
_xlpm.colNo,
MATCH(R$3,Raw_Fund!$E$1:$AZ$1,0),
_xlpm.val,
INDEX(Raw_Fund!$E:$AZ,_xlpm.rowNo,_xlpm.colNo),
IF(ISNUMBER(_xlpm.val),_xlpm.val*$H231,""))</f>
        <v/>
      </c>
      <c r="S231" s="6" t="str">
        <f>_xlfn.LET(
_xlpm.rowNo, MATCH($C231&amp;"|"&amp;
($F231+S$4),Raw_Fund!$A:$A,0),
_xlpm.colNo,
MATCH(S$3,Raw_Fund!$E$1:$AZ$1,0),
_xlpm.val,
INDEX(Raw_Fund!$E:$AZ,_xlpm.rowNo,_xlpm.colNo),
IF(ISNUMBER(_xlpm.val),_xlpm.val*$H231,""))</f>
        <v/>
      </c>
      <c r="T231" s="6" t="str">
        <f>_xlfn.LET(
_xlpm.rowNo, MATCH($C231&amp;"|"&amp;
($F231+T$4),Raw_Fund!$A:$A,0),
_xlpm.colNo,
MATCH(T$3,Raw_Fund!$E$1:$AZ$1,0),
_xlpm.val,
INDEX(Raw_Fund!$E:$AZ,_xlpm.rowNo,_xlpm.colNo),
IF(ISNUMBER(_xlpm.val),_xlpm.val*$H231,""))</f>
        <v/>
      </c>
      <c r="U231" s="6" t="str">
        <f>_xlfn.LET(
_xlpm.rowNo, MATCH($C231&amp;"|"&amp;
($F231+U$4),Raw_Fund!$A:$A,0),
_xlpm.colNo,
MATCH(U$3,Raw_Fund!$E$1:$AZ$1,0),
_xlpm.val,
INDEX(Raw_Fund!$E:$AZ,_xlpm.rowNo,_xlpm.colNo),
IF(ISNUMBER(_xlpm.val),_xlpm.val*$H231,""))</f>
        <v/>
      </c>
      <c r="V231" s="6" t="str">
        <f>_xlfn.LET(
_xlpm.rowNo, MATCH($C231&amp;"|"&amp;
($F231+V$4),Raw_Fund!$A:$A,0),
_xlpm.colNo,
MATCH(V$3,Raw_Fund!$E$1:$AZ$1,0),
_xlpm.val,
INDEX(Raw_Fund!$E:$AZ,_xlpm.rowNo,_xlpm.colNo),
IF(ISNUMBER(_xlpm.val),_xlpm.val*$H231,""))</f>
        <v/>
      </c>
      <c r="W231" s="6" t="str">
        <f>_xlfn.LET(
_xlpm.rowNo, MATCH($C231&amp;"|"&amp;
($F231+W$4),Raw_Fund!$A:$A,0),
_xlpm.colNo,
MATCH(W$3,Raw_Fund!$E$1:$AZ$1,0),
_xlpm.val,
INDEX(Raw_Fund!$E:$AZ,_xlpm.rowNo,_xlpm.colNo),
IF(ISNUMBER(_xlpm.val),_xlpm.val*$H231,""))</f>
        <v/>
      </c>
      <c r="X231" s="6" t="str">
        <f>_xlfn.LET(
_xlpm.rowNo, MATCH($C231&amp;"|"&amp;
($F231+X$4),Raw_Fund!$A:$A,0),
_xlpm.colNo,
MATCH(X$3,Raw_Fund!$E$1:$AZ$1,0),
_xlpm.val,
INDEX(Raw_Fund!$E:$AZ,_xlpm.rowNo,_xlpm.colNo),
IF(ISNUMBER(_xlpm.val),_xlpm.val*$H231,""))</f>
        <v/>
      </c>
      <c r="Y231" s="6" t="str">
        <f>_xlfn.LET(
_xlpm.rowNo, MATCH($C231&amp;"|"&amp;
($F231+Y$4),Raw_Fund!$A:$A,0),
_xlpm.colNo,
MATCH(Y$3,Raw_Fund!$E$1:$AZ$1,0),
_xlpm.val,
INDEX(Raw_Fund!$E:$AZ,_xlpm.rowNo,_xlpm.colNo),
IF(ISNUMBER(_xlpm.val),_xlpm.val*$H231,""))</f>
        <v/>
      </c>
      <c r="Z231" s="6" t="e">
        <f>IF($E231&lt;&gt;"Include","",_xlfn.XLOOKUP($C231,Raw_Mkt!$A:$A,Raw_Mkt!$B:$B))</f>
        <v>#N/A</v>
      </c>
    </row>
    <row r="232" spans="1:26" x14ac:dyDescent="0.4">
      <c r="A232" t="str">
        <f>IF(Universe!A232&lt;&gt;"",Universe!A232,"")</f>
        <v>TPK</v>
      </c>
      <c r="B232" t="str">
        <f>IF(Universe!B232&lt;&gt;"",Universe!B232,"")</f>
        <v>Travis Perkins</v>
      </c>
      <c r="C232" t="str">
        <f>IF(Universe!C232&lt;&gt;"",Universe!C232,"")</f>
        <v>GB00BK9RKT01</v>
      </c>
      <c r="D232" t="str">
        <f>IF(Universe!D232&lt;&gt;"",Universe!D232,"")</f>
        <v>Industrials</v>
      </c>
      <c r="E232" t="str">
        <f>Universe!G232</f>
        <v>Include</v>
      </c>
      <c r="F232" t="str">
        <f>IF($E232&lt;&gt;"Include","",_xlfn.LET(_xlpm.latest,_xlfn.MAXIFS(Raw_Fund!$C:$C,Raw_Fund!$B:$B,Data!$C232),IF(_xlpm.latest=0,"",_xlpm.latest)))</f>
        <v/>
      </c>
      <c r="G232" t="str">
        <f>IF($F232="","",INDEX(Raw_Fund!$E:$AZ,MATCH($C232&amp;"|"&amp;$F232,Raw_Fund!$A:$A,0),MATCH(G$3,Raw_Fund!$E$1:$AZ$1,0)))</f>
        <v/>
      </c>
      <c r="H232" t="str">
        <f t="shared" si="3"/>
        <v/>
      </c>
      <c r="I232" s="6" t="str">
        <f>_xlfn.LET(
_xlpm.rowNo, MATCH($C232&amp;"|"&amp;
($F232+I$4),Raw_Fund!$A:$A,0),
_xlpm.colNo,
MATCH(I$3,Raw_Fund!$E$1:$AZ$1,0),
_xlpm.val,
INDEX(Raw_Fund!$E:$AZ,_xlpm.rowNo,_xlpm.colNo),
IF(ISNUMBER(_xlpm.val),_xlpm.val*$H232,""))</f>
        <v/>
      </c>
      <c r="J232" s="6" t="str">
        <f>_xlfn.LET(
_xlpm.rowNo, MATCH($C232&amp;"|"&amp;
($F232+J$4),Raw_Fund!$A:$A,0),
_xlpm.colNo,
MATCH(J$3,Raw_Fund!$E$1:$AZ$1,0),
_xlpm.val,
INDEX(Raw_Fund!$E:$AZ,_xlpm.rowNo,_xlpm.colNo),
IF(ISNUMBER(_xlpm.val),_xlpm.val*$H232,""))</f>
        <v/>
      </c>
      <c r="K232" s="6" t="str">
        <f>_xlfn.LET(
_xlpm.rowNo, MATCH($C232&amp;"|"&amp;
($F232+K$4),Raw_Fund!$A:$A,0),
_xlpm.colNo,
MATCH(K$3,Raw_Fund!$E$1:$AZ$1,0),
_xlpm.val,
INDEX(Raw_Fund!$E:$AZ,_xlpm.rowNo,_xlpm.colNo),
IF(ISNUMBER(_xlpm.val),_xlpm.val*$H232,""))</f>
        <v/>
      </c>
      <c r="L232" s="6" t="str">
        <f>_xlfn.LET(
_xlpm.rowNo, MATCH($C232&amp;"|"&amp;
($F232+L$4),Raw_Fund!$A:$A,0),
_xlpm.colNo,
MATCH(L$3,Raw_Fund!$E$1:$AZ$1,0),
_xlpm.val,
INDEX(Raw_Fund!$E:$AZ,_xlpm.rowNo,_xlpm.colNo),
IF(ISNUMBER(_xlpm.val),_xlpm.val*$H232,""))</f>
        <v/>
      </c>
      <c r="M232" s="6" t="str">
        <f>_xlfn.LET(
_xlpm.rowNo, MATCH($C232&amp;"|"&amp;
($F232+M$4),Raw_Fund!$A:$A,0),
_xlpm.colNo,
MATCH(M$3,Raw_Fund!$E$1:$AZ$1,0),
_xlpm.val,
INDEX(Raw_Fund!$E:$AZ,_xlpm.rowNo,_xlpm.colNo),
IF(ISNUMBER(_xlpm.val),_xlpm.val*$H232,""))</f>
        <v/>
      </c>
      <c r="N232" s="6" t="str">
        <f>_xlfn.LET(
_xlpm.rowNo, MATCH($C232&amp;"|"&amp;
($F232+N$4),Raw_Fund!$A:$A,0),
_xlpm.colNo,
MATCH(N$3,Raw_Fund!$E$1:$AZ$1,0),
_xlpm.val,
INDEX(Raw_Fund!$E:$AZ,_xlpm.rowNo,_xlpm.colNo),
IF(ISNUMBER(_xlpm.val),_xlpm.val*$H232,""))</f>
        <v/>
      </c>
      <c r="O232" s="6" t="str">
        <f>_xlfn.LET(
_xlpm.rowNo, MATCH($C232&amp;"|"&amp;
($F232+O$4),Raw_Fund!$A:$A,0),
_xlpm.colNo,
MATCH(O$3,Raw_Fund!$E$1:$AZ$1,0),
_xlpm.val,
INDEX(Raw_Fund!$E:$AZ,_xlpm.rowNo,_xlpm.colNo),
IF(ISNUMBER(_xlpm.val),_xlpm.val*$H232,""))</f>
        <v/>
      </c>
      <c r="P232" s="6" t="str">
        <f>_xlfn.LET(
_xlpm.rowNo, MATCH($C232&amp;"|"&amp;
($F232+P$4),Raw_Fund!$A:$A,0),
_xlpm.colNo,
MATCH(P$3,Raw_Fund!$E$1:$AZ$1,0),
_xlpm.val,
INDEX(Raw_Fund!$E:$AZ,_xlpm.rowNo,_xlpm.colNo),
IF(ISNUMBER(_xlpm.val),_xlpm.val*$H232,""))</f>
        <v/>
      </c>
      <c r="Q232" s="6" t="str">
        <f>_xlfn.LET(
_xlpm.rowNo, MATCH($C232&amp;"|"&amp;
($F232+Q$4),Raw_Fund!$A:$A,0),
_xlpm.colNo,
MATCH(Q$3,Raw_Fund!$E$1:$AZ$1,0),
_xlpm.val,
INDEX(Raw_Fund!$E:$AZ,_xlpm.rowNo,_xlpm.colNo),
IF(ISNUMBER(_xlpm.val),_xlpm.val*$H232,""))</f>
        <v/>
      </c>
      <c r="R232" s="6" t="str">
        <f>_xlfn.LET(
_xlpm.rowNo, MATCH($C232&amp;"|"&amp;
($F232+R$4),Raw_Fund!$A:$A,0),
_xlpm.colNo,
MATCH(R$3,Raw_Fund!$E$1:$AZ$1,0),
_xlpm.val,
INDEX(Raw_Fund!$E:$AZ,_xlpm.rowNo,_xlpm.colNo),
IF(ISNUMBER(_xlpm.val),_xlpm.val*$H232,""))</f>
        <v/>
      </c>
      <c r="S232" s="6" t="str">
        <f>_xlfn.LET(
_xlpm.rowNo, MATCH($C232&amp;"|"&amp;
($F232+S$4),Raw_Fund!$A:$A,0),
_xlpm.colNo,
MATCH(S$3,Raw_Fund!$E$1:$AZ$1,0),
_xlpm.val,
INDEX(Raw_Fund!$E:$AZ,_xlpm.rowNo,_xlpm.colNo),
IF(ISNUMBER(_xlpm.val),_xlpm.val*$H232,""))</f>
        <v/>
      </c>
      <c r="T232" s="6" t="str">
        <f>_xlfn.LET(
_xlpm.rowNo, MATCH($C232&amp;"|"&amp;
($F232+T$4),Raw_Fund!$A:$A,0),
_xlpm.colNo,
MATCH(T$3,Raw_Fund!$E$1:$AZ$1,0),
_xlpm.val,
INDEX(Raw_Fund!$E:$AZ,_xlpm.rowNo,_xlpm.colNo),
IF(ISNUMBER(_xlpm.val),_xlpm.val*$H232,""))</f>
        <v/>
      </c>
      <c r="U232" s="6" t="str">
        <f>_xlfn.LET(
_xlpm.rowNo, MATCH($C232&amp;"|"&amp;
($F232+U$4),Raw_Fund!$A:$A,0),
_xlpm.colNo,
MATCH(U$3,Raw_Fund!$E$1:$AZ$1,0),
_xlpm.val,
INDEX(Raw_Fund!$E:$AZ,_xlpm.rowNo,_xlpm.colNo),
IF(ISNUMBER(_xlpm.val),_xlpm.val*$H232,""))</f>
        <v/>
      </c>
      <c r="V232" s="6" t="str">
        <f>_xlfn.LET(
_xlpm.rowNo, MATCH($C232&amp;"|"&amp;
($F232+V$4),Raw_Fund!$A:$A,0),
_xlpm.colNo,
MATCH(V$3,Raw_Fund!$E$1:$AZ$1,0),
_xlpm.val,
INDEX(Raw_Fund!$E:$AZ,_xlpm.rowNo,_xlpm.colNo),
IF(ISNUMBER(_xlpm.val),_xlpm.val*$H232,""))</f>
        <v/>
      </c>
      <c r="W232" s="6" t="str">
        <f>_xlfn.LET(
_xlpm.rowNo, MATCH($C232&amp;"|"&amp;
($F232+W$4),Raw_Fund!$A:$A,0),
_xlpm.colNo,
MATCH(W$3,Raw_Fund!$E$1:$AZ$1,0),
_xlpm.val,
INDEX(Raw_Fund!$E:$AZ,_xlpm.rowNo,_xlpm.colNo),
IF(ISNUMBER(_xlpm.val),_xlpm.val*$H232,""))</f>
        <v/>
      </c>
      <c r="X232" s="6" t="str">
        <f>_xlfn.LET(
_xlpm.rowNo, MATCH($C232&amp;"|"&amp;
($F232+X$4),Raw_Fund!$A:$A,0),
_xlpm.colNo,
MATCH(X$3,Raw_Fund!$E$1:$AZ$1,0),
_xlpm.val,
INDEX(Raw_Fund!$E:$AZ,_xlpm.rowNo,_xlpm.colNo),
IF(ISNUMBER(_xlpm.val),_xlpm.val*$H232,""))</f>
        <v/>
      </c>
      <c r="Y232" s="6" t="str">
        <f>_xlfn.LET(
_xlpm.rowNo, MATCH($C232&amp;"|"&amp;
($F232+Y$4),Raw_Fund!$A:$A,0),
_xlpm.colNo,
MATCH(Y$3,Raw_Fund!$E$1:$AZ$1,0),
_xlpm.val,
INDEX(Raw_Fund!$E:$AZ,_xlpm.rowNo,_xlpm.colNo),
IF(ISNUMBER(_xlpm.val),_xlpm.val*$H232,""))</f>
        <v/>
      </c>
      <c r="Z232" s="6" t="e">
        <f>IF($E232&lt;&gt;"Include","",_xlfn.XLOOKUP($C232,Raw_Mkt!$A:$A,Raw_Mkt!$B:$B))</f>
        <v>#N/A</v>
      </c>
    </row>
    <row r="233" spans="1:26" x14ac:dyDescent="0.4">
      <c r="A233" t="str">
        <f>IF(Universe!A233&lt;&gt;"",Universe!A233,"")</f>
        <v>TRY</v>
      </c>
      <c r="B233" t="str">
        <f>IF(Universe!B233&lt;&gt;"",Universe!B233,"")</f>
        <v>TR Property Investment Trust</v>
      </c>
      <c r="C233" t="str">
        <f>IF(Universe!C233&lt;&gt;"",Universe!C233,"")</f>
        <v>GB0009064097</v>
      </c>
      <c r="D233" t="str">
        <f>IF(Universe!D233&lt;&gt;"",Universe!D233,"")</f>
        <v>Financials</v>
      </c>
      <c r="E233" t="str">
        <f>Universe!G233</f>
        <v>Exclude</v>
      </c>
      <c r="F233" t="str">
        <f>IF($E233&lt;&gt;"Include","",_xlfn.LET(_xlpm.latest,_xlfn.MAXIFS(Raw_Fund!$C:$C,Raw_Fund!$B:$B,Data!$C233),IF(_xlpm.latest=0,"",_xlpm.latest)))</f>
        <v/>
      </c>
      <c r="G233" t="str">
        <f>IF($F233="","",INDEX(Raw_Fund!$E:$AZ,MATCH($C233&amp;"|"&amp;$F233,Raw_Fund!$A:$A,0),MATCH(G$3,Raw_Fund!$E$1:$AZ$1,0)))</f>
        <v/>
      </c>
      <c r="H233" t="str">
        <f t="shared" si="3"/>
        <v/>
      </c>
      <c r="I233" s="6" t="str">
        <f>_xlfn.LET(
_xlpm.rowNo, MATCH($C233&amp;"|"&amp;
($F233+I$4),Raw_Fund!$A:$A,0),
_xlpm.colNo,
MATCH(I$3,Raw_Fund!$E$1:$AZ$1,0),
_xlpm.val,
INDEX(Raw_Fund!$E:$AZ,_xlpm.rowNo,_xlpm.colNo),
IF(ISNUMBER(_xlpm.val),_xlpm.val*$H233,""))</f>
        <v/>
      </c>
      <c r="J233" s="6" t="str">
        <f>_xlfn.LET(
_xlpm.rowNo, MATCH($C233&amp;"|"&amp;
($F233+J$4),Raw_Fund!$A:$A,0),
_xlpm.colNo,
MATCH(J$3,Raw_Fund!$E$1:$AZ$1,0),
_xlpm.val,
INDEX(Raw_Fund!$E:$AZ,_xlpm.rowNo,_xlpm.colNo),
IF(ISNUMBER(_xlpm.val),_xlpm.val*$H233,""))</f>
        <v/>
      </c>
      <c r="K233" s="6" t="str">
        <f>_xlfn.LET(
_xlpm.rowNo, MATCH($C233&amp;"|"&amp;
($F233+K$4),Raw_Fund!$A:$A,0),
_xlpm.colNo,
MATCH(K$3,Raw_Fund!$E$1:$AZ$1,0),
_xlpm.val,
INDEX(Raw_Fund!$E:$AZ,_xlpm.rowNo,_xlpm.colNo),
IF(ISNUMBER(_xlpm.val),_xlpm.val*$H233,""))</f>
        <v/>
      </c>
      <c r="L233" s="6" t="str">
        <f>_xlfn.LET(
_xlpm.rowNo, MATCH($C233&amp;"|"&amp;
($F233+L$4),Raw_Fund!$A:$A,0),
_xlpm.colNo,
MATCH(L$3,Raw_Fund!$E$1:$AZ$1,0),
_xlpm.val,
INDEX(Raw_Fund!$E:$AZ,_xlpm.rowNo,_xlpm.colNo),
IF(ISNUMBER(_xlpm.val),_xlpm.val*$H233,""))</f>
        <v/>
      </c>
      <c r="M233" s="6" t="str">
        <f>_xlfn.LET(
_xlpm.rowNo, MATCH($C233&amp;"|"&amp;
($F233+M$4),Raw_Fund!$A:$A,0),
_xlpm.colNo,
MATCH(M$3,Raw_Fund!$E$1:$AZ$1,0),
_xlpm.val,
INDEX(Raw_Fund!$E:$AZ,_xlpm.rowNo,_xlpm.colNo),
IF(ISNUMBER(_xlpm.val),_xlpm.val*$H233,""))</f>
        <v/>
      </c>
      <c r="N233" s="6" t="str">
        <f>_xlfn.LET(
_xlpm.rowNo, MATCH($C233&amp;"|"&amp;
($F233+N$4),Raw_Fund!$A:$A,0),
_xlpm.colNo,
MATCH(N$3,Raw_Fund!$E$1:$AZ$1,0),
_xlpm.val,
INDEX(Raw_Fund!$E:$AZ,_xlpm.rowNo,_xlpm.colNo),
IF(ISNUMBER(_xlpm.val),_xlpm.val*$H233,""))</f>
        <v/>
      </c>
      <c r="O233" s="6" t="str">
        <f>_xlfn.LET(
_xlpm.rowNo, MATCH($C233&amp;"|"&amp;
($F233+O$4),Raw_Fund!$A:$A,0),
_xlpm.colNo,
MATCH(O$3,Raw_Fund!$E$1:$AZ$1,0),
_xlpm.val,
INDEX(Raw_Fund!$E:$AZ,_xlpm.rowNo,_xlpm.colNo),
IF(ISNUMBER(_xlpm.val),_xlpm.val*$H233,""))</f>
        <v/>
      </c>
      <c r="P233" s="6" t="str">
        <f>_xlfn.LET(
_xlpm.rowNo, MATCH($C233&amp;"|"&amp;
($F233+P$4),Raw_Fund!$A:$A,0),
_xlpm.colNo,
MATCH(P$3,Raw_Fund!$E$1:$AZ$1,0),
_xlpm.val,
INDEX(Raw_Fund!$E:$AZ,_xlpm.rowNo,_xlpm.colNo),
IF(ISNUMBER(_xlpm.val),_xlpm.val*$H233,""))</f>
        <v/>
      </c>
      <c r="Q233" s="6" t="str">
        <f>_xlfn.LET(
_xlpm.rowNo, MATCH($C233&amp;"|"&amp;
($F233+Q$4),Raw_Fund!$A:$A,0),
_xlpm.colNo,
MATCH(Q$3,Raw_Fund!$E$1:$AZ$1,0),
_xlpm.val,
INDEX(Raw_Fund!$E:$AZ,_xlpm.rowNo,_xlpm.colNo),
IF(ISNUMBER(_xlpm.val),_xlpm.val*$H233,""))</f>
        <v/>
      </c>
      <c r="R233" s="6" t="str">
        <f>_xlfn.LET(
_xlpm.rowNo, MATCH($C233&amp;"|"&amp;
($F233+R$4),Raw_Fund!$A:$A,0),
_xlpm.colNo,
MATCH(R$3,Raw_Fund!$E$1:$AZ$1,0),
_xlpm.val,
INDEX(Raw_Fund!$E:$AZ,_xlpm.rowNo,_xlpm.colNo),
IF(ISNUMBER(_xlpm.val),_xlpm.val*$H233,""))</f>
        <v/>
      </c>
      <c r="S233" s="6" t="str">
        <f>_xlfn.LET(
_xlpm.rowNo, MATCH($C233&amp;"|"&amp;
($F233+S$4),Raw_Fund!$A:$A,0),
_xlpm.colNo,
MATCH(S$3,Raw_Fund!$E$1:$AZ$1,0),
_xlpm.val,
INDEX(Raw_Fund!$E:$AZ,_xlpm.rowNo,_xlpm.colNo),
IF(ISNUMBER(_xlpm.val),_xlpm.val*$H233,""))</f>
        <v/>
      </c>
      <c r="T233" s="6" t="str">
        <f>_xlfn.LET(
_xlpm.rowNo, MATCH($C233&amp;"|"&amp;
($F233+T$4),Raw_Fund!$A:$A,0),
_xlpm.colNo,
MATCH(T$3,Raw_Fund!$E$1:$AZ$1,0),
_xlpm.val,
INDEX(Raw_Fund!$E:$AZ,_xlpm.rowNo,_xlpm.colNo),
IF(ISNUMBER(_xlpm.val),_xlpm.val*$H233,""))</f>
        <v/>
      </c>
      <c r="U233" s="6" t="str">
        <f>_xlfn.LET(
_xlpm.rowNo, MATCH($C233&amp;"|"&amp;
($F233+U$4),Raw_Fund!$A:$A,0),
_xlpm.colNo,
MATCH(U$3,Raw_Fund!$E$1:$AZ$1,0),
_xlpm.val,
INDEX(Raw_Fund!$E:$AZ,_xlpm.rowNo,_xlpm.colNo),
IF(ISNUMBER(_xlpm.val),_xlpm.val*$H233,""))</f>
        <v/>
      </c>
      <c r="V233" s="6" t="str">
        <f>_xlfn.LET(
_xlpm.rowNo, MATCH($C233&amp;"|"&amp;
($F233+V$4),Raw_Fund!$A:$A,0),
_xlpm.colNo,
MATCH(V$3,Raw_Fund!$E$1:$AZ$1,0),
_xlpm.val,
INDEX(Raw_Fund!$E:$AZ,_xlpm.rowNo,_xlpm.colNo),
IF(ISNUMBER(_xlpm.val),_xlpm.val*$H233,""))</f>
        <v/>
      </c>
      <c r="W233" s="6" t="str">
        <f>_xlfn.LET(
_xlpm.rowNo, MATCH($C233&amp;"|"&amp;
($F233+W$4),Raw_Fund!$A:$A,0),
_xlpm.colNo,
MATCH(W$3,Raw_Fund!$E$1:$AZ$1,0),
_xlpm.val,
INDEX(Raw_Fund!$E:$AZ,_xlpm.rowNo,_xlpm.colNo),
IF(ISNUMBER(_xlpm.val),_xlpm.val*$H233,""))</f>
        <v/>
      </c>
      <c r="X233" s="6" t="str">
        <f>_xlfn.LET(
_xlpm.rowNo, MATCH($C233&amp;"|"&amp;
($F233+X$4),Raw_Fund!$A:$A,0),
_xlpm.colNo,
MATCH(X$3,Raw_Fund!$E$1:$AZ$1,0),
_xlpm.val,
INDEX(Raw_Fund!$E:$AZ,_xlpm.rowNo,_xlpm.colNo),
IF(ISNUMBER(_xlpm.val),_xlpm.val*$H233,""))</f>
        <v/>
      </c>
      <c r="Y233" s="6" t="str">
        <f>_xlfn.LET(
_xlpm.rowNo, MATCH($C233&amp;"|"&amp;
($F233+Y$4),Raw_Fund!$A:$A,0),
_xlpm.colNo,
MATCH(Y$3,Raw_Fund!$E$1:$AZ$1,0),
_xlpm.val,
INDEX(Raw_Fund!$E:$AZ,_xlpm.rowNo,_xlpm.colNo),
IF(ISNUMBER(_xlpm.val),_xlpm.val*$H233,""))</f>
        <v/>
      </c>
      <c r="Z233" s="6" t="str">
        <f>IF($E233&lt;&gt;"Include","",_xlfn.XLOOKUP($C233,Raw_Mkt!$A:$A,Raw_Mkt!$B:$B))</f>
        <v/>
      </c>
    </row>
    <row r="234" spans="1:26" x14ac:dyDescent="0.4">
      <c r="A234" t="str">
        <f>IF(Universe!A234&lt;&gt;"",Universe!A234,"")</f>
        <v>TRST</v>
      </c>
      <c r="B234" t="str">
        <f>IF(Universe!B234&lt;&gt;"",Universe!B234,"")</f>
        <v>Trustpilot</v>
      </c>
      <c r="C234" t="str">
        <f>IF(Universe!C234&lt;&gt;"",Universe!C234,"")</f>
        <v>GB00BNK9TP58</v>
      </c>
      <c r="D234" t="str">
        <f>IF(Universe!D234&lt;&gt;"",Universe!D234,"")</f>
        <v>Technology</v>
      </c>
      <c r="E234" t="str">
        <f>Universe!G234</f>
        <v>Include</v>
      </c>
      <c r="F234" t="str">
        <f>IF($E234&lt;&gt;"Include","",_xlfn.LET(_xlpm.latest,_xlfn.MAXIFS(Raw_Fund!$C:$C,Raw_Fund!$B:$B,Data!$C234),IF(_xlpm.latest=0,"",_xlpm.latest)))</f>
        <v/>
      </c>
      <c r="G234" t="str">
        <f>IF($F234="","",INDEX(Raw_Fund!$E:$AZ,MATCH($C234&amp;"|"&amp;$F234,Raw_Fund!$A:$A,0),MATCH(G$3,Raw_Fund!$E$1:$AZ$1,0)))</f>
        <v/>
      </c>
      <c r="H234" t="str">
        <f t="shared" si="3"/>
        <v/>
      </c>
      <c r="I234" s="6" t="str">
        <f>_xlfn.LET(
_xlpm.rowNo, MATCH($C234&amp;"|"&amp;
($F234+I$4),Raw_Fund!$A:$A,0),
_xlpm.colNo,
MATCH(I$3,Raw_Fund!$E$1:$AZ$1,0),
_xlpm.val,
INDEX(Raw_Fund!$E:$AZ,_xlpm.rowNo,_xlpm.colNo),
IF(ISNUMBER(_xlpm.val),_xlpm.val*$H234,""))</f>
        <v/>
      </c>
      <c r="J234" s="6" t="str">
        <f>_xlfn.LET(
_xlpm.rowNo, MATCH($C234&amp;"|"&amp;
($F234+J$4),Raw_Fund!$A:$A,0),
_xlpm.colNo,
MATCH(J$3,Raw_Fund!$E$1:$AZ$1,0),
_xlpm.val,
INDEX(Raw_Fund!$E:$AZ,_xlpm.rowNo,_xlpm.colNo),
IF(ISNUMBER(_xlpm.val),_xlpm.val*$H234,""))</f>
        <v/>
      </c>
      <c r="K234" s="6" t="str">
        <f>_xlfn.LET(
_xlpm.rowNo, MATCH($C234&amp;"|"&amp;
($F234+K$4),Raw_Fund!$A:$A,0),
_xlpm.colNo,
MATCH(K$3,Raw_Fund!$E$1:$AZ$1,0),
_xlpm.val,
INDEX(Raw_Fund!$E:$AZ,_xlpm.rowNo,_xlpm.colNo),
IF(ISNUMBER(_xlpm.val),_xlpm.val*$H234,""))</f>
        <v/>
      </c>
      <c r="L234" s="6" t="str">
        <f>_xlfn.LET(
_xlpm.rowNo, MATCH($C234&amp;"|"&amp;
($F234+L$4),Raw_Fund!$A:$A,0),
_xlpm.colNo,
MATCH(L$3,Raw_Fund!$E$1:$AZ$1,0),
_xlpm.val,
INDEX(Raw_Fund!$E:$AZ,_xlpm.rowNo,_xlpm.colNo),
IF(ISNUMBER(_xlpm.val),_xlpm.val*$H234,""))</f>
        <v/>
      </c>
      <c r="M234" s="6" t="str">
        <f>_xlfn.LET(
_xlpm.rowNo, MATCH($C234&amp;"|"&amp;
($F234+M$4),Raw_Fund!$A:$A,0),
_xlpm.colNo,
MATCH(M$3,Raw_Fund!$E$1:$AZ$1,0),
_xlpm.val,
INDEX(Raw_Fund!$E:$AZ,_xlpm.rowNo,_xlpm.colNo),
IF(ISNUMBER(_xlpm.val),_xlpm.val*$H234,""))</f>
        <v/>
      </c>
      <c r="N234" s="6" t="str">
        <f>_xlfn.LET(
_xlpm.rowNo, MATCH($C234&amp;"|"&amp;
($F234+N$4),Raw_Fund!$A:$A,0),
_xlpm.colNo,
MATCH(N$3,Raw_Fund!$E$1:$AZ$1,0),
_xlpm.val,
INDEX(Raw_Fund!$E:$AZ,_xlpm.rowNo,_xlpm.colNo),
IF(ISNUMBER(_xlpm.val),_xlpm.val*$H234,""))</f>
        <v/>
      </c>
      <c r="O234" s="6" t="str">
        <f>_xlfn.LET(
_xlpm.rowNo, MATCH($C234&amp;"|"&amp;
($F234+O$4),Raw_Fund!$A:$A,0),
_xlpm.colNo,
MATCH(O$3,Raw_Fund!$E$1:$AZ$1,0),
_xlpm.val,
INDEX(Raw_Fund!$E:$AZ,_xlpm.rowNo,_xlpm.colNo),
IF(ISNUMBER(_xlpm.val),_xlpm.val*$H234,""))</f>
        <v/>
      </c>
      <c r="P234" s="6" t="str">
        <f>_xlfn.LET(
_xlpm.rowNo, MATCH($C234&amp;"|"&amp;
($F234+P$4),Raw_Fund!$A:$A,0),
_xlpm.colNo,
MATCH(P$3,Raw_Fund!$E$1:$AZ$1,0),
_xlpm.val,
INDEX(Raw_Fund!$E:$AZ,_xlpm.rowNo,_xlpm.colNo),
IF(ISNUMBER(_xlpm.val),_xlpm.val*$H234,""))</f>
        <v/>
      </c>
      <c r="Q234" s="6" t="str">
        <f>_xlfn.LET(
_xlpm.rowNo, MATCH($C234&amp;"|"&amp;
($F234+Q$4),Raw_Fund!$A:$A,0),
_xlpm.colNo,
MATCH(Q$3,Raw_Fund!$E$1:$AZ$1,0),
_xlpm.val,
INDEX(Raw_Fund!$E:$AZ,_xlpm.rowNo,_xlpm.colNo),
IF(ISNUMBER(_xlpm.val),_xlpm.val*$H234,""))</f>
        <v/>
      </c>
      <c r="R234" s="6" t="str">
        <f>_xlfn.LET(
_xlpm.rowNo, MATCH($C234&amp;"|"&amp;
($F234+R$4),Raw_Fund!$A:$A,0),
_xlpm.colNo,
MATCH(R$3,Raw_Fund!$E$1:$AZ$1,0),
_xlpm.val,
INDEX(Raw_Fund!$E:$AZ,_xlpm.rowNo,_xlpm.colNo),
IF(ISNUMBER(_xlpm.val),_xlpm.val*$H234,""))</f>
        <v/>
      </c>
      <c r="S234" s="6" t="str">
        <f>_xlfn.LET(
_xlpm.rowNo, MATCH($C234&amp;"|"&amp;
($F234+S$4),Raw_Fund!$A:$A,0),
_xlpm.colNo,
MATCH(S$3,Raw_Fund!$E$1:$AZ$1,0),
_xlpm.val,
INDEX(Raw_Fund!$E:$AZ,_xlpm.rowNo,_xlpm.colNo),
IF(ISNUMBER(_xlpm.val),_xlpm.val*$H234,""))</f>
        <v/>
      </c>
      <c r="T234" s="6" t="str">
        <f>_xlfn.LET(
_xlpm.rowNo, MATCH($C234&amp;"|"&amp;
($F234+T$4),Raw_Fund!$A:$A,0),
_xlpm.colNo,
MATCH(T$3,Raw_Fund!$E$1:$AZ$1,0),
_xlpm.val,
INDEX(Raw_Fund!$E:$AZ,_xlpm.rowNo,_xlpm.colNo),
IF(ISNUMBER(_xlpm.val),_xlpm.val*$H234,""))</f>
        <v/>
      </c>
      <c r="U234" s="6" t="str">
        <f>_xlfn.LET(
_xlpm.rowNo, MATCH($C234&amp;"|"&amp;
($F234+U$4),Raw_Fund!$A:$A,0),
_xlpm.colNo,
MATCH(U$3,Raw_Fund!$E$1:$AZ$1,0),
_xlpm.val,
INDEX(Raw_Fund!$E:$AZ,_xlpm.rowNo,_xlpm.colNo),
IF(ISNUMBER(_xlpm.val),_xlpm.val*$H234,""))</f>
        <v/>
      </c>
      <c r="V234" s="6" t="str">
        <f>_xlfn.LET(
_xlpm.rowNo, MATCH($C234&amp;"|"&amp;
($F234+V$4),Raw_Fund!$A:$A,0),
_xlpm.colNo,
MATCH(V$3,Raw_Fund!$E$1:$AZ$1,0),
_xlpm.val,
INDEX(Raw_Fund!$E:$AZ,_xlpm.rowNo,_xlpm.colNo),
IF(ISNUMBER(_xlpm.val),_xlpm.val*$H234,""))</f>
        <v/>
      </c>
      <c r="W234" s="6" t="str">
        <f>_xlfn.LET(
_xlpm.rowNo, MATCH($C234&amp;"|"&amp;
($F234+W$4),Raw_Fund!$A:$A,0),
_xlpm.colNo,
MATCH(W$3,Raw_Fund!$E$1:$AZ$1,0),
_xlpm.val,
INDEX(Raw_Fund!$E:$AZ,_xlpm.rowNo,_xlpm.colNo),
IF(ISNUMBER(_xlpm.val),_xlpm.val*$H234,""))</f>
        <v/>
      </c>
      <c r="X234" s="6" t="str">
        <f>_xlfn.LET(
_xlpm.rowNo, MATCH($C234&amp;"|"&amp;
($F234+X$4),Raw_Fund!$A:$A,0),
_xlpm.colNo,
MATCH(X$3,Raw_Fund!$E$1:$AZ$1,0),
_xlpm.val,
INDEX(Raw_Fund!$E:$AZ,_xlpm.rowNo,_xlpm.colNo),
IF(ISNUMBER(_xlpm.val),_xlpm.val*$H234,""))</f>
        <v/>
      </c>
      <c r="Y234" s="6" t="str">
        <f>_xlfn.LET(
_xlpm.rowNo, MATCH($C234&amp;"|"&amp;
($F234+Y$4),Raw_Fund!$A:$A,0),
_xlpm.colNo,
MATCH(Y$3,Raw_Fund!$E$1:$AZ$1,0),
_xlpm.val,
INDEX(Raw_Fund!$E:$AZ,_xlpm.rowNo,_xlpm.colNo),
IF(ISNUMBER(_xlpm.val),_xlpm.val*$H234,""))</f>
        <v/>
      </c>
      <c r="Z234" s="6" t="e">
        <f>IF($E234&lt;&gt;"Include","",_xlfn.XLOOKUP($C234,Raw_Mkt!$A:$A,Raw_Mkt!$B:$B))</f>
        <v>#N/A</v>
      </c>
    </row>
    <row r="235" spans="1:26" x14ac:dyDescent="0.4">
      <c r="A235" t="str">
        <f>IF(Universe!A235&lt;&gt;"",Universe!A235,"")</f>
        <v>TFIF</v>
      </c>
      <c r="B235" t="str">
        <f>IF(Universe!B235&lt;&gt;"",Universe!B235,"")</f>
        <v>Twentyfour Income Fund</v>
      </c>
      <c r="C235" t="str">
        <f>IF(Universe!C235&lt;&gt;"",Universe!C235,"")</f>
        <v>GG00B90J5Z95</v>
      </c>
      <c r="D235" t="str">
        <f>IF(Universe!D235&lt;&gt;"",Universe!D235,"")</f>
        <v>Financials</v>
      </c>
      <c r="E235" t="str">
        <f>Universe!G235</f>
        <v>Exclude</v>
      </c>
      <c r="F235" t="str">
        <f>IF($E235&lt;&gt;"Include","",_xlfn.LET(_xlpm.latest,_xlfn.MAXIFS(Raw_Fund!$C:$C,Raw_Fund!$B:$B,Data!$C235),IF(_xlpm.latest=0,"",_xlpm.latest)))</f>
        <v/>
      </c>
      <c r="G235" t="str">
        <f>IF($F235="","",INDEX(Raw_Fund!$E:$AZ,MATCH($C235&amp;"|"&amp;$F235,Raw_Fund!$A:$A,0),MATCH(G$3,Raw_Fund!$E$1:$AZ$1,0)))</f>
        <v/>
      </c>
      <c r="H235" t="str">
        <f t="shared" si="3"/>
        <v/>
      </c>
      <c r="I235" s="6" t="str">
        <f>_xlfn.LET(
_xlpm.rowNo, MATCH($C235&amp;"|"&amp;
($F235+I$4),Raw_Fund!$A:$A,0),
_xlpm.colNo,
MATCH(I$3,Raw_Fund!$E$1:$AZ$1,0),
_xlpm.val,
INDEX(Raw_Fund!$E:$AZ,_xlpm.rowNo,_xlpm.colNo),
IF(ISNUMBER(_xlpm.val),_xlpm.val*$H235,""))</f>
        <v/>
      </c>
      <c r="J235" s="6" t="str">
        <f>_xlfn.LET(
_xlpm.rowNo, MATCH($C235&amp;"|"&amp;
($F235+J$4),Raw_Fund!$A:$A,0),
_xlpm.colNo,
MATCH(J$3,Raw_Fund!$E$1:$AZ$1,0),
_xlpm.val,
INDEX(Raw_Fund!$E:$AZ,_xlpm.rowNo,_xlpm.colNo),
IF(ISNUMBER(_xlpm.val),_xlpm.val*$H235,""))</f>
        <v/>
      </c>
      <c r="K235" s="6" t="str">
        <f>_xlfn.LET(
_xlpm.rowNo, MATCH($C235&amp;"|"&amp;
($F235+K$4),Raw_Fund!$A:$A,0),
_xlpm.colNo,
MATCH(K$3,Raw_Fund!$E$1:$AZ$1,0),
_xlpm.val,
INDEX(Raw_Fund!$E:$AZ,_xlpm.rowNo,_xlpm.colNo),
IF(ISNUMBER(_xlpm.val),_xlpm.val*$H235,""))</f>
        <v/>
      </c>
      <c r="L235" s="6" t="str">
        <f>_xlfn.LET(
_xlpm.rowNo, MATCH($C235&amp;"|"&amp;
($F235+L$4),Raw_Fund!$A:$A,0),
_xlpm.colNo,
MATCH(L$3,Raw_Fund!$E$1:$AZ$1,0),
_xlpm.val,
INDEX(Raw_Fund!$E:$AZ,_xlpm.rowNo,_xlpm.colNo),
IF(ISNUMBER(_xlpm.val),_xlpm.val*$H235,""))</f>
        <v/>
      </c>
      <c r="M235" s="6" t="str">
        <f>_xlfn.LET(
_xlpm.rowNo, MATCH($C235&amp;"|"&amp;
($F235+M$4),Raw_Fund!$A:$A,0),
_xlpm.colNo,
MATCH(M$3,Raw_Fund!$E$1:$AZ$1,0),
_xlpm.val,
INDEX(Raw_Fund!$E:$AZ,_xlpm.rowNo,_xlpm.colNo),
IF(ISNUMBER(_xlpm.val),_xlpm.val*$H235,""))</f>
        <v/>
      </c>
      <c r="N235" s="6" t="str">
        <f>_xlfn.LET(
_xlpm.rowNo, MATCH($C235&amp;"|"&amp;
($F235+N$4),Raw_Fund!$A:$A,0),
_xlpm.colNo,
MATCH(N$3,Raw_Fund!$E$1:$AZ$1,0),
_xlpm.val,
INDEX(Raw_Fund!$E:$AZ,_xlpm.rowNo,_xlpm.colNo),
IF(ISNUMBER(_xlpm.val),_xlpm.val*$H235,""))</f>
        <v/>
      </c>
      <c r="O235" s="6" t="str">
        <f>_xlfn.LET(
_xlpm.rowNo, MATCH($C235&amp;"|"&amp;
($F235+O$4),Raw_Fund!$A:$A,0),
_xlpm.colNo,
MATCH(O$3,Raw_Fund!$E$1:$AZ$1,0),
_xlpm.val,
INDEX(Raw_Fund!$E:$AZ,_xlpm.rowNo,_xlpm.colNo),
IF(ISNUMBER(_xlpm.val),_xlpm.val*$H235,""))</f>
        <v/>
      </c>
      <c r="P235" s="6" t="str">
        <f>_xlfn.LET(
_xlpm.rowNo, MATCH($C235&amp;"|"&amp;
($F235+P$4),Raw_Fund!$A:$A,0),
_xlpm.colNo,
MATCH(P$3,Raw_Fund!$E$1:$AZ$1,0),
_xlpm.val,
INDEX(Raw_Fund!$E:$AZ,_xlpm.rowNo,_xlpm.colNo),
IF(ISNUMBER(_xlpm.val),_xlpm.val*$H235,""))</f>
        <v/>
      </c>
      <c r="Q235" s="6" t="str">
        <f>_xlfn.LET(
_xlpm.rowNo, MATCH($C235&amp;"|"&amp;
($F235+Q$4),Raw_Fund!$A:$A,0),
_xlpm.colNo,
MATCH(Q$3,Raw_Fund!$E$1:$AZ$1,0),
_xlpm.val,
INDEX(Raw_Fund!$E:$AZ,_xlpm.rowNo,_xlpm.colNo),
IF(ISNUMBER(_xlpm.val),_xlpm.val*$H235,""))</f>
        <v/>
      </c>
      <c r="R235" s="6" t="str">
        <f>_xlfn.LET(
_xlpm.rowNo, MATCH($C235&amp;"|"&amp;
($F235+R$4),Raw_Fund!$A:$A,0),
_xlpm.colNo,
MATCH(R$3,Raw_Fund!$E$1:$AZ$1,0),
_xlpm.val,
INDEX(Raw_Fund!$E:$AZ,_xlpm.rowNo,_xlpm.colNo),
IF(ISNUMBER(_xlpm.val),_xlpm.val*$H235,""))</f>
        <v/>
      </c>
      <c r="S235" s="6" t="str">
        <f>_xlfn.LET(
_xlpm.rowNo, MATCH($C235&amp;"|"&amp;
($F235+S$4),Raw_Fund!$A:$A,0),
_xlpm.colNo,
MATCH(S$3,Raw_Fund!$E$1:$AZ$1,0),
_xlpm.val,
INDEX(Raw_Fund!$E:$AZ,_xlpm.rowNo,_xlpm.colNo),
IF(ISNUMBER(_xlpm.val),_xlpm.val*$H235,""))</f>
        <v/>
      </c>
      <c r="T235" s="6" t="str">
        <f>_xlfn.LET(
_xlpm.rowNo, MATCH($C235&amp;"|"&amp;
($F235+T$4),Raw_Fund!$A:$A,0),
_xlpm.colNo,
MATCH(T$3,Raw_Fund!$E$1:$AZ$1,0),
_xlpm.val,
INDEX(Raw_Fund!$E:$AZ,_xlpm.rowNo,_xlpm.colNo),
IF(ISNUMBER(_xlpm.val),_xlpm.val*$H235,""))</f>
        <v/>
      </c>
      <c r="U235" s="6" t="str">
        <f>_xlfn.LET(
_xlpm.rowNo, MATCH($C235&amp;"|"&amp;
($F235+U$4),Raw_Fund!$A:$A,0),
_xlpm.colNo,
MATCH(U$3,Raw_Fund!$E$1:$AZ$1,0),
_xlpm.val,
INDEX(Raw_Fund!$E:$AZ,_xlpm.rowNo,_xlpm.colNo),
IF(ISNUMBER(_xlpm.val),_xlpm.val*$H235,""))</f>
        <v/>
      </c>
      <c r="V235" s="6" t="str">
        <f>_xlfn.LET(
_xlpm.rowNo, MATCH($C235&amp;"|"&amp;
($F235+V$4),Raw_Fund!$A:$A,0),
_xlpm.colNo,
MATCH(V$3,Raw_Fund!$E$1:$AZ$1,0),
_xlpm.val,
INDEX(Raw_Fund!$E:$AZ,_xlpm.rowNo,_xlpm.colNo),
IF(ISNUMBER(_xlpm.val),_xlpm.val*$H235,""))</f>
        <v/>
      </c>
      <c r="W235" s="6" t="str">
        <f>_xlfn.LET(
_xlpm.rowNo, MATCH($C235&amp;"|"&amp;
($F235+W$4),Raw_Fund!$A:$A,0),
_xlpm.colNo,
MATCH(W$3,Raw_Fund!$E$1:$AZ$1,0),
_xlpm.val,
INDEX(Raw_Fund!$E:$AZ,_xlpm.rowNo,_xlpm.colNo),
IF(ISNUMBER(_xlpm.val),_xlpm.val*$H235,""))</f>
        <v/>
      </c>
      <c r="X235" s="6" t="str">
        <f>_xlfn.LET(
_xlpm.rowNo, MATCH($C235&amp;"|"&amp;
($F235+X$4),Raw_Fund!$A:$A,0),
_xlpm.colNo,
MATCH(X$3,Raw_Fund!$E$1:$AZ$1,0),
_xlpm.val,
INDEX(Raw_Fund!$E:$AZ,_xlpm.rowNo,_xlpm.colNo),
IF(ISNUMBER(_xlpm.val),_xlpm.val*$H235,""))</f>
        <v/>
      </c>
      <c r="Y235" s="6" t="str">
        <f>_xlfn.LET(
_xlpm.rowNo, MATCH($C235&amp;"|"&amp;
($F235+Y$4),Raw_Fund!$A:$A,0),
_xlpm.colNo,
MATCH(Y$3,Raw_Fund!$E$1:$AZ$1,0),
_xlpm.val,
INDEX(Raw_Fund!$E:$AZ,_xlpm.rowNo,_xlpm.colNo),
IF(ISNUMBER(_xlpm.val),_xlpm.val*$H235,""))</f>
        <v/>
      </c>
      <c r="Z235" s="6" t="str">
        <f>IF($E235&lt;&gt;"Include","",_xlfn.XLOOKUP($C235,Raw_Mkt!$A:$A,Raw_Mkt!$B:$B))</f>
        <v/>
      </c>
    </row>
    <row r="236" spans="1:26" x14ac:dyDescent="0.4">
      <c r="A236" t="str">
        <f>IF(Universe!A236&lt;&gt;"",Universe!A236,"")</f>
        <v>UTG</v>
      </c>
      <c r="B236" t="str">
        <f>IF(Universe!B236&lt;&gt;"",Universe!B236,"")</f>
        <v>Unite Group</v>
      </c>
      <c r="C236" t="str">
        <f>IF(Universe!C236&lt;&gt;"",Universe!C236,"")</f>
        <v>GB0006928617</v>
      </c>
      <c r="D236" t="str">
        <f>IF(Universe!D236&lt;&gt;"",Universe!D236,"")</f>
        <v>Real Estate</v>
      </c>
      <c r="E236" t="str">
        <f>Universe!G236</f>
        <v>Exclude</v>
      </c>
      <c r="F236" t="str">
        <f>IF($E236&lt;&gt;"Include","",_xlfn.LET(_xlpm.latest,_xlfn.MAXIFS(Raw_Fund!$C:$C,Raw_Fund!$B:$B,Data!$C236),IF(_xlpm.latest=0,"",_xlpm.latest)))</f>
        <v/>
      </c>
      <c r="G236" t="str">
        <f>IF($F236="","",INDEX(Raw_Fund!$E:$AZ,MATCH($C236&amp;"|"&amp;$F236,Raw_Fund!$A:$A,0),MATCH(G$3,Raw_Fund!$E$1:$AZ$1,0)))</f>
        <v/>
      </c>
      <c r="H236" t="str">
        <f t="shared" si="3"/>
        <v/>
      </c>
      <c r="I236" s="6" t="str">
        <f>_xlfn.LET(
_xlpm.rowNo, MATCH($C236&amp;"|"&amp;
($F236+I$4),Raw_Fund!$A:$A,0),
_xlpm.colNo,
MATCH(I$3,Raw_Fund!$E$1:$AZ$1,0),
_xlpm.val,
INDEX(Raw_Fund!$E:$AZ,_xlpm.rowNo,_xlpm.colNo),
IF(ISNUMBER(_xlpm.val),_xlpm.val*$H236,""))</f>
        <v/>
      </c>
      <c r="J236" s="6" t="str">
        <f>_xlfn.LET(
_xlpm.rowNo, MATCH($C236&amp;"|"&amp;
($F236+J$4),Raw_Fund!$A:$A,0),
_xlpm.colNo,
MATCH(J$3,Raw_Fund!$E$1:$AZ$1,0),
_xlpm.val,
INDEX(Raw_Fund!$E:$AZ,_xlpm.rowNo,_xlpm.colNo),
IF(ISNUMBER(_xlpm.val),_xlpm.val*$H236,""))</f>
        <v/>
      </c>
      <c r="K236" s="6" t="str">
        <f>_xlfn.LET(
_xlpm.rowNo, MATCH($C236&amp;"|"&amp;
($F236+K$4),Raw_Fund!$A:$A,0),
_xlpm.colNo,
MATCH(K$3,Raw_Fund!$E$1:$AZ$1,0),
_xlpm.val,
INDEX(Raw_Fund!$E:$AZ,_xlpm.rowNo,_xlpm.colNo),
IF(ISNUMBER(_xlpm.val),_xlpm.val*$H236,""))</f>
        <v/>
      </c>
      <c r="L236" s="6" t="str">
        <f>_xlfn.LET(
_xlpm.rowNo, MATCH($C236&amp;"|"&amp;
($F236+L$4),Raw_Fund!$A:$A,0),
_xlpm.colNo,
MATCH(L$3,Raw_Fund!$E$1:$AZ$1,0),
_xlpm.val,
INDEX(Raw_Fund!$E:$AZ,_xlpm.rowNo,_xlpm.colNo),
IF(ISNUMBER(_xlpm.val),_xlpm.val*$H236,""))</f>
        <v/>
      </c>
      <c r="M236" s="6" t="str">
        <f>_xlfn.LET(
_xlpm.rowNo, MATCH($C236&amp;"|"&amp;
($F236+M$4),Raw_Fund!$A:$A,0),
_xlpm.colNo,
MATCH(M$3,Raw_Fund!$E$1:$AZ$1,0),
_xlpm.val,
INDEX(Raw_Fund!$E:$AZ,_xlpm.rowNo,_xlpm.colNo),
IF(ISNUMBER(_xlpm.val),_xlpm.val*$H236,""))</f>
        <v/>
      </c>
      <c r="N236" s="6" t="str">
        <f>_xlfn.LET(
_xlpm.rowNo, MATCH($C236&amp;"|"&amp;
($F236+N$4),Raw_Fund!$A:$A,0),
_xlpm.colNo,
MATCH(N$3,Raw_Fund!$E$1:$AZ$1,0),
_xlpm.val,
INDEX(Raw_Fund!$E:$AZ,_xlpm.rowNo,_xlpm.colNo),
IF(ISNUMBER(_xlpm.val),_xlpm.val*$H236,""))</f>
        <v/>
      </c>
      <c r="O236" s="6" t="str">
        <f>_xlfn.LET(
_xlpm.rowNo, MATCH($C236&amp;"|"&amp;
($F236+O$4),Raw_Fund!$A:$A,0),
_xlpm.colNo,
MATCH(O$3,Raw_Fund!$E$1:$AZ$1,0),
_xlpm.val,
INDEX(Raw_Fund!$E:$AZ,_xlpm.rowNo,_xlpm.colNo),
IF(ISNUMBER(_xlpm.val),_xlpm.val*$H236,""))</f>
        <v/>
      </c>
      <c r="P236" s="6" t="str">
        <f>_xlfn.LET(
_xlpm.rowNo, MATCH($C236&amp;"|"&amp;
($F236+P$4),Raw_Fund!$A:$A,0),
_xlpm.colNo,
MATCH(P$3,Raw_Fund!$E$1:$AZ$1,0),
_xlpm.val,
INDEX(Raw_Fund!$E:$AZ,_xlpm.rowNo,_xlpm.colNo),
IF(ISNUMBER(_xlpm.val),_xlpm.val*$H236,""))</f>
        <v/>
      </c>
      <c r="Q236" s="6" t="str">
        <f>_xlfn.LET(
_xlpm.rowNo, MATCH($C236&amp;"|"&amp;
($F236+Q$4),Raw_Fund!$A:$A,0),
_xlpm.colNo,
MATCH(Q$3,Raw_Fund!$E$1:$AZ$1,0),
_xlpm.val,
INDEX(Raw_Fund!$E:$AZ,_xlpm.rowNo,_xlpm.colNo),
IF(ISNUMBER(_xlpm.val),_xlpm.val*$H236,""))</f>
        <v/>
      </c>
      <c r="R236" s="6" t="str">
        <f>_xlfn.LET(
_xlpm.rowNo, MATCH($C236&amp;"|"&amp;
($F236+R$4),Raw_Fund!$A:$A,0),
_xlpm.colNo,
MATCH(R$3,Raw_Fund!$E$1:$AZ$1,0),
_xlpm.val,
INDEX(Raw_Fund!$E:$AZ,_xlpm.rowNo,_xlpm.colNo),
IF(ISNUMBER(_xlpm.val),_xlpm.val*$H236,""))</f>
        <v/>
      </c>
      <c r="S236" s="6" t="str">
        <f>_xlfn.LET(
_xlpm.rowNo, MATCH($C236&amp;"|"&amp;
($F236+S$4),Raw_Fund!$A:$A,0),
_xlpm.colNo,
MATCH(S$3,Raw_Fund!$E$1:$AZ$1,0),
_xlpm.val,
INDEX(Raw_Fund!$E:$AZ,_xlpm.rowNo,_xlpm.colNo),
IF(ISNUMBER(_xlpm.val),_xlpm.val*$H236,""))</f>
        <v/>
      </c>
      <c r="T236" s="6" t="str">
        <f>_xlfn.LET(
_xlpm.rowNo, MATCH($C236&amp;"|"&amp;
($F236+T$4),Raw_Fund!$A:$A,0),
_xlpm.colNo,
MATCH(T$3,Raw_Fund!$E$1:$AZ$1,0),
_xlpm.val,
INDEX(Raw_Fund!$E:$AZ,_xlpm.rowNo,_xlpm.colNo),
IF(ISNUMBER(_xlpm.val),_xlpm.val*$H236,""))</f>
        <v/>
      </c>
      <c r="U236" s="6" t="str">
        <f>_xlfn.LET(
_xlpm.rowNo, MATCH($C236&amp;"|"&amp;
($F236+U$4),Raw_Fund!$A:$A,0),
_xlpm.colNo,
MATCH(U$3,Raw_Fund!$E$1:$AZ$1,0),
_xlpm.val,
INDEX(Raw_Fund!$E:$AZ,_xlpm.rowNo,_xlpm.colNo),
IF(ISNUMBER(_xlpm.val),_xlpm.val*$H236,""))</f>
        <v/>
      </c>
      <c r="V236" s="6" t="str">
        <f>_xlfn.LET(
_xlpm.rowNo, MATCH($C236&amp;"|"&amp;
($F236+V$4),Raw_Fund!$A:$A,0),
_xlpm.colNo,
MATCH(V$3,Raw_Fund!$E$1:$AZ$1,0),
_xlpm.val,
INDEX(Raw_Fund!$E:$AZ,_xlpm.rowNo,_xlpm.colNo),
IF(ISNUMBER(_xlpm.val),_xlpm.val*$H236,""))</f>
        <v/>
      </c>
      <c r="W236" s="6" t="str">
        <f>_xlfn.LET(
_xlpm.rowNo, MATCH($C236&amp;"|"&amp;
($F236+W$4),Raw_Fund!$A:$A,0),
_xlpm.colNo,
MATCH(W$3,Raw_Fund!$E$1:$AZ$1,0),
_xlpm.val,
INDEX(Raw_Fund!$E:$AZ,_xlpm.rowNo,_xlpm.colNo),
IF(ISNUMBER(_xlpm.val),_xlpm.val*$H236,""))</f>
        <v/>
      </c>
      <c r="X236" s="6" t="str">
        <f>_xlfn.LET(
_xlpm.rowNo, MATCH($C236&amp;"|"&amp;
($F236+X$4),Raw_Fund!$A:$A,0),
_xlpm.colNo,
MATCH(X$3,Raw_Fund!$E$1:$AZ$1,0),
_xlpm.val,
INDEX(Raw_Fund!$E:$AZ,_xlpm.rowNo,_xlpm.colNo),
IF(ISNUMBER(_xlpm.val),_xlpm.val*$H236,""))</f>
        <v/>
      </c>
      <c r="Y236" s="6" t="str">
        <f>_xlfn.LET(
_xlpm.rowNo, MATCH($C236&amp;"|"&amp;
($F236+Y$4),Raw_Fund!$A:$A,0),
_xlpm.colNo,
MATCH(Y$3,Raw_Fund!$E$1:$AZ$1,0),
_xlpm.val,
INDEX(Raw_Fund!$E:$AZ,_xlpm.rowNo,_xlpm.colNo),
IF(ISNUMBER(_xlpm.val),_xlpm.val*$H236,""))</f>
        <v/>
      </c>
      <c r="Z236" s="6" t="str">
        <f>IF($E236&lt;&gt;"Include","",_xlfn.XLOOKUP($C236,Raw_Mkt!$A:$A,Raw_Mkt!$B:$B))</f>
        <v/>
      </c>
    </row>
    <row r="237" spans="1:26" x14ac:dyDescent="0.4">
      <c r="A237" t="str">
        <f>IF(Universe!A237&lt;&gt;"",Universe!A237,"")</f>
        <v>UEM</v>
      </c>
      <c r="B237" t="str">
        <f>IF(Universe!B237&lt;&gt;"",Universe!B237,"")</f>
        <v>Utilico Emerging Markets</v>
      </c>
      <c r="C237" t="str">
        <f>IF(Universe!C237&lt;&gt;"",Universe!C237,"")</f>
        <v>GB00BD45S967</v>
      </c>
      <c r="D237" t="str">
        <f>IF(Universe!D237&lt;&gt;"",Universe!D237,"")</f>
        <v>Financials</v>
      </c>
      <c r="E237" t="str">
        <f>Universe!G237</f>
        <v>Exclude</v>
      </c>
      <c r="F237" t="str">
        <f>IF($E237&lt;&gt;"Include","",_xlfn.LET(_xlpm.latest,_xlfn.MAXIFS(Raw_Fund!$C:$C,Raw_Fund!$B:$B,Data!$C237),IF(_xlpm.latest=0,"",_xlpm.latest)))</f>
        <v/>
      </c>
      <c r="G237" t="str">
        <f>IF($F237="","",INDEX(Raw_Fund!$E:$AZ,MATCH($C237&amp;"|"&amp;$F237,Raw_Fund!$A:$A,0),MATCH(G$3,Raw_Fund!$E$1:$AZ$1,0)))</f>
        <v/>
      </c>
      <c r="H237" t="str">
        <f t="shared" si="3"/>
        <v/>
      </c>
      <c r="I237" s="6" t="str">
        <f>_xlfn.LET(
_xlpm.rowNo, MATCH($C237&amp;"|"&amp;
($F237+I$4),Raw_Fund!$A:$A,0),
_xlpm.colNo,
MATCH(I$3,Raw_Fund!$E$1:$AZ$1,0),
_xlpm.val,
INDEX(Raw_Fund!$E:$AZ,_xlpm.rowNo,_xlpm.colNo),
IF(ISNUMBER(_xlpm.val),_xlpm.val*$H237,""))</f>
        <v/>
      </c>
      <c r="J237" s="6" t="str">
        <f>_xlfn.LET(
_xlpm.rowNo, MATCH($C237&amp;"|"&amp;
($F237+J$4),Raw_Fund!$A:$A,0),
_xlpm.colNo,
MATCH(J$3,Raw_Fund!$E$1:$AZ$1,0),
_xlpm.val,
INDEX(Raw_Fund!$E:$AZ,_xlpm.rowNo,_xlpm.colNo),
IF(ISNUMBER(_xlpm.val),_xlpm.val*$H237,""))</f>
        <v/>
      </c>
      <c r="K237" s="6" t="str">
        <f>_xlfn.LET(
_xlpm.rowNo, MATCH($C237&amp;"|"&amp;
($F237+K$4),Raw_Fund!$A:$A,0),
_xlpm.colNo,
MATCH(K$3,Raw_Fund!$E$1:$AZ$1,0),
_xlpm.val,
INDEX(Raw_Fund!$E:$AZ,_xlpm.rowNo,_xlpm.colNo),
IF(ISNUMBER(_xlpm.val),_xlpm.val*$H237,""))</f>
        <v/>
      </c>
      <c r="L237" s="6" t="str">
        <f>_xlfn.LET(
_xlpm.rowNo, MATCH($C237&amp;"|"&amp;
($F237+L$4),Raw_Fund!$A:$A,0),
_xlpm.colNo,
MATCH(L$3,Raw_Fund!$E$1:$AZ$1,0),
_xlpm.val,
INDEX(Raw_Fund!$E:$AZ,_xlpm.rowNo,_xlpm.colNo),
IF(ISNUMBER(_xlpm.val),_xlpm.val*$H237,""))</f>
        <v/>
      </c>
      <c r="M237" s="6" t="str">
        <f>_xlfn.LET(
_xlpm.rowNo, MATCH($C237&amp;"|"&amp;
($F237+M$4),Raw_Fund!$A:$A,0),
_xlpm.colNo,
MATCH(M$3,Raw_Fund!$E$1:$AZ$1,0),
_xlpm.val,
INDEX(Raw_Fund!$E:$AZ,_xlpm.rowNo,_xlpm.colNo),
IF(ISNUMBER(_xlpm.val),_xlpm.val*$H237,""))</f>
        <v/>
      </c>
      <c r="N237" s="6" t="str">
        <f>_xlfn.LET(
_xlpm.rowNo, MATCH($C237&amp;"|"&amp;
($F237+N$4),Raw_Fund!$A:$A,0),
_xlpm.colNo,
MATCH(N$3,Raw_Fund!$E$1:$AZ$1,0),
_xlpm.val,
INDEX(Raw_Fund!$E:$AZ,_xlpm.rowNo,_xlpm.colNo),
IF(ISNUMBER(_xlpm.val),_xlpm.val*$H237,""))</f>
        <v/>
      </c>
      <c r="O237" s="6" t="str">
        <f>_xlfn.LET(
_xlpm.rowNo, MATCH($C237&amp;"|"&amp;
($F237+O$4),Raw_Fund!$A:$A,0),
_xlpm.colNo,
MATCH(O$3,Raw_Fund!$E$1:$AZ$1,0),
_xlpm.val,
INDEX(Raw_Fund!$E:$AZ,_xlpm.rowNo,_xlpm.colNo),
IF(ISNUMBER(_xlpm.val),_xlpm.val*$H237,""))</f>
        <v/>
      </c>
      <c r="P237" s="6" t="str">
        <f>_xlfn.LET(
_xlpm.rowNo, MATCH($C237&amp;"|"&amp;
($F237+P$4),Raw_Fund!$A:$A,0),
_xlpm.colNo,
MATCH(P$3,Raw_Fund!$E$1:$AZ$1,0),
_xlpm.val,
INDEX(Raw_Fund!$E:$AZ,_xlpm.rowNo,_xlpm.colNo),
IF(ISNUMBER(_xlpm.val),_xlpm.val*$H237,""))</f>
        <v/>
      </c>
      <c r="Q237" s="6" t="str">
        <f>_xlfn.LET(
_xlpm.rowNo, MATCH($C237&amp;"|"&amp;
($F237+Q$4),Raw_Fund!$A:$A,0),
_xlpm.colNo,
MATCH(Q$3,Raw_Fund!$E$1:$AZ$1,0),
_xlpm.val,
INDEX(Raw_Fund!$E:$AZ,_xlpm.rowNo,_xlpm.colNo),
IF(ISNUMBER(_xlpm.val),_xlpm.val*$H237,""))</f>
        <v/>
      </c>
      <c r="R237" s="6" t="str">
        <f>_xlfn.LET(
_xlpm.rowNo, MATCH($C237&amp;"|"&amp;
($F237+R$4),Raw_Fund!$A:$A,0),
_xlpm.colNo,
MATCH(R$3,Raw_Fund!$E$1:$AZ$1,0),
_xlpm.val,
INDEX(Raw_Fund!$E:$AZ,_xlpm.rowNo,_xlpm.colNo),
IF(ISNUMBER(_xlpm.val),_xlpm.val*$H237,""))</f>
        <v/>
      </c>
      <c r="S237" s="6" t="str">
        <f>_xlfn.LET(
_xlpm.rowNo, MATCH($C237&amp;"|"&amp;
($F237+S$4),Raw_Fund!$A:$A,0),
_xlpm.colNo,
MATCH(S$3,Raw_Fund!$E$1:$AZ$1,0),
_xlpm.val,
INDEX(Raw_Fund!$E:$AZ,_xlpm.rowNo,_xlpm.colNo),
IF(ISNUMBER(_xlpm.val),_xlpm.val*$H237,""))</f>
        <v/>
      </c>
      <c r="T237" s="6" t="str">
        <f>_xlfn.LET(
_xlpm.rowNo, MATCH($C237&amp;"|"&amp;
($F237+T$4),Raw_Fund!$A:$A,0),
_xlpm.colNo,
MATCH(T$3,Raw_Fund!$E$1:$AZ$1,0),
_xlpm.val,
INDEX(Raw_Fund!$E:$AZ,_xlpm.rowNo,_xlpm.colNo),
IF(ISNUMBER(_xlpm.val),_xlpm.val*$H237,""))</f>
        <v/>
      </c>
      <c r="U237" s="6" t="str">
        <f>_xlfn.LET(
_xlpm.rowNo, MATCH($C237&amp;"|"&amp;
($F237+U$4),Raw_Fund!$A:$A,0),
_xlpm.colNo,
MATCH(U$3,Raw_Fund!$E$1:$AZ$1,0),
_xlpm.val,
INDEX(Raw_Fund!$E:$AZ,_xlpm.rowNo,_xlpm.colNo),
IF(ISNUMBER(_xlpm.val),_xlpm.val*$H237,""))</f>
        <v/>
      </c>
      <c r="V237" s="6" t="str">
        <f>_xlfn.LET(
_xlpm.rowNo, MATCH($C237&amp;"|"&amp;
($F237+V$4),Raw_Fund!$A:$A,0),
_xlpm.colNo,
MATCH(V$3,Raw_Fund!$E$1:$AZ$1,0),
_xlpm.val,
INDEX(Raw_Fund!$E:$AZ,_xlpm.rowNo,_xlpm.colNo),
IF(ISNUMBER(_xlpm.val),_xlpm.val*$H237,""))</f>
        <v/>
      </c>
      <c r="W237" s="6" t="str">
        <f>_xlfn.LET(
_xlpm.rowNo, MATCH($C237&amp;"|"&amp;
($F237+W$4),Raw_Fund!$A:$A,0),
_xlpm.colNo,
MATCH(W$3,Raw_Fund!$E$1:$AZ$1,0),
_xlpm.val,
INDEX(Raw_Fund!$E:$AZ,_xlpm.rowNo,_xlpm.colNo),
IF(ISNUMBER(_xlpm.val),_xlpm.val*$H237,""))</f>
        <v/>
      </c>
      <c r="X237" s="6" t="str">
        <f>_xlfn.LET(
_xlpm.rowNo, MATCH($C237&amp;"|"&amp;
($F237+X$4),Raw_Fund!$A:$A,0),
_xlpm.colNo,
MATCH(X$3,Raw_Fund!$E$1:$AZ$1,0),
_xlpm.val,
INDEX(Raw_Fund!$E:$AZ,_xlpm.rowNo,_xlpm.colNo),
IF(ISNUMBER(_xlpm.val),_xlpm.val*$H237,""))</f>
        <v/>
      </c>
      <c r="Y237" s="6" t="str">
        <f>_xlfn.LET(
_xlpm.rowNo, MATCH($C237&amp;"|"&amp;
($F237+Y$4),Raw_Fund!$A:$A,0),
_xlpm.colNo,
MATCH(Y$3,Raw_Fund!$E$1:$AZ$1,0),
_xlpm.val,
INDEX(Raw_Fund!$E:$AZ,_xlpm.rowNo,_xlpm.colNo),
IF(ISNUMBER(_xlpm.val),_xlpm.val*$H237,""))</f>
        <v/>
      </c>
      <c r="Z237" s="6" t="str">
        <f>IF($E237&lt;&gt;"Include","",_xlfn.XLOOKUP($C237,Raw_Mkt!$A:$A,Raw_Mkt!$B:$B))</f>
        <v/>
      </c>
    </row>
    <row r="238" spans="1:26" x14ac:dyDescent="0.4">
      <c r="A238" t="str">
        <f>IF(Universe!A238&lt;&gt;"",Universe!A238,"")</f>
        <v>VSVS</v>
      </c>
      <c r="B238" t="str">
        <f>IF(Universe!B238&lt;&gt;"",Universe!B238,"")</f>
        <v>Vesuvius</v>
      </c>
      <c r="C238" t="str">
        <f>IF(Universe!C238&lt;&gt;"",Universe!C238,"")</f>
        <v>GB00B82YXW83</v>
      </c>
      <c r="D238" t="str">
        <f>IF(Universe!D238&lt;&gt;"",Universe!D238,"")</f>
        <v>Industrials</v>
      </c>
      <c r="E238" t="str">
        <f>Universe!G238</f>
        <v>Include</v>
      </c>
      <c r="F238" t="str">
        <f>IF($E238&lt;&gt;"Include","",_xlfn.LET(_xlpm.latest,_xlfn.MAXIFS(Raw_Fund!$C:$C,Raw_Fund!$B:$B,Data!$C238),IF(_xlpm.latest=0,"",_xlpm.latest)))</f>
        <v/>
      </c>
      <c r="G238" t="str">
        <f>IF($F238="","",INDEX(Raw_Fund!$E:$AZ,MATCH($C238&amp;"|"&amp;$F238,Raw_Fund!$A:$A,0),MATCH(G$3,Raw_Fund!$E$1:$AZ$1,0)))</f>
        <v/>
      </c>
      <c r="H238" t="str">
        <f t="shared" si="3"/>
        <v/>
      </c>
      <c r="I238" s="6" t="str">
        <f>_xlfn.LET(
_xlpm.rowNo, MATCH($C238&amp;"|"&amp;
($F238+I$4),Raw_Fund!$A:$A,0),
_xlpm.colNo,
MATCH(I$3,Raw_Fund!$E$1:$AZ$1,0),
_xlpm.val,
INDEX(Raw_Fund!$E:$AZ,_xlpm.rowNo,_xlpm.colNo),
IF(ISNUMBER(_xlpm.val),_xlpm.val*$H238,""))</f>
        <v/>
      </c>
      <c r="J238" s="6" t="str">
        <f>_xlfn.LET(
_xlpm.rowNo, MATCH($C238&amp;"|"&amp;
($F238+J$4),Raw_Fund!$A:$A,0),
_xlpm.colNo,
MATCH(J$3,Raw_Fund!$E$1:$AZ$1,0),
_xlpm.val,
INDEX(Raw_Fund!$E:$AZ,_xlpm.rowNo,_xlpm.colNo),
IF(ISNUMBER(_xlpm.val),_xlpm.val*$H238,""))</f>
        <v/>
      </c>
      <c r="K238" s="6" t="str">
        <f>_xlfn.LET(
_xlpm.rowNo, MATCH($C238&amp;"|"&amp;
($F238+K$4),Raw_Fund!$A:$A,0),
_xlpm.colNo,
MATCH(K$3,Raw_Fund!$E$1:$AZ$1,0),
_xlpm.val,
INDEX(Raw_Fund!$E:$AZ,_xlpm.rowNo,_xlpm.colNo),
IF(ISNUMBER(_xlpm.val),_xlpm.val*$H238,""))</f>
        <v/>
      </c>
      <c r="L238" s="6" t="str">
        <f>_xlfn.LET(
_xlpm.rowNo, MATCH($C238&amp;"|"&amp;
($F238+L$4),Raw_Fund!$A:$A,0),
_xlpm.colNo,
MATCH(L$3,Raw_Fund!$E$1:$AZ$1,0),
_xlpm.val,
INDEX(Raw_Fund!$E:$AZ,_xlpm.rowNo,_xlpm.colNo),
IF(ISNUMBER(_xlpm.val),_xlpm.val*$H238,""))</f>
        <v/>
      </c>
      <c r="M238" s="6" t="str">
        <f>_xlfn.LET(
_xlpm.rowNo, MATCH($C238&amp;"|"&amp;
($F238+M$4),Raw_Fund!$A:$A,0),
_xlpm.colNo,
MATCH(M$3,Raw_Fund!$E$1:$AZ$1,0),
_xlpm.val,
INDEX(Raw_Fund!$E:$AZ,_xlpm.rowNo,_xlpm.colNo),
IF(ISNUMBER(_xlpm.val),_xlpm.val*$H238,""))</f>
        <v/>
      </c>
      <c r="N238" s="6" t="str">
        <f>_xlfn.LET(
_xlpm.rowNo, MATCH($C238&amp;"|"&amp;
($F238+N$4),Raw_Fund!$A:$A,0),
_xlpm.colNo,
MATCH(N$3,Raw_Fund!$E$1:$AZ$1,0),
_xlpm.val,
INDEX(Raw_Fund!$E:$AZ,_xlpm.rowNo,_xlpm.colNo),
IF(ISNUMBER(_xlpm.val),_xlpm.val*$H238,""))</f>
        <v/>
      </c>
      <c r="O238" s="6" t="str">
        <f>_xlfn.LET(
_xlpm.rowNo, MATCH($C238&amp;"|"&amp;
($F238+O$4),Raw_Fund!$A:$A,0),
_xlpm.colNo,
MATCH(O$3,Raw_Fund!$E$1:$AZ$1,0),
_xlpm.val,
INDEX(Raw_Fund!$E:$AZ,_xlpm.rowNo,_xlpm.colNo),
IF(ISNUMBER(_xlpm.val),_xlpm.val*$H238,""))</f>
        <v/>
      </c>
      <c r="P238" s="6" t="str">
        <f>_xlfn.LET(
_xlpm.rowNo, MATCH($C238&amp;"|"&amp;
($F238+P$4),Raw_Fund!$A:$A,0),
_xlpm.colNo,
MATCH(P$3,Raw_Fund!$E$1:$AZ$1,0),
_xlpm.val,
INDEX(Raw_Fund!$E:$AZ,_xlpm.rowNo,_xlpm.colNo),
IF(ISNUMBER(_xlpm.val),_xlpm.val*$H238,""))</f>
        <v/>
      </c>
      <c r="Q238" s="6" t="str">
        <f>_xlfn.LET(
_xlpm.rowNo, MATCH($C238&amp;"|"&amp;
($F238+Q$4),Raw_Fund!$A:$A,0),
_xlpm.colNo,
MATCH(Q$3,Raw_Fund!$E$1:$AZ$1,0),
_xlpm.val,
INDEX(Raw_Fund!$E:$AZ,_xlpm.rowNo,_xlpm.colNo),
IF(ISNUMBER(_xlpm.val),_xlpm.val*$H238,""))</f>
        <v/>
      </c>
      <c r="R238" s="6" t="str">
        <f>_xlfn.LET(
_xlpm.rowNo, MATCH($C238&amp;"|"&amp;
($F238+R$4),Raw_Fund!$A:$A,0),
_xlpm.colNo,
MATCH(R$3,Raw_Fund!$E$1:$AZ$1,0),
_xlpm.val,
INDEX(Raw_Fund!$E:$AZ,_xlpm.rowNo,_xlpm.colNo),
IF(ISNUMBER(_xlpm.val),_xlpm.val*$H238,""))</f>
        <v/>
      </c>
      <c r="S238" s="6" t="str">
        <f>_xlfn.LET(
_xlpm.rowNo, MATCH($C238&amp;"|"&amp;
($F238+S$4),Raw_Fund!$A:$A,0),
_xlpm.colNo,
MATCH(S$3,Raw_Fund!$E$1:$AZ$1,0),
_xlpm.val,
INDEX(Raw_Fund!$E:$AZ,_xlpm.rowNo,_xlpm.colNo),
IF(ISNUMBER(_xlpm.val),_xlpm.val*$H238,""))</f>
        <v/>
      </c>
      <c r="T238" s="6" t="str">
        <f>_xlfn.LET(
_xlpm.rowNo, MATCH($C238&amp;"|"&amp;
($F238+T$4),Raw_Fund!$A:$A,0),
_xlpm.colNo,
MATCH(T$3,Raw_Fund!$E$1:$AZ$1,0),
_xlpm.val,
INDEX(Raw_Fund!$E:$AZ,_xlpm.rowNo,_xlpm.colNo),
IF(ISNUMBER(_xlpm.val),_xlpm.val*$H238,""))</f>
        <v/>
      </c>
      <c r="U238" s="6" t="str">
        <f>_xlfn.LET(
_xlpm.rowNo, MATCH($C238&amp;"|"&amp;
($F238+U$4),Raw_Fund!$A:$A,0),
_xlpm.colNo,
MATCH(U$3,Raw_Fund!$E$1:$AZ$1,0),
_xlpm.val,
INDEX(Raw_Fund!$E:$AZ,_xlpm.rowNo,_xlpm.colNo),
IF(ISNUMBER(_xlpm.val),_xlpm.val*$H238,""))</f>
        <v/>
      </c>
      <c r="V238" s="6" t="str">
        <f>_xlfn.LET(
_xlpm.rowNo, MATCH($C238&amp;"|"&amp;
($F238+V$4),Raw_Fund!$A:$A,0),
_xlpm.colNo,
MATCH(V$3,Raw_Fund!$E$1:$AZ$1,0),
_xlpm.val,
INDEX(Raw_Fund!$E:$AZ,_xlpm.rowNo,_xlpm.colNo),
IF(ISNUMBER(_xlpm.val),_xlpm.val*$H238,""))</f>
        <v/>
      </c>
      <c r="W238" s="6" t="str">
        <f>_xlfn.LET(
_xlpm.rowNo, MATCH($C238&amp;"|"&amp;
($F238+W$4),Raw_Fund!$A:$A,0),
_xlpm.colNo,
MATCH(W$3,Raw_Fund!$E$1:$AZ$1,0),
_xlpm.val,
INDEX(Raw_Fund!$E:$AZ,_xlpm.rowNo,_xlpm.colNo),
IF(ISNUMBER(_xlpm.val),_xlpm.val*$H238,""))</f>
        <v/>
      </c>
      <c r="X238" s="6" t="str">
        <f>_xlfn.LET(
_xlpm.rowNo, MATCH($C238&amp;"|"&amp;
($F238+X$4),Raw_Fund!$A:$A,0),
_xlpm.colNo,
MATCH(X$3,Raw_Fund!$E$1:$AZ$1,0),
_xlpm.val,
INDEX(Raw_Fund!$E:$AZ,_xlpm.rowNo,_xlpm.colNo),
IF(ISNUMBER(_xlpm.val),_xlpm.val*$H238,""))</f>
        <v/>
      </c>
      <c r="Y238" s="6" t="str">
        <f>_xlfn.LET(
_xlpm.rowNo, MATCH($C238&amp;"|"&amp;
($F238+Y$4),Raw_Fund!$A:$A,0),
_xlpm.colNo,
MATCH(Y$3,Raw_Fund!$E$1:$AZ$1,0),
_xlpm.val,
INDEX(Raw_Fund!$E:$AZ,_xlpm.rowNo,_xlpm.colNo),
IF(ISNUMBER(_xlpm.val),_xlpm.val*$H238,""))</f>
        <v/>
      </c>
      <c r="Z238" s="6" t="e">
        <f>IF($E238&lt;&gt;"Include","",_xlfn.XLOOKUP($C238,Raw_Mkt!$A:$A,Raw_Mkt!$B:$B))</f>
        <v>#N/A</v>
      </c>
    </row>
    <row r="239" spans="1:26" x14ac:dyDescent="0.4">
      <c r="A239" t="str">
        <f>IF(Universe!A239&lt;&gt;"",Universe!A239,"")</f>
        <v>VCT</v>
      </c>
      <c r="B239" t="str">
        <f>IF(Universe!B239&lt;&gt;"",Universe!B239,"")</f>
        <v>Victrex</v>
      </c>
      <c r="C239" t="str">
        <f>IF(Universe!C239&lt;&gt;"",Universe!C239,"")</f>
        <v>GB0009292243</v>
      </c>
      <c r="D239" t="str">
        <f>IF(Universe!D239&lt;&gt;"",Universe!D239,"")</f>
        <v>Basic Materials</v>
      </c>
      <c r="E239" t="str">
        <f>Universe!G239</f>
        <v>Include</v>
      </c>
      <c r="F239" t="str">
        <f>IF($E239&lt;&gt;"Include","",_xlfn.LET(_xlpm.latest,_xlfn.MAXIFS(Raw_Fund!$C:$C,Raw_Fund!$B:$B,Data!$C239),IF(_xlpm.latest=0,"",_xlpm.latest)))</f>
        <v/>
      </c>
      <c r="G239" t="str">
        <f>IF($F239="","",INDEX(Raw_Fund!$E:$AZ,MATCH($C239&amp;"|"&amp;$F239,Raw_Fund!$A:$A,0),MATCH(G$3,Raw_Fund!$E$1:$AZ$1,0)))</f>
        <v/>
      </c>
      <c r="H239" t="str">
        <f t="shared" si="3"/>
        <v/>
      </c>
      <c r="I239" s="6" t="str">
        <f>_xlfn.LET(
_xlpm.rowNo, MATCH($C239&amp;"|"&amp;
($F239+I$4),Raw_Fund!$A:$A,0),
_xlpm.colNo,
MATCH(I$3,Raw_Fund!$E$1:$AZ$1,0),
_xlpm.val,
INDEX(Raw_Fund!$E:$AZ,_xlpm.rowNo,_xlpm.colNo),
IF(ISNUMBER(_xlpm.val),_xlpm.val*$H239,""))</f>
        <v/>
      </c>
      <c r="J239" s="6" t="str">
        <f>_xlfn.LET(
_xlpm.rowNo, MATCH($C239&amp;"|"&amp;
($F239+J$4),Raw_Fund!$A:$A,0),
_xlpm.colNo,
MATCH(J$3,Raw_Fund!$E$1:$AZ$1,0),
_xlpm.val,
INDEX(Raw_Fund!$E:$AZ,_xlpm.rowNo,_xlpm.colNo),
IF(ISNUMBER(_xlpm.val),_xlpm.val*$H239,""))</f>
        <v/>
      </c>
      <c r="K239" s="6" t="str">
        <f>_xlfn.LET(
_xlpm.rowNo, MATCH($C239&amp;"|"&amp;
($F239+K$4),Raw_Fund!$A:$A,0),
_xlpm.colNo,
MATCH(K$3,Raw_Fund!$E$1:$AZ$1,0),
_xlpm.val,
INDEX(Raw_Fund!$E:$AZ,_xlpm.rowNo,_xlpm.colNo),
IF(ISNUMBER(_xlpm.val),_xlpm.val*$H239,""))</f>
        <v/>
      </c>
      <c r="L239" s="6" t="str">
        <f>_xlfn.LET(
_xlpm.rowNo, MATCH($C239&amp;"|"&amp;
($F239+L$4),Raw_Fund!$A:$A,0),
_xlpm.colNo,
MATCH(L$3,Raw_Fund!$E$1:$AZ$1,0),
_xlpm.val,
INDEX(Raw_Fund!$E:$AZ,_xlpm.rowNo,_xlpm.colNo),
IF(ISNUMBER(_xlpm.val),_xlpm.val*$H239,""))</f>
        <v/>
      </c>
      <c r="M239" s="6" t="str">
        <f>_xlfn.LET(
_xlpm.rowNo, MATCH($C239&amp;"|"&amp;
($F239+M$4),Raw_Fund!$A:$A,0),
_xlpm.colNo,
MATCH(M$3,Raw_Fund!$E$1:$AZ$1,0),
_xlpm.val,
INDEX(Raw_Fund!$E:$AZ,_xlpm.rowNo,_xlpm.colNo),
IF(ISNUMBER(_xlpm.val),_xlpm.val*$H239,""))</f>
        <v/>
      </c>
      <c r="N239" s="6" t="str">
        <f>_xlfn.LET(
_xlpm.rowNo, MATCH($C239&amp;"|"&amp;
($F239+N$4),Raw_Fund!$A:$A,0),
_xlpm.colNo,
MATCH(N$3,Raw_Fund!$E$1:$AZ$1,0),
_xlpm.val,
INDEX(Raw_Fund!$E:$AZ,_xlpm.rowNo,_xlpm.colNo),
IF(ISNUMBER(_xlpm.val),_xlpm.val*$H239,""))</f>
        <v/>
      </c>
      <c r="O239" s="6" t="str">
        <f>_xlfn.LET(
_xlpm.rowNo, MATCH($C239&amp;"|"&amp;
($F239+O$4),Raw_Fund!$A:$A,0),
_xlpm.colNo,
MATCH(O$3,Raw_Fund!$E$1:$AZ$1,0),
_xlpm.val,
INDEX(Raw_Fund!$E:$AZ,_xlpm.rowNo,_xlpm.colNo),
IF(ISNUMBER(_xlpm.val),_xlpm.val*$H239,""))</f>
        <v/>
      </c>
      <c r="P239" s="6" t="str">
        <f>_xlfn.LET(
_xlpm.rowNo, MATCH($C239&amp;"|"&amp;
($F239+P$4),Raw_Fund!$A:$A,0),
_xlpm.colNo,
MATCH(P$3,Raw_Fund!$E$1:$AZ$1,0),
_xlpm.val,
INDEX(Raw_Fund!$E:$AZ,_xlpm.rowNo,_xlpm.colNo),
IF(ISNUMBER(_xlpm.val),_xlpm.val*$H239,""))</f>
        <v/>
      </c>
      <c r="Q239" s="6" t="str">
        <f>_xlfn.LET(
_xlpm.rowNo, MATCH($C239&amp;"|"&amp;
($F239+Q$4),Raw_Fund!$A:$A,0),
_xlpm.colNo,
MATCH(Q$3,Raw_Fund!$E$1:$AZ$1,0),
_xlpm.val,
INDEX(Raw_Fund!$E:$AZ,_xlpm.rowNo,_xlpm.colNo),
IF(ISNUMBER(_xlpm.val),_xlpm.val*$H239,""))</f>
        <v/>
      </c>
      <c r="R239" s="6" t="str">
        <f>_xlfn.LET(
_xlpm.rowNo, MATCH($C239&amp;"|"&amp;
($F239+R$4),Raw_Fund!$A:$A,0),
_xlpm.colNo,
MATCH(R$3,Raw_Fund!$E$1:$AZ$1,0),
_xlpm.val,
INDEX(Raw_Fund!$E:$AZ,_xlpm.rowNo,_xlpm.colNo),
IF(ISNUMBER(_xlpm.val),_xlpm.val*$H239,""))</f>
        <v/>
      </c>
      <c r="S239" s="6" t="str">
        <f>_xlfn.LET(
_xlpm.rowNo, MATCH($C239&amp;"|"&amp;
($F239+S$4),Raw_Fund!$A:$A,0),
_xlpm.colNo,
MATCH(S$3,Raw_Fund!$E$1:$AZ$1,0),
_xlpm.val,
INDEX(Raw_Fund!$E:$AZ,_xlpm.rowNo,_xlpm.colNo),
IF(ISNUMBER(_xlpm.val),_xlpm.val*$H239,""))</f>
        <v/>
      </c>
      <c r="T239" s="6" t="str">
        <f>_xlfn.LET(
_xlpm.rowNo, MATCH($C239&amp;"|"&amp;
($F239+T$4),Raw_Fund!$A:$A,0),
_xlpm.colNo,
MATCH(T$3,Raw_Fund!$E$1:$AZ$1,0),
_xlpm.val,
INDEX(Raw_Fund!$E:$AZ,_xlpm.rowNo,_xlpm.colNo),
IF(ISNUMBER(_xlpm.val),_xlpm.val*$H239,""))</f>
        <v/>
      </c>
      <c r="U239" s="6" t="str">
        <f>_xlfn.LET(
_xlpm.rowNo, MATCH($C239&amp;"|"&amp;
($F239+U$4),Raw_Fund!$A:$A,0),
_xlpm.colNo,
MATCH(U$3,Raw_Fund!$E$1:$AZ$1,0),
_xlpm.val,
INDEX(Raw_Fund!$E:$AZ,_xlpm.rowNo,_xlpm.colNo),
IF(ISNUMBER(_xlpm.val),_xlpm.val*$H239,""))</f>
        <v/>
      </c>
      <c r="V239" s="6" t="str">
        <f>_xlfn.LET(
_xlpm.rowNo, MATCH($C239&amp;"|"&amp;
($F239+V$4),Raw_Fund!$A:$A,0),
_xlpm.colNo,
MATCH(V$3,Raw_Fund!$E$1:$AZ$1,0),
_xlpm.val,
INDEX(Raw_Fund!$E:$AZ,_xlpm.rowNo,_xlpm.colNo),
IF(ISNUMBER(_xlpm.val),_xlpm.val*$H239,""))</f>
        <v/>
      </c>
      <c r="W239" s="6" t="str">
        <f>_xlfn.LET(
_xlpm.rowNo, MATCH($C239&amp;"|"&amp;
($F239+W$4),Raw_Fund!$A:$A,0),
_xlpm.colNo,
MATCH(W$3,Raw_Fund!$E$1:$AZ$1,0),
_xlpm.val,
INDEX(Raw_Fund!$E:$AZ,_xlpm.rowNo,_xlpm.colNo),
IF(ISNUMBER(_xlpm.val),_xlpm.val*$H239,""))</f>
        <v/>
      </c>
      <c r="X239" s="6" t="str">
        <f>_xlfn.LET(
_xlpm.rowNo, MATCH($C239&amp;"|"&amp;
($F239+X$4),Raw_Fund!$A:$A,0),
_xlpm.colNo,
MATCH(X$3,Raw_Fund!$E$1:$AZ$1,0),
_xlpm.val,
INDEX(Raw_Fund!$E:$AZ,_xlpm.rowNo,_xlpm.colNo),
IF(ISNUMBER(_xlpm.val),_xlpm.val*$H239,""))</f>
        <v/>
      </c>
      <c r="Y239" s="6" t="str">
        <f>_xlfn.LET(
_xlpm.rowNo, MATCH($C239&amp;"|"&amp;
($F239+Y$4),Raw_Fund!$A:$A,0),
_xlpm.colNo,
MATCH(Y$3,Raw_Fund!$E$1:$AZ$1,0),
_xlpm.val,
INDEX(Raw_Fund!$E:$AZ,_xlpm.rowNo,_xlpm.colNo),
IF(ISNUMBER(_xlpm.val),_xlpm.val*$H239,""))</f>
        <v/>
      </c>
      <c r="Z239" s="6" t="e">
        <f>IF($E239&lt;&gt;"Include","",_xlfn.XLOOKUP($C239,Raw_Mkt!$A:$A,Raw_Mkt!$B:$B))</f>
        <v>#N/A</v>
      </c>
    </row>
    <row r="240" spans="1:26" x14ac:dyDescent="0.4">
      <c r="A240" t="str">
        <f>IF(Universe!A240&lt;&gt;"",Universe!A240,"")</f>
        <v>VEIL</v>
      </c>
      <c r="B240" t="str">
        <f>IF(Universe!B240&lt;&gt;"",Universe!B240,"")</f>
        <v>Vietnam Enterprise Investments</v>
      </c>
      <c r="C240" t="str">
        <f>IF(Universe!C240&lt;&gt;"",Universe!C240,"")</f>
        <v>KYG9361H1092</v>
      </c>
      <c r="D240" t="str">
        <f>IF(Universe!D240&lt;&gt;"",Universe!D240,"")</f>
        <v>Financials</v>
      </c>
      <c r="E240" t="str">
        <f>Universe!G240</f>
        <v>Exclude</v>
      </c>
      <c r="F240" t="str">
        <f>IF($E240&lt;&gt;"Include","",_xlfn.LET(_xlpm.latest,_xlfn.MAXIFS(Raw_Fund!$C:$C,Raw_Fund!$B:$B,Data!$C240),IF(_xlpm.latest=0,"",_xlpm.latest)))</f>
        <v/>
      </c>
      <c r="G240" t="str">
        <f>IF($F240="","",INDEX(Raw_Fund!$E:$AZ,MATCH($C240&amp;"|"&amp;$F240,Raw_Fund!$A:$A,0),MATCH(G$3,Raw_Fund!$E$1:$AZ$1,0)))</f>
        <v/>
      </c>
      <c r="H240" t="str">
        <f t="shared" si="3"/>
        <v/>
      </c>
      <c r="I240" s="6" t="str">
        <f>_xlfn.LET(
_xlpm.rowNo, MATCH($C240&amp;"|"&amp;
($F240+I$4),Raw_Fund!$A:$A,0),
_xlpm.colNo,
MATCH(I$3,Raw_Fund!$E$1:$AZ$1,0),
_xlpm.val,
INDEX(Raw_Fund!$E:$AZ,_xlpm.rowNo,_xlpm.colNo),
IF(ISNUMBER(_xlpm.val),_xlpm.val*$H240,""))</f>
        <v/>
      </c>
      <c r="J240" s="6" t="str">
        <f>_xlfn.LET(
_xlpm.rowNo, MATCH($C240&amp;"|"&amp;
($F240+J$4),Raw_Fund!$A:$A,0),
_xlpm.colNo,
MATCH(J$3,Raw_Fund!$E$1:$AZ$1,0),
_xlpm.val,
INDEX(Raw_Fund!$E:$AZ,_xlpm.rowNo,_xlpm.colNo),
IF(ISNUMBER(_xlpm.val),_xlpm.val*$H240,""))</f>
        <v/>
      </c>
      <c r="K240" s="6" t="str">
        <f>_xlfn.LET(
_xlpm.rowNo, MATCH($C240&amp;"|"&amp;
($F240+K$4),Raw_Fund!$A:$A,0),
_xlpm.colNo,
MATCH(K$3,Raw_Fund!$E$1:$AZ$1,0),
_xlpm.val,
INDEX(Raw_Fund!$E:$AZ,_xlpm.rowNo,_xlpm.colNo),
IF(ISNUMBER(_xlpm.val),_xlpm.val*$H240,""))</f>
        <v/>
      </c>
      <c r="L240" s="6" t="str">
        <f>_xlfn.LET(
_xlpm.rowNo, MATCH($C240&amp;"|"&amp;
($F240+L$4),Raw_Fund!$A:$A,0),
_xlpm.colNo,
MATCH(L$3,Raw_Fund!$E$1:$AZ$1,0),
_xlpm.val,
INDEX(Raw_Fund!$E:$AZ,_xlpm.rowNo,_xlpm.colNo),
IF(ISNUMBER(_xlpm.val),_xlpm.val*$H240,""))</f>
        <v/>
      </c>
      <c r="M240" s="6" t="str">
        <f>_xlfn.LET(
_xlpm.rowNo, MATCH($C240&amp;"|"&amp;
($F240+M$4),Raw_Fund!$A:$A,0),
_xlpm.colNo,
MATCH(M$3,Raw_Fund!$E$1:$AZ$1,0),
_xlpm.val,
INDEX(Raw_Fund!$E:$AZ,_xlpm.rowNo,_xlpm.colNo),
IF(ISNUMBER(_xlpm.val),_xlpm.val*$H240,""))</f>
        <v/>
      </c>
      <c r="N240" s="6" t="str">
        <f>_xlfn.LET(
_xlpm.rowNo, MATCH($C240&amp;"|"&amp;
($F240+N$4),Raw_Fund!$A:$A,0),
_xlpm.colNo,
MATCH(N$3,Raw_Fund!$E$1:$AZ$1,0),
_xlpm.val,
INDEX(Raw_Fund!$E:$AZ,_xlpm.rowNo,_xlpm.colNo),
IF(ISNUMBER(_xlpm.val),_xlpm.val*$H240,""))</f>
        <v/>
      </c>
      <c r="O240" s="6" t="str">
        <f>_xlfn.LET(
_xlpm.rowNo, MATCH($C240&amp;"|"&amp;
($F240+O$4),Raw_Fund!$A:$A,0),
_xlpm.colNo,
MATCH(O$3,Raw_Fund!$E$1:$AZ$1,0),
_xlpm.val,
INDEX(Raw_Fund!$E:$AZ,_xlpm.rowNo,_xlpm.colNo),
IF(ISNUMBER(_xlpm.val),_xlpm.val*$H240,""))</f>
        <v/>
      </c>
      <c r="P240" s="6" t="str">
        <f>_xlfn.LET(
_xlpm.rowNo, MATCH($C240&amp;"|"&amp;
($F240+P$4),Raw_Fund!$A:$A,0),
_xlpm.colNo,
MATCH(P$3,Raw_Fund!$E$1:$AZ$1,0),
_xlpm.val,
INDEX(Raw_Fund!$E:$AZ,_xlpm.rowNo,_xlpm.colNo),
IF(ISNUMBER(_xlpm.val),_xlpm.val*$H240,""))</f>
        <v/>
      </c>
      <c r="Q240" s="6" t="str">
        <f>_xlfn.LET(
_xlpm.rowNo, MATCH($C240&amp;"|"&amp;
($F240+Q$4),Raw_Fund!$A:$A,0),
_xlpm.colNo,
MATCH(Q$3,Raw_Fund!$E$1:$AZ$1,0),
_xlpm.val,
INDEX(Raw_Fund!$E:$AZ,_xlpm.rowNo,_xlpm.colNo),
IF(ISNUMBER(_xlpm.val),_xlpm.val*$H240,""))</f>
        <v/>
      </c>
      <c r="R240" s="6" t="str">
        <f>_xlfn.LET(
_xlpm.rowNo, MATCH($C240&amp;"|"&amp;
($F240+R$4),Raw_Fund!$A:$A,0),
_xlpm.colNo,
MATCH(R$3,Raw_Fund!$E$1:$AZ$1,0),
_xlpm.val,
INDEX(Raw_Fund!$E:$AZ,_xlpm.rowNo,_xlpm.colNo),
IF(ISNUMBER(_xlpm.val),_xlpm.val*$H240,""))</f>
        <v/>
      </c>
      <c r="S240" s="6" t="str">
        <f>_xlfn.LET(
_xlpm.rowNo, MATCH($C240&amp;"|"&amp;
($F240+S$4),Raw_Fund!$A:$A,0),
_xlpm.colNo,
MATCH(S$3,Raw_Fund!$E$1:$AZ$1,0),
_xlpm.val,
INDEX(Raw_Fund!$E:$AZ,_xlpm.rowNo,_xlpm.colNo),
IF(ISNUMBER(_xlpm.val),_xlpm.val*$H240,""))</f>
        <v/>
      </c>
      <c r="T240" s="6" t="str">
        <f>_xlfn.LET(
_xlpm.rowNo, MATCH($C240&amp;"|"&amp;
($F240+T$4),Raw_Fund!$A:$A,0),
_xlpm.colNo,
MATCH(T$3,Raw_Fund!$E$1:$AZ$1,0),
_xlpm.val,
INDEX(Raw_Fund!$E:$AZ,_xlpm.rowNo,_xlpm.colNo),
IF(ISNUMBER(_xlpm.val),_xlpm.val*$H240,""))</f>
        <v/>
      </c>
      <c r="U240" s="6" t="str">
        <f>_xlfn.LET(
_xlpm.rowNo, MATCH($C240&amp;"|"&amp;
($F240+U$4),Raw_Fund!$A:$A,0),
_xlpm.colNo,
MATCH(U$3,Raw_Fund!$E$1:$AZ$1,0),
_xlpm.val,
INDEX(Raw_Fund!$E:$AZ,_xlpm.rowNo,_xlpm.colNo),
IF(ISNUMBER(_xlpm.val),_xlpm.val*$H240,""))</f>
        <v/>
      </c>
      <c r="V240" s="6" t="str">
        <f>_xlfn.LET(
_xlpm.rowNo, MATCH($C240&amp;"|"&amp;
($F240+V$4),Raw_Fund!$A:$A,0),
_xlpm.colNo,
MATCH(V$3,Raw_Fund!$E$1:$AZ$1,0),
_xlpm.val,
INDEX(Raw_Fund!$E:$AZ,_xlpm.rowNo,_xlpm.colNo),
IF(ISNUMBER(_xlpm.val),_xlpm.val*$H240,""))</f>
        <v/>
      </c>
      <c r="W240" s="6" t="str">
        <f>_xlfn.LET(
_xlpm.rowNo, MATCH($C240&amp;"|"&amp;
($F240+W$4),Raw_Fund!$A:$A,0),
_xlpm.colNo,
MATCH(W$3,Raw_Fund!$E$1:$AZ$1,0),
_xlpm.val,
INDEX(Raw_Fund!$E:$AZ,_xlpm.rowNo,_xlpm.colNo),
IF(ISNUMBER(_xlpm.val),_xlpm.val*$H240,""))</f>
        <v/>
      </c>
      <c r="X240" s="6" t="str">
        <f>_xlfn.LET(
_xlpm.rowNo, MATCH($C240&amp;"|"&amp;
($F240+X$4),Raw_Fund!$A:$A,0),
_xlpm.colNo,
MATCH(X$3,Raw_Fund!$E$1:$AZ$1,0),
_xlpm.val,
INDEX(Raw_Fund!$E:$AZ,_xlpm.rowNo,_xlpm.colNo),
IF(ISNUMBER(_xlpm.val),_xlpm.val*$H240,""))</f>
        <v/>
      </c>
      <c r="Y240" s="6" t="str">
        <f>_xlfn.LET(
_xlpm.rowNo, MATCH($C240&amp;"|"&amp;
($F240+Y$4),Raw_Fund!$A:$A,0),
_xlpm.colNo,
MATCH(Y$3,Raw_Fund!$E$1:$AZ$1,0),
_xlpm.val,
INDEX(Raw_Fund!$E:$AZ,_xlpm.rowNo,_xlpm.colNo),
IF(ISNUMBER(_xlpm.val),_xlpm.val*$H240,""))</f>
        <v/>
      </c>
      <c r="Z240" s="6" t="str">
        <f>IF($E240&lt;&gt;"Include","",_xlfn.XLOOKUP($C240,Raw_Mkt!$A:$A,Raw_Mkt!$B:$B))</f>
        <v/>
      </c>
    </row>
    <row r="241" spans="1:26" x14ac:dyDescent="0.4">
      <c r="A241" t="str">
        <f>IF(Universe!A241&lt;&gt;"",Universe!A241,"")</f>
        <v>VOF</v>
      </c>
      <c r="B241" t="str">
        <f>IF(Universe!B241&lt;&gt;"",Universe!B241,"")</f>
        <v>VinaCapital Vietnam Opportunity Fund</v>
      </c>
      <c r="C241" t="str">
        <f>IF(Universe!C241&lt;&gt;"",Universe!C241,"")</f>
        <v>GG00BYXVT888</v>
      </c>
      <c r="D241" t="str">
        <f>IF(Universe!D241&lt;&gt;"",Universe!D241,"")</f>
        <v>Financials</v>
      </c>
      <c r="E241" t="str">
        <f>Universe!G241</f>
        <v>Exclude</v>
      </c>
      <c r="F241" t="str">
        <f>IF($E241&lt;&gt;"Include","",_xlfn.LET(_xlpm.latest,_xlfn.MAXIFS(Raw_Fund!$C:$C,Raw_Fund!$B:$B,Data!$C241),IF(_xlpm.latest=0,"",_xlpm.latest)))</f>
        <v/>
      </c>
      <c r="G241" t="str">
        <f>IF($F241="","",INDEX(Raw_Fund!$E:$AZ,MATCH($C241&amp;"|"&amp;$F241,Raw_Fund!$A:$A,0),MATCH(G$3,Raw_Fund!$E$1:$AZ$1,0)))</f>
        <v/>
      </c>
      <c r="H241" t="str">
        <f t="shared" si="3"/>
        <v/>
      </c>
      <c r="I241" s="6" t="str">
        <f>_xlfn.LET(
_xlpm.rowNo, MATCH($C241&amp;"|"&amp;
($F241+I$4),Raw_Fund!$A:$A,0),
_xlpm.colNo,
MATCH(I$3,Raw_Fund!$E$1:$AZ$1,0),
_xlpm.val,
INDEX(Raw_Fund!$E:$AZ,_xlpm.rowNo,_xlpm.colNo),
IF(ISNUMBER(_xlpm.val),_xlpm.val*$H241,""))</f>
        <v/>
      </c>
      <c r="J241" s="6" t="str">
        <f>_xlfn.LET(
_xlpm.rowNo, MATCH($C241&amp;"|"&amp;
($F241+J$4),Raw_Fund!$A:$A,0),
_xlpm.colNo,
MATCH(J$3,Raw_Fund!$E$1:$AZ$1,0),
_xlpm.val,
INDEX(Raw_Fund!$E:$AZ,_xlpm.rowNo,_xlpm.colNo),
IF(ISNUMBER(_xlpm.val),_xlpm.val*$H241,""))</f>
        <v/>
      </c>
      <c r="K241" s="6" t="str">
        <f>_xlfn.LET(
_xlpm.rowNo, MATCH($C241&amp;"|"&amp;
($F241+K$4),Raw_Fund!$A:$A,0),
_xlpm.colNo,
MATCH(K$3,Raw_Fund!$E$1:$AZ$1,0),
_xlpm.val,
INDEX(Raw_Fund!$E:$AZ,_xlpm.rowNo,_xlpm.colNo),
IF(ISNUMBER(_xlpm.val),_xlpm.val*$H241,""))</f>
        <v/>
      </c>
      <c r="L241" s="6" t="str">
        <f>_xlfn.LET(
_xlpm.rowNo, MATCH($C241&amp;"|"&amp;
($F241+L$4),Raw_Fund!$A:$A,0),
_xlpm.colNo,
MATCH(L$3,Raw_Fund!$E$1:$AZ$1,0),
_xlpm.val,
INDEX(Raw_Fund!$E:$AZ,_xlpm.rowNo,_xlpm.colNo),
IF(ISNUMBER(_xlpm.val),_xlpm.val*$H241,""))</f>
        <v/>
      </c>
      <c r="M241" s="6" t="str">
        <f>_xlfn.LET(
_xlpm.rowNo, MATCH($C241&amp;"|"&amp;
($F241+M$4),Raw_Fund!$A:$A,0),
_xlpm.colNo,
MATCH(M$3,Raw_Fund!$E$1:$AZ$1,0),
_xlpm.val,
INDEX(Raw_Fund!$E:$AZ,_xlpm.rowNo,_xlpm.colNo),
IF(ISNUMBER(_xlpm.val),_xlpm.val*$H241,""))</f>
        <v/>
      </c>
      <c r="N241" s="6" t="str">
        <f>_xlfn.LET(
_xlpm.rowNo, MATCH($C241&amp;"|"&amp;
($F241+N$4),Raw_Fund!$A:$A,0),
_xlpm.colNo,
MATCH(N$3,Raw_Fund!$E$1:$AZ$1,0),
_xlpm.val,
INDEX(Raw_Fund!$E:$AZ,_xlpm.rowNo,_xlpm.colNo),
IF(ISNUMBER(_xlpm.val),_xlpm.val*$H241,""))</f>
        <v/>
      </c>
      <c r="O241" s="6" t="str">
        <f>_xlfn.LET(
_xlpm.rowNo, MATCH($C241&amp;"|"&amp;
($F241+O$4),Raw_Fund!$A:$A,0),
_xlpm.colNo,
MATCH(O$3,Raw_Fund!$E$1:$AZ$1,0),
_xlpm.val,
INDEX(Raw_Fund!$E:$AZ,_xlpm.rowNo,_xlpm.colNo),
IF(ISNUMBER(_xlpm.val),_xlpm.val*$H241,""))</f>
        <v/>
      </c>
      <c r="P241" s="6" t="str">
        <f>_xlfn.LET(
_xlpm.rowNo, MATCH($C241&amp;"|"&amp;
($F241+P$4),Raw_Fund!$A:$A,0),
_xlpm.colNo,
MATCH(P$3,Raw_Fund!$E$1:$AZ$1,0),
_xlpm.val,
INDEX(Raw_Fund!$E:$AZ,_xlpm.rowNo,_xlpm.colNo),
IF(ISNUMBER(_xlpm.val),_xlpm.val*$H241,""))</f>
        <v/>
      </c>
      <c r="Q241" s="6" t="str">
        <f>_xlfn.LET(
_xlpm.rowNo, MATCH($C241&amp;"|"&amp;
($F241+Q$4),Raw_Fund!$A:$A,0),
_xlpm.colNo,
MATCH(Q$3,Raw_Fund!$E$1:$AZ$1,0),
_xlpm.val,
INDEX(Raw_Fund!$E:$AZ,_xlpm.rowNo,_xlpm.colNo),
IF(ISNUMBER(_xlpm.val),_xlpm.val*$H241,""))</f>
        <v/>
      </c>
      <c r="R241" s="6" t="str">
        <f>_xlfn.LET(
_xlpm.rowNo, MATCH($C241&amp;"|"&amp;
($F241+R$4),Raw_Fund!$A:$A,0),
_xlpm.colNo,
MATCH(R$3,Raw_Fund!$E$1:$AZ$1,0),
_xlpm.val,
INDEX(Raw_Fund!$E:$AZ,_xlpm.rowNo,_xlpm.colNo),
IF(ISNUMBER(_xlpm.val),_xlpm.val*$H241,""))</f>
        <v/>
      </c>
      <c r="S241" s="6" t="str">
        <f>_xlfn.LET(
_xlpm.rowNo, MATCH($C241&amp;"|"&amp;
($F241+S$4),Raw_Fund!$A:$A,0),
_xlpm.colNo,
MATCH(S$3,Raw_Fund!$E$1:$AZ$1,0),
_xlpm.val,
INDEX(Raw_Fund!$E:$AZ,_xlpm.rowNo,_xlpm.colNo),
IF(ISNUMBER(_xlpm.val),_xlpm.val*$H241,""))</f>
        <v/>
      </c>
      <c r="T241" s="6" t="str">
        <f>_xlfn.LET(
_xlpm.rowNo, MATCH($C241&amp;"|"&amp;
($F241+T$4),Raw_Fund!$A:$A,0),
_xlpm.colNo,
MATCH(T$3,Raw_Fund!$E$1:$AZ$1,0),
_xlpm.val,
INDEX(Raw_Fund!$E:$AZ,_xlpm.rowNo,_xlpm.colNo),
IF(ISNUMBER(_xlpm.val),_xlpm.val*$H241,""))</f>
        <v/>
      </c>
      <c r="U241" s="6" t="str">
        <f>_xlfn.LET(
_xlpm.rowNo, MATCH($C241&amp;"|"&amp;
($F241+U$4),Raw_Fund!$A:$A,0),
_xlpm.colNo,
MATCH(U$3,Raw_Fund!$E$1:$AZ$1,0),
_xlpm.val,
INDEX(Raw_Fund!$E:$AZ,_xlpm.rowNo,_xlpm.colNo),
IF(ISNUMBER(_xlpm.val),_xlpm.val*$H241,""))</f>
        <v/>
      </c>
      <c r="V241" s="6" t="str">
        <f>_xlfn.LET(
_xlpm.rowNo, MATCH($C241&amp;"|"&amp;
($F241+V$4),Raw_Fund!$A:$A,0),
_xlpm.colNo,
MATCH(V$3,Raw_Fund!$E$1:$AZ$1,0),
_xlpm.val,
INDEX(Raw_Fund!$E:$AZ,_xlpm.rowNo,_xlpm.colNo),
IF(ISNUMBER(_xlpm.val),_xlpm.val*$H241,""))</f>
        <v/>
      </c>
      <c r="W241" s="6" t="str">
        <f>_xlfn.LET(
_xlpm.rowNo, MATCH($C241&amp;"|"&amp;
($F241+W$4),Raw_Fund!$A:$A,0),
_xlpm.colNo,
MATCH(W$3,Raw_Fund!$E$1:$AZ$1,0),
_xlpm.val,
INDEX(Raw_Fund!$E:$AZ,_xlpm.rowNo,_xlpm.colNo),
IF(ISNUMBER(_xlpm.val),_xlpm.val*$H241,""))</f>
        <v/>
      </c>
      <c r="X241" s="6" t="str">
        <f>_xlfn.LET(
_xlpm.rowNo, MATCH($C241&amp;"|"&amp;
($F241+X$4),Raw_Fund!$A:$A,0),
_xlpm.colNo,
MATCH(X$3,Raw_Fund!$E$1:$AZ$1,0),
_xlpm.val,
INDEX(Raw_Fund!$E:$AZ,_xlpm.rowNo,_xlpm.colNo),
IF(ISNUMBER(_xlpm.val),_xlpm.val*$H241,""))</f>
        <v/>
      </c>
      <c r="Y241" s="6" t="str">
        <f>_xlfn.LET(
_xlpm.rowNo, MATCH($C241&amp;"|"&amp;
($F241+Y$4),Raw_Fund!$A:$A,0),
_xlpm.colNo,
MATCH(Y$3,Raw_Fund!$E$1:$AZ$1,0),
_xlpm.val,
INDEX(Raw_Fund!$E:$AZ,_xlpm.rowNo,_xlpm.colNo),
IF(ISNUMBER(_xlpm.val),_xlpm.val*$H241,""))</f>
        <v/>
      </c>
      <c r="Z241" s="6" t="str">
        <f>IF($E241&lt;&gt;"Include","",_xlfn.XLOOKUP($C241,Raw_Mkt!$A:$A,Raw_Mkt!$B:$B))</f>
        <v/>
      </c>
    </row>
    <row r="242" spans="1:26" x14ac:dyDescent="0.4">
      <c r="A242" t="str">
        <f>IF(Universe!A242&lt;&gt;"",Universe!A242,"")</f>
        <v>VTY</v>
      </c>
      <c r="B242" t="str">
        <f>IF(Universe!B242&lt;&gt;"",Universe!B242,"")</f>
        <v>Vistry Group</v>
      </c>
      <c r="C242" t="str">
        <f>IF(Universe!C242&lt;&gt;"",Universe!C242,"")</f>
        <v>GB0001859296</v>
      </c>
      <c r="D242" t="str">
        <f>IF(Universe!D242&lt;&gt;"",Universe!D242,"")</f>
        <v>Consumer Discretionary</v>
      </c>
      <c r="E242" t="str">
        <f>Universe!G242</f>
        <v>Include</v>
      </c>
      <c r="F242" t="str">
        <f>IF($E242&lt;&gt;"Include","",_xlfn.LET(_xlpm.latest,_xlfn.MAXIFS(Raw_Fund!$C:$C,Raw_Fund!$B:$B,Data!$C242),IF(_xlpm.latest=0,"",_xlpm.latest)))</f>
        <v/>
      </c>
      <c r="G242" t="str">
        <f>IF($F242="","",INDEX(Raw_Fund!$E:$AZ,MATCH($C242&amp;"|"&amp;$F242,Raw_Fund!$A:$A,0),MATCH(G$3,Raw_Fund!$E$1:$AZ$1,0)))</f>
        <v/>
      </c>
      <c r="H242" t="str">
        <f t="shared" si="3"/>
        <v/>
      </c>
      <c r="I242" s="6" t="str">
        <f>_xlfn.LET(
_xlpm.rowNo, MATCH($C242&amp;"|"&amp;
($F242+I$4),Raw_Fund!$A:$A,0),
_xlpm.colNo,
MATCH(I$3,Raw_Fund!$E$1:$AZ$1,0),
_xlpm.val,
INDEX(Raw_Fund!$E:$AZ,_xlpm.rowNo,_xlpm.colNo),
IF(ISNUMBER(_xlpm.val),_xlpm.val*$H242,""))</f>
        <v/>
      </c>
      <c r="J242" s="6" t="str">
        <f>_xlfn.LET(
_xlpm.rowNo, MATCH($C242&amp;"|"&amp;
($F242+J$4),Raw_Fund!$A:$A,0),
_xlpm.colNo,
MATCH(J$3,Raw_Fund!$E$1:$AZ$1,0),
_xlpm.val,
INDEX(Raw_Fund!$E:$AZ,_xlpm.rowNo,_xlpm.colNo),
IF(ISNUMBER(_xlpm.val),_xlpm.val*$H242,""))</f>
        <v/>
      </c>
      <c r="K242" s="6" t="str">
        <f>_xlfn.LET(
_xlpm.rowNo, MATCH($C242&amp;"|"&amp;
($F242+K$4),Raw_Fund!$A:$A,0),
_xlpm.colNo,
MATCH(K$3,Raw_Fund!$E$1:$AZ$1,0),
_xlpm.val,
INDEX(Raw_Fund!$E:$AZ,_xlpm.rowNo,_xlpm.colNo),
IF(ISNUMBER(_xlpm.val),_xlpm.val*$H242,""))</f>
        <v/>
      </c>
      <c r="L242" s="6" t="str">
        <f>_xlfn.LET(
_xlpm.rowNo, MATCH($C242&amp;"|"&amp;
($F242+L$4),Raw_Fund!$A:$A,0),
_xlpm.colNo,
MATCH(L$3,Raw_Fund!$E$1:$AZ$1,0),
_xlpm.val,
INDEX(Raw_Fund!$E:$AZ,_xlpm.rowNo,_xlpm.colNo),
IF(ISNUMBER(_xlpm.val),_xlpm.val*$H242,""))</f>
        <v/>
      </c>
      <c r="M242" s="6" t="str">
        <f>_xlfn.LET(
_xlpm.rowNo, MATCH($C242&amp;"|"&amp;
($F242+M$4),Raw_Fund!$A:$A,0),
_xlpm.colNo,
MATCH(M$3,Raw_Fund!$E$1:$AZ$1,0),
_xlpm.val,
INDEX(Raw_Fund!$E:$AZ,_xlpm.rowNo,_xlpm.colNo),
IF(ISNUMBER(_xlpm.val),_xlpm.val*$H242,""))</f>
        <v/>
      </c>
      <c r="N242" s="6" t="str">
        <f>_xlfn.LET(
_xlpm.rowNo, MATCH($C242&amp;"|"&amp;
($F242+N$4),Raw_Fund!$A:$A,0),
_xlpm.colNo,
MATCH(N$3,Raw_Fund!$E$1:$AZ$1,0),
_xlpm.val,
INDEX(Raw_Fund!$E:$AZ,_xlpm.rowNo,_xlpm.colNo),
IF(ISNUMBER(_xlpm.val),_xlpm.val*$H242,""))</f>
        <v/>
      </c>
      <c r="O242" s="6" t="str">
        <f>_xlfn.LET(
_xlpm.rowNo, MATCH($C242&amp;"|"&amp;
($F242+O$4),Raw_Fund!$A:$A,0),
_xlpm.colNo,
MATCH(O$3,Raw_Fund!$E$1:$AZ$1,0),
_xlpm.val,
INDEX(Raw_Fund!$E:$AZ,_xlpm.rowNo,_xlpm.colNo),
IF(ISNUMBER(_xlpm.val),_xlpm.val*$H242,""))</f>
        <v/>
      </c>
      <c r="P242" s="6" t="str">
        <f>_xlfn.LET(
_xlpm.rowNo, MATCH($C242&amp;"|"&amp;
($F242+P$4),Raw_Fund!$A:$A,0),
_xlpm.colNo,
MATCH(P$3,Raw_Fund!$E$1:$AZ$1,0),
_xlpm.val,
INDEX(Raw_Fund!$E:$AZ,_xlpm.rowNo,_xlpm.colNo),
IF(ISNUMBER(_xlpm.val),_xlpm.val*$H242,""))</f>
        <v/>
      </c>
      <c r="Q242" s="6" t="str">
        <f>_xlfn.LET(
_xlpm.rowNo, MATCH($C242&amp;"|"&amp;
($F242+Q$4),Raw_Fund!$A:$A,0),
_xlpm.colNo,
MATCH(Q$3,Raw_Fund!$E$1:$AZ$1,0),
_xlpm.val,
INDEX(Raw_Fund!$E:$AZ,_xlpm.rowNo,_xlpm.colNo),
IF(ISNUMBER(_xlpm.val),_xlpm.val*$H242,""))</f>
        <v/>
      </c>
      <c r="R242" s="6" t="str">
        <f>_xlfn.LET(
_xlpm.rowNo, MATCH($C242&amp;"|"&amp;
($F242+R$4),Raw_Fund!$A:$A,0),
_xlpm.colNo,
MATCH(R$3,Raw_Fund!$E$1:$AZ$1,0),
_xlpm.val,
INDEX(Raw_Fund!$E:$AZ,_xlpm.rowNo,_xlpm.colNo),
IF(ISNUMBER(_xlpm.val),_xlpm.val*$H242,""))</f>
        <v/>
      </c>
      <c r="S242" s="6" t="str">
        <f>_xlfn.LET(
_xlpm.rowNo, MATCH($C242&amp;"|"&amp;
($F242+S$4),Raw_Fund!$A:$A,0),
_xlpm.colNo,
MATCH(S$3,Raw_Fund!$E$1:$AZ$1,0),
_xlpm.val,
INDEX(Raw_Fund!$E:$AZ,_xlpm.rowNo,_xlpm.colNo),
IF(ISNUMBER(_xlpm.val),_xlpm.val*$H242,""))</f>
        <v/>
      </c>
      <c r="T242" s="6" t="str">
        <f>_xlfn.LET(
_xlpm.rowNo, MATCH($C242&amp;"|"&amp;
($F242+T$4),Raw_Fund!$A:$A,0),
_xlpm.colNo,
MATCH(T$3,Raw_Fund!$E$1:$AZ$1,0),
_xlpm.val,
INDEX(Raw_Fund!$E:$AZ,_xlpm.rowNo,_xlpm.colNo),
IF(ISNUMBER(_xlpm.val),_xlpm.val*$H242,""))</f>
        <v/>
      </c>
      <c r="U242" s="6" t="str">
        <f>_xlfn.LET(
_xlpm.rowNo, MATCH($C242&amp;"|"&amp;
($F242+U$4),Raw_Fund!$A:$A,0),
_xlpm.colNo,
MATCH(U$3,Raw_Fund!$E$1:$AZ$1,0),
_xlpm.val,
INDEX(Raw_Fund!$E:$AZ,_xlpm.rowNo,_xlpm.colNo),
IF(ISNUMBER(_xlpm.val),_xlpm.val*$H242,""))</f>
        <v/>
      </c>
      <c r="V242" s="6" t="str">
        <f>_xlfn.LET(
_xlpm.rowNo, MATCH($C242&amp;"|"&amp;
($F242+V$4),Raw_Fund!$A:$A,0),
_xlpm.colNo,
MATCH(V$3,Raw_Fund!$E$1:$AZ$1,0),
_xlpm.val,
INDEX(Raw_Fund!$E:$AZ,_xlpm.rowNo,_xlpm.colNo),
IF(ISNUMBER(_xlpm.val),_xlpm.val*$H242,""))</f>
        <v/>
      </c>
      <c r="W242" s="6" t="str">
        <f>_xlfn.LET(
_xlpm.rowNo, MATCH($C242&amp;"|"&amp;
($F242+W$4),Raw_Fund!$A:$A,0),
_xlpm.colNo,
MATCH(W$3,Raw_Fund!$E$1:$AZ$1,0),
_xlpm.val,
INDEX(Raw_Fund!$E:$AZ,_xlpm.rowNo,_xlpm.colNo),
IF(ISNUMBER(_xlpm.val),_xlpm.val*$H242,""))</f>
        <v/>
      </c>
      <c r="X242" s="6" t="str">
        <f>_xlfn.LET(
_xlpm.rowNo, MATCH($C242&amp;"|"&amp;
($F242+X$4),Raw_Fund!$A:$A,0),
_xlpm.colNo,
MATCH(X$3,Raw_Fund!$E$1:$AZ$1,0),
_xlpm.val,
INDEX(Raw_Fund!$E:$AZ,_xlpm.rowNo,_xlpm.colNo),
IF(ISNUMBER(_xlpm.val),_xlpm.val*$H242,""))</f>
        <v/>
      </c>
      <c r="Y242" s="6" t="str">
        <f>_xlfn.LET(
_xlpm.rowNo, MATCH($C242&amp;"|"&amp;
($F242+Y$4),Raw_Fund!$A:$A,0),
_xlpm.colNo,
MATCH(Y$3,Raw_Fund!$E$1:$AZ$1,0),
_xlpm.val,
INDEX(Raw_Fund!$E:$AZ,_xlpm.rowNo,_xlpm.colNo),
IF(ISNUMBER(_xlpm.val),_xlpm.val*$H242,""))</f>
        <v/>
      </c>
      <c r="Z242" s="6" t="e">
        <f>IF($E242&lt;&gt;"Include","",_xlfn.XLOOKUP($C242,Raw_Mkt!$A:$A,Raw_Mkt!$B:$B))</f>
        <v>#N/A</v>
      </c>
    </row>
    <row r="243" spans="1:26" x14ac:dyDescent="0.4">
      <c r="A243" t="str">
        <f>IF(Universe!A243&lt;&gt;"",Universe!A243,"")</f>
        <v>VLX</v>
      </c>
      <c r="B243" t="str">
        <f>IF(Universe!B243&lt;&gt;"",Universe!B243,"")</f>
        <v>Volex</v>
      </c>
      <c r="C243" t="str">
        <f>IF(Universe!C243&lt;&gt;"",Universe!C243,"")</f>
        <v>GB0009390070</v>
      </c>
      <c r="D243" t="str">
        <f>IF(Universe!D243&lt;&gt;"",Universe!D243,"")</f>
        <v>Industrials</v>
      </c>
      <c r="E243" t="str">
        <f>Universe!G243</f>
        <v>Include</v>
      </c>
      <c r="F243" t="str">
        <f>IF($E243&lt;&gt;"Include","",_xlfn.LET(_xlpm.latest,_xlfn.MAXIFS(Raw_Fund!$C:$C,Raw_Fund!$B:$B,Data!$C243),IF(_xlpm.latest=0,"",_xlpm.latest)))</f>
        <v/>
      </c>
      <c r="G243" t="str">
        <f>IF($F243="","",INDEX(Raw_Fund!$E:$AZ,MATCH($C243&amp;"|"&amp;$F243,Raw_Fund!$A:$A,0),MATCH(G$3,Raw_Fund!$E$1:$AZ$1,0)))</f>
        <v/>
      </c>
      <c r="H243" t="str">
        <f t="shared" si="3"/>
        <v/>
      </c>
      <c r="I243" s="6" t="str">
        <f>_xlfn.LET(
_xlpm.rowNo, MATCH($C243&amp;"|"&amp;
($F243+I$4),Raw_Fund!$A:$A,0),
_xlpm.colNo,
MATCH(I$3,Raw_Fund!$E$1:$AZ$1,0),
_xlpm.val,
INDEX(Raw_Fund!$E:$AZ,_xlpm.rowNo,_xlpm.colNo),
IF(ISNUMBER(_xlpm.val),_xlpm.val*$H243,""))</f>
        <v/>
      </c>
      <c r="J243" s="6" t="str">
        <f>_xlfn.LET(
_xlpm.rowNo, MATCH($C243&amp;"|"&amp;
($F243+J$4),Raw_Fund!$A:$A,0),
_xlpm.colNo,
MATCH(J$3,Raw_Fund!$E$1:$AZ$1,0),
_xlpm.val,
INDEX(Raw_Fund!$E:$AZ,_xlpm.rowNo,_xlpm.colNo),
IF(ISNUMBER(_xlpm.val),_xlpm.val*$H243,""))</f>
        <v/>
      </c>
      <c r="K243" s="6" t="str">
        <f>_xlfn.LET(
_xlpm.rowNo, MATCH($C243&amp;"|"&amp;
($F243+K$4),Raw_Fund!$A:$A,0),
_xlpm.colNo,
MATCH(K$3,Raw_Fund!$E$1:$AZ$1,0),
_xlpm.val,
INDEX(Raw_Fund!$E:$AZ,_xlpm.rowNo,_xlpm.colNo),
IF(ISNUMBER(_xlpm.val),_xlpm.val*$H243,""))</f>
        <v/>
      </c>
      <c r="L243" s="6" t="str">
        <f>_xlfn.LET(
_xlpm.rowNo, MATCH($C243&amp;"|"&amp;
($F243+L$4),Raw_Fund!$A:$A,0),
_xlpm.colNo,
MATCH(L$3,Raw_Fund!$E$1:$AZ$1,0),
_xlpm.val,
INDEX(Raw_Fund!$E:$AZ,_xlpm.rowNo,_xlpm.colNo),
IF(ISNUMBER(_xlpm.val),_xlpm.val*$H243,""))</f>
        <v/>
      </c>
      <c r="M243" s="6" t="str">
        <f>_xlfn.LET(
_xlpm.rowNo, MATCH($C243&amp;"|"&amp;
($F243+M$4),Raw_Fund!$A:$A,0),
_xlpm.colNo,
MATCH(M$3,Raw_Fund!$E$1:$AZ$1,0),
_xlpm.val,
INDEX(Raw_Fund!$E:$AZ,_xlpm.rowNo,_xlpm.colNo),
IF(ISNUMBER(_xlpm.val),_xlpm.val*$H243,""))</f>
        <v/>
      </c>
      <c r="N243" s="6" t="str">
        <f>_xlfn.LET(
_xlpm.rowNo, MATCH($C243&amp;"|"&amp;
($F243+N$4),Raw_Fund!$A:$A,0),
_xlpm.colNo,
MATCH(N$3,Raw_Fund!$E$1:$AZ$1,0),
_xlpm.val,
INDEX(Raw_Fund!$E:$AZ,_xlpm.rowNo,_xlpm.colNo),
IF(ISNUMBER(_xlpm.val),_xlpm.val*$H243,""))</f>
        <v/>
      </c>
      <c r="O243" s="6" t="str">
        <f>_xlfn.LET(
_xlpm.rowNo, MATCH($C243&amp;"|"&amp;
($F243+O$4),Raw_Fund!$A:$A,0),
_xlpm.colNo,
MATCH(O$3,Raw_Fund!$E$1:$AZ$1,0),
_xlpm.val,
INDEX(Raw_Fund!$E:$AZ,_xlpm.rowNo,_xlpm.colNo),
IF(ISNUMBER(_xlpm.val),_xlpm.val*$H243,""))</f>
        <v/>
      </c>
      <c r="P243" s="6" t="str">
        <f>_xlfn.LET(
_xlpm.rowNo, MATCH($C243&amp;"|"&amp;
($F243+P$4),Raw_Fund!$A:$A,0),
_xlpm.colNo,
MATCH(P$3,Raw_Fund!$E$1:$AZ$1,0),
_xlpm.val,
INDEX(Raw_Fund!$E:$AZ,_xlpm.rowNo,_xlpm.colNo),
IF(ISNUMBER(_xlpm.val),_xlpm.val*$H243,""))</f>
        <v/>
      </c>
      <c r="Q243" s="6" t="str">
        <f>_xlfn.LET(
_xlpm.rowNo, MATCH($C243&amp;"|"&amp;
($F243+Q$4),Raw_Fund!$A:$A,0),
_xlpm.colNo,
MATCH(Q$3,Raw_Fund!$E$1:$AZ$1,0),
_xlpm.val,
INDEX(Raw_Fund!$E:$AZ,_xlpm.rowNo,_xlpm.colNo),
IF(ISNUMBER(_xlpm.val),_xlpm.val*$H243,""))</f>
        <v/>
      </c>
      <c r="R243" s="6" t="str">
        <f>_xlfn.LET(
_xlpm.rowNo, MATCH($C243&amp;"|"&amp;
($F243+R$4),Raw_Fund!$A:$A,0),
_xlpm.colNo,
MATCH(R$3,Raw_Fund!$E$1:$AZ$1,0),
_xlpm.val,
INDEX(Raw_Fund!$E:$AZ,_xlpm.rowNo,_xlpm.colNo),
IF(ISNUMBER(_xlpm.val),_xlpm.val*$H243,""))</f>
        <v/>
      </c>
      <c r="S243" s="6" t="str">
        <f>_xlfn.LET(
_xlpm.rowNo, MATCH($C243&amp;"|"&amp;
($F243+S$4),Raw_Fund!$A:$A,0),
_xlpm.colNo,
MATCH(S$3,Raw_Fund!$E$1:$AZ$1,0),
_xlpm.val,
INDEX(Raw_Fund!$E:$AZ,_xlpm.rowNo,_xlpm.colNo),
IF(ISNUMBER(_xlpm.val),_xlpm.val*$H243,""))</f>
        <v/>
      </c>
      <c r="T243" s="6" t="str">
        <f>_xlfn.LET(
_xlpm.rowNo, MATCH($C243&amp;"|"&amp;
($F243+T$4),Raw_Fund!$A:$A,0),
_xlpm.colNo,
MATCH(T$3,Raw_Fund!$E$1:$AZ$1,0),
_xlpm.val,
INDEX(Raw_Fund!$E:$AZ,_xlpm.rowNo,_xlpm.colNo),
IF(ISNUMBER(_xlpm.val),_xlpm.val*$H243,""))</f>
        <v/>
      </c>
      <c r="U243" s="6" t="str">
        <f>_xlfn.LET(
_xlpm.rowNo, MATCH($C243&amp;"|"&amp;
($F243+U$4),Raw_Fund!$A:$A,0),
_xlpm.colNo,
MATCH(U$3,Raw_Fund!$E$1:$AZ$1,0),
_xlpm.val,
INDEX(Raw_Fund!$E:$AZ,_xlpm.rowNo,_xlpm.colNo),
IF(ISNUMBER(_xlpm.val),_xlpm.val*$H243,""))</f>
        <v/>
      </c>
      <c r="V243" s="6" t="str">
        <f>_xlfn.LET(
_xlpm.rowNo, MATCH($C243&amp;"|"&amp;
($F243+V$4),Raw_Fund!$A:$A,0),
_xlpm.colNo,
MATCH(V$3,Raw_Fund!$E$1:$AZ$1,0),
_xlpm.val,
INDEX(Raw_Fund!$E:$AZ,_xlpm.rowNo,_xlpm.colNo),
IF(ISNUMBER(_xlpm.val),_xlpm.val*$H243,""))</f>
        <v/>
      </c>
      <c r="W243" s="6" t="str">
        <f>_xlfn.LET(
_xlpm.rowNo, MATCH($C243&amp;"|"&amp;
($F243+W$4),Raw_Fund!$A:$A,0),
_xlpm.colNo,
MATCH(W$3,Raw_Fund!$E$1:$AZ$1,0),
_xlpm.val,
INDEX(Raw_Fund!$E:$AZ,_xlpm.rowNo,_xlpm.colNo),
IF(ISNUMBER(_xlpm.val),_xlpm.val*$H243,""))</f>
        <v/>
      </c>
      <c r="X243" s="6" t="str">
        <f>_xlfn.LET(
_xlpm.rowNo, MATCH($C243&amp;"|"&amp;
($F243+X$4),Raw_Fund!$A:$A,0),
_xlpm.colNo,
MATCH(X$3,Raw_Fund!$E$1:$AZ$1,0),
_xlpm.val,
INDEX(Raw_Fund!$E:$AZ,_xlpm.rowNo,_xlpm.colNo),
IF(ISNUMBER(_xlpm.val),_xlpm.val*$H243,""))</f>
        <v/>
      </c>
      <c r="Y243" s="6" t="str">
        <f>_xlfn.LET(
_xlpm.rowNo, MATCH($C243&amp;"|"&amp;
($F243+Y$4),Raw_Fund!$A:$A,0),
_xlpm.colNo,
MATCH(Y$3,Raw_Fund!$E$1:$AZ$1,0),
_xlpm.val,
INDEX(Raw_Fund!$E:$AZ,_xlpm.rowNo,_xlpm.colNo),
IF(ISNUMBER(_xlpm.val),_xlpm.val*$H243,""))</f>
        <v/>
      </c>
      <c r="Z243" s="6" t="e">
        <f>IF($E243&lt;&gt;"Include","",_xlfn.XLOOKUP($C243,Raw_Mkt!$A:$A,Raw_Mkt!$B:$B))</f>
        <v>#N/A</v>
      </c>
    </row>
    <row r="244" spans="1:26" x14ac:dyDescent="0.4">
      <c r="A244" t="str">
        <f>IF(Universe!A244&lt;&gt;"",Universe!A244,"")</f>
        <v>FAN</v>
      </c>
      <c r="B244" t="str">
        <f>IF(Universe!B244&lt;&gt;"",Universe!B244,"")</f>
        <v>Volution Group</v>
      </c>
      <c r="C244" t="str">
        <f>IF(Universe!C244&lt;&gt;"",Universe!C244,"")</f>
        <v>GB00BN3ZZ526</v>
      </c>
      <c r="D244" t="str">
        <f>IF(Universe!D244&lt;&gt;"",Universe!D244,"")</f>
        <v>Industrials</v>
      </c>
      <c r="E244" t="str">
        <f>Universe!G244</f>
        <v>Include</v>
      </c>
      <c r="F244" t="str">
        <f>IF($E244&lt;&gt;"Include","",_xlfn.LET(_xlpm.latest,_xlfn.MAXIFS(Raw_Fund!$C:$C,Raw_Fund!$B:$B,Data!$C244),IF(_xlpm.latest=0,"",_xlpm.latest)))</f>
        <v/>
      </c>
      <c r="G244" t="str">
        <f>IF($F244="","",INDEX(Raw_Fund!$E:$AZ,MATCH($C244&amp;"|"&amp;$F244,Raw_Fund!$A:$A,0),MATCH(G$3,Raw_Fund!$E$1:$AZ$1,0)))</f>
        <v/>
      </c>
      <c r="H244" t="str">
        <f t="shared" si="3"/>
        <v/>
      </c>
      <c r="I244" s="6" t="str">
        <f>_xlfn.LET(
_xlpm.rowNo, MATCH($C244&amp;"|"&amp;
($F244+I$4),Raw_Fund!$A:$A,0),
_xlpm.colNo,
MATCH(I$3,Raw_Fund!$E$1:$AZ$1,0),
_xlpm.val,
INDEX(Raw_Fund!$E:$AZ,_xlpm.rowNo,_xlpm.colNo),
IF(ISNUMBER(_xlpm.val),_xlpm.val*$H244,""))</f>
        <v/>
      </c>
      <c r="J244" s="6" t="str">
        <f>_xlfn.LET(
_xlpm.rowNo, MATCH($C244&amp;"|"&amp;
($F244+J$4),Raw_Fund!$A:$A,0),
_xlpm.colNo,
MATCH(J$3,Raw_Fund!$E$1:$AZ$1,0),
_xlpm.val,
INDEX(Raw_Fund!$E:$AZ,_xlpm.rowNo,_xlpm.colNo),
IF(ISNUMBER(_xlpm.val),_xlpm.val*$H244,""))</f>
        <v/>
      </c>
      <c r="K244" s="6" t="str">
        <f>_xlfn.LET(
_xlpm.rowNo, MATCH($C244&amp;"|"&amp;
($F244+K$4),Raw_Fund!$A:$A,0),
_xlpm.colNo,
MATCH(K$3,Raw_Fund!$E$1:$AZ$1,0),
_xlpm.val,
INDEX(Raw_Fund!$E:$AZ,_xlpm.rowNo,_xlpm.colNo),
IF(ISNUMBER(_xlpm.val),_xlpm.val*$H244,""))</f>
        <v/>
      </c>
      <c r="L244" s="6" t="str">
        <f>_xlfn.LET(
_xlpm.rowNo, MATCH($C244&amp;"|"&amp;
($F244+L$4),Raw_Fund!$A:$A,0),
_xlpm.colNo,
MATCH(L$3,Raw_Fund!$E$1:$AZ$1,0),
_xlpm.val,
INDEX(Raw_Fund!$E:$AZ,_xlpm.rowNo,_xlpm.colNo),
IF(ISNUMBER(_xlpm.val),_xlpm.val*$H244,""))</f>
        <v/>
      </c>
      <c r="M244" s="6" t="str">
        <f>_xlfn.LET(
_xlpm.rowNo, MATCH($C244&amp;"|"&amp;
($F244+M$4),Raw_Fund!$A:$A,0),
_xlpm.colNo,
MATCH(M$3,Raw_Fund!$E$1:$AZ$1,0),
_xlpm.val,
INDEX(Raw_Fund!$E:$AZ,_xlpm.rowNo,_xlpm.colNo),
IF(ISNUMBER(_xlpm.val),_xlpm.val*$H244,""))</f>
        <v/>
      </c>
      <c r="N244" s="6" t="str">
        <f>_xlfn.LET(
_xlpm.rowNo, MATCH($C244&amp;"|"&amp;
($F244+N$4),Raw_Fund!$A:$A,0),
_xlpm.colNo,
MATCH(N$3,Raw_Fund!$E$1:$AZ$1,0),
_xlpm.val,
INDEX(Raw_Fund!$E:$AZ,_xlpm.rowNo,_xlpm.colNo),
IF(ISNUMBER(_xlpm.val),_xlpm.val*$H244,""))</f>
        <v/>
      </c>
      <c r="O244" s="6" t="str">
        <f>_xlfn.LET(
_xlpm.rowNo, MATCH($C244&amp;"|"&amp;
($F244+O$4),Raw_Fund!$A:$A,0),
_xlpm.colNo,
MATCH(O$3,Raw_Fund!$E$1:$AZ$1,0),
_xlpm.val,
INDEX(Raw_Fund!$E:$AZ,_xlpm.rowNo,_xlpm.colNo),
IF(ISNUMBER(_xlpm.val),_xlpm.val*$H244,""))</f>
        <v/>
      </c>
      <c r="P244" s="6" t="str">
        <f>_xlfn.LET(
_xlpm.rowNo, MATCH($C244&amp;"|"&amp;
($F244+P$4),Raw_Fund!$A:$A,0),
_xlpm.colNo,
MATCH(P$3,Raw_Fund!$E$1:$AZ$1,0),
_xlpm.val,
INDEX(Raw_Fund!$E:$AZ,_xlpm.rowNo,_xlpm.colNo),
IF(ISNUMBER(_xlpm.val),_xlpm.val*$H244,""))</f>
        <v/>
      </c>
      <c r="Q244" s="6" t="str">
        <f>_xlfn.LET(
_xlpm.rowNo, MATCH($C244&amp;"|"&amp;
($F244+Q$4),Raw_Fund!$A:$A,0),
_xlpm.colNo,
MATCH(Q$3,Raw_Fund!$E$1:$AZ$1,0),
_xlpm.val,
INDEX(Raw_Fund!$E:$AZ,_xlpm.rowNo,_xlpm.colNo),
IF(ISNUMBER(_xlpm.val),_xlpm.val*$H244,""))</f>
        <v/>
      </c>
      <c r="R244" s="6" t="str">
        <f>_xlfn.LET(
_xlpm.rowNo, MATCH($C244&amp;"|"&amp;
($F244+R$4),Raw_Fund!$A:$A,0),
_xlpm.colNo,
MATCH(R$3,Raw_Fund!$E$1:$AZ$1,0),
_xlpm.val,
INDEX(Raw_Fund!$E:$AZ,_xlpm.rowNo,_xlpm.colNo),
IF(ISNUMBER(_xlpm.val),_xlpm.val*$H244,""))</f>
        <v/>
      </c>
      <c r="S244" s="6" t="str">
        <f>_xlfn.LET(
_xlpm.rowNo, MATCH($C244&amp;"|"&amp;
($F244+S$4),Raw_Fund!$A:$A,0),
_xlpm.colNo,
MATCH(S$3,Raw_Fund!$E$1:$AZ$1,0),
_xlpm.val,
INDEX(Raw_Fund!$E:$AZ,_xlpm.rowNo,_xlpm.colNo),
IF(ISNUMBER(_xlpm.val),_xlpm.val*$H244,""))</f>
        <v/>
      </c>
      <c r="T244" s="6" t="str">
        <f>_xlfn.LET(
_xlpm.rowNo, MATCH($C244&amp;"|"&amp;
($F244+T$4),Raw_Fund!$A:$A,0),
_xlpm.colNo,
MATCH(T$3,Raw_Fund!$E$1:$AZ$1,0),
_xlpm.val,
INDEX(Raw_Fund!$E:$AZ,_xlpm.rowNo,_xlpm.colNo),
IF(ISNUMBER(_xlpm.val),_xlpm.val*$H244,""))</f>
        <v/>
      </c>
      <c r="U244" s="6" t="str">
        <f>_xlfn.LET(
_xlpm.rowNo, MATCH($C244&amp;"|"&amp;
($F244+U$4),Raw_Fund!$A:$A,0),
_xlpm.colNo,
MATCH(U$3,Raw_Fund!$E$1:$AZ$1,0),
_xlpm.val,
INDEX(Raw_Fund!$E:$AZ,_xlpm.rowNo,_xlpm.colNo),
IF(ISNUMBER(_xlpm.val),_xlpm.val*$H244,""))</f>
        <v/>
      </c>
      <c r="V244" s="6" t="str">
        <f>_xlfn.LET(
_xlpm.rowNo, MATCH($C244&amp;"|"&amp;
($F244+V$4),Raw_Fund!$A:$A,0),
_xlpm.colNo,
MATCH(V$3,Raw_Fund!$E$1:$AZ$1,0),
_xlpm.val,
INDEX(Raw_Fund!$E:$AZ,_xlpm.rowNo,_xlpm.colNo),
IF(ISNUMBER(_xlpm.val),_xlpm.val*$H244,""))</f>
        <v/>
      </c>
      <c r="W244" s="6" t="str">
        <f>_xlfn.LET(
_xlpm.rowNo, MATCH($C244&amp;"|"&amp;
($F244+W$4),Raw_Fund!$A:$A,0),
_xlpm.colNo,
MATCH(W$3,Raw_Fund!$E$1:$AZ$1,0),
_xlpm.val,
INDEX(Raw_Fund!$E:$AZ,_xlpm.rowNo,_xlpm.colNo),
IF(ISNUMBER(_xlpm.val),_xlpm.val*$H244,""))</f>
        <v/>
      </c>
      <c r="X244" s="6" t="str">
        <f>_xlfn.LET(
_xlpm.rowNo, MATCH($C244&amp;"|"&amp;
($F244+X$4),Raw_Fund!$A:$A,0),
_xlpm.colNo,
MATCH(X$3,Raw_Fund!$E$1:$AZ$1,0),
_xlpm.val,
INDEX(Raw_Fund!$E:$AZ,_xlpm.rowNo,_xlpm.colNo),
IF(ISNUMBER(_xlpm.val),_xlpm.val*$H244,""))</f>
        <v/>
      </c>
      <c r="Y244" s="6" t="str">
        <f>_xlfn.LET(
_xlpm.rowNo, MATCH($C244&amp;"|"&amp;
($F244+Y$4),Raw_Fund!$A:$A,0),
_xlpm.colNo,
MATCH(Y$3,Raw_Fund!$E$1:$AZ$1,0),
_xlpm.val,
INDEX(Raw_Fund!$E:$AZ,_xlpm.rowNo,_xlpm.colNo),
IF(ISNUMBER(_xlpm.val),_xlpm.val*$H244,""))</f>
        <v/>
      </c>
      <c r="Z244" s="6" t="e">
        <f>IF($E244&lt;&gt;"Include","",_xlfn.XLOOKUP($C244,Raw_Mkt!$A:$A,Raw_Mkt!$B:$B))</f>
        <v>#N/A</v>
      </c>
    </row>
    <row r="245" spans="1:26" x14ac:dyDescent="0.4">
      <c r="A245" t="str">
        <f>IF(Universe!A245&lt;&gt;"",Universe!A245,"")</f>
        <v>WOSG</v>
      </c>
      <c r="B245" t="str">
        <f>IF(Universe!B245&lt;&gt;"",Universe!B245,"")</f>
        <v>Watches of Switzerland</v>
      </c>
      <c r="C245" t="str">
        <f>IF(Universe!C245&lt;&gt;"",Universe!C245,"")</f>
        <v>GB00BJDQQ870</v>
      </c>
      <c r="D245" t="str">
        <f>IF(Universe!D245&lt;&gt;"",Universe!D245,"")</f>
        <v>Consumer Discretionary</v>
      </c>
      <c r="E245" t="str">
        <f>Universe!G245</f>
        <v>Include</v>
      </c>
      <c r="F245" t="str">
        <f>IF($E245&lt;&gt;"Include","",_xlfn.LET(_xlpm.latest,_xlfn.MAXIFS(Raw_Fund!$C:$C,Raw_Fund!$B:$B,Data!$C245),IF(_xlpm.latest=0,"",_xlpm.latest)))</f>
        <v/>
      </c>
      <c r="G245" t="str">
        <f>IF($F245="","",INDEX(Raw_Fund!$E:$AZ,MATCH($C245&amp;"|"&amp;$F245,Raw_Fund!$A:$A,0),MATCH(G$3,Raw_Fund!$E$1:$AZ$1,0)))</f>
        <v/>
      </c>
      <c r="H245" t="str">
        <f t="shared" si="3"/>
        <v/>
      </c>
      <c r="I245" s="6" t="str">
        <f>_xlfn.LET(
_xlpm.rowNo, MATCH($C245&amp;"|"&amp;
($F245+I$4),Raw_Fund!$A:$A,0),
_xlpm.colNo,
MATCH(I$3,Raw_Fund!$E$1:$AZ$1,0),
_xlpm.val,
INDEX(Raw_Fund!$E:$AZ,_xlpm.rowNo,_xlpm.colNo),
IF(ISNUMBER(_xlpm.val),_xlpm.val*$H245,""))</f>
        <v/>
      </c>
      <c r="J245" s="6" t="str">
        <f>_xlfn.LET(
_xlpm.rowNo, MATCH($C245&amp;"|"&amp;
($F245+J$4),Raw_Fund!$A:$A,0),
_xlpm.colNo,
MATCH(J$3,Raw_Fund!$E$1:$AZ$1,0),
_xlpm.val,
INDEX(Raw_Fund!$E:$AZ,_xlpm.rowNo,_xlpm.colNo),
IF(ISNUMBER(_xlpm.val),_xlpm.val*$H245,""))</f>
        <v/>
      </c>
      <c r="K245" s="6" t="str">
        <f>_xlfn.LET(
_xlpm.rowNo, MATCH($C245&amp;"|"&amp;
($F245+K$4),Raw_Fund!$A:$A,0),
_xlpm.colNo,
MATCH(K$3,Raw_Fund!$E$1:$AZ$1,0),
_xlpm.val,
INDEX(Raw_Fund!$E:$AZ,_xlpm.rowNo,_xlpm.colNo),
IF(ISNUMBER(_xlpm.val),_xlpm.val*$H245,""))</f>
        <v/>
      </c>
      <c r="L245" s="6" t="str">
        <f>_xlfn.LET(
_xlpm.rowNo, MATCH($C245&amp;"|"&amp;
($F245+L$4),Raw_Fund!$A:$A,0),
_xlpm.colNo,
MATCH(L$3,Raw_Fund!$E$1:$AZ$1,0),
_xlpm.val,
INDEX(Raw_Fund!$E:$AZ,_xlpm.rowNo,_xlpm.colNo),
IF(ISNUMBER(_xlpm.val),_xlpm.val*$H245,""))</f>
        <v/>
      </c>
      <c r="M245" s="6" t="str">
        <f>_xlfn.LET(
_xlpm.rowNo, MATCH($C245&amp;"|"&amp;
($F245+M$4),Raw_Fund!$A:$A,0),
_xlpm.colNo,
MATCH(M$3,Raw_Fund!$E$1:$AZ$1,0),
_xlpm.val,
INDEX(Raw_Fund!$E:$AZ,_xlpm.rowNo,_xlpm.colNo),
IF(ISNUMBER(_xlpm.val),_xlpm.val*$H245,""))</f>
        <v/>
      </c>
      <c r="N245" s="6" t="str">
        <f>_xlfn.LET(
_xlpm.rowNo, MATCH($C245&amp;"|"&amp;
($F245+N$4),Raw_Fund!$A:$A,0),
_xlpm.colNo,
MATCH(N$3,Raw_Fund!$E$1:$AZ$1,0),
_xlpm.val,
INDEX(Raw_Fund!$E:$AZ,_xlpm.rowNo,_xlpm.colNo),
IF(ISNUMBER(_xlpm.val),_xlpm.val*$H245,""))</f>
        <v/>
      </c>
      <c r="O245" s="6" t="str">
        <f>_xlfn.LET(
_xlpm.rowNo, MATCH($C245&amp;"|"&amp;
($F245+O$4),Raw_Fund!$A:$A,0),
_xlpm.colNo,
MATCH(O$3,Raw_Fund!$E$1:$AZ$1,0),
_xlpm.val,
INDEX(Raw_Fund!$E:$AZ,_xlpm.rowNo,_xlpm.colNo),
IF(ISNUMBER(_xlpm.val),_xlpm.val*$H245,""))</f>
        <v/>
      </c>
      <c r="P245" s="6" t="str">
        <f>_xlfn.LET(
_xlpm.rowNo, MATCH($C245&amp;"|"&amp;
($F245+P$4),Raw_Fund!$A:$A,0),
_xlpm.colNo,
MATCH(P$3,Raw_Fund!$E$1:$AZ$1,0),
_xlpm.val,
INDEX(Raw_Fund!$E:$AZ,_xlpm.rowNo,_xlpm.colNo),
IF(ISNUMBER(_xlpm.val),_xlpm.val*$H245,""))</f>
        <v/>
      </c>
      <c r="Q245" s="6" t="str">
        <f>_xlfn.LET(
_xlpm.rowNo, MATCH($C245&amp;"|"&amp;
($F245+Q$4),Raw_Fund!$A:$A,0),
_xlpm.colNo,
MATCH(Q$3,Raw_Fund!$E$1:$AZ$1,0),
_xlpm.val,
INDEX(Raw_Fund!$E:$AZ,_xlpm.rowNo,_xlpm.colNo),
IF(ISNUMBER(_xlpm.val),_xlpm.val*$H245,""))</f>
        <v/>
      </c>
      <c r="R245" s="6" t="str">
        <f>_xlfn.LET(
_xlpm.rowNo, MATCH($C245&amp;"|"&amp;
($F245+R$4),Raw_Fund!$A:$A,0),
_xlpm.colNo,
MATCH(R$3,Raw_Fund!$E$1:$AZ$1,0),
_xlpm.val,
INDEX(Raw_Fund!$E:$AZ,_xlpm.rowNo,_xlpm.colNo),
IF(ISNUMBER(_xlpm.val),_xlpm.val*$H245,""))</f>
        <v/>
      </c>
      <c r="S245" s="6" t="str">
        <f>_xlfn.LET(
_xlpm.rowNo, MATCH($C245&amp;"|"&amp;
($F245+S$4),Raw_Fund!$A:$A,0),
_xlpm.colNo,
MATCH(S$3,Raw_Fund!$E$1:$AZ$1,0),
_xlpm.val,
INDEX(Raw_Fund!$E:$AZ,_xlpm.rowNo,_xlpm.colNo),
IF(ISNUMBER(_xlpm.val),_xlpm.val*$H245,""))</f>
        <v/>
      </c>
      <c r="T245" s="6" t="str">
        <f>_xlfn.LET(
_xlpm.rowNo, MATCH($C245&amp;"|"&amp;
($F245+T$4),Raw_Fund!$A:$A,0),
_xlpm.colNo,
MATCH(T$3,Raw_Fund!$E$1:$AZ$1,0),
_xlpm.val,
INDEX(Raw_Fund!$E:$AZ,_xlpm.rowNo,_xlpm.colNo),
IF(ISNUMBER(_xlpm.val),_xlpm.val*$H245,""))</f>
        <v/>
      </c>
      <c r="U245" s="6" t="str">
        <f>_xlfn.LET(
_xlpm.rowNo, MATCH($C245&amp;"|"&amp;
($F245+U$4),Raw_Fund!$A:$A,0),
_xlpm.colNo,
MATCH(U$3,Raw_Fund!$E$1:$AZ$1,0),
_xlpm.val,
INDEX(Raw_Fund!$E:$AZ,_xlpm.rowNo,_xlpm.colNo),
IF(ISNUMBER(_xlpm.val),_xlpm.val*$H245,""))</f>
        <v/>
      </c>
      <c r="V245" s="6" t="str">
        <f>_xlfn.LET(
_xlpm.rowNo, MATCH($C245&amp;"|"&amp;
($F245+V$4),Raw_Fund!$A:$A,0),
_xlpm.colNo,
MATCH(V$3,Raw_Fund!$E$1:$AZ$1,0),
_xlpm.val,
INDEX(Raw_Fund!$E:$AZ,_xlpm.rowNo,_xlpm.colNo),
IF(ISNUMBER(_xlpm.val),_xlpm.val*$H245,""))</f>
        <v/>
      </c>
      <c r="W245" s="6" t="str">
        <f>_xlfn.LET(
_xlpm.rowNo, MATCH($C245&amp;"|"&amp;
($F245+W$4),Raw_Fund!$A:$A,0),
_xlpm.colNo,
MATCH(W$3,Raw_Fund!$E$1:$AZ$1,0),
_xlpm.val,
INDEX(Raw_Fund!$E:$AZ,_xlpm.rowNo,_xlpm.colNo),
IF(ISNUMBER(_xlpm.val),_xlpm.val*$H245,""))</f>
        <v/>
      </c>
      <c r="X245" s="6" t="str">
        <f>_xlfn.LET(
_xlpm.rowNo, MATCH($C245&amp;"|"&amp;
($F245+X$4),Raw_Fund!$A:$A,0),
_xlpm.colNo,
MATCH(X$3,Raw_Fund!$E$1:$AZ$1,0),
_xlpm.val,
INDEX(Raw_Fund!$E:$AZ,_xlpm.rowNo,_xlpm.colNo),
IF(ISNUMBER(_xlpm.val),_xlpm.val*$H245,""))</f>
        <v/>
      </c>
      <c r="Y245" s="6" t="str">
        <f>_xlfn.LET(
_xlpm.rowNo, MATCH($C245&amp;"|"&amp;
($F245+Y$4),Raw_Fund!$A:$A,0),
_xlpm.colNo,
MATCH(Y$3,Raw_Fund!$E$1:$AZ$1,0),
_xlpm.val,
INDEX(Raw_Fund!$E:$AZ,_xlpm.rowNo,_xlpm.colNo),
IF(ISNUMBER(_xlpm.val),_xlpm.val*$H245,""))</f>
        <v/>
      </c>
      <c r="Z245" s="6" t="e">
        <f>IF($E245&lt;&gt;"Include","",_xlfn.XLOOKUP($C245,Raw_Mkt!$A:$A,Raw_Mkt!$B:$B))</f>
        <v>#N/A</v>
      </c>
    </row>
    <row r="246" spans="1:26" x14ac:dyDescent="0.4">
      <c r="A246" t="str">
        <f>IF(Universe!A246&lt;&gt;"",Universe!A246,"")</f>
        <v>JDW</v>
      </c>
      <c r="B246" t="str">
        <f>IF(Universe!B246&lt;&gt;"",Universe!B246,"")</f>
        <v>Wetherspoons</v>
      </c>
      <c r="C246" t="str">
        <f>IF(Universe!C246&lt;&gt;"",Universe!C246,"")</f>
        <v>GB0001638955</v>
      </c>
      <c r="D246" t="str">
        <f>IF(Universe!D246&lt;&gt;"",Universe!D246,"")</f>
        <v>Consumer Discretionary</v>
      </c>
      <c r="E246" t="str">
        <f>Universe!G246</f>
        <v>Include</v>
      </c>
      <c r="F246" t="str">
        <f>IF($E246&lt;&gt;"Include","",_xlfn.LET(_xlpm.latest,_xlfn.MAXIFS(Raw_Fund!$C:$C,Raw_Fund!$B:$B,Data!$C246),IF(_xlpm.latest=0,"",_xlpm.latest)))</f>
        <v/>
      </c>
      <c r="G246" t="str">
        <f>IF($F246="","",INDEX(Raw_Fund!$E:$AZ,MATCH($C246&amp;"|"&amp;$F246,Raw_Fund!$A:$A,0),MATCH(G$3,Raw_Fund!$E$1:$AZ$1,0)))</f>
        <v/>
      </c>
      <c r="H246" t="str">
        <f t="shared" si="3"/>
        <v/>
      </c>
      <c r="I246" s="6" t="str">
        <f>_xlfn.LET(
_xlpm.rowNo, MATCH($C246&amp;"|"&amp;
($F246+I$4),Raw_Fund!$A:$A,0),
_xlpm.colNo,
MATCH(I$3,Raw_Fund!$E$1:$AZ$1,0),
_xlpm.val,
INDEX(Raw_Fund!$E:$AZ,_xlpm.rowNo,_xlpm.colNo),
IF(ISNUMBER(_xlpm.val),_xlpm.val*$H246,""))</f>
        <v/>
      </c>
      <c r="J246" s="6" t="str">
        <f>_xlfn.LET(
_xlpm.rowNo, MATCH($C246&amp;"|"&amp;
($F246+J$4),Raw_Fund!$A:$A,0),
_xlpm.colNo,
MATCH(J$3,Raw_Fund!$E$1:$AZ$1,0),
_xlpm.val,
INDEX(Raw_Fund!$E:$AZ,_xlpm.rowNo,_xlpm.colNo),
IF(ISNUMBER(_xlpm.val),_xlpm.val*$H246,""))</f>
        <v/>
      </c>
      <c r="K246" s="6" t="str">
        <f>_xlfn.LET(
_xlpm.rowNo, MATCH($C246&amp;"|"&amp;
($F246+K$4),Raw_Fund!$A:$A,0),
_xlpm.colNo,
MATCH(K$3,Raw_Fund!$E$1:$AZ$1,0),
_xlpm.val,
INDEX(Raw_Fund!$E:$AZ,_xlpm.rowNo,_xlpm.colNo),
IF(ISNUMBER(_xlpm.val),_xlpm.val*$H246,""))</f>
        <v/>
      </c>
      <c r="L246" s="6" t="str">
        <f>_xlfn.LET(
_xlpm.rowNo, MATCH($C246&amp;"|"&amp;
($F246+L$4),Raw_Fund!$A:$A,0),
_xlpm.colNo,
MATCH(L$3,Raw_Fund!$E$1:$AZ$1,0),
_xlpm.val,
INDEX(Raw_Fund!$E:$AZ,_xlpm.rowNo,_xlpm.colNo),
IF(ISNUMBER(_xlpm.val),_xlpm.val*$H246,""))</f>
        <v/>
      </c>
      <c r="M246" s="6" t="str">
        <f>_xlfn.LET(
_xlpm.rowNo, MATCH($C246&amp;"|"&amp;
($F246+M$4),Raw_Fund!$A:$A,0),
_xlpm.colNo,
MATCH(M$3,Raw_Fund!$E$1:$AZ$1,0),
_xlpm.val,
INDEX(Raw_Fund!$E:$AZ,_xlpm.rowNo,_xlpm.colNo),
IF(ISNUMBER(_xlpm.val),_xlpm.val*$H246,""))</f>
        <v/>
      </c>
      <c r="N246" s="6" t="str">
        <f>_xlfn.LET(
_xlpm.rowNo, MATCH($C246&amp;"|"&amp;
($F246+N$4),Raw_Fund!$A:$A,0),
_xlpm.colNo,
MATCH(N$3,Raw_Fund!$E$1:$AZ$1,0),
_xlpm.val,
INDEX(Raw_Fund!$E:$AZ,_xlpm.rowNo,_xlpm.colNo),
IF(ISNUMBER(_xlpm.val),_xlpm.val*$H246,""))</f>
        <v/>
      </c>
      <c r="O246" s="6" t="str">
        <f>_xlfn.LET(
_xlpm.rowNo, MATCH($C246&amp;"|"&amp;
($F246+O$4),Raw_Fund!$A:$A,0),
_xlpm.colNo,
MATCH(O$3,Raw_Fund!$E$1:$AZ$1,0),
_xlpm.val,
INDEX(Raw_Fund!$E:$AZ,_xlpm.rowNo,_xlpm.colNo),
IF(ISNUMBER(_xlpm.val),_xlpm.val*$H246,""))</f>
        <v/>
      </c>
      <c r="P246" s="6" t="str">
        <f>_xlfn.LET(
_xlpm.rowNo, MATCH($C246&amp;"|"&amp;
($F246+P$4),Raw_Fund!$A:$A,0),
_xlpm.colNo,
MATCH(P$3,Raw_Fund!$E$1:$AZ$1,0),
_xlpm.val,
INDEX(Raw_Fund!$E:$AZ,_xlpm.rowNo,_xlpm.colNo),
IF(ISNUMBER(_xlpm.val),_xlpm.val*$H246,""))</f>
        <v/>
      </c>
      <c r="Q246" s="6" t="str">
        <f>_xlfn.LET(
_xlpm.rowNo, MATCH($C246&amp;"|"&amp;
($F246+Q$4),Raw_Fund!$A:$A,0),
_xlpm.colNo,
MATCH(Q$3,Raw_Fund!$E$1:$AZ$1,0),
_xlpm.val,
INDEX(Raw_Fund!$E:$AZ,_xlpm.rowNo,_xlpm.colNo),
IF(ISNUMBER(_xlpm.val),_xlpm.val*$H246,""))</f>
        <v/>
      </c>
      <c r="R246" s="6" t="str">
        <f>_xlfn.LET(
_xlpm.rowNo, MATCH($C246&amp;"|"&amp;
($F246+R$4),Raw_Fund!$A:$A,0),
_xlpm.colNo,
MATCH(R$3,Raw_Fund!$E$1:$AZ$1,0),
_xlpm.val,
INDEX(Raw_Fund!$E:$AZ,_xlpm.rowNo,_xlpm.colNo),
IF(ISNUMBER(_xlpm.val),_xlpm.val*$H246,""))</f>
        <v/>
      </c>
      <c r="S246" s="6" t="str">
        <f>_xlfn.LET(
_xlpm.rowNo, MATCH($C246&amp;"|"&amp;
($F246+S$4),Raw_Fund!$A:$A,0),
_xlpm.colNo,
MATCH(S$3,Raw_Fund!$E$1:$AZ$1,0),
_xlpm.val,
INDEX(Raw_Fund!$E:$AZ,_xlpm.rowNo,_xlpm.colNo),
IF(ISNUMBER(_xlpm.val),_xlpm.val*$H246,""))</f>
        <v/>
      </c>
      <c r="T246" s="6" t="str">
        <f>_xlfn.LET(
_xlpm.rowNo, MATCH($C246&amp;"|"&amp;
($F246+T$4),Raw_Fund!$A:$A,0),
_xlpm.colNo,
MATCH(T$3,Raw_Fund!$E$1:$AZ$1,0),
_xlpm.val,
INDEX(Raw_Fund!$E:$AZ,_xlpm.rowNo,_xlpm.colNo),
IF(ISNUMBER(_xlpm.val),_xlpm.val*$H246,""))</f>
        <v/>
      </c>
      <c r="U246" s="6" t="str">
        <f>_xlfn.LET(
_xlpm.rowNo, MATCH($C246&amp;"|"&amp;
($F246+U$4),Raw_Fund!$A:$A,0),
_xlpm.colNo,
MATCH(U$3,Raw_Fund!$E$1:$AZ$1,0),
_xlpm.val,
INDEX(Raw_Fund!$E:$AZ,_xlpm.rowNo,_xlpm.colNo),
IF(ISNUMBER(_xlpm.val),_xlpm.val*$H246,""))</f>
        <v/>
      </c>
      <c r="V246" s="6" t="str">
        <f>_xlfn.LET(
_xlpm.rowNo, MATCH($C246&amp;"|"&amp;
($F246+V$4),Raw_Fund!$A:$A,0),
_xlpm.colNo,
MATCH(V$3,Raw_Fund!$E$1:$AZ$1,0),
_xlpm.val,
INDEX(Raw_Fund!$E:$AZ,_xlpm.rowNo,_xlpm.colNo),
IF(ISNUMBER(_xlpm.val),_xlpm.val*$H246,""))</f>
        <v/>
      </c>
      <c r="W246" s="6" t="str">
        <f>_xlfn.LET(
_xlpm.rowNo, MATCH($C246&amp;"|"&amp;
($F246+W$4),Raw_Fund!$A:$A,0),
_xlpm.colNo,
MATCH(W$3,Raw_Fund!$E$1:$AZ$1,0),
_xlpm.val,
INDEX(Raw_Fund!$E:$AZ,_xlpm.rowNo,_xlpm.colNo),
IF(ISNUMBER(_xlpm.val),_xlpm.val*$H246,""))</f>
        <v/>
      </c>
      <c r="X246" s="6" t="str">
        <f>_xlfn.LET(
_xlpm.rowNo, MATCH($C246&amp;"|"&amp;
($F246+X$4),Raw_Fund!$A:$A,0),
_xlpm.colNo,
MATCH(X$3,Raw_Fund!$E$1:$AZ$1,0),
_xlpm.val,
INDEX(Raw_Fund!$E:$AZ,_xlpm.rowNo,_xlpm.colNo),
IF(ISNUMBER(_xlpm.val),_xlpm.val*$H246,""))</f>
        <v/>
      </c>
      <c r="Y246" s="6" t="str">
        <f>_xlfn.LET(
_xlpm.rowNo, MATCH($C246&amp;"|"&amp;
($F246+Y$4),Raw_Fund!$A:$A,0),
_xlpm.colNo,
MATCH(Y$3,Raw_Fund!$E$1:$AZ$1,0),
_xlpm.val,
INDEX(Raw_Fund!$E:$AZ,_xlpm.rowNo,_xlpm.colNo),
IF(ISNUMBER(_xlpm.val),_xlpm.val*$H246,""))</f>
        <v/>
      </c>
      <c r="Z246" s="6" t="e">
        <f>IF($E246&lt;&gt;"Include","",_xlfn.XLOOKUP($C246,Raw_Mkt!$A:$A,Raw_Mkt!$B:$B))</f>
        <v>#N/A</v>
      </c>
    </row>
    <row r="247" spans="1:26" x14ac:dyDescent="0.4">
      <c r="A247" t="str">
        <f>IF(Universe!A247&lt;&gt;"",Universe!A247,"")</f>
        <v>SMWH</v>
      </c>
      <c r="B247" t="str">
        <f>IF(Universe!B247&lt;&gt;"",Universe!B247,"")</f>
        <v>WHSmith</v>
      </c>
      <c r="C247" t="str">
        <f>IF(Universe!C247&lt;&gt;"",Universe!C247,"")</f>
        <v>GB00B2PDGW16</v>
      </c>
      <c r="D247" t="str">
        <f>IF(Universe!D247&lt;&gt;"",Universe!D247,"")</f>
        <v>Consumer Discretionary</v>
      </c>
      <c r="E247" t="str">
        <f>Universe!G247</f>
        <v>Include</v>
      </c>
      <c r="F247" t="str">
        <f>IF($E247&lt;&gt;"Include","",_xlfn.LET(_xlpm.latest,_xlfn.MAXIFS(Raw_Fund!$C:$C,Raw_Fund!$B:$B,Data!$C247),IF(_xlpm.latest=0,"",_xlpm.latest)))</f>
        <v/>
      </c>
      <c r="G247" t="str">
        <f>IF($F247="","",INDEX(Raw_Fund!$E:$AZ,MATCH($C247&amp;"|"&amp;$F247,Raw_Fund!$A:$A,0),MATCH(G$3,Raw_Fund!$E$1:$AZ$1,0)))</f>
        <v/>
      </c>
      <c r="H247" t="str">
        <f t="shared" si="3"/>
        <v/>
      </c>
      <c r="I247" s="6" t="str">
        <f>_xlfn.LET(
_xlpm.rowNo, MATCH($C247&amp;"|"&amp;
($F247+I$4),Raw_Fund!$A:$A,0),
_xlpm.colNo,
MATCH(I$3,Raw_Fund!$E$1:$AZ$1,0),
_xlpm.val,
INDEX(Raw_Fund!$E:$AZ,_xlpm.rowNo,_xlpm.colNo),
IF(ISNUMBER(_xlpm.val),_xlpm.val*$H247,""))</f>
        <v/>
      </c>
      <c r="J247" s="6" t="str">
        <f>_xlfn.LET(
_xlpm.rowNo, MATCH($C247&amp;"|"&amp;
($F247+J$4),Raw_Fund!$A:$A,0),
_xlpm.colNo,
MATCH(J$3,Raw_Fund!$E$1:$AZ$1,0),
_xlpm.val,
INDEX(Raw_Fund!$E:$AZ,_xlpm.rowNo,_xlpm.colNo),
IF(ISNUMBER(_xlpm.val),_xlpm.val*$H247,""))</f>
        <v/>
      </c>
      <c r="K247" s="6" t="str">
        <f>_xlfn.LET(
_xlpm.rowNo, MATCH($C247&amp;"|"&amp;
($F247+K$4),Raw_Fund!$A:$A,0),
_xlpm.colNo,
MATCH(K$3,Raw_Fund!$E$1:$AZ$1,0),
_xlpm.val,
INDEX(Raw_Fund!$E:$AZ,_xlpm.rowNo,_xlpm.colNo),
IF(ISNUMBER(_xlpm.val),_xlpm.val*$H247,""))</f>
        <v/>
      </c>
      <c r="L247" s="6" t="str">
        <f>_xlfn.LET(
_xlpm.rowNo, MATCH($C247&amp;"|"&amp;
($F247+L$4),Raw_Fund!$A:$A,0),
_xlpm.colNo,
MATCH(L$3,Raw_Fund!$E$1:$AZ$1,0),
_xlpm.val,
INDEX(Raw_Fund!$E:$AZ,_xlpm.rowNo,_xlpm.colNo),
IF(ISNUMBER(_xlpm.val),_xlpm.val*$H247,""))</f>
        <v/>
      </c>
      <c r="M247" s="6" t="str">
        <f>_xlfn.LET(
_xlpm.rowNo, MATCH($C247&amp;"|"&amp;
($F247+M$4),Raw_Fund!$A:$A,0),
_xlpm.colNo,
MATCH(M$3,Raw_Fund!$E$1:$AZ$1,0),
_xlpm.val,
INDEX(Raw_Fund!$E:$AZ,_xlpm.rowNo,_xlpm.colNo),
IF(ISNUMBER(_xlpm.val),_xlpm.val*$H247,""))</f>
        <v/>
      </c>
      <c r="N247" s="6" t="str">
        <f>_xlfn.LET(
_xlpm.rowNo, MATCH($C247&amp;"|"&amp;
($F247+N$4),Raw_Fund!$A:$A,0),
_xlpm.colNo,
MATCH(N$3,Raw_Fund!$E$1:$AZ$1,0),
_xlpm.val,
INDEX(Raw_Fund!$E:$AZ,_xlpm.rowNo,_xlpm.colNo),
IF(ISNUMBER(_xlpm.val),_xlpm.val*$H247,""))</f>
        <v/>
      </c>
      <c r="O247" s="6" t="str">
        <f>_xlfn.LET(
_xlpm.rowNo, MATCH($C247&amp;"|"&amp;
($F247+O$4),Raw_Fund!$A:$A,0),
_xlpm.colNo,
MATCH(O$3,Raw_Fund!$E$1:$AZ$1,0),
_xlpm.val,
INDEX(Raw_Fund!$E:$AZ,_xlpm.rowNo,_xlpm.colNo),
IF(ISNUMBER(_xlpm.val),_xlpm.val*$H247,""))</f>
        <v/>
      </c>
      <c r="P247" s="6" t="str">
        <f>_xlfn.LET(
_xlpm.rowNo, MATCH($C247&amp;"|"&amp;
($F247+P$4),Raw_Fund!$A:$A,0),
_xlpm.colNo,
MATCH(P$3,Raw_Fund!$E$1:$AZ$1,0),
_xlpm.val,
INDEX(Raw_Fund!$E:$AZ,_xlpm.rowNo,_xlpm.colNo),
IF(ISNUMBER(_xlpm.val),_xlpm.val*$H247,""))</f>
        <v/>
      </c>
      <c r="Q247" s="6" t="str">
        <f>_xlfn.LET(
_xlpm.rowNo, MATCH($C247&amp;"|"&amp;
($F247+Q$4),Raw_Fund!$A:$A,0),
_xlpm.colNo,
MATCH(Q$3,Raw_Fund!$E$1:$AZ$1,0),
_xlpm.val,
INDEX(Raw_Fund!$E:$AZ,_xlpm.rowNo,_xlpm.colNo),
IF(ISNUMBER(_xlpm.val),_xlpm.val*$H247,""))</f>
        <v/>
      </c>
      <c r="R247" s="6" t="str">
        <f>_xlfn.LET(
_xlpm.rowNo, MATCH($C247&amp;"|"&amp;
($F247+R$4),Raw_Fund!$A:$A,0),
_xlpm.colNo,
MATCH(R$3,Raw_Fund!$E$1:$AZ$1,0),
_xlpm.val,
INDEX(Raw_Fund!$E:$AZ,_xlpm.rowNo,_xlpm.colNo),
IF(ISNUMBER(_xlpm.val),_xlpm.val*$H247,""))</f>
        <v/>
      </c>
      <c r="S247" s="6" t="str">
        <f>_xlfn.LET(
_xlpm.rowNo, MATCH($C247&amp;"|"&amp;
($F247+S$4),Raw_Fund!$A:$A,0),
_xlpm.colNo,
MATCH(S$3,Raw_Fund!$E$1:$AZ$1,0),
_xlpm.val,
INDEX(Raw_Fund!$E:$AZ,_xlpm.rowNo,_xlpm.colNo),
IF(ISNUMBER(_xlpm.val),_xlpm.val*$H247,""))</f>
        <v/>
      </c>
      <c r="T247" s="6" t="str">
        <f>_xlfn.LET(
_xlpm.rowNo, MATCH($C247&amp;"|"&amp;
($F247+T$4),Raw_Fund!$A:$A,0),
_xlpm.colNo,
MATCH(T$3,Raw_Fund!$E$1:$AZ$1,0),
_xlpm.val,
INDEX(Raw_Fund!$E:$AZ,_xlpm.rowNo,_xlpm.colNo),
IF(ISNUMBER(_xlpm.val),_xlpm.val*$H247,""))</f>
        <v/>
      </c>
      <c r="U247" s="6" t="str">
        <f>_xlfn.LET(
_xlpm.rowNo, MATCH($C247&amp;"|"&amp;
($F247+U$4),Raw_Fund!$A:$A,0),
_xlpm.colNo,
MATCH(U$3,Raw_Fund!$E$1:$AZ$1,0),
_xlpm.val,
INDEX(Raw_Fund!$E:$AZ,_xlpm.rowNo,_xlpm.colNo),
IF(ISNUMBER(_xlpm.val),_xlpm.val*$H247,""))</f>
        <v/>
      </c>
      <c r="V247" s="6" t="str">
        <f>_xlfn.LET(
_xlpm.rowNo, MATCH($C247&amp;"|"&amp;
($F247+V$4),Raw_Fund!$A:$A,0),
_xlpm.colNo,
MATCH(V$3,Raw_Fund!$E$1:$AZ$1,0),
_xlpm.val,
INDEX(Raw_Fund!$E:$AZ,_xlpm.rowNo,_xlpm.colNo),
IF(ISNUMBER(_xlpm.val),_xlpm.val*$H247,""))</f>
        <v/>
      </c>
      <c r="W247" s="6" t="str">
        <f>_xlfn.LET(
_xlpm.rowNo, MATCH($C247&amp;"|"&amp;
($F247+W$4),Raw_Fund!$A:$A,0),
_xlpm.colNo,
MATCH(W$3,Raw_Fund!$E$1:$AZ$1,0),
_xlpm.val,
INDEX(Raw_Fund!$E:$AZ,_xlpm.rowNo,_xlpm.colNo),
IF(ISNUMBER(_xlpm.val),_xlpm.val*$H247,""))</f>
        <v/>
      </c>
      <c r="X247" s="6" t="str">
        <f>_xlfn.LET(
_xlpm.rowNo, MATCH($C247&amp;"|"&amp;
($F247+X$4),Raw_Fund!$A:$A,0),
_xlpm.colNo,
MATCH(X$3,Raw_Fund!$E$1:$AZ$1,0),
_xlpm.val,
INDEX(Raw_Fund!$E:$AZ,_xlpm.rowNo,_xlpm.colNo),
IF(ISNUMBER(_xlpm.val),_xlpm.val*$H247,""))</f>
        <v/>
      </c>
      <c r="Y247" s="6" t="str">
        <f>_xlfn.LET(
_xlpm.rowNo, MATCH($C247&amp;"|"&amp;
($F247+Y$4),Raw_Fund!$A:$A,0),
_xlpm.colNo,
MATCH(Y$3,Raw_Fund!$E$1:$AZ$1,0),
_xlpm.val,
INDEX(Raw_Fund!$E:$AZ,_xlpm.rowNo,_xlpm.colNo),
IF(ISNUMBER(_xlpm.val),_xlpm.val*$H247,""))</f>
        <v/>
      </c>
      <c r="Z247" s="6" t="e">
        <f>IF($E247&lt;&gt;"Include","",_xlfn.XLOOKUP($C247,Raw_Mkt!$A:$A,Raw_Mkt!$B:$B))</f>
        <v>#N/A</v>
      </c>
    </row>
    <row r="248" spans="1:26" x14ac:dyDescent="0.4">
      <c r="A248" t="str">
        <f>IF(Universe!A248&lt;&gt;"",Universe!A248,"")</f>
        <v>WIX</v>
      </c>
      <c r="B248" t="str">
        <f>IF(Universe!B248&lt;&gt;"",Universe!B248,"")</f>
        <v>Wickes</v>
      </c>
      <c r="C248" t="str">
        <f>IF(Universe!C248&lt;&gt;"",Universe!C248,"")</f>
        <v>GB00BL6C2002</v>
      </c>
      <c r="D248" t="str">
        <f>IF(Universe!D248&lt;&gt;"",Universe!D248,"")</f>
        <v>Consumer Discretionary</v>
      </c>
      <c r="E248" t="str">
        <f>Universe!G248</f>
        <v>Include</v>
      </c>
      <c r="F248" t="str">
        <f>IF($E248&lt;&gt;"Include","",_xlfn.LET(_xlpm.latest,_xlfn.MAXIFS(Raw_Fund!$C:$C,Raw_Fund!$B:$B,Data!$C248),IF(_xlpm.latest=0,"",_xlpm.latest)))</f>
        <v/>
      </c>
      <c r="G248" t="str">
        <f>IF($F248="","",INDEX(Raw_Fund!$E:$AZ,MATCH($C248&amp;"|"&amp;$F248,Raw_Fund!$A:$A,0),MATCH(G$3,Raw_Fund!$E$1:$AZ$1,0)))</f>
        <v/>
      </c>
      <c r="H248" t="str">
        <f t="shared" si="3"/>
        <v/>
      </c>
      <c r="I248" s="6" t="str">
        <f>_xlfn.LET(
_xlpm.rowNo, MATCH($C248&amp;"|"&amp;
($F248+I$4),Raw_Fund!$A:$A,0),
_xlpm.colNo,
MATCH(I$3,Raw_Fund!$E$1:$AZ$1,0),
_xlpm.val,
INDEX(Raw_Fund!$E:$AZ,_xlpm.rowNo,_xlpm.colNo),
IF(ISNUMBER(_xlpm.val),_xlpm.val*$H248,""))</f>
        <v/>
      </c>
      <c r="J248" s="6" t="str">
        <f>_xlfn.LET(
_xlpm.rowNo, MATCH($C248&amp;"|"&amp;
($F248+J$4),Raw_Fund!$A:$A,0),
_xlpm.colNo,
MATCH(J$3,Raw_Fund!$E$1:$AZ$1,0),
_xlpm.val,
INDEX(Raw_Fund!$E:$AZ,_xlpm.rowNo,_xlpm.colNo),
IF(ISNUMBER(_xlpm.val),_xlpm.val*$H248,""))</f>
        <v/>
      </c>
      <c r="K248" s="6" t="str">
        <f>_xlfn.LET(
_xlpm.rowNo, MATCH($C248&amp;"|"&amp;
($F248+K$4),Raw_Fund!$A:$A,0),
_xlpm.colNo,
MATCH(K$3,Raw_Fund!$E$1:$AZ$1,0),
_xlpm.val,
INDEX(Raw_Fund!$E:$AZ,_xlpm.rowNo,_xlpm.colNo),
IF(ISNUMBER(_xlpm.val),_xlpm.val*$H248,""))</f>
        <v/>
      </c>
      <c r="L248" s="6" t="str">
        <f>_xlfn.LET(
_xlpm.rowNo, MATCH($C248&amp;"|"&amp;
($F248+L$4),Raw_Fund!$A:$A,0),
_xlpm.colNo,
MATCH(L$3,Raw_Fund!$E$1:$AZ$1,0),
_xlpm.val,
INDEX(Raw_Fund!$E:$AZ,_xlpm.rowNo,_xlpm.colNo),
IF(ISNUMBER(_xlpm.val),_xlpm.val*$H248,""))</f>
        <v/>
      </c>
      <c r="M248" s="6" t="str">
        <f>_xlfn.LET(
_xlpm.rowNo, MATCH($C248&amp;"|"&amp;
($F248+M$4),Raw_Fund!$A:$A,0),
_xlpm.colNo,
MATCH(M$3,Raw_Fund!$E$1:$AZ$1,0),
_xlpm.val,
INDEX(Raw_Fund!$E:$AZ,_xlpm.rowNo,_xlpm.colNo),
IF(ISNUMBER(_xlpm.val),_xlpm.val*$H248,""))</f>
        <v/>
      </c>
      <c r="N248" s="6" t="str">
        <f>_xlfn.LET(
_xlpm.rowNo, MATCH($C248&amp;"|"&amp;
($F248+N$4),Raw_Fund!$A:$A,0),
_xlpm.colNo,
MATCH(N$3,Raw_Fund!$E$1:$AZ$1,0),
_xlpm.val,
INDEX(Raw_Fund!$E:$AZ,_xlpm.rowNo,_xlpm.colNo),
IF(ISNUMBER(_xlpm.val),_xlpm.val*$H248,""))</f>
        <v/>
      </c>
      <c r="O248" s="6" t="str">
        <f>_xlfn.LET(
_xlpm.rowNo, MATCH($C248&amp;"|"&amp;
($F248+O$4),Raw_Fund!$A:$A,0),
_xlpm.colNo,
MATCH(O$3,Raw_Fund!$E$1:$AZ$1,0),
_xlpm.val,
INDEX(Raw_Fund!$E:$AZ,_xlpm.rowNo,_xlpm.colNo),
IF(ISNUMBER(_xlpm.val),_xlpm.val*$H248,""))</f>
        <v/>
      </c>
      <c r="P248" s="6" t="str">
        <f>_xlfn.LET(
_xlpm.rowNo, MATCH($C248&amp;"|"&amp;
($F248+P$4),Raw_Fund!$A:$A,0),
_xlpm.colNo,
MATCH(P$3,Raw_Fund!$E$1:$AZ$1,0),
_xlpm.val,
INDEX(Raw_Fund!$E:$AZ,_xlpm.rowNo,_xlpm.colNo),
IF(ISNUMBER(_xlpm.val),_xlpm.val*$H248,""))</f>
        <v/>
      </c>
      <c r="Q248" s="6" t="str">
        <f>_xlfn.LET(
_xlpm.rowNo, MATCH($C248&amp;"|"&amp;
($F248+Q$4),Raw_Fund!$A:$A,0),
_xlpm.colNo,
MATCH(Q$3,Raw_Fund!$E$1:$AZ$1,0),
_xlpm.val,
INDEX(Raw_Fund!$E:$AZ,_xlpm.rowNo,_xlpm.colNo),
IF(ISNUMBER(_xlpm.val),_xlpm.val*$H248,""))</f>
        <v/>
      </c>
      <c r="R248" s="6" t="str">
        <f>_xlfn.LET(
_xlpm.rowNo, MATCH($C248&amp;"|"&amp;
($F248+R$4),Raw_Fund!$A:$A,0),
_xlpm.colNo,
MATCH(R$3,Raw_Fund!$E$1:$AZ$1,0),
_xlpm.val,
INDEX(Raw_Fund!$E:$AZ,_xlpm.rowNo,_xlpm.colNo),
IF(ISNUMBER(_xlpm.val),_xlpm.val*$H248,""))</f>
        <v/>
      </c>
      <c r="S248" s="6" t="str">
        <f>_xlfn.LET(
_xlpm.rowNo, MATCH($C248&amp;"|"&amp;
($F248+S$4),Raw_Fund!$A:$A,0),
_xlpm.colNo,
MATCH(S$3,Raw_Fund!$E$1:$AZ$1,0),
_xlpm.val,
INDEX(Raw_Fund!$E:$AZ,_xlpm.rowNo,_xlpm.colNo),
IF(ISNUMBER(_xlpm.val),_xlpm.val*$H248,""))</f>
        <v/>
      </c>
      <c r="T248" s="6" t="str">
        <f>_xlfn.LET(
_xlpm.rowNo, MATCH($C248&amp;"|"&amp;
($F248+T$4),Raw_Fund!$A:$A,0),
_xlpm.colNo,
MATCH(T$3,Raw_Fund!$E$1:$AZ$1,0),
_xlpm.val,
INDEX(Raw_Fund!$E:$AZ,_xlpm.rowNo,_xlpm.colNo),
IF(ISNUMBER(_xlpm.val),_xlpm.val*$H248,""))</f>
        <v/>
      </c>
      <c r="U248" s="6" t="str">
        <f>_xlfn.LET(
_xlpm.rowNo, MATCH($C248&amp;"|"&amp;
($F248+U$4),Raw_Fund!$A:$A,0),
_xlpm.colNo,
MATCH(U$3,Raw_Fund!$E$1:$AZ$1,0),
_xlpm.val,
INDEX(Raw_Fund!$E:$AZ,_xlpm.rowNo,_xlpm.colNo),
IF(ISNUMBER(_xlpm.val),_xlpm.val*$H248,""))</f>
        <v/>
      </c>
      <c r="V248" s="6" t="str">
        <f>_xlfn.LET(
_xlpm.rowNo, MATCH($C248&amp;"|"&amp;
($F248+V$4),Raw_Fund!$A:$A,0),
_xlpm.colNo,
MATCH(V$3,Raw_Fund!$E$1:$AZ$1,0),
_xlpm.val,
INDEX(Raw_Fund!$E:$AZ,_xlpm.rowNo,_xlpm.colNo),
IF(ISNUMBER(_xlpm.val),_xlpm.val*$H248,""))</f>
        <v/>
      </c>
      <c r="W248" s="6" t="str">
        <f>_xlfn.LET(
_xlpm.rowNo, MATCH($C248&amp;"|"&amp;
($F248+W$4),Raw_Fund!$A:$A,0),
_xlpm.colNo,
MATCH(W$3,Raw_Fund!$E$1:$AZ$1,0),
_xlpm.val,
INDEX(Raw_Fund!$E:$AZ,_xlpm.rowNo,_xlpm.colNo),
IF(ISNUMBER(_xlpm.val),_xlpm.val*$H248,""))</f>
        <v/>
      </c>
      <c r="X248" s="6" t="str">
        <f>_xlfn.LET(
_xlpm.rowNo, MATCH($C248&amp;"|"&amp;
($F248+X$4),Raw_Fund!$A:$A,0),
_xlpm.colNo,
MATCH(X$3,Raw_Fund!$E$1:$AZ$1,0),
_xlpm.val,
INDEX(Raw_Fund!$E:$AZ,_xlpm.rowNo,_xlpm.colNo),
IF(ISNUMBER(_xlpm.val),_xlpm.val*$H248,""))</f>
        <v/>
      </c>
      <c r="Y248" s="6" t="str">
        <f>_xlfn.LET(
_xlpm.rowNo, MATCH($C248&amp;"|"&amp;
($F248+Y$4),Raw_Fund!$A:$A,0),
_xlpm.colNo,
MATCH(Y$3,Raw_Fund!$E$1:$AZ$1,0),
_xlpm.val,
INDEX(Raw_Fund!$E:$AZ,_xlpm.rowNo,_xlpm.colNo),
IF(ISNUMBER(_xlpm.val),_xlpm.val*$H248,""))</f>
        <v/>
      </c>
      <c r="Z248" s="6" t="e">
        <f>IF($E248&lt;&gt;"Include","",_xlfn.XLOOKUP($C248,Raw_Mkt!$A:$A,Raw_Mkt!$B:$B))</f>
        <v>#N/A</v>
      </c>
    </row>
    <row r="249" spans="1:26" x14ac:dyDescent="0.4">
      <c r="A249" t="str">
        <f>IF(Universe!A249&lt;&gt;"",Universe!A249,"")</f>
        <v>WIZZ</v>
      </c>
      <c r="B249" t="str">
        <f>IF(Universe!B249&lt;&gt;"",Universe!B249,"")</f>
        <v>Wizz Air</v>
      </c>
      <c r="C249" t="str">
        <f>IF(Universe!C249&lt;&gt;"",Universe!C249,"")</f>
        <v>JE00BN574F90</v>
      </c>
      <c r="D249" t="str">
        <f>IF(Universe!D249&lt;&gt;"",Universe!D249,"")</f>
        <v>Consumer Discretionary</v>
      </c>
      <c r="E249" t="str">
        <f>Universe!G249</f>
        <v>Include</v>
      </c>
      <c r="F249" t="str">
        <f>IF($E249&lt;&gt;"Include","",_xlfn.LET(_xlpm.latest,_xlfn.MAXIFS(Raw_Fund!$C:$C,Raw_Fund!$B:$B,Data!$C249),IF(_xlpm.latest=0,"",_xlpm.latest)))</f>
        <v/>
      </c>
      <c r="G249" t="str">
        <f>IF($F249="","",INDEX(Raw_Fund!$E:$AZ,MATCH($C249&amp;"|"&amp;$F249,Raw_Fund!$A:$A,0),MATCH(G$3,Raw_Fund!$E$1:$AZ$1,0)))</f>
        <v/>
      </c>
      <c r="H249" t="str">
        <f t="shared" si="3"/>
        <v/>
      </c>
      <c r="I249" s="6" t="str">
        <f>_xlfn.LET(
_xlpm.rowNo, MATCH($C249&amp;"|"&amp;
($F249+I$4),Raw_Fund!$A:$A,0),
_xlpm.colNo,
MATCH(I$3,Raw_Fund!$E$1:$AZ$1,0),
_xlpm.val,
INDEX(Raw_Fund!$E:$AZ,_xlpm.rowNo,_xlpm.colNo),
IF(ISNUMBER(_xlpm.val),_xlpm.val*$H249,""))</f>
        <v/>
      </c>
      <c r="J249" s="6" t="str">
        <f>_xlfn.LET(
_xlpm.rowNo, MATCH($C249&amp;"|"&amp;
($F249+J$4),Raw_Fund!$A:$A,0),
_xlpm.colNo,
MATCH(J$3,Raw_Fund!$E$1:$AZ$1,0),
_xlpm.val,
INDEX(Raw_Fund!$E:$AZ,_xlpm.rowNo,_xlpm.colNo),
IF(ISNUMBER(_xlpm.val),_xlpm.val*$H249,""))</f>
        <v/>
      </c>
      <c r="K249" s="6" t="str">
        <f>_xlfn.LET(
_xlpm.rowNo, MATCH($C249&amp;"|"&amp;
($F249+K$4),Raw_Fund!$A:$A,0),
_xlpm.colNo,
MATCH(K$3,Raw_Fund!$E$1:$AZ$1,0),
_xlpm.val,
INDEX(Raw_Fund!$E:$AZ,_xlpm.rowNo,_xlpm.colNo),
IF(ISNUMBER(_xlpm.val),_xlpm.val*$H249,""))</f>
        <v/>
      </c>
      <c r="L249" s="6" t="str">
        <f>_xlfn.LET(
_xlpm.rowNo, MATCH($C249&amp;"|"&amp;
($F249+L$4),Raw_Fund!$A:$A,0),
_xlpm.colNo,
MATCH(L$3,Raw_Fund!$E$1:$AZ$1,0),
_xlpm.val,
INDEX(Raw_Fund!$E:$AZ,_xlpm.rowNo,_xlpm.colNo),
IF(ISNUMBER(_xlpm.val),_xlpm.val*$H249,""))</f>
        <v/>
      </c>
      <c r="M249" s="6" t="str">
        <f>_xlfn.LET(
_xlpm.rowNo, MATCH($C249&amp;"|"&amp;
($F249+M$4),Raw_Fund!$A:$A,0),
_xlpm.colNo,
MATCH(M$3,Raw_Fund!$E$1:$AZ$1,0),
_xlpm.val,
INDEX(Raw_Fund!$E:$AZ,_xlpm.rowNo,_xlpm.colNo),
IF(ISNUMBER(_xlpm.val),_xlpm.val*$H249,""))</f>
        <v/>
      </c>
      <c r="N249" s="6" t="str">
        <f>_xlfn.LET(
_xlpm.rowNo, MATCH($C249&amp;"|"&amp;
($F249+N$4),Raw_Fund!$A:$A,0),
_xlpm.colNo,
MATCH(N$3,Raw_Fund!$E$1:$AZ$1,0),
_xlpm.val,
INDEX(Raw_Fund!$E:$AZ,_xlpm.rowNo,_xlpm.colNo),
IF(ISNUMBER(_xlpm.val),_xlpm.val*$H249,""))</f>
        <v/>
      </c>
      <c r="O249" s="6" t="str">
        <f>_xlfn.LET(
_xlpm.rowNo, MATCH($C249&amp;"|"&amp;
($F249+O$4),Raw_Fund!$A:$A,0),
_xlpm.colNo,
MATCH(O$3,Raw_Fund!$E$1:$AZ$1,0),
_xlpm.val,
INDEX(Raw_Fund!$E:$AZ,_xlpm.rowNo,_xlpm.colNo),
IF(ISNUMBER(_xlpm.val),_xlpm.val*$H249,""))</f>
        <v/>
      </c>
      <c r="P249" s="6" t="str">
        <f>_xlfn.LET(
_xlpm.rowNo, MATCH($C249&amp;"|"&amp;
($F249+P$4),Raw_Fund!$A:$A,0),
_xlpm.colNo,
MATCH(P$3,Raw_Fund!$E$1:$AZ$1,0),
_xlpm.val,
INDEX(Raw_Fund!$E:$AZ,_xlpm.rowNo,_xlpm.colNo),
IF(ISNUMBER(_xlpm.val),_xlpm.val*$H249,""))</f>
        <v/>
      </c>
      <c r="Q249" s="6" t="str">
        <f>_xlfn.LET(
_xlpm.rowNo, MATCH($C249&amp;"|"&amp;
($F249+Q$4),Raw_Fund!$A:$A,0),
_xlpm.colNo,
MATCH(Q$3,Raw_Fund!$E$1:$AZ$1,0),
_xlpm.val,
INDEX(Raw_Fund!$E:$AZ,_xlpm.rowNo,_xlpm.colNo),
IF(ISNUMBER(_xlpm.val),_xlpm.val*$H249,""))</f>
        <v/>
      </c>
      <c r="R249" s="6" t="str">
        <f>_xlfn.LET(
_xlpm.rowNo, MATCH($C249&amp;"|"&amp;
($F249+R$4),Raw_Fund!$A:$A,0),
_xlpm.colNo,
MATCH(R$3,Raw_Fund!$E$1:$AZ$1,0),
_xlpm.val,
INDEX(Raw_Fund!$E:$AZ,_xlpm.rowNo,_xlpm.colNo),
IF(ISNUMBER(_xlpm.val),_xlpm.val*$H249,""))</f>
        <v/>
      </c>
      <c r="S249" s="6" t="str">
        <f>_xlfn.LET(
_xlpm.rowNo, MATCH($C249&amp;"|"&amp;
($F249+S$4),Raw_Fund!$A:$A,0),
_xlpm.colNo,
MATCH(S$3,Raw_Fund!$E$1:$AZ$1,0),
_xlpm.val,
INDEX(Raw_Fund!$E:$AZ,_xlpm.rowNo,_xlpm.colNo),
IF(ISNUMBER(_xlpm.val),_xlpm.val*$H249,""))</f>
        <v/>
      </c>
      <c r="T249" s="6" t="str">
        <f>_xlfn.LET(
_xlpm.rowNo, MATCH($C249&amp;"|"&amp;
($F249+T$4),Raw_Fund!$A:$A,0),
_xlpm.colNo,
MATCH(T$3,Raw_Fund!$E$1:$AZ$1,0),
_xlpm.val,
INDEX(Raw_Fund!$E:$AZ,_xlpm.rowNo,_xlpm.colNo),
IF(ISNUMBER(_xlpm.val),_xlpm.val*$H249,""))</f>
        <v/>
      </c>
      <c r="U249" s="6" t="str">
        <f>_xlfn.LET(
_xlpm.rowNo, MATCH($C249&amp;"|"&amp;
($F249+U$4),Raw_Fund!$A:$A,0),
_xlpm.colNo,
MATCH(U$3,Raw_Fund!$E$1:$AZ$1,0),
_xlpm.val,
INDEX(Raw_Fund!$E:$AZ,_xlpm.rowNo,_xlpm.colNo),
IF(ISNUMBER(_xlpm.val),_xlpm.val*$H249,""))</f>
        <v/>
      </c>
      <c r="V249" s="6" t="str">
        <f>_xlfn.LET(
_xlpm.rowNo, MATCH($C249&amp;"|"&amp;
($F249+V$4),Raw_Fund!$A:$A,0),
_xlpm.colNo,
MATCH(V$3,Raw_Fund!$E$1:$AZ$1,0),
_xlpm.val,
INDEX(Raw_Fund!$E:$AZ,_xlpm.rowNo,_xlpm.colNo),
IF(ISNUMBER(_xlpm.val),_xlpm.val*$H249,""))</f>
        <v/>
      </c>
      <c r="W249" s="6" t="str">
        <f>_xlfn.LET(
_xlpm.rowNo, MATCH($C249&amp;"|"&amp;
($F249+W$4),Raw_Fund!$A:$A,0),
_xlpm.colNo,
MATCH(W$3,Raw_Fund!$E$1:$AZ$1,0),
_xlpm.val,
INDEX(Raw_Fund!$E:$AZ,_xlpm.rowNo,_xlpm.colNo),
IF(ISNUMBER(_xlpm.val),_xlpm.val*$H249,""))</f>
        <v/>
      </c>
      <c r="X249" s="6" t="str">
        <f>_xlfn.LET(
_xlpm.rowNo, MATCH($C249&amp;"|"&amp;
($F249+X$4),Raw_Fund!$A:$A,0),
_xlpm.colNo,
MATCH(X$3,Raw_Fund!$E$1:$AZ$1,0),
_xlpm.val,
INDEX(Raw_Fund!$E:$AZ,_xlpm.rowNo,_xlpm.colNo),
IF(ISNUMBER(_xlpm.val),_xlpm.val*$H249,""))</f>
        <v/>
      </c>
      <c r="Y249" s="6" t="str">
        <f>_xlfn.LET(
_xlpm.rowNo, MATCH($C249&amp;"|"&amp;
($F249+Y$4),Raw_Fund!$A:$A,0),
_xlpm.colNo,
MATCH(Y$3,Raw_Fund!$E$1:$AZ$1,0),
_xlpm.val,
INDEX(Raw_Fund!$E:$AZ,_xlpm.rowNo,_xlpm.colNo),
IF(ISNUMBER(_xlpm.val),_xlpm.val*$H249,""))</f>
        <v/>
      </c>
      <c r="Z249" s="6" t="e">
        <f>IF($E249&lt;&gt;"Include","",_xlfn.XLOOKUP($C249,Raw_Mkt!$A:$A,Raw_Mkt!$B:$B))</f>
        <v>#N/A</v>
      </c>
    </row>
    <row r="250" spans="1:26" x14ac:dyDescent="0.4">
      <c r="A250" t="str">
        <f>IF(Universe!A250&lt;&gt;"",Universe!A250,"")</f>
        <v>WKP</v>
      </c>
      <c r="B250" t="str">
        <f>IF(Universe!B250&lt;&gt;"",Universe!B250,"")</f>
        <v>Workspace Group</v>
      </c>
      <c r="C250" t="str">
        <f>IF(Universe!C250&lt;&gt;"",Universe!C250,"")</f>
        <v>GB00B67G5X01</v>
      </c>
      <c r="D250" t="str">
        <f>IF(Universe!D250&lt;&gt;"",Universe!D250,"")</f>
        <v>Real Estate</v>
      </c>
      <c r="E250" t="str">
        <f>Universe!G250</f>
        <v>Exclude</v>
      </c>
      <c r="F250" t="str">
        <f>IF($E250&lt;&gt;"Include","",_xlfn.LET(_xlpm.latest,_xlfn.MAXIFS(Raw_Fund!$C:$C,Raw_Fund!$B:$B,Data!$C250),IF(_xlpm.latest=0,"",_xlpm.latest)))</f>
        <v/>
      </c>
      <c r="G250" t="str">
        <f>IF($F250="","",INDEX(Raw_Fund!$E:$AZ,MATCH($C250&amp;"|"&amp;$F250,Raw_Fund!$A:$A,0),MATCH(G$3,Raw_Fund!$E$1:$AZ$1,0)))</f>
        <v/>
      </c>
      <c r="H250" t="str">
        <f t="shared" si="3"/>
        <v/>
      </c>
      <c r="I250" s="6" t="str">
        <f>_xlfn.LET(
_xlpm.rowNo, MATCH($C250&amp;"|"&amp;
($F250+I$4),Raw_Fund!$A:$A,0),
_xlpm.colNo,
MATCH(I$3,Raw_Fund!$E$1:$AZ$1,0),
_xlpm.val,
INDEX(Raw_Fund!$E:$AZ,_xlpm.rowNo,_xlpm.colNo),
IF(ISNUMBER(_xlpm.val),_xlpm.val*$H250,""))</f>
        <v/>
      </c>
      <c r="J250" s="6" t="str">
        <f>_xlfn.LET(
_xlpm.rowNo, MATCH($C250&amp;"|"&amp;
($F250+J$4),Raw_Fund!$A:$A,0),
_xlpm.colNo,
MATCH(J$3,Raw_Fund!$E$1:$AZ$1,0),
_xlpm.val,
INDEX(Raw_Fund!$E:$AZ,_xlpm.rowNo,_xlpm.colNo),
IF(ISNUMBER(_xlpm.val),_xlpm.val*$H250,""))</f>
        <v/>
      </c>
      <c r="K250" s="6" t="str">
        <f>_xlfn.LET(
_xlpm.rowNo, MATCH($C250&amp;"|"&amp;
($F250+K$4),Raw_Fund!$A:$A,0),
_xlpm.colNo,
MATCH(K$3,Raw_Fund!$E$1:$AZ$1,0),
_xlpm.val,
INDEX(Raw_Fund!$E:$AZ,_xlpm.rowNo,_xlpm.colNo),
IF(ISNUMBER(_xlpm.val),_xlpm.val*$H250,""))</f>
        <v/>
      </c>
      <c r="L250" s="6" t="str">
        <f>_xlfn.LET(
_xlpm.rowNo, MATCH($C250&amp;"|"&amp;
($F250+L$4),Raw_Fund!$A:$A,0),
_xlpm.colNo,
MATCH(L$3,Raw_Fund!$E$1:$AZ$1,0),
_xlpm.val,
INDEX(Raw_Fund!$E:$AZ,_xlpm.rowNo,_xlpm.colNo),
IF(ISNUMBER(_xlpm.val),_xlpm.val*$H250,""))</f>
        <v/>
      </c>
      <c r="M250" s="6" t="str">
        <f>_xlfn.LET(
_xlpm.rowNo, MATCH($C250&amp;"|"&amp;
($F250+M$4),Raw_Fund!$A:$A,0),
_xlpm.colNo,
MATCH(M$3,Raw_Fund!$E$1:$AZ$1,0),
_xlpm.val,
INDEX(Raw_Fund!$E:$AZ,_xlpm.rowNo,_xlpm.colNo),
IF(ISNUMBER(_xlpm.val),_xlpm.val*$H250,""))</f>
        <v/>
      </c>
      <c r="N250" s="6" t="str">
        <f>_xlfn.LET(
_xlpm.rowNo, MATCH($C250&amp;"|"&amp;
($F250+N$4),Raw_Fund!$A:$A,0),
_xlpm.colNo,
MATCH(N$3,Raw_Fund!$E$1:$AZ$1,0),
_xlpm.val,
INDEX(Raw_Fund!$E:$AZ,_xlpm.rowNo,_xlpm.colNo),
IF(ISNUMBER(_xlpm.val),_xlpm.val*$H250,""))</f>
        <v/>
      </c>
      <c r="O250" s="6" t="str">
        <f>_xlfn.LET(
_xlpm.rowNo, MATCH($C250&amp;"|"&amp;
($F250+O$4),Raw_Fund!$A:$A,0),
_xlpm.colNo,
MATCH(O$3,Raw_Fund!$E$1:$AZ$1,0),
_xlpm.val,
INDEX(Raw_Fund!$E:$AZ,_xlpm.rowNo,_xlpm.colNo),
IF(ISNUMBER(_xlpm.val),_xlpm.val*$H250,""))</f>
        <v/>
      </c>
      <c r="P250" s="6" t="str">
        <f>_xlfn.LET(
_xlpm.rowNo, MATCH($C250&amp;"|"&amp;
($F250+P$4),Raw_Fund!$A:$A,0),
_xlpm.colNo,
MATCH(P$3,Raw_Fund!$E$1:$AZ$1,0),
_xlpm.val,
INDEX(Raw_Fund!$E:$AZ,_xlpm.rowNo,_xlpm.colNo),
IF(ISNUMBER(_xlpm.val),_xlpm.val*$H250,""))</f>
        <v/>
      </c>
      <c r="Q250" s="6" t="str">
        <f>_xlfn.LET(
_xlpm.rowNo, MATCH($C250&amp;"|"&amp;
($F250+Q$4),Raw_Fund!$A:$A,0),
_xlpm.colNo,
MATCH(Q$3,Raw_Fund!$E$1:$AZ$1,0),
_xlpm.val,
INDEX(Raw_Fund!$E:$AZ,_xlpm.rowNo,_xlpm.colNo),
IF(ISNUMBER(_xlpm.val),_xlpm.val*$H250,""))</f>
        <v/>
      </c>
      <c r="R250" s="6" t="str">
        <f>_xlfn.LET(
_xlpm.rowNo, MATCH($C250&amp;"|"&amp;
($F250+R$4),Raw_Fund!$A:$A,0),
_xlpm.colNo,
MATCH(R$3,Raw_Fund!$E$1:$AZ$1,0),
_xlpm.val,
INDEX(Raw_Fund!$E:$AZ,_xlpm.rowNo,_xlpm.colNo),
IF(ISNUMBER(_xlpm.val),_xlpm.val*$H250,""))</f>
        <v/>
      </c>
      <c r="S250" s="6" t="str">
        <f>_xlfn.LET(
_xlpm.rowNo, MATCH($C250&amp;"|"&amp;
($F250+S$4),Raw_Fund!$A:$A,0),
_xlpm.colNo,
MATCH(S$3,Raw_Fund!$E$1:$AZ$1,0),
_xlpm.val,
INDEX(Raw_Fund!$E:$AZ,_xlpm.rowNo,_xlpm.colNo),
IF(ISNUMBER(_xlpm.val),_xlpm.val*$H250,""))</f>
        <v/>
      </c>
      <c r="T250" s="6" t="str">
        <f>_xlfn.LET(
_xlpm.rowNo, MATCH($C250&amp;"|"&amp;
($F250+T$4),Raw_Fund!$A:$A,0),
_xlpm.colNo,
MATCH(T$3,Raw_Fund!$E$1:$AZ$1,0),
_xlpm.val,
INDEX(Raw_Fund!$E:$AZ,_xlpm.rowNo,_xlpm.colNo),
IF(ISNUMBER(_xlpm.val),_xlpm.val*$H250,""))</f>
        <v/>
      </c>
      <c r="U250" s="6" t="str">
        <f>_xlfn.LET(
_xlpm.rowNo, MATCH($C250&amp;"|"&amp;
($F250+U$4),Raw_Fund!$A:$A,0),
_xlpm.colNo,
MATCH(U$3,Raw_Fund!$E$1:$AZ$1,0),
_xlpm.val,
INDEX(Raw_Fund!$E:$AZ,_xlpm.rowNo,_xlpm.colNo),
IF(ISNUMBER(_xlpm.val),_xlpm.val*$H250,""))</f>
        <v/>
      </c>
      <c r="V250" s="6" t="str">
        <f>_xlfn.LET(
_xlpm.rowNo, MATCH($C250&amp;"|"&amp;
($F250+V$4),Raw_Fund!$A:$A,0),
_xlpm.colNo,
MATCH(V$3,Raw_Fund!$E$1:$AZ$1,0),
_xlpm.val,
INDEX(Raw_Fund!$E:$AZ,_xlpm.rowNo,_xlpm.colNo),
IF(ISNUMBER(_xlpm.val),_xlpm.val*$H250,""))</f>
        <v/>
      </c>
      <c r="W250" s="6" t="str">
        <f>_xlfn.LET(
_xlpm.rowNo, MATCH($C250&amp;"|"&amp;
($F250+W$4),Raw_Fund!$A:$A,0),
_xlpm.colNo,
MATCH(W$3,Raw_Fund!$E$1:$AZ$1,0),
_xlpm.val,
INDEX(Raw_Fund!$E:$AZ,_xlpm.rowNo,_xlpm.colNo),
IF(ISNUMBER(_xlpm.val),_xlpm.val*$H250,""))</f>
        <v/>
      </c>
      <c r="X250" s="6" t="str">
        <f>_xlfn.LET(
_xlpm.rowNo, MATCH($C250&amp;"|"&amp;
($F250+X$4),Raw_Fund!$A:$A,0),
_xlpm.colNo,
MATCH(X$3,Raw_Fund!$E$1:$AZ$1,0),
_xlpm.val,
INDEX(Raw_Fund!$E:$AZ,_xlpm.rowNo,_xlpm.colNo),
IF(ISNUMBER(_xlpm.val),_xlpm.val*$H250,""))</f>
        <v/>
      </c>
      <c r="Y250" s="6" t="str">
        <f>_xlfn.LET(
_xlpm.rowNo, MATCH($C250&amp;"|"&amp;
($F250+Y$4),Raw_Fund!$A:$A,0),
_xlpm.colNo,
MATCH(Y$3,Raw_Fund!$E$1:$AZ$1,0),
_xlpm.val,
INDEX(Raw_Fund!$E:$AZ,_xlpm.rowNo,_xlpm.colNo),
IF(ISNUMBER(_xlpm.val),_xlpm.val*$H250,""))</f>
        <v/>
      </c>
      <c r="Z250" s="6" t="str">
        <f>IF($E250&lt;&gt;"Include","",_xlfn.XLOOKUP($C250,Raw_Mkt!$A:$A,Raw_Mkt!$B:$B))</f>
        <v/>
      </c>
    </row>
    <row r="251" spans="1:26" x14ac:dyDescent="0.4">
      <c r="A251" t="str">
        <f>IF(Universe!A251&lt;&gt;"",Universe!A251,"")</f>
        <v>WWH</v>
      </c>
      <c r="B251" t="str">
        <f>IF(Universe!B251&lt;&gt;"",Universe!B251,"")</f>
        <v>Worldwide Healthcare Trust</v>
      </c>
      <c r="C251" t="str">
        <f>IF(Universe!C251&lt;&gt;"",Universe!C251,"")</f>
        <v>GB00BN455J50</v>
      </c>
      <c r="D251" t="str">
        <f>IF(Universe!D251&lt;&gt;"",Universe!D251,"")</f>
        <v>Financials</v>
      </c>
      <c r="E251" t="str">
        <f>Universe!G251</f>
        <v>Exclude</v>
      </c>
      <c r="F251" t="str">
        <f>IF($E251&lt;&gt;"Include","",_xlfn.LET(_xlpm.latest,_xlfn.MAXIFS(Raw_Fund!$C:$C,Raw_Fund!$B:$B,Data!$C251),IF(_xlpm.latest=0,"",_xlpm.latest)))</f>
        <v/>
      </c>
      <c r="G251" t="str">
        <f>IF($F251="","",INDEX(Raw_Fund!$E:$AZ,MATCH($C251&amp;"|"&amp;$F251,Raw_Fund!$A:$A,0),MATCH(G$3,Raw_Fund!$E$1:$AZ$1,0)))</f>
        <v/>
      </c>
      <c r="H251" t="str">
        <f t="shared" si="3"/>
        <v/>
      </c>
      <c r="I251" s="6" t="str">
        <f>_xlfn.LET(
_xlpm.rowNo, MATCH($C251&amp;"|"&amp;
($F251+I$4),Raw_Fund!$A:$A,0),
_xlpm.colNo,
MATCH(I$3,Raw_Fund!$E$1:$AZ$1,0),
_xlpm.val,
INDEX(Raw_Fund!$E:$AZ,_xlpm.rowNo,_xlpm.colNo),
IF(ISNUMBER(_xlpm.val),_xlpm.val*$H251,""))</f>
        <v/>
      </c>
      <c r="J251" s="6" t="str">
        <f>_xlfn.LET(
_xlpm.rowNo, MATCH($C251&amp;"|"&amp;
($F251+J$4),Raw_Fund!$A:$A,0),
_xlpm.colNo,
MATCH(J$3,Raw_Fund!$E$1:$AZ$1,0),
_xlpm.val,
INDEX(Raw_Fund!$E:$AZ,_xlpm.rowNo,_xlpm.colNo),
IF(ISNUMBER(_xlpm.val),_xlpm.val*$H251,""))</f>
        <v/>
      </c>
      <c r="K251" s="6" t="str">
        <f>_xlfn.LET(
_xlpm.rowNo, MATCH($C251&amp;"|"&amp;
($F251+K$4),Raw_Fund!$A:$A,0),
_xlpm.colNo,
MATCH(K$3,Raw_Fund!$E$1:$AZ$1,0),
_xlpm.val,
INDEX(Raw_Fund!$E:$AZ,_xlpm.rowNo,_xlpm.colNo),
IF(ISNUMBER(_xlpm.val),_xlpm.val*$H251,""))</f>
        <v/>
      </c>
      <c r="L251" s="6" t="str">
        <f>_xlfn.LET(
_xlpm.rowNo, MATCH($C251&amp;"|"&amp;
($F251+L$4),Raw_Fund!$A:$A,0),
_xlpm.colNo,
MATCH(L$3,Raw_Fund!$E$1:$AZ$1,0),
_xlpm.val,
INDEX(Raw_Fund!$E:$AZ,_xlpm.rowNo,_xlpm.colNo),
IF(ISNUMBER(_xlpm.val),_xlpm.val*$H251,""))</f>
        <v/>
      </c>
      <c r="M251" s="6" t="str">
        <f>_xlfn.LET(
_xlpm.rowNo, MATCH($C251&amp;"|"&amp;
($F251+M$4),Raw_Fund!$A:$A,0),
_xlpm.colNo,
MATCH(M$3,Raw_Fund!$E$1:$AZ$1,0),
_xlpm.val,
INDEX(Raw_Fund!$E:$AZ,_xlpm.rowNo,_xlpm.colNo),
IF(ISNUMBER(_xlpm.val),_xlpm.val*$H251,""))</f>
        <v/>
      </c>
      <c r="N251" s="6" t="str">
        <f>_xlfn.LET(
_xlpm.rowNo, MATCH($C251&amp;"|"&amp;
($F251+N$4),Raw_Fund!$A:$A,0),
_xlpm.colNo,
MATCH(N$3,Raw_Fund!$E$1:$AZ$1,0),
_xlpm.val,
INDEX(Raw_Fund!$E:$AZ,_xlpm.rowNo,_xlpm.colNo),
IF(ISNUMBER(_xlpm.val),_xlpm.val*$H251,""))</f>
        <v/>
      </c>
      <c r="O251" s="6" t="str">
        <f>_xlfn.LET(
_xlpm.rowNo, MATCH($C251&amp;"|"&amp;
($F251+O$4),Raw_Fund!$A:$A,0),
_xlpm.colNo,
MATCH(O$3,Raw_Fund!$E$1:$AZ$1,0),
_xlpm.val,
INDEX(Raw_Fund!$E:$AZ,_xlpm.rowNo,_xlpm.colNo),
IF(ISNUMBER(_xlpm.val),_xlpm.val*$H251,""))</f>
        <v/>
      </c>
      <c r="P251" s="6" t="str">
        <f>_xlfn.LET(
_xlpm.rowNo, MATCH($C251&amp;"|"&amp;
($F251+P$4),Raw_Fund!$A:$A,0),
_xlpm.colNo,
MATCH(P$3,Raw_Fund!$E$1:$AZ$1,0),
_xlpm.val,
INDEX(Raw_Fund!$E:$AZ,_xlpm.rowNo,_xlpm.colNo),
IF(ISNUMBER(_xlpm.val),_xlpm.val*$H251,""))</f>
        <v/>
      </c>
      <c r="Q251" s="6" t="str">
        <f>_xlfn.LET(
_xlpm.rowNo, MATCH($C251&amp;"|"&amp;
($F251+Q$4),Raw_Fund!$A:$A,0),
_xlpm.colNo,
MATCH(Q$3,Raw_Fund!$E$1:$AZ$1,0),
_xlpm.val,
INDEX(Raw_Fund!$E:$AZ,_xlpm.rowNo,_xlpm.colNo),
IF(ISNUMBER(_xlpm.val),_xlpm.val*$H251,""))</f>
        <v/>
      </c>
      <c r="R251" s="6" t="str">
        <f>_xlfn.LET(
_xlpm.rowNo, MATCH($C251&amp;"|"&amp;
($F251+R$4),Raw_Fund!$A:$A,0),
_xlpm.colNo,
MATCH(R$3,Raw_Fund!$E$1:$AZ$1,0),
_xlpm.val,
INDEX(Raw_Fund!$E:$AZ,_xlpm.rowNo,_xlpm.colNo),
IF(ISNUMBER(_xlpm.val),_xlpm.val*$H251,""))</f>
        <v/>
      </c>
      <c r="S251" s="6" t="str">
        <f>_xlfn.LET(
_xlpm.rowNo, MATCH($C251&amp;"|"&amp;
($F251+S$4),Raw_Fund!$A:$A,0),
_xlpm.colNo,
MATCH(S$3,Raw_Fund!$E$1:$AZ$1,0),
_xlpm.val,
INDEX(Raw_Fund!$E:$AZ,_xlpm.rowNo,_xlpm.colNo),
IF(ISNUMBER(_xlpm.val),_xlpm.val*$H251,""))</f>
        <v/>
      </c>
      <c r="T251" s="6" t="str">
        <f>_xlfn.LET(
_xlpm.rowNo, MATCH($C251&amp;"|"&amp;
($F251+T$4),Raw_Fund!$A:$A,0),
_xlpm.colNo,
MATCH(T$3,Raw_Fund!$E$1:$AZ$1,0),
_xlpm.val,
INDEX(Raw_Fund!$E:$AZ,_xlpm.rowNo,_xlpm.colNo),
IF(ISNUMBER(_xlpm.val),_xlpm.val*$H251,""))</f>
        <v/>
      </c>
      <c r="U251" s="6" t="str">
        <f>_xlfn.LET(
_xlpm.rowNo, MATCH($C251&amp;"|"&amp;
($F251+U$4),Raw_Fund!$A:$A,0),
_xlpm.colNo,
MATCH(U$3,Raw_Fund!$E$1:$AZ$1,0),
_xlpm.val,
INDEX(Raw_Fund!$E:$AZ,_xlpm.rowNo,_xlpm.colNo),
IF(ISNUMBER(_xlpm.val),_xlpm.val*$H251,""))</f>
        <v/>
      </c>
      <c r="V251" s="6" t="str">
        <f>_xlfn.LET(
_xlpm.rowNo, MATCH($C251&amp;"|"&amp;
($F251+V$4),Raw_Fund!$A:$A,0),
_xlpm.colNo,
MATCH(V$3,Raw_Fund!$E$1:$AZ$1,0),
_xlpm.val,
INDEX(Raw_Fund!$E:$AZ,_xlpm.rowNo,_xlpm.colNo),
IF(ISNUMBER(_xlpm.val),_xlpm.val*$H251,""))</f>
        <v/>
      </c>
      <c r="W251" s="6" t="str">
        <f>_xlfn.LET(
_xlpm.rowNo, MATCH($C251&amp;"|"&amp;
($F251+W$4),Raw_Fund!$A:$A,0),
_xlpm.colNo,
MATCH(W$3,Raw_Fund!$E$1:$AZ$1,0),
_xlpm.val,
INDEX(Raw_Fund!$E:$AZ,_xlpm.rowNo,_xlpm.colNo),
IF(ISNUMBER(_xlpm.val),_xlpm.val*$H251,""))</f>
        <v/>
      </c>
      <c r="X251" s="6" t="str">
        <f>_xlfn.LET(
_xlpm.rowNo, MATCH($C251&amp;"|"&amp;
($F251+X$4),Raw_Fund!$A:$A,0),
_xlpm.colNo,
MATCH(X$3,Raw_Fund!$E$1:$AZ$1,0),
_xlpm.val,
INDEX(Raw_Fund!$E:$AZ,_xlpm.rowNo,_xlpm.colNo),
IF(ISNUMBER(_xlpm.val),_xlpm.val*$H251,""))</f>
        <v/>
      </c>
      <c r="Y251" s="6" t="str">
        <f>_xlfn.LET(
_xlpm.rowNo, MATCH($C251&amp;"|"&amp;
($F251+Y$4),Raw_Fund!$A:$A,0),
_xlpm.colNo,
MATCH(Y$3,Raw_Fund!$E$1:$AZ$1,0),
_xlpm.val,
INDEX(Raw_Fund!$E:$AZ,_xlpm.rowNo,_xlpm.colNo),
IF(ISNUMBER(_xlpm.val),_xlpm.val*$H251,""))</f>
        <v/>
      </c>
      <c r="Z251" s="6" t="str">
        <f>IF($E251&lt;&gt;"Include","",_xlfn.XLOOKUP($C251,Raw_Mkt!$A:$A,Raw_Mkt!$B:$B))</f>
        <v/>
      </c>
    </row>
    <row r="252" spans="1:26" x14ac:dyDescent="0.4">
      <c r="A252" t="str">
        <f>IF(Universe!A252&lt;&gt;"",Universe!A252,"")</f>
        <v>XPP</v>
      </c>
      <c r="B252" t="str">
        <f>IF(Universe!B252&lt;&gt;"",Universe!B252,"")</f>
        <v>XP Power</v>
      </c>
      <c r="C252" t="str">
        <f>IF(Universe!C252&lt;&gt;"",Universe!C252,"")</f>
        <v>SG9999003735</v>
      </c>
      <c r="D252" t="str">
        <f>IF(Universe!D252&lt;&gt;"",Universe!D252,"")</f>
        <v>Industrials</v>
      </c>
      <c r="E252" t="str">
        <f>Universe!G252</f>
        <v>Include</v>
      </c>
      <c r="F252" t="str">
        <f>IF($E252&lt;&gt;"Include","",_xlfn.LET(_xlpm.latest,_xlfn.MAXIFS(Raw_Fund!$C:$C,Raw_Fund!$B:$B,Data!$C252),IF(_xlpm.latest=0,"",_xlpm.latest)))</f>
        <v/>
      </c>
      <c r="G252" t="str">
        <f>IF($F252="","",INDEX(Raw_Fund!$E:$AZ,MATCH($C252&amp;"|"&amp;$F252,Raw_Fund!$A:$A,0),MATCH(G$3,Raw_Fund!$E$1:$AZ$1,0)))</f>
        <v/>
      </c>
      <c r="H252" t="str">
        <f t="shared" si="3"/>
        <v/>
      </c>
      <c r="I252" s="6" t="str">
        <f>_xlfn.LET(
_xlpm.rowNo, MATCH($C252&amp;"|"&amp;
($F252+I$4),Raw_Fund!$A:$A,0),
_xlpm.colNo,
MATCH(I$3,Raw_Fund!$E$1:$AZ$1,0),
_xlpm.val,
INDEX(Raw_Fund!$E:$AZ,_xlpm.rowNo,_xlpm.colNo),
IF(ISNUMBER(_xlpm.val),_xlpm.val*$H252,""))</f>
        <v/>
      </c>
      <c r="J252" s="6" t="str">
        <f>_xlfn.LET(
_xlpm.rowNo, MATCH($C252&amp;"|"&amp;
($F252+J$4),Raw_Fund!$A:$A,0),
_xlpm.colNo,
MATCH(J$3,Raw_Fund!$E$1:$AZ$1,0),
_xlpm.val,
INDEX(Raw_Fund!$E:$AZ,_xlpm.rowNo,_xlpm.colNo),
IF(ISNUMBER(_xlpm.val),_xlpm.val*$H252,""))</f>
        <v/>
      </c>
      <c r="K252" s="6" t="str">
        <f>_xlfn.LET(
_xlpm.rowNo, MATCH($C252&amp;"|"&amp;
($F252+K$4),Raw_Fund!$A:$A,0),
_xlpm.colNo,
MATCH(K$3,Raw_Fund!$E$1:$AZ$1,0),
_xlpm.val,
INDEX(Raw_Fund!$E:$AZ,_xlpm.rowNo,_xlpm.colNo),
IF(ISNUMBER(_xlpm.val),_xlpm.val*$H252,""))</f>
        <v/>
      </c>
      <c r="L252" s="6" t="str">
        <f>_xlfn.LET(
_xlpm.rowNo, MATCH($C252&amp;"|"&amp;
($F252+L$4),Raw_Fund!$A:$A,0),
_xlpm.colNo,
MATCH(L$3,Raw_Fund!$E$1:$AZ$1,0),
_xlpm.val,
INDEX(Raw_Fund!$E:$AZ,_xlpm.rowNo,_xlpm.colNo),
IF(ISNUMBER(_xlpm.val),_xlpm.val*$H252,""))</f>
        <v/>
      </c>
      <c r="M252" s="6" t="str">
        <f>_xlfn.LET(
_xlpm.rowNo, MATCH($C252&amp;"|"&amp;
($F252+M$4),Raw_Fund!$A:$A,0),
_xlpm.colNo,
MATCH(M$3,Raw_Fund!$E$1:$AZ$1,0),
_xlpm.val,
INDEX(Raw_Fund!$E:$AZ,_xlpm.rowNo,_xlpm.colNo),
IF(ISNUMBER(_xlpm.val),_xlpm.val*$H252,""))</f>
        <v/>
      </c>
      <c r="N252" s="6" t="str">
        <f>_xlfn.LET(
_xlpm.rowNo, MATCH($C252&amp;"|"&amp;
($F252+N$4),Raw_Fund!$A:$A,0),
_xlpm.colNo,
MATCH(N$3,Raw_Fund!$E$1:$AZ$1,0),
_xlpm.val,
INDEX(Raw_Fund!$E:$AZ,_xlpm.rowNo,_xlpm.colNo),
IF(ISNUMBER(_xlpm.val),_xlpm.val*$H252,""))</f>
        <v/>
      </c>
      <c r="O252" s="6" t="str">
        <f>_xlfn.LET(
_xlpm.rowNo, MATCH($C252&amp;"|"&amp;
($F252+O$4),Raw_Fund!$A:$A,0),
_xlpm.colNo,
MATCH(O$3,Raw_Fund!$E$1:$AZ$1,0),
_xlpm.val,
INDEX(Raw_Fund!$E:$AZ,_xlpm.rowNo,_xlpm.colNo),
IF(ISNUMBER(_xlpm.val),_xlpm.val*$H252,""))</f>
        <v/>
      </c>
      <c r="P252" s="6" t="str">
        <f>_xlfn.LET(
_xlpm.rowNo, MATCH($C252&amp;"|"&amp;
($F252+P$4),Raw_Fund!$A:$A,0),
_xlpm.colNo,
MATCH(P$3,Raw_Fund!$E$1:$AZ$1,0),
_xlpm.val,
INDEX(Raw_Fund!$E:$AZ,_xlpm.rowNo,_xlpm.colNo),
IF(ISNUMBER(_xlpm.val),_xlpm.val*$H252,""))</f>
        <v/>
      </c>
      <c r="Q252" s="6" t="str">
        <f>_xlfn.LET(
_xlpm.rowNo, MATCH($C252&amp;"|"&amp;
($F252+Q$4),Raw_Fund!$A:$A,0),
_xlpm.colNo,
MATCH(Q$3,Raw_Fund!$E$1:$AZ$1,0),
_xlpm.val,
INDEX(Raw_Fund!$E:$AZ,_xlpm.rowNo,_xlpm.colNo),
IF(ISNUMBER(_xlpm.val),_xlpm.val*$H252,""))</f>
        <v/>
      </c>
      <c r="R252" s="6" t="str">
        <f>_xlfn.LET(
_xlpm.rowNo, MATCH($C252&amp;"|"&amp;
($F252+R$4),Raw_Fund!$A:$A,0),
_xlpm.colNo,
MATCH(R$3,Raw_Fund!$E$1:$AZ$1,0),
_xlpm.val,
INDEX(Raw_Fund!$E:$AZ,_xlpm.rowNo,_xlpm.colNo),
IF(ISNUMBER(_xlpm.val),_xlpm.val*$H252,""))</f>
        <v/>
      </c>
      <c r="S252" s="6" t="str">
        <f>_xlfn.LET(
_xlpm.rowNo, MATCH($C252&amp;"|"&amp;
($F252+S$4),Raw_Fund!$A:$A,0),
_xlpm.colNo,
MATCH(S$3,Raw_Fund!$E$1:$AZ$1,0),
_xlpm.val,
INDEX(Raw_Fund!$E:$AZ,_xlpm.rowNo,_xlpm.colNo),
IF(ISNUMBER(_xlpm.val),_xlpm.val*$H252,""))</f>
        <v/>
      </c>
      <c r="T252" s="6" t="str">
        <f>_xlfn.LET(
_xlpm.rowNo, MATCH($C252&amp;"|"&amp;
($F252+T$4),Raw_Fund!$A:$A,0),
_xlpm.colNo,
MATCH(T$3,Raw_Fund!$E$1:$AZ$1,0),
_xlpm.val,
INDEX(Raw_Fund!$E:$AZ,_xlpm.rowNo,_xlpm.colNo),
IF(ISNUMBER(_xlpm.val),_xlpm.val*$H252,""))</f>
        <v/>
      </c>
      <c r="U252" s="6" t="str">
        <f>_xlfn.LET(
_xlpm.rowNo, MATCH($C252&amp;"|"&amp;
($F252+U$4),Raw_Fund!$A:$A,0),
_xlpm.colNo,
MATCH(U$3,Raw_Fund!$E$1:$AZ$1,0),
_xlpm.val,
INDEX(Raw_Fund!$E:$AZ,_xlpm.rowNo,_xlpm.colNo),
IF(ISNUMBER(_xlpm.val),_xlpm.val*$H252,""))</f>
        <v/>
      </c>
      <c r="V252" s="6" t="str">
        <f>_xlfn.LET(
_xlpm.rowNo, MATCH($C252&amp;"|"&amp;
($F252+V$4),Raw_Fund!$A:$A,0),
_xlpm.colNo,
MATCH(V$3,Raw_Fund!$E$1:$AZ$1,0),
_xlpm.val,
INDEX(Raw_Fund!$E:$AZ,_xlpm.rowNo,_xlpm.colNo),
IF(ISNUMBER(_xlpm.val),_xlpm.val*$H252,""))</f>
        <v/>
      </c>
      <c r="W252" s="6" t="str">
        <f>_xlfn.LET(
_xlpm.rowNo, MATCH($C252&amp;"|"&amp;
($F252+W$4),Raw_Fund!$A:$A,0),
_xlpm.colNo,
MATCH(W$3,Raw_Fund!$E$1:$AZ$1,0),
_xlpm.val,
INDEX(Raw_Fund!$E:$AZ,_xlpm.rowNo,_xlpm.colNo),
IF(ISNUMBER(_xlpm.val),_xlpm.val*$H252,""))</f>
        <v/>
      </c>
      <c r="X252" s="6" t="str">
        <f>_xlfn.LET(
_xlpm.rowNo, MATCH($C252&amp;"|"&amp;
($F252+X$4),Raw_Fund!$A:$A,0),
_xlpm.colNo,
MATCH(X$3,Raw_Fund!$E$1:$AZ$1,0),
_xlpm.val,
INDEX(Raw_Fund!$E:$AZ,_xlpm.rowNo,_xlpm.colNo),
IF(ISNUMBER(_xlpm.val),_xlpm.val*$H252,""))</f>
        <v/>
      </c>
      <c r="Y252" s="6" t="str">
        <f>_xlfn.LET(
_xlpm.rowNo, MATCH($C252&amp;"|"&amp;
($F252+Y$4),Raw_Fund!$A:$A,0),
_xlpm.colNo,
MATCH(Y$3,Raw_Fund!$E$1:$AZ$1,0),
_xlpm.val,
INDEX(Raw_Fund!$E:$AZ,_xlpm.rowNo,_xlpm.colNo),
IF(ISNUMBER(_xlpm.val),_xlpm.val*$H252,""))</f>
        <v/>
      </c>
      <c r="Z252" s="6" t="e">
        <f>IF($E252&lt;&gt;"Include","",_xlfn.XLOOKUP($C252,Raw_Mkt!$A:$A,Raw_Mkt!$B:$B))</f>
        <v>#N/A</v>
      </c>
    </row>
    <row r="253" spans="1:26" x14ac:dyDescent="0.4">
      <c r="A253" t="str">
        <f>IF(Universe!A253&lt;&gt;"",Universe!A253,"")</f>
        <v>XPS</v>
      </c>
      <c r="B253" t="str">
        <f>IF(Universe!B253&lt;&gt;"",Universe!B253,"")</f>
        <v>XPS Pensions</v>
      </c>
      <c r="C253" t="str">
        <f>IF(Universe!C253&lt;&gt;"",Universe!C253,"")</f>
        <v>GB00BDDN1T20</v>
      </c>
      <c r="D253" t="str">
        <f>IF(Universe!D253&lt;&gt;"",Universe!D253,"")</f>
        <v>Financials</v>
      </c>
      <c r="E253" t="str">
        <f>Universe!G253</f>
        <v>Exclude</v>
      </c>
      <c r="F253" t="str">
        <f>IF($E253&lt;&gt;"Include","",_xlfn.LET(_xlpm.latest,_xlfn.MAXIFS(Raw_Fund!$C:$C,Raw_Fund!$B:$B,Data!$C253),IF(_xlpm.latest=0,"",_xlpm.latest)))</f>
        <v/>
      </c>
      <c r="G253" t="str">
        <f>IF($F253="","",INDEX(Raw_Fund!$E:$AZ,MATCH($C253&amp;"|"&amp;$F253,Raw_Fund!$A:$A,0),MATCH(G$3,Raw_Fund!$E$1:$AZ$1,0)))</f>
        <v/>
      </c>
      <c r="H253" t="str">
        <f t="shared" si="3"/>
        <v/>
      </c>
      <c r="I253" s="6" t="str">
        <f>_xlfn.LET(
_xlpm.rowNo, MATCH($C253&amp;"|"&amp;
($F253+I$4),Raw_Fund!$A:$A,0),
_xlpm.colNo,
MATCH(I$3,Raw_Fund!$E$1:$AZ$1,0),
_xlpm.val,
INDEX(Raw_Fund!$E:$AZ,_xlpm.rowNo,_xlpm.colNo),
IF(ISNUMBER(_xlpm.val),_xlpm.val*$H253,""))</f>
        <v/>
      </c>
      <c r="J253" s="6" t="str">
        <f>_xlfn.LET(
_xlpm.rowNo, MATCH($C253&amp;"|"&amp;
($F253+J$4),Raw_Fund!$A:$A,0),
_xlpm.colNo,
MATCH(J$3,Raw_Fund!$E$1:$AZ$1,0),
_xlpm.val,
INDEX(Raw_Fund!$E:$AZ,_xlpm.rowNo,_xlpm.colNo),
IF(ISNUMBER(_xlpm.val),_xlpm.val*$H253,""))</f>
        <v/>
      </c>
      <c r="K253" s="6" t="str">
        <f>_xlfn.LET(
_xlpm.rowNo, MATCH($C253&amp;"|"&amp;
($F253+K$4),Raw_Fund!$A:$A,0),
_xlpm.colNo,
MATCH(K$3,Raw_Fund!$E$1:$AZ$1,0),
_xlpm.val,
INDEX(Raw_Fund!$E:$AZ,_xlpm.rowNo,_xlpm.colNo),
IF(ISNUMBER(_xlpm.val),_xlpm.val*$H253,""))</f>
        <v/>
      </c>
      <c r="L253" s="6" t="str">
        <f>_xlfn.LET(
_xlpm.rowNo, MATCH($C253&amp;"|"&amp;
($F253+L$4),Raw_Fund!$A:$A,0),
_xlpm.colNo,
MATCH(L$3,Raw_Fund!$E$1:$AZ$1,0),
_xlpm.val,
INDEX(Raw_Fund!$E:$AZ,_xlpm.rowNo,_xlpm.colNo),
IF(ISNUMBER(_xlpm.val),_xlpm.val*$H253,""))</f>
        <v/>
      </c>
      <c r="M253" s="6" t="str">
        <f>_xlfn.LET(
_xlpm.rowNo, MATCH($C253&amp;"|"&amp;
($F253+M$4),Raw_Fund!$A:$A,0),
_xlpm.colNo,
MATCH(M$3,Raw_Fund!$E$1:$AZ$1,0),
_xlpm.val,
INDEX(Raw_Fund!$E:$AZ,_xlpm.rowNo,_xlpm.colNo),
IF(ISNUMBER(_xlpm.val),_xlpm.val*$H253,""))</f>
        <v/>
      </c>
      <c r="N253" s="6" t="str">
        <f>_xlfn.LET(
_xlpm.rowNo, MATCH($C253&amp;"|"&amp;
($F253+N$4),Raw_Fund!$A:$A,0),
_xlpm.colNo,
MATCH(N$3,Raw_Fund!$E$1:$AZ$1,0),
_xlpm.val,
INDEX(Raw_Fund!$E:$AZ,_xlpm.rowNo,_xlpm.colNo),
IF(ISNUMBER(_xlpm.val),_xlpm.val*$H253,""))</f>
        <v/>
      </c>
      <c r="O253" s="6" t="str">
        <f>_xlfn.LET(
_xlpm.rowNo, MATCH($C253&amp;"|"&amp;
($F253+O$4),Raw_Fund!$A:$A,0),
_xlpm.colNo,
MATCH(O$3,Raw_Fund!$E$1:$AZ$1,0),
_xlpm.val,
INDEX(Raw_Fund!$E:$AZ,_xlpm.rowNo,_xlpm.colNo),
IF(ISNUMBER(_xlpm.val),_xlpm.val*$H253,""))</f>
        <v/>
      </c>
      <c r="P253" s="6" t="str">
        <f>_xlfn.LET(
_xlpm.rowNo, MATCH($C253&amp;"|"&amp;
($F253+P$4),Raw_Fund!$A:$A,0),
_xlpm.colNo,
MATCH(P$3,Raw_Fund!$E$1:$AZ$1,0),
_xlpm.val,
INDEX(Raw_Fund!$E:$AZ,_xlpm.rowNo,_xlpm.colNo),
IF(ISNUMBER(_xlpm.val),_xlpm.val*$H253,""))</f>
        <v/>
      </c>
      <c r="Q253" s="6" t="str">
        <f>_xlfn.LET(
_xlpm.rowNo, MATCH($C253&amp;"|"&amp;
($F253+Q$4),Raw_Fund!$A:$A,0),
_xlpm.colNo,
MATCH(Q$3,Raw_Fund!$E$1:$AZ$1,0),
_xlpm.val,
INDEX(Raw_Fund!$E:$AZ,_xlpm.rowNo,_xlpm.colNo),
IF(ISNUMBER(_xlpm.val),_xlpm.val*$H253,""))</f>
        <v/>
      </c>
      <c r="R253" s="6" t="str">
        <f>_xlfn.LET(
_xlpm.rowNo, MATCH($C253&amp;"|"&amp;
($F253+R$4),Raw_Fund!$A:$A,0),
_xlpm.colNo,
MATCH(R$3,Raw_Fund!$E$1:$AZ$1,0),
_xlpm.val,
INDEX(Raw_Fund!$E:$AZ,_xlpm.rowNo,_xlpm.colNo),
IF(ISNUMBER(_xlpm.val),_xlpm.val*$H253,""))</f>
        <v/>
      </c>
      <c r="S253" s="6" t="str">
        <f>_xlfn.LET(
_xlpm.rowNo, MATCH($C253&amp;"|"&amp;
($F253+S$4),Raw_Fund!$A:$A,0),
_xlpm.colNo,
MATCH(S$3,Raw_Fund!$E$1:$AZ$1,0),
_xlpm.val,
INDEX(Raw_Fund!$E:$AZ,_xlpm.rowNo,_xlpm.colNo),
IF(ISNUMBER(_xlpm.val),_xlpm.val*$H253,""))</f>
        <v/>
      </c>
      <c r="T253" s="6" t="str">
        <f>_xlfn.LET(
_xlpm.rowNo, MATCH($C253&amp;"|"&amp;
($F253+T$4),Raw_Fund!$A:$A,0),
_xlpm.colNo,
MATCH(T$3,Raw_Fund!$E$1:$AZ$1,0),
_xlpm.val,
INDEX(Raw_Fund!$E:$AZ,_xlpm.rowNo,_xlpm.colNo),
IF(ISNUMBER(_xlpm.val),_xlpm.val*$H253,""))</f>
        <v/>
      </c>
      <c r="U253" s="6" t="str">
        <f>_xlfn.LET(
_xlpm.rowNo, MATCH($C253&amp;"|"&amp;
($F253+U$4),Raw_Fund!$A:$A,0),
_xlpm.colNo,
MATCH(U$3,Raw_Fund!$E$1:$AZ$1,0),
_xlpm.val,
INDEX(Raw_Fund!$E:$AZ,_xlpm.rowNo,_xlpm.colNo),
IF(ISNUMBER(_xlpm.val),_xlpm.val*$H253,""))</f>
        <v/>
      </c>
      <c r="V253" s="6" t="str">
        <f>_xlfn.LET(
_xlpm.rowNo, MATCH($C253&amp;"|"&amp;
($F253+V$4),Raw_Fund!$A:$A,0),
_xlpm.colNo,
MATCH(V$3,Raw_Fund!$E$1:$AZ$1,0),
_xlpm.val,
INDEX(Raw_Fund!$E:$AZ,_xlpm.rowNo,_xlpm.colNo),
IF(ISNUMBER(_xlpm.val),_xlpm.val*$H253,""))</f>
        <v/>
      </c>
      <c r="W253" s="6" t="str">
        <f>_xlfn.LET(
_xlpm.rowNo, MATCH($C253&amp;"|"&amp;
($F253+W$4),Raw_Fund!$A:$A,0),
_xlpm.colNo,
MATCH(W$3,Raw_Fund!$E$1:$AZ$1,0),
_xlpm.val,
INDEX(Raw_Fund!$E:$AZ,_xlpm.rowNo,_xlpm.colNo),
IF(ISNUMBER(_xlpm.val),_xlpm.val*$H253,""))</f>
        <v/>
      </c>
      <c r="X253" s="6" t="str">
        <f>_xlfn.LET(
_xlpm.rowNo, MATCH($C253&amp;"|"&amp;
($F253+X$4),Raw_Fund!$A:$A,0),
_xlpm.colNo,
MATCH(X$3,Raw_Fund!$E$1:$AZ$1,0),
_xlpm.val,
INDEX(Raw_Fund!$E:$AZ,_xlpm.rowNo,_xlpm.colNo),
IF(ISNUMBER(_xlpm.val),_xlpm.val*$H253,""))</f>
        <v/>
      </c>
      <c r="Y253" s="6" t="str">
        <f>_xlfn.LET(
_xlpm.rowNo, MATCH($C253&amp;"|"&amp;
($F253+Y$4),Raw_Fund!$A:$A,0),
_xlpm.colNo,
MATCH(Y$3,Raw_Fund!$E$1:$AZ$1,0),
_xlpm.val,
INDEX(Raw_Fund!$E:$AZ,_xlpm.rowNo,_xlpm.colNo),
IF(ISNUMBER(_xlpm.val),_xlpm.val*$H253,""))</f>
        <v/>
      </c>
      <c r="Z253" s="6" t="str">
        <f>IF($E253&lt;&gt;"Include","",_xlfn.XLOOKUP($C253,Raw_Mkt!$A:$A,Raw_Mkt!$B:$B))</f>
        <v/>
      </c>
    </row>
    <row r="254" spans="1:26" x14ac:dyDescent="0.4">
      <c r="A254" t="str">
        <f>IF(Universe!A254&lt;&gt;"",Universe!A254,"")</f>
        <v>YNGA</v>
      </c>
      <c r="B254" t="str">
        <f>IF(Universe!B254&lt;&gt;"",Universe!B254,"")</f>
        <v>Young's</v>
      </c>
      <c r="C254" t="str">
        <f>IF(Universe!C254&lt;&gt;"",Universe!C254,"")</f>
        <v>GB00B2NDK765</v>
      </c>
      <c r="D254" t="str">
        <f>IF(Universe!D254&lt;&gt;"",Universe!D254,"")</f>
        <v>Consumer Discretionary</v>
      </c>
      <c r="E254" t="str">
        <f>Universe!G254</f>
        <v>Include</v>
      </c>
      <c r="F254" t="str">
        <f>IF($E254&lt;&gt;"Include","",_xlfn.LET(_xlpm.latest,_xlfn.MAXIFS(Raw_Fund!$C:$C,Raw_Fund!$B:$B,Data!$C254),IF(_xlpm.latest=0,"",_xlpm.latest)))</f>
        <v/>
      </c>
      <c r="G254" t="str">
        <f>IF($F254="","",INDEX(Raw_Fund!$E:$AZ,MATCH($C254&amp;"|"&amp;$F254,Raw_Fund!$A:$A,0),MATCH(G$3,Raw_Fund!$E$1:$AZ$1,0)))</f>
        <v/>
      </c>
      <c r="H254" t="str">
        <f t="shared" si="3"/>
        <v/>
      </c>
      <c r="I254" s="6" t="str">
        <f>_xlfn.LET(
_xlpm.rowNo, MATCH($C254&amp;"|"&amp;
($F254+I$4),Raw_Fund!$A:$A,0),
_xlpm.colNo,
MATCH(I$3,Raw_Fund!$E$1:$AZ$1,0),
_xlpm.val,
INDEX(Raw_Fund!$E:$AZ,_xlpm.rowNo,_xlpm.colNo),
IF(ISNUMBER(_xlpm.val),_xlpm.val*$H254,""))</f>
        <v/>
      </c>
      <c r="J254" s="6" t="str">
        <f>_xlfn.LET(
_xlpm.rowNo, MATCH($C254&amp;"|"&amp;
($F254+J$4),Raw_Fund!$A:$A,0),
_xlpm.colNo,
MATCH(J$3,Raw_Fund!$E$1:$AZ$1,0),
_xlpm.val,
INDEX(Raw_Fund!$E:$AZ,_xlpm.rowNo,_xlpm.colNo),
IF(ISNUMBER(_xlpm.val),_xlpm.val*$H254,""))</f>
        <v/>
      </c>
      <c r="K254" s="6" t="str">
        <f>_xlfn.LET(
_xlpm.rowNo, MATCH($C254&amp;"|"&amp;
($F254+K$4),Raw_Fund!$A:$A,0),
_xlpm.colNo,
MATCH(K$3,Raw_Fund!$E$1:$AZ$1,0),
_xlpm.val,
INDEX(Raw_Fund!$E:$AZ,_xlpm.rowNo,_xlpm.colNo),
IF(ISNUMBER(_xlpm.val),_xlpm.val*$H254,""))</f>
        <v/>
      </c>
      <c r="L254" s="6" t="str">
        <f>_xlfn.LET(
_xlpm.rowNo, MATCH($C254&amp;"|"&amp;
($F254+L$4),Raw_Fund!$A:$A,0),
_xlpm.colNo,
MATCH(L$3,Raw_Fund!$E$1:$AZ$1,0),
_xlpm.val,
INDEX(Raw_Fund!$E:$AZ,_xlpm.rowNo,_xlpm.colNo),
IF(ISNUMBER(_xlpm.val),_xlpm.val*$H254,""))</f>
        <v/>
      </c>
      <c r="M254" s="6" t="str">
        <f>_xlfn.LET(
_xlpm.rowNo, MATCH($C254&amp;"|"&amp;
($F254+M$4),Raw_Fund!$A:$A,0),
_xlpm.colNo,
MATCH(M$3,Raw_Fund!$E$1:$AZ$1,0),
_xlpm.val,
INDEX(Raw_Fund!$E:$AZ,_xlpm.rowNo,_xlpm.colNo),
IF(ISNUMBER(_xlpm.val),_xlpm.val*$H254,""))</f>
        <v/>
      </c>
      <c r="N254" s="6" t="str">
        <f>_xlfn.LET(
_xlpm.rowNo, MATCH($C254&amp;"|"&amp;
($F254+N$4),Raw_Fund!$A:$A,0),
_xlpm.colNo,
MATCH(N$3,Raw_Fund!$E$1:$AZ$1,0),
_xlpm.val,
INDEX(Raw_Fund!$E:$AZ,_xlpm.rowNo,_xlpm.colNo),
IF(ISNUMBER(_xlpm.val),_xlpm.val*$H254,""))</f>
        <v/>
      </c>
      <c r="O254" s="6" t="str">
        <f>_xlfn.LET(
_xlpm.rowNo, MATCH($C254&amp;"|"&amp;
($F254+O$4),Raw_Fund!$A:$A,0),
_xlpm.colNo,
MATCH(O$3,Raw_Fund!$E$1:$AZ$1,0),
_xlpm.val,
INDEX(Raw_Fund!$E:$AZ,_xlpm.rowNo,_xlpm.colNo),
IF(ISNUMBER(_xlpm.val),_xlpm.val*$H254,""))</f>
        <v/>
      </c>
      <c r="P254" s="6" t="str">
        <f>_xlfn.LET(
_xlpm.rowNo, MATCH($C254&amp;"|"&amp;
($F254+P$4),Raw_Fund!$A:$A,0),
_xlpm.colNo,
MATCH(P$3,Raw_Fund!$E$1:$AZ$1,0),
_xlpm.val,
INDEX(Raw_Fund!$E:$AZ,_xlpm.rowNo,_xlpm.colNo),
IF(ISNUMBER(_xlpm.val),_xlpm.val*$H254,""))</f>
        <v/>
      </c>
      <c r="Q254" s="6" t="str">
        <f>_xlfn.LET(
_xlpm.rowNo, MATCH($C254&amp;"|"&amp;
($F254+Q$4),Raw_Fund!$A:$A,0),
_xlpm.colNo,
MATCH(Q$3,Raw_Fund!$E$1:$AZ$1,0),
_xlpm.val,
INDEX(Raw_Fund!$E:$AZ,_xlpm.rowNo,_xlpm.colNo),
IF(ISNUMBER(_xlpm.val),_xlpm.val*$H254,""))</f>
        <v/>
      </c>
      <c r="R254" s="6" t="str">
        <f>_xlfn.LET(
_xlpm.rowNo, MATCH($C254&amp;"|"&amp;
($F254+R$4),Raw_Fund!$A:$A,0),
_xlpm.colNo,
MATCH(R$3,Raw_Fund!$E$1:$AZ$1,0),
_xlpm.val,
INDEX(Raw_Fund!$E:$AZ,_xlpm.rowNo,_xlpm.colNo),
IF(ISNUMBER(_xlpm.val),_xlpm.val*$H254,""))</f>
        <v/>
      </c>
      <c r="S254" s="6" t="str">
        <f>_xlfn.LET(
_xlpm.rowNo, MATCH($C254&amp;"|"&amp;
($F254+S$4),Raw_Fund!$A:$A,0),
_xlpm.colNo,
MATCH(S$3,Raw_Fund!$E$1:$AZ$1,0),
_xlpm.val,
INDEX(Raw_Fund!$E:$AZ,_xlpm.rowNo,_xlpm.colNo),
IF(ISNUMBER(_xlpm.val),_xlpm.val*$H254,""))</f>
        <v/>
      </c>
      <c r="T254" s="6" t="str">
        <f>_xlfn.LET(
_xlpm.rowNo, MATCH($C254&amp;"|"&amp;
($F254+T$4),Raw_Fund!$A:$A,0),
_xlpm.colNo,
MATCH(T$3,Raw_Fund!$E$1:$AZ$1,0),
_xlpm.val,
INDEX(Raw_Fund!$E:$AZ,_xlpm.rowNo,_xlpm.colNo),
IF(ISNUMBER(_xlpm.val),_xlpm.val*$H254,""))</f>
        <v/>
      </c>
      <c r="U254" s="6" t="str">
        <f>_xlfn.LET(
_xlpm.rowNo, MATCH($C254&amp;"|"&amp;
($F254+U$4),Raw_Fund!$A:$A,0),
_xlpm.colNo,
MATCH(U$3,Raw_Fund!$E$1:$AZ$1,0),
_xlpm.val,
INDEX(Raw_Fund!$E:$AZ,_xlpm.rowNo,_xlpm.colNo),
IF(ISNUMBER(_xlpm.val),_xlpm.val*$H254,""))</f>
        <v/>
      </c>
      <c r="V254" s="6" t="str">
        <f>_xlfn.LET(
_xlpm.rowNo, MATCH($C254&amp;"|"&amp;
($F254+V$4),Raw_Fund!$A:$A,0),
_xlpm.colNo,
MATCH(V$3,Raw_Fund!$E$1:$AZ$1,0),
_xlpm.val,
INDEX(Raw_Fund!$E:$AZ,_xlpm.rowNo,_xlpm.colNo),
IF(ISNUMBER(_xlpm.val),_xlpm.val*$H254,""))</f>
        <v/>
      </c>
      <c r="W254" s="6" t="str">
        <f>_xlfn.LET(
_xlpm.rowNo, MATCH($C254&amp;"|"&amp;
($F254+W$4),Raw_Fund!$A:$A,0),
_xlpm.colNo,
MATCH(W$3,Raw_Fund!$E$1:$AZ$1,0),
_xlpm.val,
INDEX(Raw_Fund!$E:$AZ,_xlpm.rowNo,_xlpm.colNo),
IF(ISNUMBER(_xlpm.val),_xlpm.val*$H254,""))</f>
        <v/>
      </c>
      <c r="X254" s="6" t="str">
        <f>_xlfn.LET(
_xlpm.rowNo, MATCH($C254&amp;"|"&amp;
($F254+X$4),Raw_Fund!$A:$A,0),
_xlpm.colNo,
MATCH(X$3,Raw_Fund!$E$1:$AZ$1,0),
_xlpm.val,
INDEX(Raw_Fund!$E:$AZ,_xlpm.rowNo,_xlpm.colNo),
IF(ISNUMBER(_xlpm.val),_xlpm.val*$H254,""))</f>
        <v/>
      </c>
      <c r="Y254" s="6" t="str">
        <f>_xlfn.LET(
_xlpm.rowNo, MATCH($C254&amp;"|"&amp;
($F254+Y$4),Raw_Fund!$A:$A,0),
_xlpm.colNo,
MATCH(Y$3,Raw_Fund!$E$1:$AZ$1,0),
_xlpm.val,
INDEX(Raw_Fund!$E:$AZ,_xlpm.rowNo,_xlpm.colNo),
IF(ISNUMBER(_xlpm.val),_xlpm.val*$H254,""))</f>
        <v/>
      </c>
      <c r="Z254" s="6" t="e">
        <f>IF($E254&lt;&gt;"Include","",_xlfn.XLOOKUP($C254,Raw_Mkt!$A:$A,Raw_Mkt!$B:$B))</f>
        <v>#N/A</v>
      </c>
    </row>
    <row r="255" spans="1:26" x14ac:dyDescent="0.4">
      <c r="A255" t="str">
        <f>IF(Universe!A255&lt;&gt;"",Universe!A255,"")</f>
        <v>ZIG</v>
      </c>
      <c r="B255" t="str">
        <f>IF(Universe!B255&lt;&gt;"",Universe!B255,"")</f>
        <v>Zigup</v>
      </c>
      <c r="C255" t="str">
        <f>IF(Universe!C255&lt;&gt;"",Universe!C255,"")</f>
        <v>GB00B41H7391</v>
      </c>
      <c r="D255" t="str">
        <f>IF(Universe!D255&lt;&gt;"",Universe!D255,"")</f>
        <v>Industrials</v>
      </c>
      <c r="E255" t="str">
        <f>Universe!G255</f>
        <v>Include</v>
      </c>
      <c r="F255" t="str">
        <f>IF($E255&lt;&gt;"Include","",_xlfn.LET(_xlpm.latest,_xlfn.MAXIFS(Raw_Fund!$C:$C,Raw_Fund!$B:$B,Data!$C255),IF(_xlpm.latest=0,"",_xlpm.latest)))</f>
        <v/>
      </c>
      <c r="G255" t="str">
        <f>IF($F255="","",INDEX(Raw_Fund!$E:$AZ,MATCH($C255&amp;"|"&amp;$F255,Raw_Fund!$A:$A,0),MATCH(G$3,Raw_Fund!$E$1:$AZ$1,0)))</f>
        <v/>
      </c>
      <c r="H255" t="str">
        <f t="shared" si="3"/>
        <v/>
      </c>
      <c r="I255" s="6" t="str">
        <f>_xlfn.LET(
_xlpm.rowNo, MATCH($C255&amp;"|"&amp;
($F255+I$4),Raw_Fund!$A:$A,0),
_xlpm.colNo,
MATCH(I$3,Raw_Fund!$E$1:$AZ$1,0),
_xlpm.val,
INDEX(Raw_Fund!$E:$AZ,_xlpm.rowNo,_xlpm.colNo),
IF(ISNUMBER(_xlpm.val),_xlpm.val*$H255,""))</f>
        <v/>
      </c>
      <c r="J255" s="6" t="str">
        <f>_xlfn.LET(
_xlpm.rowNo, MATCH($C255&amp;"|"&amp;
($F255+J$4),Raw_Fund!$A:$A,0),
_xlpm.colNo,
MATCH(J$3,Raw_Fund!$E$1:$AZ$1,0),
_xlpm.val,
INDEX(Raw_Fund!$E:$AZ,_xlpm.rowNo,_xlpm.colNo),
IF(ISNUMBER(_xlpm.val),_xlpm.val*$H255,""))</f>
        <v/>
      </c>
      <c r="K255" s="6" t="str">
        <f>_xlfn.LET(
_xlpm.rowNo, MATCH($C255&amp;"|"&amp;
($F255+K$4),Raw_Fund!$A:$A,0),
_xlpm.colNo,
MATCH(K$3,Raw_Fund!$E$1:$AZ$1,0),
_xlpm.val,
INDEX(Raw_Fund!$E:$AZ,_xlpm.rowNo,_xlpm.colNo),
IF(ISNUMBER(_xlpm.val),_xlpm.val*$H255,""))</f>
        <v/>
      </c>
      <c r="L255" s="6" t="str">
        <f>_xlfn.LET(
_xlpm.rowNo, MATCH($C255&amp;"|"&amp;
($F255+L$4),Raw_Fund!$A:$A,0),
_xlpm.colNo,
MATCH(L$3,Raw_Fund!$E$1:$AZ$1,0),
_xlpm.val,
INDEX(Raw_Fund!$E:$AZ,_xlpm.rowNo,_xlpm.colNo),
IF(ISNUMBER(_xlpm.val),_xlpm.val*$H255,""))</f>
        <v/>
      </c>
      <c r="M255" s="6" t="str">
        <f>_xlfn.LET(
_xlpm.rowNo, MATCH($C255&amp;"|"&amp;
($F255+M$4),Raw_Fund!$A:$A,0),
_xlpm.colNo,
MATCH(M$3,Raw_Fund!$E$1:$AZ$1,0),
_xlpm.val,
INDEX(Raw_Fund!$E:$AZ,_xlpm.rowNo,_xlpm.colNo),
IF(ISNUMBER(_xlpm.val),_xlpm.val*$H255,""))</f>
        <v/>
      </c>
      <c r="N255" s="6" t="str">
        <f>_xlfn.LET(
_xlpm.rowNo, MATCH($C255&amp;"|"&amp;
($F255+N$4),Raw_Fund!$A:$A,0),
_xlpm.colNo,
MATCH(N$3,Raw_Fund!$E$1:$AZ$1,0),
_xlpm.val,
INDEX(Raw_Fund!$E:$AZ,_xlpm.rowNo,_xlpm.colNo),
IF(ISNUMBER(_xlpm.val),_xlpm.val*$H255,""))</f>
        <v/>
      </c>
      <c r="O255" s="6" t="str">
        <f>_xlfn.LET(
_xlpm.rowNo, MATCH($C255&amp;"|"&amp;
($F255+O$4),Raw_Fund!$A:$A,0),
_xlpm.colNo,
MATCH(O$3,Raw_Fund!$E$1:$AZ$1,0),
_xlpm.val,
INDEX(Raw_Fund!$E:$AZ,_xlpm.rowNo,_xlpm.colNo),
IF(ISNUMBER(_xlpm.val),_xlpm.val*$H255,""))</f>
        <v/>
      </c>
      <c r="P255" s="6" t="str">
        <f>_xlfn.LET(
_xlpm.rowNo, MATCH($C255&amp;"|"&amp;
($F255+P$4),Raw_Fund!$A:$A,0),
_xlpm.colNo,
MATCH(P$3,Raw_Fund!$E$1:$AZ$1,0),
_xlpm.val,
INDEX(Raw_Fund!$E:$AZ,_xlpm.rowNo,_xlpm.colNo),
IF(ISNUMBER(_xlpm.val),_xlpm.val*$H255,""))</f>
        <v/>
      </c>
      <c r="Q255" s="6" t="str">
        <f>_xlfn.LET(
_xlpm.rowNo, MATCH($C255&amp;"|"&amp;
($F255+Q$4),Raw_Fund!$A:$A,0),
_xlpm.colNo,
MATCH(Q$3,Raw_Fund!$E$1:$AZ$1,0),
_xlpm.val,
INDEX(Raw_Fund!$E:$AZ,_xlpm.rowNo,_xlpm.colNo),
IF(ISNUMBER(_xlpm.val),_xlpm.val*$H255,""))</f>
        <v/>
      </c>
      <c r="R255" s="6" t="str">
        <f>_xlfn.LET(
_xlpm.rowNo, MATCH($C255&amp;"|"&amp;
($F255+R$4),Raw_Fund!$A:$A,0),
_xlpm.colNo,
MATCH(R$3,Raw_Fund!$E$1:$AZ$1,0),
_xlpm.val,
INDEX(Raw_Fund!$E:$AZ,_xlpm.rowNo,_xlpm.colNo),
IF(ISNUMBER(_xlpm.val),_xlpm.val*$H255,""))</f>
        <v/>
      </c>
      <c r="S255" s="6" t="str">
        <f>_xlfn.LET(
_xlpm.rowNo, MATCH($C255&amp;"|"&amp;
($F255+S$4),Raw_Fund!$A:$A,0),
_xlpm.colNo,
MATCH(S$3,Raw_Fund!$E$1:$AZ$1,0),
_xlpm.val,
INDEX(Raw_Fund!$E:$AZ,_xlpm.rowNo,_xlpm.colNo),
IF(ISNUMBER(_xlpm.val),_xlpm.val*$H255,""))</f>
        <v/>
      </c>
      <c r="T255" s="6" t="str">
        <f>_xlfn.LET(
_xlpm.rowNo, MATCH($C255&amp;"|"&amp;
($F255+T$4),Raw_Fund!$A:$A,0),
_xlpm.colNo,
MATCH(T$3,Raw_Fund!$E$1:$AZ$1,0),
_xlpm.val,
INDEX(Raw_Fund!$E:$AZ,_xlpm.rowNo,_xlpm.colNo),
IF(ISNUMBER(_xlpm.val),_xlpm.val*$H255,""))</f>
        <v/>
      </c>
      <c r="U255" s="6" t="str">
        <f>_xlfn.LET(
_xlpm.rowNo, MATCH($C255&amp;"|"&amp;
($F255+U$4),Raw_Fund!$A:$A,0),
_xlpm.colNo,
MATCH(U$3,Raw_Fund!$E$1:$AZ$1,0),
_xlpm.val,
INDEX(Raw_Fund!$E:$AZ,_xlpm.rowNo,_xlpm.colNo),
IF(ISNUMBER(_xlpm.val),_xlpm.val*$H255,""))</f>
        <v/>
      </c>
      <c r="V255" s="6" t="str">
        <f>_xlfn.LET(
_xlpm.rowNo, MATCH($C255&amp;"|"&amp;
($F255+V$4),Raw_Fund!$A:$A,0),
_xlpm.colNo,
MATCH(V$3,Raw_Fund!$E$1:$AZ$1,0),
_xlpm.val,
INDEX(Raw_Fund!$E:$AZ,_xlpm.rowNo,_xlpm.colNo),
IF(ISNUMBER(_xlpm.val),_xlpm.val*$H255,""))</f>
        <v/>
      </c>
      <c r="W255" s="6" t="str">
        <f>_xlfn.LET(
_xlpm.rowNo, MATCH($C255&amp;"|"&amp;
($F255+W$4),Raw_Fund!$A:$A,0),
_xlpm.colNo,
MATCH(W$3,Raw_Fund!$E$1:$AZ$1,0),
_xlpm.val,
INDEX(Raw_Fund!$E:$AZ,_xlpm.rowNo,_xlpm.colNo),
IF(ISNUMBER(_xlpm.val),_xlpm.val*$H255,""))</f>
        <v/>
      </c>
      <c r="X255" s="6" t="str">
        <f>_xlfn.LET(
_xlpm.rowNo, MATCH($C255&amp;"|"&amp;
($F255+X$4),Raw_Fund!$A:$A,0),
_xlpm.colNo,
MATCH(X$3,Raw_Fund!$E$1:$AZ$1,0),
_xlpm.val,
INDEX(Raw_Fund!$E:$AZ,_xlpm.rowNo,_xlpm.colNo),
IF(ISNUMBER(_xlpm.val),_xlpm.val*$H255,""))</f>
        <v/>
      </c>
      <c r="Y255" s="6" t="str">
        <f>_xlfn.LET(
_xlpm.rowNo, MATCH($C255&amp;"|"&amp;
($F255+Y$4),Raw_Fund!$A:$A,0),
_xlpm.colNo,
MATCH(Y$3,Raw_Fund!$E$1:$AZ$1,0),
_xlpm.val,
INDEX(Raw_Fund!$E:$AZ,_xlpm.rowNo,_xlpm.colNo),
IF(ISNUMBER(_xlpm.val),_xlpm.val*$H255,""))</f>
        <v/>
      </c>
      <c r="Z255" s="6" t="e">
        <f>IF($E255&lt;&gt;"Include","",_xlfn.XLOOKUP($C255,Raw_Mkt!$A:$A,Raw_Mkt!$B:$B))</f>
        <v>#N/A</v>
      </c>
    </row>
    <row r="256" spans="1:26" x14ac:dyDescent="0.4">
      <c r="A256" t="str">
        <f>IF(Universe!A256&lt;&gt;"",Universe!A256,"")</f>
        <v/>
      </c>
      <c r="B256" t="str">
        <f>IF(Universe!B256&lt;&gt;"",Universe!B256,"")</f>
        <v/>
      </c>
      <c r="C256" t="str">
        <f>IF(Universe!C256&lt;&gt;"",Universe!C256,"")</f>
        <v/>
      </c>
      <c r="D256" t="str">
        <f>IF(Universe!D256&lt;&gt;"",Universe!D256,"")</f>
        <v/>
      </c>
      <c r="E256" t="str">
        <f>Universe!G256</f>
        <v/>
      </c>
      <c r="F256" t="str">
        <f>IF($E256&lt;&gt;"Include","",_xlfn.LET(_xlpm.latest,_xlfn.MAXIFS(Raw_Fund!$C:$C,Raw_Fund!$B:$B,Data!$C256),IF(_xlpm.latest=0,"",_xlpm.latest)))</f>
        <v/>
      </c>
      <c r="G256" t="str">
        <f>IF($F256="","",INDEX(Raw_Fund!$E:$AZ,MATCH($C256&amp;"|"&amp;$F256,Raw_Fund!$A:$A,0),MATCH(G$3,Raw_Fund!$E$1:$AZ$1,0)))</f>
        <v/>
      </c>
      <c r="H256" t="str">
        <f t="shared" si="3"/>
        <v/>
      </c>
      <c r="I256" s="6" t="str">
        <f>_xlfn.LET(
_xlpm.rowNo, MATCH($C256&amp;"|"&amp;
($F256+I$4),Raw_Fund!$A:$A,0),
_xlpm.colNo,
MATCH(I$3,Raw_Fund!$E$1:$AZ$1,0),
_xlpm.val,
INDEX(Raw_Fund!$E:$AZ,_xlpm.rowNo,_xlpm.colNo),
IF(ISNUMBER(_xlpm.val),_xlpm.val*$H256,""))</f>
        <v/>
      </c>
      <c r="J256" s="6" t="str">
        <f>_xlfn.LET(
_xlpm.rowNo, MATCH($C256&amp;"|"&amp;
($F256+J$4),Raw_Fund!$A:$A,0),
_xlpm.colNo,
MATCH(J$3,Raw_Fund!$E$1:$AZ$1,0),
_xlpm.val,
INDEX(Raw_Fund!$E:$AZ,_xlpm.rowNo,_xlpm.colNo),
IF(ISNUMBER(_xlpm.val),_xlpm.val*$H256,""))</f>
        <v/>
      </c>
      <c r="K256" s="6" t="str">
        <f>_xlfn.LET(
_xlpm.rowNo, MATCH($C256&amp;"|"&amp;
($F256+K$4),Raw_Fund!$A:$A,0),
_xlpm.colNo,
MATCH(K$3,Raw_Fund!$E$1:$AZ$1,0),
_xlpm.val,
INDEX(Raw_Fund!$E:$AZ,_xlpm.rowNo,_xlpm.colNo),
IF(ISNUMBER(_xlpm.val),_xlpm.val*$H256,""))</f>
        <v/>
      </c>
      <c r="L256" s="6" t="str">
        <f>_xlfn.LET(
_xlpm.rowNo, MATCH($C256&amp;"|"&amp;
($F256+L$4),Raw_Fund!$A:$A,0),
_xlpm.colNo,
MATCH(L$3,Raw_Fund!$E$1:$AZ$1,0),
_xlpm.val,
INDEX(Raw_Fund!$E:$AZ,_xlpm.rowNo,_xlpm.colNo),
IF(ISNUMBER(_xlpm.val),_xlpm.val*$H256,""))</f>
        <v/>
      </c>
      <c r="M256" s="6" t="str">
        <f>_xlfn.LET(
_xlpm.rowNo, MATCH($C256&amp;"|"&amp;
($F256+M$4),Raw_Fund!$A:$A,0),
_xlpm.colNo,
MATCH(M$3,Raw_Fund!$E$1:$AZ$1,0),
_xlpm.val,
INDEX(Raw_Fund!$E:$AZ,_xlpm.rowNo,_xlpm.colNo),
IF(ISNUMBER(_xlpm.val),_xlpm.val*$H256,""))</f>
        <v/>
      </c>
      <c r="N256" s="6" t="str">
        <f>_xlfn.LET(
_xlpm.rowNo, MATCH($C256&amp;"|"&amp;
($F256+N$4),Raw_Fund!$A:$A,0),
_xlpm.colNo,
MATCH(N$3,Raw_Fund!$E$1:$AZ$1,0),
_xlpm.val,
INDEX(Raw_Fund!$E:$AZ,_xlpm.rowNo,_xlpm.colNo),
IF(ISNUMBER(_xlpm.val),_xlpm.val*$H256,""))</f>
        <v/>
      </c>
      <c r="O256" s="6" t="str">
        <f>_xlfn.LET(
_xlpm.rowNo, MATCH($C256&amp;"|"&amp;
($F256+O$4),Raw_Fund!$A:$A,0),
_xlpm.colNo,
MATCH(O$3,Raw_Fund!$E$1:$AZ$1,0),
_xlpm.val,
INDEX(Raw_Fund!$E:$AZ,_xlpm.rowNo,_xlpm.colNo),
IF(ISNUMBER(_xlpm.val),_xlpm.val*$H256,""))</f>
        <v/>
      </c>
      <c r="P256" s="6" t="str">
        <f>_xlfn.LET(
_xlpm.rowNo, MATCH($C256&amp;"|"&amp;
($F256+P$4),Raw_Fund!$A:$A,0),
_xlpm.colNo,
MATCH(P$3,Raw_Fund!$E$1:$AZ$1,0),
_xlpm.val,
INDEX(Raw_Fund!$E:$AZ,_xlpm.rowNo,_xlpm.colNo),
IF(ISNUMBER(_xlpm.val),_xlpm.val*$H256,""))</f>
        <v/>
      </c>
      <c r="Q256" s="6" t="str">
        <f>_xlfn.LET(
_xlpm.rowNo, MATCH($C256&amp;"|"&amp;
($F256+Q$4),Raw_Fund!$A:$A,0),
_xlpm.colNo,
MATCH(Q$3,Raw_Fund!$E$1:$AZ$1,0),
_xlpm.val,
INDEX(Raw_Fund!$E:$AZ,_xlpm.rowNo,_xlpm.colNo),
IF(ISNUMBER(_xlpm.val),_xlpm.val*$H256,""))</f>
        <v/>
      </c>
      <c r="R256" s="6" t="str">
        <f>_xlfn.LET(
_xlpm.rowNo, MATCH($C256&amp;"|"&amp;
($F256+R$4),Raw_Fund!$A:$A,0),
_xlpm.colNo,
MATCH(R$3,Raw_Fund!$E$1:$AZ$1,0),
_xlpm.val,
INDEX(Raw_Fund!$E:$AZ,_xlpm.rowNo,_xlpm.colNo),
IF(ISNUMBER(_xlpm.val),_xlpm.val*$H256,""))</f>
        <v/>
      </c>
      <c r="S256" s="6" t="str">
        <f>_xlfn.LET(
_xlpm.rowNo, MATCH($C256&amp;"|"&amp;
($F256+S$4),Raw_Fund!$A:$A,0),
_xlpm.colNo,
MATCH(S$3,Raw_Fund!$E$1:$AZ$1,0),
_xlpm.val,
INDEX(Raw_Fund!$E:$AZ,_xlpm.rowNo,_xlpm.colNo),
IF(ISNUMBER(_xlpm.val),_xlpm.val*$H256,""))</f>
        <v/>
      </c>
      <c r="T256" s="6" t="str">
        <f>_xlfn.LET(
_xlpm.rowNo, MATCH($C256&amp;"|"&amp;
($F256+T$4),Raw_Fund!$A:$A,0),
_xlpm.colNo,
MATCH(T$3,Raw_Fund!$E$1:$AZ$1,0),
_xlpm.val,
INDEX(Raw_Fund!$E:$AZ,_xlpm.rowNo,_xlpm.colNo),
IF(ISNUMBER(_xlpm.val),_xlpm.val*$H256,""))</f>
        <v/>
      </c>
      <c r="U256" s="6" t="str">
        <f>_xlfn.LET(
_xlpm.rowNo, MATCH($C256&amp;"|"&amp;
($F256+U$4),Raw_Fund!$A:$A,0),
_xlpm.colNo,
MATCH(U$3,Raw_Fund!$E$1:$AZ$1,0),
_xlpm.val,
INDEX(Raw_Fund!$E:$AZ,_xlpm.rowNo,_xlpm.colNo),
IF(ISNUMBER(_xlpm.val),_xlpm.val*$H256,""))</f>
        <v/>
      </c>
      <c r="V256" s="6" t="str">
        <f>_xlfn.LET(
_xlpm.rowNo, MATCH($C256&amp;"|"&amp;
($F256+V$4),Raw_Fund!$A:$A,0),
_xlpm.colNo,
MATCH(V$3,Raw_Fund!$E$1:$AZ$1,0),
_xlpm.val,
INDEX(Raw_Fund!$E:$AZ,_xlpm.rowNo,_xlpm.colNo),
IF(ISNUMBER(_xlpm.val),_xlpm.val*$H256,""))</f>
        <v/>
      </c>
      <c r="W256" s="6" t="str">
        <f>_xlfn.LET(
_xlpm.rowNo, MATCH($C256&amp;"|"&amp;
($F256+W$4),Raw_Fund!$A:$A,0),
_xlpm.colNo,
MATCH(W$3,Raw_Fund!$E$1:$AZ$1,0),
_xlpm.val,
INDEX(Raw_Fund!$E:$AZ,_xlpm.rowNo,_xlpm.colNo),
IF(ISNUMBER(_xlpm.val),_xlpm.val*$H256,""))</f>
        <v/>
      </c>
      <c r="X256" s="6" t="str">
        <f>_xlfn.LET(
_xlpm.rowNo, MATCH($C256&amp;"|"&amp;
($F256+X$4),Raw_Fund!$A:$A,0),
_xlpm.colNo,
MATCH(X$3,Raw_Fund!$E$1:$AZ$1,0),
_xlpm.val,
INDEX(Raw_Fund!$E:$AZ,_xlpm.rowNo,_xlpm.colNo),
IF(ISNUMBER(_xlpm.val),_xlpm.val*$H256,""))</f>
        <v/>
      </c>
      <c r="Y256" s="6" t="str">
        <f>_xlfn.LET(
_xlpm.rowNo, MATCH($C256&amp;"|"&amp;
($F256+Y$4),Raw_Fund!$A:$A,0),
_xlpm.colNo,
MATCH(Y$3,Raw_Fund!$E$1:$AZ$1,0),
_xlpm.val,
INDEX(Raw_Fund!$E:$AZ,_xlpm.rowNo,_xlpm.colNo),
IF(ISNUMBER(_xlpm.val),_xlpm.val*$H256,""))</f>
        <v/>
      </c>
      <c r="Z256" s="6" t="str">
        <f>IF($E256&lt;&gt;"Include","",_xlfn.XLOOKUP($C256,Raw_Mkt!$A:$A,Raw_Mkt!$B:$B))</f>
        <v/>
      </c>
    </row>
    <row r="257" spans="1:26" x14ac:dyDescent="0.4">
      <c r="A257" t="str">
        <f>IF(Universe!A257&lt;&gt;"",Universe!A257,"")</f>
        <v/>
      </c>
      <c r="B257" t="str">
        <f>IF(Universe!B257&lt;&gt;"",Universe!B257,"")</f>
        <v/>
      </c>
      <c r="C257" t="str">
        <f>IF(Universe!C257&lt;&gt;"",Universe!C257,"")</f>
        <v/>
      </c>
      <c r="D257" t="str">
        <f>IF(Universe!D257&lt;&gt;"",Universe!D257,"")</f>
        <v/>
      </c>
      <c r="E257" t="str">
        <f>Universe!G257</f>
        <v/>
      </c>
      <c r="F257" t="str">
        <f>IF($E257&lt;&gt;"Include","",_xlfn.LET(_xlpm.latest,_xlfn.MAXIFS(Raw_Fund!$C:$C,Raw_Fund!$B:$B,Data!$C257),IF(_xlpm.latest=0,"",_xlpm.latest)))</f>
        <v/>
      </c>
      <c r="G257" t="str">
        <f>IF($F257="","",INDEX(Raw_Fund!$E:$AZ,MATCH($C257&amp;"|"&amp;$F257,Raw_Fund!$A:$A,0),MATCH(G$3,Raw_Fund!$E$1:$AZ$1,0)))</f>
        <v/>
      </c>
      <c r="H257" t="str">
        <f t="shared" si="3"/>
        <v/>
      </c>
      <c r="I257" s="6" t="str">
        <f>_xlfn.LET(
_xlpm.rowNo, MATCH($C257&amp;"|"&amp;
($F257+I$4),Raw_Fund!$A:$A,0),
_xlpm.colNo,
MATCH(I$3,Raw_Fund!$E$1:$AZ$1,0),
_xlpm.val,
INDEX(Raw_Fund!$E:$AZ,_xlpm.rowNo,_xlpm.colNo),
IF(ISNUMBER(_xlpm.val),_xlpm.val*$H257,""))</f>
        <v/>
      </c>
      <c r="J257" s="6" t="str">
        <f>_xlfn.LET(
_xlpm.rowNo, MATCH($C257&amp;"|"&amp;
($F257+J$4),Raw_Fund!$A:$A,0),
_xlpm.colNo,
MATCH(J$3,Raw_Fund!$E$1:$AZ$1,0),
_xlpm.val,
INDEX(Raw_Fund!$E:$AZ,_xlpm.rowNo,_xlpm.colNo),
IF(ISNUMBER(_xlpm.val),_xlpm.val*$H257,""))</f>
        <v/>
      </c>
      <c r="K257" s="6" t="str">
        <f>_xlfn.LET(
_xlpm.rowNo, MATCH($C257&amp;"|"&amp;
($F257+K$4),Raw_Fund!$A:$A,0),
_xlpm.colNo,
MATCH(K$3,Raw_Fund!$E$1:$AZ$1,0),
_xlpm.val,
INDEX(Raw_Fund!$E:$AZ,_xlpm.rowNo,_xlpm.colNo),
IF(ISNUMBER(_xlpm.val),_xlpm.val*$H257,""))</f>
        <v/>
      </c>
      <c r="L257" s="6" t="str">
        <f>_xlfn.LET(
_xlpm.rowNo, MATCH($C257&amp;"|"&amp;
($F257+L$4),Raw_Fund!$A:$A,0),
_xlpm.colNo,
MATCH(L$3,Raw_Fund!$E$1:$AZ$1,0),
_xlpm.val,
INDEX(Raw_Fund!$E:$AZ,_xlpm.rowNo,_xlpm.colNo),
IF(ISNUMBER(_xlpm.val),_xlpm.val*$H257,""))</f>
        <v/>
      </c>
      <c r="M257" s="6" t="str">
        <f>_xlfn.LET(
_xlpm.rowNo, MATCH($C257&amp;"|"&amp;
($F257+M$4),Raw_Fund!$A:$A,0),
_xlpm.colNo,
MATCH(M$3,Raw_Fund!$E$1:$AZ$1,0),
_xlpm.val,
INDEX(Raw_Fund!$E:$AZ,_xlpm.rowNo,_xlpm.colNo),
IF(ISNUMBER(_xlpm.val),_xlpm.val*$H257,""))</f>
        <v/>
      </c>
      <c r="N257" s="6" t="str">
        <f>_xlfn.LET(
_xlpm.rowNo, MATCH($C257&amp;"|"&amp;
($F257+N$4),Raw_Fund!$A:$A,0),
_xlpm.colNo,
MATCH(N$3,Raw_Fund!$E$1:$AZ$1,0),
_xlpm.val,
INDEX(Raw_Fund!$E:$AZ,_xlpm.rowNo,_xlpm.colNo),
IF(ISNUMBER(_xlpm.val),_xlpm.val*$H257,""))</f>
        <v/>
      </c>
      <c r="O257" s="6" t="str">
        <f>_xlfn.LET(
_xlpm.rowNo, MATCH($C257&amp;"|"&amp;
($F257+O$4),Raw_Fund!$A:$A,0),
_xlpm.colNo,
MATCH(O$3,Raw_Fund!$E$1:$AZ$1,0),
_xlpm.val,
INDEX(Raw_Fund!$E:$AZ,_xlpm.rowNo,_xlpm.colNo),
IF(ISNUMBER(_xlpm.val),_xlpm.val*$H257,""))</f>
        <v/>
      </c>
      <c r="P257" s="6" t="str">
        <f>_xlfn.LET(
_xlpm.rowNo, MATCH($C257&amp;"|"&amp;
($F257+P$4),Raw_Fund!$A:$A,0),
_xlpm.colNo,
MATCH(P$3,Raw_Fund!$E$1:$AZ$1,0),
_xlpm.val,
INDEX(Raw_Fund!$E:$AZ,_xlpm.rowNo,_xlpm.colNo),
IF(ISNUMBER(_xlpm.val),_xlpm.val*$H257,""))</f>
        <v/>
      </c>
      <c r="Q257" s="6" t="str">
        <f>_xlfn.LET(
_xlpm.rowNo, MATCH($C257&amp;"|"&amp;
($F257+Q$4),Raw_Fund!$A:$A,0),
_xlpm.colNo,
MATCH(Q$3,Raw_Fund!$E$1:$AZ$1,0),
_xlpm.val,
INDEX(Raw_Fund!$E:$AZ,_xlpm.rowNo,_xlpm.colNo),
IF(ISNUMBER(_xlpm.val),_xlpm.val*$H257,""))</f>
        <v/>
      </c>
      <c r="R257" s="6" t="str">
        <f>_xlfn.LET(
_xlpm.rowNo, MATCH($C257&amp;"|"&amp;
($F257+R$4),Raw_Fund!$A:$A,0),
_xlpm.colNo,
MATCH(R$3,Raw_Fund!$E$1:$AZ$1,0),
_xlpm.val,
INDEX(Raw_Fund!$E:$AZ,_xlpm.rowNo,_xlpm.colNo),
IF(ISNUMBER(_xlpm.val),_xlpm.val*$H257,""))</f>
        <v/>
      </c>
      <c r="S257" s="6" t="str">
        <f>_xlfn.LET(
_xlpm.rowNo, MATCH($C257&amp;"|"&amp;
($F257+S$4),Raw_Fund!$A:$A,0),
_xlpm.colNo,
MATCH(S$3,Raw_Fund!$E$1:$AZ$1,0),
_xlpm.val,
INDEX(Raw_Fund!$E:$AZ,_xlpm.rowNo,_xlpm.colNo),
IF(ISNUMBER(_xlpm.val),_xlpm.val*$H257,""))</f>
        <v/>
      </c>
      <c r="T257" s="6" t="str">
        <f>_xlfn.LET(
_xlpm.rowNo, MATCH($C257&amp;"|"&amp;
($F257+T$4),Raw_Fund!$A:$A,0),
_xlpm.colNo,
MATCH(T$3,Raw_Fund!$E$1:$AZ$1,0),
_xlpm.val,
INDEX(Raw_Fund!$E:$AZ,_xlpm.rowNo,_xlpm.colNo),
IF(ISNUMBER(_xlpm.val),_xlpm.val*$H257,""))</f>
        <v/>
      </c>
      <c r="U257" s="6" t="str">
        <f>_xlfn.LET(
_xlpm.rowNo, MATCH($C257&amp;"|"&amp;
($F257+U$4),Raw_Fund!$A:$A,0),
_xlpm.colNo,
MATCH(U$3,Raw_Fund!$E$1:$AZ$1,0),
_xlpm.val,
INDEX(Raw_Fund!$E:$AZ,_xlpm.rowNo,_xlpm.colNo),
IF(ISNUMBER(_xlpm.val),_xlpm.val*$H257,""))</f>
        <v/>
      </c>
      <c r="V257" s="6" t="str">
        <f>_xlfn.LET(
_xlpm.rowNo, MATCH($C257&amp;"|"&amp;
($F257+V$4),Raw_Fund!$A:$A,0),
_xlpm.colNo,
MATCH(V$3,Raw_Fund!$E$1:$AZ$1,0),
_xlpm.val,
INDEX(Raw_Fund!$E:$AZ,_xlpm.rowNo,_xlpm.colNo),
IF(ISNUMBER(_xlpm.val),_xlpm.val*$H257,""))</f>
        <v/>
      </c>
      <c r="W257" s="6" t="str">
        <f>_xlfn.LET(
_xlpm.rowNo, MATCH($C257&amp;"|"&amp;
($F257+W$4),Raw_Fund!$A:$A,0),
_xlpm.colNo,
MATCH(W$3,Raw_Fund!$E$1:$AZ$1,0),
_xlpm.val,
INDEX(Raw_Fund!$E:$AZ,_xlpm.rowNo,_xlpm.colNo),
IF(ISNUMBER(_xlpm.val),_xlpm.val*$H257,""))</f>
        <v/>
      </c>
      <c r="X257" s="6" t="str">
        <f>_xlfn.LET(
_xlpm.rowNo, MATCH($C257&amp;"|"&amp;
($F257+X$4),Raw_Fund!$A:$A,0),
_xlpm.colNo,
MATCH(X$3,Raw_Fund!$E$1:$AZ$1,0),
_xlpm.val,
INDEX(Raw_Fund!$E:$AZ,_xlpm.rowNo,_xlpm.colNo),
IF(ISNUMBER(_xlpm.val),_xlpm.val*$H257,""))</f>
        <v/>
      </c>
      <c r="Y257" s="6" t="str">
        <f>_xlfn.LET(
_xlpm.rowNo, MATCH($C257&amp;"|"&amp;
($F257+Y$4),Raw_Fund!$A:$A,0),
_xlpm.colNo,
MATCH(Y$3,Raw_Fund!$E$1:$AZ$1,0),
_xlpm.val,
INDEX(Raw_Fund!$E:$AZ,_xlpm.rowNo,_xlpm.colNo),
IF(ISNUMBER(_xlpm.val),_xlpm.val*$H257,""))</f>
        <v/>
      </c>
      <c r="Z257" s="6" t="str">
        <f>IF($E257&lt;&gt;"Include","",_xlfn.XLOOKUP($C257,Raw_Mkt!$A:$A,Raw_Mkt!$B:$B))</f>
        <v/>
      </c>
    </row>
    <row r="258" spans="1:26" x14ac:dyDescent="0.4">
      <c r="A258" t="str">
        <f>IF(Universe!A258&lt;&gt;"",Universe!A258,"")</f>
        <v/>
      </c>
      <c r="B258" t="str">
        <f>IF(Universe!B258&lt;&gt;"",Universe!B258,"")</f>
        <v/>
      </c>
      <c r="C258" t="str">
        <f>IF(Universe!C258&lt;&gt;"",Universe!C258,"")</f>
        <v/>
      </c>
      <c r="D258" t="str">
        <f>IF(Universe!D258&lt;&gt;"",Universe!D258,"")</f>
        <v/>
      </c>
      <c r="E258" t="str">
        <f>Universe!G258</f>
        <v/>
      </c>
      <c r="F258" t="str">
        <f>IF($E258&lt;&gt;"Include","",_xlfn.LET(_xlpm.latest,_xlfn.MAXIFS(Raw_Fund!$C:$C,Raw_Fund!$B:$B,Data!$C258),IF(_xlpm.latest=0,"",_xlpm.latest)))</f>
        <v/>
      </c>
      <c r="G258" t="str">
        <f>IF($F258="","",INDEX(Raw_Fund!$E:$AZ,MATCH($C258&amp;"|"&amp;$F258,Raw_Fund!$A:$A,0),MATCH(G$3,Raw_Fund!$E$1:$AZ$1,0)))</f>
        <v/>
      </c>
      <c r="H258" t="str">
        <f t="shared" si="3"/>
        <v/>
      </c>
      <c r="I258" s="6" t="str">
        <f>_xlfn.LET(
_xlpm.rowNo, MATCH($C258&amp;"|"&amp;
($F258+I$4),Raw_Fund!$A:$A,0),
_xlpm.colNo,
MATCH(I$3,Raw_Fund!$E$1:$AZ$1,0),
_xlpm.val,
INDEX(Raw_Fund!$E:$AZ,_xlpm.rowNo,_xlpm.colNo),
IF(ISNUMBER(_xlpm.val),_xlpm.val*$H258,""))</f>
        <v/>
      </c>
      <c r="J258" s="6" t="str">
        <f>_xlfn.LET(
_xlpm.rowNo, MATCH($C258&amp;"|"&amp;
($F258+J$4),Raw_Fund!$A:$A,0),
_xlpm.colNo,
MATCH(J$3,Raw_Fund!$E$1:$AZ$1,0),
_xlpm.val,
INDEX(Raw_Fund!$E:$AZ,_xlpm.rowNo,_xlpm.colNo),
IF(ISNUMBER(_xlpm.val),_xlpm.val*$H258,""))</f>
        <v/>
      </c>
      <c r="K258" s="6" t="str">
        <f>_xlfn.LET(
_xlpm.rowNo, MATCH($C258&amp;"|"&amp;
($F258+K$4),Raw_Fund!$A:$A,0),
_xlpm.colNo,
MATCH(K$3,Raw_Fund!$E$1:$AZ$1,0),
_xlpm.val,
INDEX(Raw_Fund!$E:$AZ,_xlpm.rowNo,_xlpm.colNo),
IF(ISNUMBER(_xlpm.val),_xlpm.val*$H258,""))</f>
        <v/>
      </c>
      <c r="L258" s="6" t="str">
        <f>_xlfn.LET(
_xlpm.rowNo, MATCH($C258&amp;"|"&amp;
($F258+L$4),Raw_Fund!$A:$A,0),
_xlpm.colNo,
MATCH(L$3,Raw_Fund!$E$1:$AZ$1,0),
_xlpm.val,
INDEX(Raw_Fund!$E:$AZ,_xlpm.rowNo,_xlpm.colNo),
IF(ISNUMBER(_xlpm.val),_xlpm.val*$H258,""))</f>
        <v/>
      </c>
      <c r="M258" s="6" t="str">
        <f>_xlfn.LET(
_xlpm.rowNo, MATCH($C258&amp;"|"&amp;
($F258+M$4),Raw_Fund!$A:$A,0),
_xlpm.colNo,
MATCH(M$3,Raw_Fund!$E$1:$AZ$1,0),
_xlpm.val,
INDEX(Raw_Fund!$E:$AZ,_xlpm.rowNo,_xlpm.colNo),
IF(ISNUMBER(_xlpm.val),_xlpm.val*$H258,""))</f>
        <v/>
      </c>
      <c r="N258" s="6" t="str">
        <f>_xlfn.LET(
_xlpm.rowNo, MATCH($C258&amp;"|"&amp;
($F258+N$4),Raw_Fund!$A:$A,0),
_xlpm.colNo,
MATCH(N$3,Raw_Fund!$E$1:$AZ$1,0),
_xlpm.val,
INDEX(Raw_Fund!$E:$AZ,_xlpm.rowNo,_xlpm.colNo),
IF(ISNUMBER(_xlpm.val),_xlpm.val*$H258,""))</f>
        <v/>
      </c>
      <c r="O258" s="6" t="str">
        <f>_xlfn.LET(
_xlpm.rowNo, MATCH($C258&amp;"|"&amp;
($F258+O$4),Raw_Fund!$A:$A,0),
_xlpm.colNo,
MATCH(O$3,Raw_Fund!$E$1:$AZ$1,0),
_xlpm.val,
INDEX(Raw_Fund!$E:$AZ,_xlpm.rowNo,_xlpm.colNo),
IF(ISNUMBER(_xlpm.val),_xlpm.val*$H258,""))</f>
        <v/>
      </c>
      <c r="P258" s="6" t="str">
        <f>_xlfn.LET(
_xlpm.rowNo, MATCH($C258&amp;"|"&amp;
($F258+P$4),Raw_Fund!$A:$A,0),
_xlpm.colNo,
MATCH(P$3,Raw_Fund!$E$1:$AZ$1,0),
_xlpm.val,
INDEX(Raw_Fund!$E:$AZ,_xlpm.rowNo,_xlpm.colNo),
IF(ISNUMBER(_xlpm.val),_xlpm.val*$H258,""))</f>
        <v/>
      </c>
      <c r="Q258" s="6" t="str">
        <f>_xlfn.LET(
_xlpm.rowNo, MATCH($C258&amp;"|"&amp;
($F258+Q$4),Raw_Fund!$A:$A,0),
_xlpm.colNo,
MATCH(Q$3,Raw_Fund!$E$1:$AZ$1,0),
_xlpm.val,
INDEX(Raw_Fund!$E:$AZ,_xlpm.rowNo,_xlpm.colNo),
IF(ISNUMBER(_xlpm.val),_xlpm.val*$H258,""))</f>
        <v/>
      </c>
      <c r="R258" s="6" t="str">
        <f>_xlfn.LET(
_xlpm.rowNo, MATCH($C258&amp;"|"&amp;
($F258+R$4),Raw_Fund!$A:$A,0),
_xlpm.colNo,
MATCH(R$3,Raw_Fund!$E$1:$AZ$1,0),
_xlpm.val,
INDEX(Raw_Fund!$E:$AZ,_xlpm.rowNo,_xlpm.colNo),
IF(ISNUMBER(_xlpm.val),_xlpm.val*$H258,""))</f>
        <v/>
      </c>
      <c r="S258" s="6" t="str">
        <f>_xlfn.LET(
_xlpm.rowNo, MATCH($C258&amp;"|"&amp;
($F258+S$4),Raw_Fund!$A:$A,0),
_xlpm.colNo,
MATCH(S$3,Raw_Fund!$E$1:$AZ$1,0),
_xlpm.val,
INDEX(Raw_Fund!$E:$AZ,_xlpm.rowNo,_xlpm.colNo),
IF(ISNUMBER(_xlpm.val),_xlpm.val*$H258,""))</f>
        <v/>
      </c>
      <c r="T258" s="6" t="str">
        <f>_xlfn.LET(
_xlpm.rowNo, MATCH($C258&amp;"|"&amp;
($F258+T$4),Raw_Fund!$A:$A,0),
_xlpm.colNo,
MATCH(T$3,Raw_Fund!$E$1:$AZ$1,0),
_xlpm.val,
INDEX(Raw_Fund!$E:$AZ,_xlpm.rowNo,_xlpm.colNo),
IF(ISNUMBER(_xlpm.val),_xlpm.val*$H258,""))</f>
        <v/>
      </c>
      <c r="U258" s="6" t="str">
        <f>_xlfn.LET(
_xlpm.rowNo, MATCH($C258&amp;"|"&amp;
($F258+U$4),Raw_Fund!$A:$A,0),
_xlpm.colNo,
MATCH(U$3,Raw_Fund!$E$1:$AZ$1,0),
_xlpm.val,
INDEX(Raw_Fund!$E:$AZ,_xlpm.rowNo,_xlpm.colNo),
IF(ISNUMBER(_xlpm.val),_xlpm.val*$H258,""))</f>
        <v/>
      </c>
      <c r="V258" s="6" t="str">
        <f>_xlfn.LET(
_xlpm.rowNo, MATCH($C258&amp;"|"&amp;
($F258+V$4),Raw_Fund!$A:$A,0),
_xlpm.colNo,
MATCH(V$3,Raw_Fund!$E$1:$AZ$1,0),
_xlpm.val,
INDEX(Raw_Fund!$E:$AZ,_xlpm.rowNo,_xlpm.colNo),
IF(ISNUMBER(_xlpm.val),_xlpm.val*$H258,""))</f>
        <v/>
      </c>
      <c r="W258" s="6" t="str">
        <f>_xlfn.LET(
_xlpm.rowNo, MATCH($C258&amp;"|"&amp;
($F258+W$4),Raw_Fund!$A:$A,0),
_xlpm.colNo,
MATCH(W$3,Raw_Fund!$E$1:$AZ$1,0),
_xlpm.val,
INDEX(Raw_Fund!$E:$AZ,_xlpm.rowNo,_xlpm.colNo),
IF(ISNUMBER(_xlpm.val),_xlpm.val*$H258,""))</f>
        <v/>
      </c>
      <c r="X258" s="6" t="str">
        <f>_xlfn.LET(
_xlpm.rowNo, MATCH($C258&amp;"|"&amp;
($F258+X$4),Raw_Fund!$A:$A,0),
_xlpm.colNo,
MATCH(X$3,Raw_Fund!$E$1:$AZ$1,0),
_xlpm.val,
INDEX(Raw_Fund!$E:$AZ,_xlpm.rowNo,_xlpm.colNo),
IF(ISNUMBER(_xlpm.val),_xlpm.val*$H258,""))</f>
        <v/>
      </c>
      <c r="Y258" s="6" t="str">
        <f>_xlfn.LET(
_xlpm.rowNo, MATCH($C258&amp;"|"&amp;
($F258+Y$4),Raw_Fund!$A:$A,0),
_xlpm.colNo,
MATCH(Y$3,Raw_Fund!$E$1:$AZ$1,0),
_xlpm.val,
INDEX(Raw_Fund!$E:$AZ,_xlpm.rowNo,_xlpm.colNo),
IF(ISNUMBER(_xlpm.val),_xlpm.val*$H258,""))</f>
        <v/>
      </c>
      <c r="Z258" s="6" t="str">
        <f>IF($E258&lt;&gt;"Include","",_xlfn.XLOOKUP($C258,Raw_Mkt!$A:$A,Raw_Mkt!$B:$B))</f>
        <v/>
      </c>
    </row>
    <row r="259" spans="1:26" x14ac:dyDescent="0.4">
      <c r="A259" t="str">
        <f>IF(Universe!A259&lt;&gt;"",Universe!A259,"")</f>
        <v/>
      </c>
      <c r="B259" t="str">
        <f>IF(Universe!B259&lt;&gt;"",Universe!B259,"")</f>
        <v/>
      </c>
      <c r="C259" t="str">
        <f>IF(Universe!C259&lt;&gt;"",Universe!C259,"")</f>
        <v/>
      </c>
      <c r="D259" t="str">
        <f>IF(Universe!D259&lt;&gt;"",Universe!D259,"")</f>
        <v/>
      </c>
      <c r="E259" t="str">
        <f>Universe!G259</f>
        <v/>
      </c>
      <c r="F259" t="str">
        <f>IF($E259&lt;&gt;"Include","",_xlfn.LET(_xlpm.latest,_xlfn.MAXIFS(Raw_Fund!$C:$C,Raw_Fund!$B:$B,Data!$C259),IF(_xlpm.latest=0,"",_xlpm.latest)))</f>
        <v/>
      </c>
      <c r="G259" t="str">
        <f>IF($F259="","",INDEX(Raw_Fund!$E:$AZ,MATCH($C259&amp;"|"&amp;$F259,Raw_Fund!$A:$A,0),MATCH(G$3,Raw_Fund!$E$1:$AZ$1,0)))</f>
        <v/>
      </c>
      <c r="H259" t="str">
        <f t="shared" si="3"/>
        <v/>
      </c>
      <c r="I259" s="6" t="str">
        <f>_xlfn.LET(
_xlpm.rowNo, MATCH($C259&amp;"|"&amp;
($F259+I$4),Raw_Fund!$A:$A,0),
_xlpm.colNo,
MATCH(I$3,Raw_Fund!$E$1:$AZ$1,0),
_xlpm.val,
INDEX(Raw_Fund!$E:$AZ,_xlpm.rowNo,_xlpm.colNo),
IF(ISNUMBER(_xlpm.val),_xlpm.val*$H259,""))</f>
        <v/>
      </c>
      <c r="J259" s="6" t="str">
        <f>_xlfn.LET(
_xlpm.rowNo, MATCH($C259&amp;"|"&amp;
($F259+J$4),Raw_Fund!$A:$A,0),
_xlpm.colNo,
MATCH(J$3,Raw_Fund!$E$1:$AZ$1,0),
_xlpm.val,
INDEX(Raw_Fund!$E:$AZ,_xlpm.rowNo,_xlpm.colNo),
IF(ISNUMBER(_xlpm.val),_xlpm.val*$H259,""))</f>
        <v/>
      </c>
      <c r="K259" s="6" t="str">
        <f>_xlfn.LET(
_xlpm.rowNo, MATCH($C259&amp;"|"&amp;
($F259+K$4),Raw_Fund!$A:$A,0),
_xlpm.colNo,
MATCH(K$3,Raw_Fund!$E$1:$AZ$1,0),
_xlpm.val,
INDEX(Raw_Fund!$E:$AZ,_xlpm.rowNo,_xlpm.colNo),
IF(ISNUMBER(_xlpm.val),_xlpm.val*$H259,""))</f>
        <v/>
      </c>
      <c r="L259" s="6" t="str">
        <f>_xlfn.LET(
_xlpm.rowNo, MATCH($C259&amp;"|"&amp;
($F259+L$4),Raw_Fund!$A:$A,0),
_xlpm.colNo,
MATCH(L$3,Raw_Fund!$E$1:$AZ$1,0),
_xlpm.val,
INDEX(Raw_Fund!$E:$AZ,_xlpm.rowNo,_xlpm.colNo),
IF(ISNUMBER(_xlpm.val),_xlpm.val*$H259,""))</f>
        <v/>
      </c>
      <c r="M259" s="6" t="str">
        <f>_xlfn.LET(
_xlpm.rowNo, MATCH($C259&amp;"|"&amp;
($F259+M$4),Raw_Fund!$A:$A,0),
_xlpm.colNo,
MATCH(M$3,Raw_Fund!$E$1:$AZ$1,0),
_xlpm.val,
INDEX(Raw_Fund!$E:$AZ,_xlpm.rowNo,_xlpm.colNo),
IF(ISNUMBER(_xlpm.val),_xlpm.val*$H259,""))</f>
        <v/>
      </c>
      <c r="N259" s="6" t="str">
        <f>_xlfn.LET(
_xlpm.rowNo, MATCH($C259&amp;"|"&amp;
($F259+N$4),Raw_Fund!$A:$A,0),
_xlpm.colNo,
MATCH(N$3,Raw_Fund!$E$1:$AZ$1,0),
_xlpm.val,
INDEX(Raw_Fund!$E:$AZ,_xlpm.rowNo,_xlpm.colNo),
IF(ISNUMBER(_xlpm.val),_xlpm.val*$H259,""))</f>
        <v/>
      </c>
      <c r="O259" s="6" t="str">
        <f>_xlfn.LET(
_xlpm.rowNo, MATCH($C259&amp;"|"&amp;
($F259+O$4),Raw_Fund!$A:$A,0),
_xlpm.colNo,
MATCH(O$3,Raw_Fund!$E$1:$AZ$1,0),
_xlpm.val,
INDEX(Raw_Fund!$E:$AZ,_xlpm.rowNo,_xlpm.colNo),
IF(ISNUMBER(_xlpm.val),_xlpm.val*$H259,""))</f>
        <v/>
      </c>
      <c r="P259" s="6" t="str">
        <f>_xlfn.LET(
_xlpm.rowNo, MATCH($C259&amp;"|"&amp;
($F259+P$4),Raw_Fund!$A:$A,0),
_xlpm.colNo,
MATCH(P$3,Raw_Fund!$E$1:$AZ$1,0),
_xlpm.val,
INDEX(Raw_Fund!$E:$AZ,_xlpm.rowNo,_xlpm.colNo),
IF(ISNUMBER(_xlpm.val),_xlpm.val*$H259,""))</f>
        <v/>
      </c>
      <c r="Q259" s="6" t="str">
        <f>_xlfn.LET(
_xlpm.rowNo, MATCH($C259&amp;"|"&amp;
($F259+Q$4),Raw_Fund!$A:$A,0),
_xlpm.colNo,
MATCH(Q$3,Raw_Fund!$E$1:$AZ$1,0),
_xlpm.val,
INDEX(Raw_Fund!$E:$AZ,_xlpm.rowNo,_xlpm.colNo),
IF(ISNUMBER(_xlpm.val),_xlpm.val*$H259,""))</f>
        <v/>
      </c>
      <c r="R259" s="6" t="str">
        <f>_xlfn.LET(
_xlpm.rowNo, MATCH($C259&amp;"|"&amp;
($F259+R$4),Raw_Fund!$A:$A,0),
_xlpm.colNo,
MATCH(R$3,Raw_Fund!$E$1:$AZ$1,0),
_xlpm.val,
INDEX(Raw_Fund!$E:$AZ,_xlpm.rowNo,_xlpm.colNo),
IF(ISNUMBER(_xlpm.val),_xlpm.val*$H259,""))</f>
        <v/>
      </c>
      <c r="S259" s="6" t="str">
        <f>_xlfn.LET(
_xlpm.rowNo, MATCH($C259&amp;"|"&amp;
($F259+S$4),Raw_Fund!$A:$A,0),
_xlpm.colNo,
MATCH(S$3,Raw_Fund!$E$1:$AZ$1,0),
_xlpm.val,
INDEX(Raw_Fund!$E:$AZ,_xlpm.rowNo,_xlpm.colNo),
IF(ISNUMBER(_xlpm.val),_xlpm.val*$H259,""))</f>
        <v/>
      </c>
      <c r="T259" s="6" t="str">
        <f>_xlfn.LET(
_xlpm.rowNo, MATCH($C259&amp;"|"&amp;
($F259+T$4),Raw_Fund!$A:$A,0),
_xlpm.colNo,
MATCH(T$3,Raw_Fund!$E$1:$AZ$1,0),
_xlpm.val,
INDEX(Raw_Fund!$E:$AZ,_xlpm.rowNo,_xlpm.colNo),
IF(ISNUMBER(_xlpm.val),_xlpm.val*$H259,""))</f>
        <v/>
      </c>
      <c r="U259" s="6" t="str">
        <f>_xlfn.LET(
_xlpm.rowNo, MATCH($C259&amp;"|"&amp;
($F259+U$4),Raw_Fund!$A:$A,0),
_xlpm.colNo,
MATCH(U$3,Raw_Fund!$E$1:$AZ$1,0),
_xlpm.val,
INDEX(Raw_Fund!$E:$AZ,_xlpm.rowNo,_xlpm.colNo),
IF(ISNUMBER(_xlpm.val),_xlpm.val*$H259,""))</f>
        <v/>
      </c>
      <c r="V259" s="6" t="str">
        <f>_xlfn.LET(
_xlpm.rowNo, MATCH($C259&amp;"|"&amp;
($F259+V$4),Raw_Fund!$A:$A,0),
_xlpm.colNo,
MATCH(V$3,Raw_Fund!$E$1:$AZ$1,0),
_xlpm.val,
INDEX(Raw_Fund!$E:$AZ,_xlpm.rowNo,_xlpm.colNo),
IF(ISNUMBER(_xlpm.val),_xlpm.val*$H259,""))</f>
        <v/>
      </c>
      <c r="W259" s="6" t="str">
        <f>_xlfn.LET(
_xlpm.rowNo, MATCH($C259&amp;"|"&amp;
($F259+W$4),Raw_Fund!$A:$A,0),
_xlpm.colNo,
MATCH(W$3,Raw_Fund!$E$1:$AZ$1,0),
_xlpm.val,
INDEX(Raw_Fund!$E:$AZ,_xlpm.rowNo,_xlpm.colNo),
IF(ISNUMBER(_xlpm.val),_xlpm.val*$H259,""))</f>
        <v/>
      </c>
      <c r="X259" s="6" t="str">
        <f>_xlfn.LET(
_xlpm.rowNo, MATCH($C259&amp;"|"&amp;
($F259+X$4),Raw_Fund!$A:$A,0),
_xlpm.colNo,
MATCH(X$3,Raw_Fund!$E$1:$AZ$1,0),
_xlpm.val,
INDEX(Raw_Fund!$E:$AZ,_xlpm.rowNo,_xlpm.colNo),
IF(ISNUMBER(_xlpm.val),_xlpm.val*$H259,""))</f>
        <v/>
      </c>
      <c r="Y259" s="6" t="str">
        <f>_xlfn.LET(
_xlpm.rowNo, MATCH($C259&amp;"|"&amp;
($F259+Y$4),Raw_Fund!$A:$A,0),
_xlpm.colNo,
MATCH(Y$3,Raw_Fund!$E$1:$AZ$1,0),
_xlpm.val,
INDEX(Raw_Fund!$E:$AZ,_xlpm.rowNo,_xlpm.colNo),
IF(ISNUMBER(_xlpm.val),_xlpm.val*$H259,""))</f>
        <v/>
      </c>
      <c r="Z259" s="6" t="str">
        <f>IF($E259&lt;&gt;"Include","",_xlfn.XLOOKUP($C259,Raw_Mkt!$A:$A,Raw_Mkt!$B:$B))</f>
        <v/>
      </c>
    </row>
    <row r="260" spans="1:26" x14ac:dyDescent="0.4">
      <c r="A260" t="str">
        <f>IF(Universe!A260&lt;&gt;"",Universe!A260,"")</f>
        <v/>
      </c>
      <c r="B260" t="str">
        <f>IF(Universe!B260&lt;&gt;"",Universe!B260,"")</f>
        <v/>
      </c>
      <c r="C260" t="str">
        <f>IF(Universe!C260&lt;&gt;"",Universe!C260,"")</f>
        <v/>
      </c>
      <c r="D260" t="str">
        <f>IF(Universe!D260&lt;&gt;"",Universe!D260,"")</f>
        <v/>
      </c>
      <c r="E260" t="str">
        <f>Universe!G260</f>
        <v/>
      </c>
      <c r="F260" t="str">
        <f>IF($E260&lt;&gt;"Include","",_xlfn.LET(_xlpm.latest,_xlfn.MAXIFS(Raw_Fund!$C:$C,Raw_Fund!$B:$B,Data!$C260),IF(_xlpm.latest=0,"",_xlpm.latest)))</f>
        <v/>
      </c>
      <c r="G260" t="str">
        <f>IF($F260="","",INDEX(Raw_Fund!$E:$AZ,MATCH($C260&amp;"|"&amp;$F260,Raw_Fund!$A:$A,0),MATCH(G$3,Raw_Fund!$E$1:$AZ$1,0)))</f>
        <v/>
      </c>
      <c r="H260" t="str">
        <f t="shared" si="3"/>
        <v/>
      </c>
      <c r="I260" s="6" t="str">
        <f>_xlfn.LET(
_xlpm.rowNo, MATCH($C260&amp;"|"&amp;
($F260+I$4),Raw_Fund!$A:$A,0),
_xlpm.colNo,
MATCH(I$3,Raw_Fund!$E$1:$AZ$1,0),
_xlpm.val,
INDEX(Raw_Fund!$E:$AZ,_xlpm.rowNo,_xlpm.colNo),
IF(ISNUMBER(_xlpm.val),_xlpm.val*$H260,""))</f>
        <v/>
      </c>
      <c r="J260" s="6" t="str">
        <f>_xlfn.LET(
_xlpm.rowNo, MATCH($C260&amp;"|"&amp;
($F260+J$4),Raw_Fund!$A:$A,0),
_xlpm.colNo,
MATCH(J$3,Raw_Fund!$E$1:$AZ$1,0),
_xlpm.val,
INDEX(Raw_Fund!$E:$AZ,_xlpm.rowNo,_xlpm.colNo),
IF(ISNUMBER(_xlpm.val),_xlpm.val*$H260,""))</f>
        <v/>
      </c>
      <c r="K260" s="6" t="str">
        <f>_xlfn.LET(
_xlpm.rowNo, MATCH($C260&amp;"|"&amp;
($F260+K$4),Raw_Fund!$A:$A,0),
_xlpm.colNo,
MATCH(K$3,Raw_Fund!$E$1:$AZ$1,0),
_xlpm.val,
INDEX(Raw_Fund!$E:$AZ,_xlpm.rowNo,_xlpm.colNo),
IF(ISNUMBER(_xlpm.val),_xlpm.val*$H260,""))</f>
        <v/>
      </c>
      <c r="L260" s="6" t="str">
        <f>_xlfn.LET(
_xlpm.rowNo, MATCH($C260&amp;"|"&amp;
($F260+L$4),Raw_Fund!$A:$A,0),
_xlpm.colNo,
MATCH(L$3,Raw_Fund!$E$1:$AZ$1,0),
_xlpm.val,
INDEX(Raw_Fund!$E:$AZ,_xlpm.rowNo,_xlpm.colNo),
IF(ISNUMBER(_xlpm.val),_xlpm.val*$H260,""))</f>
        <v/>
      </c>
      <c r="M260" s="6" t="str">
        <f>_xlfn.LET(
_xlpm.rowNo, MATCH($C260&amp;"|"&amp;
($F260+M$4),Raw_Fund!$A:$A,0),
_xlpm.colNo,
MATCH(M$3,Raw_Fund!$E$1:$AZ$1,0),
_xlpm.val,
INDEX(Raw_Fund!$E:$AZ,_xlpm.rowNo,_xlpm.colNo),
IF(ISNUMBER(_xlpm.val),_xlpm.val*$H260,""))</f>
        <v/>
      </c>
      <c r="N260" s="6" t="str">
        <f>_xlfn.LET(
_xlpm.rowNo, MATCH($C260&amp;"|"&amp;
($F260+N$4),Raw_Fund!$A:$A,0),
_xlpm.colNo,
MATCH(N$3,Raw_Fund!$E$1:$AZ$1,0),
_xlpm.val,
INDEX(Raw_Fund!$E:$AZ,_xlpm.rowNo,_xlpm.colNo),
IF(ISNUMBER(_xlpm.val),_xlpm.val*$H260,""))</f>
        <v/>
      </c>
      <c r="O260" s="6" t="str">
        <f>_xlfn.LET(
_xlpm.rowNo, MATCH($C260&amp;"|"&amp;
($F260+O$4),Raw_Fund!$A:$A,0),
_xlpm.colNo,
MATCH(O$3,Raw_Fund!$E$1:$AZ$1,0),
_xlpm.val,
INDEX(Raw_Fund!$E:$AZ,_xlpm.rowNo,_xlpm.colNo),
IF(ISNUMBER(_xlpm.val),_xlpm.val*$H260,""))</f>
        <v/>
      </c>
      <c r="P260" s="6" t="str">
        <f>_xlfn.LET(
_xlpm.rowNo, MATCH($C260&amp;"|"&amp;
($F260+P$4),Raw_Fund!$A:$A,0),
_xlpm.colNo,
MATCH(P$3,Raw_Fund!$E$1:$AZ$1,0),
_xlpm.val,
INDEX(Raw_Fund!$E:$AZ,_xlpm.rowNo,_xlpm.colNo),
IF(ISNUMBER(_xlpm.val),_xlpm.val*$H260,""))</f>
        <v/>
      </c>
      <c r="Q260" s="6" t="str">
        <f>_xlfn.LET(
_xlpm.rowNo, MATCH($C260&amp;"|"&amp;
($F260+Q$4),Raw_Fund!$A:$A,0),
_xlpm.colNo,
MATCH(Q$3,Raw_Fund!$E$1:$AZ$1,0),
_xlpm.val,
INDEX(Raw_Fund!$E:$AZ,_xlpm.rowNo,_xlpm.colNo),
IF(ISNUMBER(_xlpm.val),_xlpm.val*$H260,""))</f>
        <v/>
      </c>
      <c r="R260" s="6" t="str">
        <f>_xlfn.LET(
_xlpm.rowNo, MATCH($C260&amp;"|"&amp;
($F260+R$4),Raw_Fund!$A:$A,0),
_xlpm.colNo,
MATCH(R$3,Raw_Fund!$E$1:$AZ$1,0),
_xlpm.val,
INDEX(Raw_Fund!$E:$AZ,_xlpm.rowNo,_xlpm.colNo),
IF(ISNUMBER(_xlpm.val),_xlpm.val*$H260,""))</f>
        <v/>
      </c>
      <c r="S260" s="6" t="str">
        <f>_xlfn.LET(
_xlpm.rowNo, MATCH($C260&amp;"|"&amp;
($F260+S$4),Raw_Fund!$A:$A,0),
_xlpm.colNo,
MATCH(S$3,Raw_Fund!$E$1:$AZ$1,0),
_xlpm.val,
INDEX(Raw_Fund!$E:$AZ,_xlpm.rowNo,_xlpm.colNo),
IF(ISNUMBER(_xlpm.val),_xlpm.val*$H260,""))</f>
        <v/>
      </c>
      <c r="T260" s="6" t="str">
        <f>_xlfn.LET(
_xlpm.rowNo, MATCH($C260&amp;"|"&amp;
($F260+T$4),Raw_Fund!$A:$A,0),
_xlpm.colNo,
MATCH(T$3,Raw_Fund!$E$1:$AZ$1,0),
_xlpm.val,
INDEX(Raw_Fund!$E:$AZ,_xlpm.rowNo,_xlpm.colNo),
IF(ISNUMBER(_xlpm.val),_xlpm.val*$H260,""))</f>
        <v/>
      </c>
      <c r="U260" s="6" t="str">
        <f>_xlfn.LET(
_xlpm.rowNo, MATCH($C260&amp;"|"&amp;
($F260+U$4),Raw_Fund!$A:$A,0),
_xlpm.colNo,
MATCH(U$3,Raw_Fund!$E$1:$AZ$1,0),
_xlpm.val,
INDEX(Raw_Fund!$E:$AZ,_xlpm.rowNo,_xlpm.colNo),
IF(ISNUMBER(_xlpm.val),_xlpm.val*$H260,""))</f>
        <v/>
      </c>
      <c r="V260" s="6" t="str">
        <f>_xlfn.LET(
_xlpm.rowNo, MATCH($C260&amp;"|"&amp;
($F260+V$4),Raw_Fund!$A:$A,0),
_xlpm.colNo,
MATCH(V$3,Raw_Fund!$E$1:$AZ$1,0),
_xlpm.val,
INDEX(Raw_Fund!$E:$AZ,_xlpm.rowNo,_xlpm.colNo),
IF(ISNUMBER(_xlpm.val),_xlpm.val*$H260,""))</f>
        <v/>
      </c>
      <c r="W260" s="6" t="str">
        <f>_xlfn.LET(
_xlpm.rowNo, MATCH($C260&amp;"|"&amp;
($F260+W$4),Raw_Fund!$A:$A,0),
_xlpm.colNo,
MATCH(W$3,Raw_Fund!$E$1:$AZ$1,0),
_xlpm.val,
INDEX(Raw_Fund!$E:$AZ,_xlpm.rowNo,_xlpm.colNo),
IF(ISNUMBER(_xlpm.val),_xlpm.val*$H260,""))</f>
        <v/>
      </c>
      <c r="X260" s="6" t="str">
        <f>_xlfn.LET(
_xlpm.rowNo, MATCH($C260&amp;"|"&amp;
($F260+X$4),Raw_Fund!$A:$A,0),
_xlpm.colNo,
MATCH(X$3,Raw_Fund!$E$1:$AZ$1,0),
_xlpm.val,
INDEX(Raw_Fund!$E:$AZ,_xlpm.rowNo,_xlpm.colNo),
IF(ISNUMBER(_xlpm.val),_xlpm.val*$H260,""))</f>
        <v/>
      </c>
      <c r="Y260" s="6" t="str">
        <f>_xlfn.LET(
_xlpm.rowNo, MATCH($C260&amp;"|"&amp;
($F260+Y$4),Raw_Fund!$A:$A,0),
_xlpm.colNo,
MATCH(Y$3,Raw_Fund!$E$1:$AZ$1,0),
_xlpm.val,
INDEX(Raw_Fund!$E:$AZ,_xlpm.rowNo,_xlpm.colNo),
IF(ISNUMBER(_xlpm.val),_xlpm.val*$H260,""))</f>
        <v/>
      </c>
      <c r="Z260" s="6" t="str">
        <f>IF($E260&lt;&gt;"Include","",_xlfn.XLOOKUP($C260,Raw_Mkt!$A:$A,Raw_Mkt!$B:$B))</f>
        <v/>
      </c>
    </row>
    <row r="261" spans="1:26" x14ac:dyDescent="0.4">
      <c r="A261" t="str">
        <f>IF(Universe!A261&lt;&gt;"",Universe!A261,"")</f>
        <v/>
      </c>
      <c r="B261" t="str">
        <f>IF(Universe!B261&lt;&gt;"",Universe!B261,"")</f>
        <v/>
      </c>
      <c r="C261" t="str">
        <f>IF(Universe!C261&lt;&gt;"",Universe!C261,"")</f>
        <v/>
      </c>
      <c r="D261" t="str">
        <f>IF(Universe!D261&lt;&gt;"",Universe!D261,"")</f>
        <v/>
      </c>
      <c r="E261" t="str">
        <f>Universe!G261</f>
        <v/>
      </c>
      <c r="F261" t="str">
        <f>IF($E261&lt;&gt;"Include","",_xlfn.LET(_xlpm.latest,_xlfn.MAXIFS(Raw_Fund!$C:$C,Raw_Fund!$B:$B,Data!$C261),IF(_xlpm.latest=0,"",_xlpm.latest)))</f>
        <v/>
      </c>
      <c r="G261" t="str">
        <f>IF($F261="","",INDEX(Raw_Fund!$E:$AZ,MATCH($C261&amp;"|"&amp;$F261,Raw_Fund!$A:$A,0),MATCH(G$3,Raw_Fund!$E$1:$AZ$1,0)))</f>
        <v/>
      </c>
      <c r="H261" t="str">
        <f t="shared" si="3"/>
        <v/>
      </c>
      <c r="I261" s="6" t="str">
        <f>_xlfn.LET(
_xlpm.rowNo, MATCH($C261&amp;"|"&amp;
($F261+I$4),Raw_Fund!$A:$A,0),
_xlpm.colNo,
MATCH(I$3,Raw_Fund!$E$1:$AZ$1,0),
_xlpm.val,
INDEX(Raw_Fund!$E:$AZ,_xlpm.rowNo,_xlpm.colNo),
IF(ISNUMBER(_xlpm.val),_xlpm.val*$H261,""))</f>
        <v/>
      </c>
      <c r="J261" s="6" t="str">
        <f>_xlfn.LET(
_xlpm.rowNo, MATCH($C261&amp;"|"&amp;
($F261+J$4),Raw_Fund!$A:$A,0),
_xlpm.colNo,
MATCH(J$3,Raw_Fund!$E$1:$AZ$1,0),
_xlpm.val,
INDEX(Raw_Fund!$E:$AZ,_xlpm.rowNo,_xlpm.colNo),
IF(ISNUMBER(_xlpm.val),_xlpm.val*$H261,""))</f>
        <v/>
      </c>
      <c r="K261" s="6" t="str">
        <f>_xlfn.LET(
_xlpm.rowNo, MATCH($C261&amp;"|"&amp;
($F261+K$4),Raw_Fund!$A:$A,0),
_xlpm.colNo,
MATCH(K$3,Raw_Fund!$E$1:$AZ$1,0),
_xlpm.val,
INDEX(Raw_Fund!$E:$AZ,_xlpm.rowNo,_xlpm.colNo),
IF(ISNUMBER(_xlpm.val),_xlpm.val*$H261,""))</f>
        <v/>
      </c>
      <c r="L261" s="6" t="str">
        <f>_xlfn.LET(
_xlpm.rowNo, MATCH($C261&amp;"|"&amp;
($F261+L$4),Raw_Fund!$A:$A,0),
_xlpm.colNo,
MATCH(L$3,Raw_Fund!$E$1:$AZ$1,0),
_xlpm.val,
INDEX(Raw_Fund!$E:$AZ,_xlpm.rowNo,_xlpm.colNo),
IF(ISNUMBER(_xlpm.val),_xlpm.val*$H261,""))</f>
        <v/>
      </c>
      <c r="M261" s="6" t="str">
        <f>_xlfn.LET(
_xlpm.rowNo, MATCH($C261&amp;"|"&amp;
($F261+M$4),Raw_Fund!$A:$A,0),
_xlpm.colNo,
MATCH(M$3,Raw_Fund!$E$1:$AZ$1,0),
_xlpm.val,
INDEX(Raw_Fund!$E:$AZ,_xlpm.rowNo,_xlpm.colNo),
IF(ISNUMBER(_xlpm.val),_xlpm.val*$H261,""))</f>
        <v/>
      </c>
      <c r="N261" s="6" t="str">
        <f>_xlfn.LET(
_xlpm.rowNo, MATCH($C261&amp;"|"&amp;
($F261+N$4),Raw_Fund!$A:$A,0),
_xlpm.colNo,
MATCH(N$3,Raw_Fund!$E$1:$AZ$1,0),
_xlpm.val,
INDEX(Raw_Fund!$E:$AZ,_xlpm.rowNo,_xlpm.colNo),
IF(ISNUMBER(_xlpm.val),_xlpm.val*$H261,""))</f>
        <v/>
      </c>
      <c r="O261" s="6" t="str">
        <f>_xlfn.LET(
_xlpm.rowNo, MATCH($C261&amp;"|"&amp;
($F261+O$4),Raw_Fund!$A:$A,0),
_xlpm.colNo,
MATCH(O$3,Raw_Fund!$E$1:$AZ$1,0),
_xlpm.val,
INDEX(Raw_Fund!$E:$AZ,_xlpm.rowNo,_xlpm.colNo),
IF(ISNUMBER(_xlpm.val),_xlpm.val*$H261,""))</f>
        <v/>
      </c>
      <c r="P261" s="6" t="str">
        <f>_xlfn.LET(
_xlpm.rowNo, MATCH($C261&amp;"|"&amp;
($F261+P$4),Raw_Fund!$A:$A,0),
_xlpm.colNo,
MATCH(P$3,Raw_Fund!$E$1:$AZ$1,0),
_xlpm.val,
INDEX(Raw_Fund!$E:$AZ,_xlpm.rowNo,_xlpm.colNo),
IF(ISNUMBER(_xlpm.val),_xlpm.val*$H261,""))</f>
        <v/>
      </c>
      <c r="Q261" s="6" t="str">
        <f>_xlfn.LET(
_xlpm.rowNo, MATCH($C261&amp;"|"&amp;
($F261+Q$4),Raw_Fund!$A:$A,0),
_xlpm.colNo,
MATCH(Q$3,Raw_Fund!$E$1:$AZ$1,0),
_xlpm.val,
INDEX(Raw_Fund!$E:$AZ,_xlpm.rowNo,_xlpm.colNo),
IF(ISNUMBER(_xlpm.val),_xlpm.val*$H261,""))</f>
        <v/>
      </c>
      <c r="R261" s="6" t="str">
        <f>_xlfn.LET(
_xlpm.rowNo, MATCH($C261&amp;"|"&amp;
($F261+R$4),Raw_Fund!$A:$A,0),
_xlpm.colNo,
MATCH(R$3,Raw_Fund!$E$1:$AZ$1,0),
_xlpm.val,
INDEX(Raw_Fund!$E:$AZ,_xlpm.rowNo,_xlpm.colNo),
IF(ISNUMBER(_xlpm.val),_xlpm.val*$H261,""))</f>
        <v/>
      </c>
      <c r="S261" s="6" t="str">
        <f>_xlfn.LET(
_xlpm.rowNo, MATCH($C261&amp;"|"&amp;
($F261+S$4),Raw_Fund!$A:$A,0),
_xlpm.colNo,
MATCH(S$3,Raw_Fund!$E$1:$AZ$1,0),
_xlpm.val,
INDEX(Raw_Fund!$E:$AZ,_xlpm.rowNo,_xlpm.colNo),
IF(ISNUMBER(_xlpm.val),_xlpm.val*$H261,""))</f>
        <v/>
      </c>
      <c r="T261" s="6" t="str">
        <f>_xlfn.LET(
_xlpm.rowNo, MATCH($C261&amp;"|"&amp;
($F261+T$4),Raw_Fund!$A:$A,0),
_xlpm.colNo,
MATCH(T$3,Raw_Fund!$E$1:$AZ$1,0),
_xlpm.val,
INDEX(Raw_Fund!$E:$AZ,_xlpm.rowNo,_xlpm.colNo),
IF(ISNUMBER(_xlpm.val),_xlpm.val*$H261,""))</f>
        <v/>
      </c>
      <c r="U261" s="6" t="str">
        <f>_xlfn.LET(
_xlpm.rowNo, MATCH($C261&amp;"|"&amp;
($F261+U$4),Raw_Fund!$A:$A,0),
_xlpm.colNo,
MATCH(U$3,Raw_Fund!$E$1:$AZ$1,0),
_xlpm.val,
INDEX(Raw_Fund!$E:$AZ,_xlpm.rowNo,_xlpm.colNo),
IF(ISNUMBER(_xlpm.val),_xlpm.val*$H261,""))</f>
        <v/>
      </c>
      <c r="V261" s="6" t="str">
        <f>_xlfn.LET(
_xlpm.rowNo, MATCH($C261&amp;"|"&amp;
($F261+V$4),Raw_Fund!$A:$A,0),
_xlpm.colNo,
MATCH(V$3,Raw_Fund!$E$1:$AZ$1,0),
_xlpm.val,
INDEX(Raw_Fund!$E:$AZ,_xlpm.rowNo,_xlpm.colNo),
IF(ISNUMBER(_xlpm.val),_xlpm.val*$H261,""))</f>
        <v/>
      </c>
      <c r="W261" s="6" t="str">
        <f>_xlfn.LET(
_xlpm.rowNo, MATCH($C261&amp;"|"&amp;
($F261+W$4),Raw_Fund!$A:$A,0),
_xlpm.colNo,
MATCH(W$3,Raw_Fund!$E$1:$AZ$1,0),
_xlpm.val,
INDEX(Raw_Fund!$E:$AZ,_xlpm.rowNo,_xlpm.colNo),
IF(ISNUMBER(_xlpm.val),_xlpm.val*$H261,""))</f>
        <v/>
      </c>
      <c r="X261" s="6" t="str">
        <f>_xlfn.LET(
_xlpm.rowNo, MATCH($C261&amp;"|"&amp;
($F261+X$4),Raw_Fund!$A:$A,0),
_xlpm.colNo,
MATCH(X$3,Raw_Fund!$E$1:$AZ$1,0),
_xlpm.val,
INDEX(Raw_Fund!$E:$AZ,_xlpm.rowNo,_xlpm.colNo),
IF(ISNUMBER(_xlpm.val),_xlpm.val*$H261,""))</f>
        <v/>
      </c>
      <c r="Y261" s="6" t="str">
        <f>_xlfn.LET(
_xlpm.rowNo, MATCH($C261&amp;"|"&amp;
($F261+Y$4),Raw_Fund!$A:$A,0),
_xlpm.colNo,
MATCH(Y$3,Raw_Fund!$E$1:$AZ$1,0),
_xlpm.val,
INDEX(Raw_Fund!$E:$AZ,_xlpm.rowNo,_xlpm.colNo),
IF(ISNUMBER(_xlpm.val),_xlpm.val*$H261,""))</f>
        <v/>
      </c>
      <c r="Z261" s="6" t="str">
        <f>IF($E261&lt;&gt;"Include","",_xlfn.XLOOKUP($C261,Raw_Mkt!$A:$A,Raw_Mkt!$B:$B))</f>
        <v/>
      </c>
    </row>
    <row r="262" spans="1:26" x14ac:dyDescent="0.4">
      <c r="A262" t="str">
        <f>IF(Universe!A262&lt;&gt;"",Universe!A262,"")</f>
        <v/>
      </c>
      <c r="B262" t="str">
        <f>IF(Universe!B262&lt;&gt;"",Universe!B262,"")</f>
        <v/>
      </c>
      <c r="C262" t="str">
        <f>IF(Universe!C262&lt;&gt;"",Universe!C262,"")</f>
        <v/>
      </c>
      <c r="D262" t="str">
        <f>IF(Universe!D262&lt;&gt;"",Universe!D262,"")</f>
        <v/>
      </c>
      <c r="E262" t="str">
        <f>Universe!G262</f>
        <v/>
      </c>
      <c r="F262" t="str">
        <f>IF($E262&lt;&gt;"Include","",_xlfn.LET(_xlpm.latest,_xlfn.MAXIFS(Raw_Fund!$C:$C,Raw_Fund!$B:$B,Data!$C262),IF(_xlpm.latest=0,"",_xlpm.latest)))</f>
        <v/>
      </c>
      <c r="G262" t="str">
        <f>IF($F262="","",INDEX(Raw_Fund!$E:$AZ,MATCH($C262&amp;"|"&amp;$F262,Raw_Fund!$A:$A,0),MATCH(G$3,Raw_Fund!$E$1:$AZ$1,0)))</f>
        <v/>
      </c>
      <c r="H262" t="str">
        <f t="shared" ref="H262:H305" si="4">IF($G262="","",_xlfn.XLOOKUP($G262,FX_Ccy,FX_Rate,"Missing FX"))</f>
        <v/>
      </c>
      <c r="I262" s="6" t="str">
        <f>_xlfn.LET(
_xlpm.rowNo, MATCH($C262&amp;"|"&amp;
($F262+I$4),Raw_Fund!$A:$A,0),
_xlpm.colNo,
MATCH(I$3,Raw_Fund!$E$1:$AZ$1,0),
_xlpm.val,
INDEX(Raw_Fund!$E:$AZ,_xlpm.rowNo,_xlpm.colNo),
IF(ISNUMBER(_xlpm.val),_xlpm.val*$H262,""))</f>
        <v/>
      </c>
      <c r="J262" s="6" t="str">
        <f>_xlfn.LET(
_xlpm.rowNo, MATCH($C262&amp;"|"&amp;
($F262+J$4),Raw_Fund!$A:$A,0),
_xlpm.colNo,
MATCH(J$3,Raw_Fund!$E$1:$AZ$1,0),
_xlpm.val,
INDEX(Raw_Fund!$E:$AZ,_xlpm.rowNo,_xlpm.colNo),
IF(ISNUMBER(_xlpm.val),_xlpm.val*$H262,""))</f>
        <v/>
      </c>
      <c r="K262" s="6" t="str">
        <f>_xlfn.LET(
_xlpm.rowNo, MATCH($C262&amp;"|"&amp;
($F262+K$4),Raw_Fund!$A:$A,0),
_xlpm.colNo,
MATCH(K$3,Raw_Fund!$E$1:$AZ$1,0),
_xlpm.val,
INDEX(Raw_Fund!$E:$AZ,_xlpm.rowNo,_xlpm.colNo),
IF(ISNUMBER(_xlpm.val),_xlpm.val*$H262,""))</f>
        <v/>
      </c>
      <c r="L262" s="6" t="str">
        <f>_xlfn.LET(
_xlpm.rowNo, MATCH($C262&amp;"|"&amp;
($F262+L$4),Raw_Fund!$A:$A,0),
_xlpm.colNo,
MATCH(L$3,Raw_Fund!$E$1:$AZ$1,0),
_xlpm.val,
INDEX(Raw_Fund!$E:$AZ,_xlpm.rowNo,_xlpm.colNo),
IF(ISNUMBER(_xlpm.val),_xlpm.val*$H262,""))</f>
        <v/>
      </c>
      <c r="M262" s="6" t="str">
        <f>_xlfn.LET(
_xlpm.rowNo, MATCH($C262&amp;"|"&amp;
($F262+M$4),Raw_Fund!$A:$A,0),
_xlpm.colNo,
MATCH(M$3,Raw_Fund!$E$1:$AZ$1,0),
_xlpm.val,
INDEX(Raw_Fund!$E:$AZ,_xlpm.rowNo,_xlpm.colNo),
IF(ISNUMBER(_xlpm.val),_xlpm.val*$H262,""))</f>
        <v/>
      </c>
      <c r="N262" s="6" t="str">
        <f>_xlfn.LET(
_xlpm.rowNo, MATCH($C262&amp;"|"&amp;
($F262+N$4),Raw_Fund!$A:$A,0),
_xlpm.colNo,
MATCH(N$3,Raw_Fund!$E$1:$AZ$1,0),
_xlpm.val,
INDEX(Raw_Fund!$E:$AZ,_xlpm.rowNo,_xlpm.colNo),
IF(ISNUMBER(_xlpm.val),_xlpm.val*$H262,""))</f>
        <v/>
      </c>
      <c r="O262" s="6" t="str">
        <f>_xlfn.LET(
_xlpm.rowNo, MATCH($C262&amp;"|"&amp;
($F262+O$4),Raw_Fund!$A:$A,0),
_xlpm.colNo,
MATCH(O$3,Raw_Fund!$E$1:$AZ$1,0),
_xlpm.val,
INDEX(Raw_Fund!$E:$AZ,_xlpm.rowNo,_xlpm.colNo),
IF(ISNUMBER(_xlpm.val),_xlpm.val*$H262,""))</f>
        <v/>
      </c>
      <c r="P262" s="6" t="str">
        <f>_xlfn.LET(
_xlpm.rowNo, MATCH($C262&amp;"|"&amp;
($F262+P$4),Raw_Fund!$A:$A,0),
_xlpm.colNo,
MATCH(P$3,Raw_Fund!$E$1:$AZ$1,0),
_xlpm.val,
INDEX(Raw_Fund!$E:$AZ,_xlpm.rowNo,_xlpm.colNo),
IF(ISNUMBER(_xlpm.val),_xlpm.val*$H262,""))</f>
        <v/>
      </c>
      <c r="Q262" s="6" t="str">
        <f>_xlfn.LET(
_xlpm.rowNo, MATCH($C262&amp;"|"&amp;
($F262+Q$4),Raw_Fund!$A:$A,0),
_xlpm.colNo,
MATCH(Q$3,Raw_Fund!$E$1:$AZ$1,0),
_xlpm.val,
INDEX(Raw_Fund!$E:$AZ,_xlpm.rowNo,_xlpm.colNo),
IF(ISNUMBER(_xlpm.val),_xlpm.val*$H262,""))</f>
        <v/>
      </c>
      <c r="R262" s="6" t="str">
        <f>_xlfn.LET(
_xlpm.rowNo, MATCH($C262&amp;"|"&amp;
($F262+R$4),Raw_Fund!$A:$A,0),
_xlpm.colNo,
MATCH(R$3,Raw_Fund!$E$1:$AZ$1,0),
_xlpm.val,
INDEX(Raw_Fund!$E:$AZ,_xlpm.rowNo,_xlpm.colNo),
IF(ISNUMBER(_xlpm.val),_xlpm.val*$H262,""))</f>
        <v/>
      </c>
      <c r="S262" s="6" t="str">
        <f>_xlfn.LET(
_xlpm.rowNo, MATCH($C262&amp;"|"&amp;
($F262+S$4),Raw_Fund!$A:$A,0),
_xlpm.colNo,
MATCH(S$3,Raw_Fund!$E$1:$AZ$1,0),
_xlpm.val,
INDEX(Raw_Fund!$E:$AZ,_xlpm.rowNo,_xlpm.colNo),
IF(ISNUMBER(_xlpm.val),_xlpm.val*$H262,""))</f>
        <v/>
      </c>
      <c r="T262" s="6" t="str">
        <f>_xlfn.LET(
_xlpm.rowNo, MATCH($C262&amp;"|"&amp;
($F262+T$4),Raw_Fund!$A:$A,0),
_xlpm.colNo,
MATCH(T$3,Raw_Fund!$E$1:$AZ$1,0),
_xlpm.val,
INDEX(Raw_Fund!$E:$AZ,_xlpm.rowNo,_xlpm.colNo),
IF(ISNUMBER(_xlpm.val),_xlpm.val*$H262,""))</f>
        <v/>
      </c>
      <c r="U262" s="6" t="str">
        <f>_xlfn.LET(
_xlpm.rowNo, MATCH($C262&amp;"|"&amp;
($F262+U$4),Raw_Fund!$A:$A,0),
_xlpm.colNo,
MATCH(U$3,Raw_Fund!$E$1:$AZ$1,0),
_xlpm.val,
INDEX(Raw_Fund!$E:$AZ,_xlpm.rowNo,_xlpm.colNo),
IF(ISNUMBER(_xlpm.val),_xlpm.val*$H262,""))</f>
        <v/>
      </c>
      <c r="V262" s="6" t="str">
        <f>_xlfn.LET(
_xlpm.rowNo, MATCH($C262&amp;"|"&amp;
($F262+V$4),Raw_Fund!$A:$A,0),
_xlpm.colNo,
MATCH(V$3,Raw_Fund!$E$1:$AZ$1,0),
_xlpm.val,
INDEX(Raw_Fund!$E:$AZ,_xlpm.rowNo,_xlpm.colNo),
IF(ISNUMBER(_xlpm.val),_xlpm.val*$H262,""))</f>
        <v/>
      </c>
      <c r="W262" s="6" t="str">
        <f>_xlfn.LET(
_xlpm.rowNo, MATCH($C262&amp;"|"&amp;
($F262+W$4),Raw_Fund!$A:$A,0),
_xlpm.colNo,
MATCH(W$3,Raw_Fund!$E$1:$AZ$1,0),
_xlpm.val,
INDEX(Raw_Fund!$E:$AZ,_xlpm.rowNo,_xlpm.colNo),
IF(ISNUMBER(_xlpm.val),_xlpm.val*$H262,""))</f>
        <v/>
      </c>
      <c r="X262" s="6" t="str">
        <f>_xlfn.LET(
_xlpm.rowNo, MATCH($C262&amp;"|"&amp;
($F262+X$4),Raw_Fund!$A:$A,0),
_xlpm.colNo,
MATCH(X$3,Raw_Fund!$E$1:$AZ$1,0),
_xlpm.val,
INDEX(Raw_Fund!$E:$AZ,_xlpm.rowNo,_xlpm.colNo),
IF(ISNUMBER(_xlpm.val),_xlpm.val*$H262,""))</f>
        <v/>
      </c>
      <c r="Y262" s="6" t="str">
        <f>_xlfn.LET(
_xlpm.rowNo, MATCH($C262&amp;"|"&amp;
($F262+Y$4),Raw_Fund!$A:$A,0),
_xlpm.colNo,
MATCH(Y$3,Raw_Fund!$E$1:$AZ$1,0),
_xlpm.val,
INDEX(Raw_Fund!$E:$AZ,_xlpm.rowNo,_xlpm.colNo),
IF(ISNUMBER(_xlpm.val),_xlpm.val*$H262,""))</f>
        <v/>
      </c>
      <c r="Z262" s="6" t="str">
        <f>IF($E262&lt;&gt;"Include","",_xlfn.XLOOKUP($C262,Raw_Mkt!$A:$A,Raw_Mkt!$B:$B))</f>
        <v/>
      </c>
    </row>
    <row r="263" spans="1:26" x14ac:dyDescent="0.4">
      <c r="A263" t="str">
        <f>IF(Universe!A263&lt;&gt;"",Universe!A263,"")</f>
        <v/>
      </c>
      <c r="B263" t="str">
        <f>IF(Universe!B263&lt;&gt;"",Universe!B263,"")</f>
        <v/>
      </c>
      <c r="C263" t="str">
        <f>IF(Universe!C263&lt;&gt;"",Universe!C263,"")</f>
        <v/>
      </c>
      <c r="D263" t="str">
        <f>IF(Universe!D263&lt;&gt;"",Universe!D263,"")</f>
        <v/>
      </c>
      <c r="E263" t="str">
        <f>Universe!G263</f>
        <v/>
      </c>
      <c r="F263" t="str">
        <f>IF($E263&lt;&gt;"Include","",_xlfn.LET(_xlpm.latest,_xlfn.MAXIFS(Raw_Fund!$C:$C,Raw_Fund!$B:$B,Data!$C263),IF(_xlpm.latest=0,"",_xlpm.latest)))</f>
        <v/>
      </c>
      <c r="G263" t="str">
        <f>IF($F263="","",INDEX(Raw_Fund!$E:$AZ,MATCH($C263&amp;"|"&amp;$F263,Raw_Fund!$A:$A,0),MATCH(G$3,Raw_Fund!$E$1:$AZ$1,0)))</f>
        <v/>
      </c>
      <c r="H263" t="str">
        <f t="shared" si="4"/>
        <v/>
      </c>
      <c r="I263" s="6" t="str">
        <f>_xlfn.LET(
_xlpm.rowNo, MATCH($C263&amp;"|"&amp;
($F263+I$4),Raw_Fund!$A:$A,0),
_xlpm.colNo,
MATCH(I$3,Raw_Fund!$E$1:$AZ$1,0),
_xlpm.val,
INDEX(Raw_Fund!$E:$AZ,_xlpm.rowNo,_xlpm.colNo),
IF(ISNUMBER(_xlpm.val),_xlpm.val*$H263,""))</f>
        <v/>
      </c>
      <c r="J263" s="6" t="str">
        <f>_xlfn.LET(
_xlpm.rowNo, MATCH($C263&amp;"|"&amp;
($F263+J$4),Raw_Fund!$A:$A,0),
_xlpm.colNo,
MATCH(J$3,Raw_Fund!$E$1:$AZ$1,0),
_xlpm.val,
INDEX(Raw_Fund!$E:$AZ,_xlpm.rowNo,_xlpm.colNo),
IF(ISNUMBER(_xlpm.val),_xlpm.val*$H263,""))</f>
        <v/>
      </c>
      <c r="K263" s="6" t="str">
        <f>_xlfn.LET(
_xlpm.rowNo, MATCH($C263&amp;"|"&amp;
($F263+K$4),Raw_Fund!$A:$A,0),
_xlpm.colNo,
MATCH(K$3,Raw_Fund!$E$1:$AZ$1,0),
_xlpm.val,
INDEX(Raw_Fund!$E:$AZ,_xlpm.rowNo,_xlpm.colNo),
IF(ISNUMBER(_xlpm.val),_xlpm.val*$H263,""))</f>
        <v/>
      </c>
      <c r="L263" s="6" t="str">
        <f>_xlfn.LET(
_xlpm.rowNo, MATCH($C263&amp;"|"&amp;
($F263+L$4),Raw_Fund!$A:$A,0),
_xlpm.colNo,
MATCH(L$3,Raw_Fund!$E$1:$AZ$1,0),
_xlpm.val,
INDEX(Raw_Fund!$E:$AZ,_xlpm.rowNo,_xlpm.colNo),
IF(ISNUMBER(_xlpm.val),_xlpm.val*$H263,""))</f>
        <v/>
      </c>
      <c r="M263" s="6" t="str">
        <f>_xlfn.LET(
_xlpm.rowNo, MATCH($C263&amp;"|"&amp;
($F263+M$4),Raw_Fund!$A:$A,0),
_xlpm.colNo,
MATCH(M$3,Raw_Fund!$E$1:$AZ$1,0),
_xlpm.val,
INDEX(Raw_Fund!$E:$AZ,_xlpm.rowNo,_xlpm.colNo),
IF(ISNUMBER(_xlpm.val),_xlpm.val*$H263,""))</f>
        <v/>
      </c>
      <c r="N263" s="6" t="str">
        <f>_xlfn.LET(
_xlpm.rowNo, MATCH($C263&amp;"|"&amp;
($F263+N$4),Raw_Fund!$A:$A,0),
_xlpm.colNo,
MATCH(N$3,Raw_Fund!$E$1:$AZ$1,0),
_xlpm.val,
INDEX(Raw_Fund!$E:$AZ,_xlpm.rowNo,_xlpm.colNo),
IF(ISNUMBER(_xlpm.val),_xlpm.val*$H263,""))</f>
        <v/>
      </c>
      <c r="O263" s="6" t="str">
        <f>_xlfn.LET(
_xlpm.rowNo, MATCH($C263&amp;"|"&amp;
($F263+O$4),Raw_Fund!$A:$A,0),
_xlpm.colNo,
MATCH(O$3,Raw_Fund!$E$1:$AZ$1,0),
_xlpm.val,
INDEX(Raw_Fund!$E:$AZ,_xlpm.rowNo,_xlpm.colNo),
IF(ISNUMBER(_xlpm.val),_xlpm.val*$H263,""))</f>
        <v/>
      </c>
      <c r="P263" s="6" t="str">
        <f>_xlfn.LET(
_xlpm.rowNo, MATCH($C263&amp;"|"&amp;
($F263+P$4),Raw_Fund!$A:$A,0),
_xlpm.colNo,
MATCH(P$3,Raw_Fund!$E$1:$AZ$1,0),
_xlpm.val,
INDEX(Raw_Fund!$E:$AZ,_xlpm.rowNo,_xlpm.colNo),
IF(ISNUMBER(_xlpm.val),_xlpm.val*$H263,""))</f>
        <v/>
      </c>
      <c r="Q263" s="6" t="str">
        <f>_xlfn.LET(
_xlpm.rowNo, MATCH($C263&amp;"|"&amp;
($F263+Q$4),Raw_Fund!$A:$A,0),
_xlpm.colNo,
MATCH(Q$3,Raw_Fund!$E$1:$AZ$1,0),
_xlpm.val,
INDEX(Raw_Fund!$E:$AZ,_xlpm.rowNo,_xlpm.colNo),
IF(ISNUMBER(_xlpm.val),_xlpm.val*$H263,""))</f>
        <v/>
      </c>
      <c r="R263" s="6" t="str">
        <f>_xlfn.LET(
_xlpm.rowNo, MATCH($C263&amp;"|"&amp;
($F263+R$4),Raw_Fund!$A:$A,0),
_xlpm.colNo,
MATCH(R$3,Raw_Fund!$E$1:$AZ$1,0),
_xlpm.val,
INDEX(Raw_Fund!$E:$AZ,_xlpm.rowNo,_xlpm.colNo),
IF(ISNUMBER(_xlpm.val),_xlpm.val*$H263,""))</f>
        <v/>
      </c>
      <c r="S263" s="6" t="str">
        <f>_xlfn.LET(
_xlpm.rowNo, MATCH($C263&amp;"|"&amp;
($F263+S$4),Raw_Fund!$A:$A,0),
_xlpm.colNo,
MATCH(S$3,Raw_Fund!$E$1:$AZ$1,0),
_xlpm.val,
INDEX(Raw_Fund!$E:$AZ,_xlpm.rowNo,_xlpm.colNo),
IF(ISNUMBER(_xlpm.val),_xlpm.val*$H263,""))</f>
        <v/>
      </c>
      <c r="T263" s="6" t="str">
        <f>_xlfn.LET(
_xlpm.rowNo, MATCH($C263&amp;"|"&amp;
($F263+T$4),Raw_Fund!$A:$A,0),
_xlpm.colNo,
MATCH(T$3,Raw_Fund!$E$1:$AZ$1,0),
_xlpm.val,
INDEX(Raw_Fund!$E:$AZ,_xlpm.rowNo,_xlpm.colNo),
IF(ISNUMBER(_xlpm.val),_xlpm.val*$H263,""))</f>
        <v/>
      </c>
      <c r="U263" s="6" t="str">
        <f>_xlfn.LET(
_xlpm.rowNo, MATCH($C263&amp;"|"&amp;
($F263+U$4),Raw_Fund!$A:$A,0),
_xlpm.colNo,
MATCH(U$3,Raw_Fund!$E$1:$AZ$1,0),
_xlpm.val,
INDEX(Raw_Fund!$E:$AZ,_xlpm.rowNo,_xlpm.colNo),
IF(ISNUMBER(_xlpm.val),_xlpm.val*$H263,""))</f>
        <v/>
      </c>
      <c r="V263" s="6" t="str">
        <f>_xlfn.LET(
_xlpm.rowNo, MATCH($C263&amp;"|"&amp;
($F263+V$4),Raw_Fund!$A:$A,0),
_xlpm.colNo,
MATCH(V$3,Raw_Fund!$E$1:$AZ$1,0),
_xlpm.val,
INDEX(Raw_Fund!$E:$AZ,_xlpm.rowNo,_xlpm.colNo),
IF(ISNUMBER(_xlpm.val),_xlpm.val*$H263,""))</f>
        <v/>
      </c>
      <c r="W263" s="6" t="str">
        <f>_xlfn.LET(
_xlpm.rowNo, MATCH($C263&amp;"|"&amp;
($F263+W$4),Raw_Fund!$A:$A,0),
_xlpm.colNo,
MATCH(W$3,Raw_Fund!$E$1:$AZ$1,0),
_xlpm.val,
INDEX(Raw_Fund!$E:$AZ,_xlpm.rowNo,_xlpm.colNo),
IF(ISNUMBER(_xlpm.val),_xlpm.val*$H263,""))</f>
        <v/>
      </c>
      <c r="X263" s="6" t="str">
        <f>_xlfn.LET(
_xlpm.rowNo, MATCH($C263&amp;"|"&amp;
($F263+X$4),Raw_Fund!$A:$A,0),
_xlpm.colNo,
MATCH(X$3,Raw_Fund!$E$1:$AZ$1,0),
_xlpm.val,
INDEX(Raw_Fund!$E:$AZ,_xlpm.rowNo,_xlpm.colNo),
IF(ISNUMBER(_xlpm.val),_xlpm.val*$H263,""))</f>
        <v/>
      </c>
      <c r="Y263" s="6" t="str">
        <f>_xlfn.LET(
_xlpm.rowNo, MATCH($C263&amp;"|"&amp;
($F263+Y$4),Raw_Fund!$A:$A,0),
_xlpm.colNo,
MATCH(Y$3,Raw_Fund!$E$1:$AZ$1,0),
_xlpm.val,
INDEX(Raw_Fund!$E:$AZ,_xlpm.rowNo,_xlpm.colNo),
IF(ISNUMBER(_xlpm.val),_xlpm.val*$H263,""))</f>
        <v/>
      </c>
      <c r="Z263" s="6" t="str">
        <f>IF($E263&lt;&gt;"Include","",_xlfn.XLOOKUP($C263,Raw_Mkt!$A:$A,Raw_Mkt!$B:$B))</f>
        <v/>
      </c>
    </row>
    <row r="264" spans="1:26" x14ac:dyDescent="0.4">
      <c r="A264" t="str">
        <f>IF(Universe!A264&lt;&gt;"",Universe!A264,"")</f>
        <v/>
      </c>
      <c r="B264" t="str">
        <f>IF(Universe!B264&lt;&gt;"",Universe!B264,"")</f>
        <v/>
      </c>
      <c r="C264" t="str">
        <f>IF(Universe!C264&lt;&gt;"",Universe!C264,"")</f>
        <v/>
      </c>
      <c r="D264" t="str">
        <f>IF(Universe!D264&lt;&gt;"",Universe!D264,"")</f>
        <v/>
      </c>
      <c r="E264" t="str">
        <f>Universe!G264</f>
        <v/>
      </c>
      <c r="F264" t="str">
        <f>IF($E264&lt;&gt;"Include","",_xlfn.LET(_xlpm.latest,_xlfn.MAXIFS(Raw_Fund!$C:$C,Raw_Fund!$B:$B,Data!$C264),IF(_xlpm.latest=0,"",_xlpm.latest)))</f>
        <v/>
      </c>
      <c r="G264" t="str">
        <f>IF($F264="","",INDEX(Raw_Fund!$E:$AZ,MATCH($C264&amp;"|"&amp;$F264,Raw_Fund!$A:$A,0),MATCH(G$3,Raw_Fund!$E$1:$AZ$1,0)))</f>
        <v/>
      </c>
      <c r="H264" t="str">
        <f t="shared" si="4"/>
        <v/>
      </c>
      <c r="I264" s="6" t="str">
        <f>_xlfn.LET(
_xlpm.rowNo, MATCH($C264&amp;"|"&amp;
($F264+I$4),Raw_Fund!$A:$A,0),
_xlpm.colNo,
MATCH(I$3,Raw_Fund!$E$1:$AZ$1,0),
_xlpm.val,
INDEX(Raw_Fund!$E:$AZ,_xlpm.rowNo,_xlpm.colNo),
IF(ISNUMBER(_xlpm.val),_xlpm.val*$H264,""))</f>
        <v/>
      </c>
      <c r="J264" s="6" t="str">
        <f>_xlfn.LET(
_xlpm.rowNo, MATCH($C264&amp;"|"&amp;
($F264+J$4),Raw_Fund!$A:$A,0),
_xlpm.colNo,
MATCH(J$3,Raw_Fund!$E$1:$AZ$1,0),
_xlpm.val,
INDEX(Raw_Fund!$E:$AZ,_xlpm.rowNo,_xlpm.colNo),
IF(ISNUMBER(_xlpm.val),_xlpm.val*$H264,""))</f>
        <v/>
      </c>
      <c r="K264" s="6" t="str">
        <f>_xlfn.LET(
_xlpm.rowNo, MATCH($C264&amp;"|"&amp;
($F264+K$4),Raw_Fund!$A:$A,0),
_xlpm.colNo,
MATCH(K$3,Raw_Fund!$E$1:$AZ$1,0),
_xlpm.val,
INDEX(Raw_Fund!$E:$AZ,_xlpm.rowNo,_xlpm.colNo),
IF(ISNUMBER(_xlpm.val),_xlpm.val*$H264,""))</f>
        <v/>
      </c>
      <c r="L264" s="6" t="str">
        <f>_xlfn.LET(
_xlpm.rowNo, MATCH($C264&amp;"|"&amp;
($F264+L$4),Raw_Fund!$A:$A,0),
_xlpm.colNo,
MATCH(L$3,Raw_Fund!$E$1:$AZ$1,0),
_xlpm.val,
INDEX(Raw_Fund!$E:$AZ,_xlpm.rowNo,_xlpm.colNo),
IF(ISNUMBER(_xlpm.val),_xlpm.val*$H264,""))</f>
        <v/>
      </c>
      <c r="M264" s="6" t="str">
        <f>_xlfn.LET(
_xlpm.rowNo, MATCH($C264&amp;"|"&amp;
($F264+M$4),Raw_Fund!$A:$A,0),
_xlpm.colNo,
MATCH(M$3,Raw_Fund!$E$1:$AZ$1,0),
_xlpm.val,
INDEX(Raw_Fund!$E:$AZ,_xlpm.rowNo,_xlpm.colNo),
IF(ISNUMBER(_xlpm.val),_xlpm.val*$H264,""))</f>
        <v/>
      </c>
      <c r="N264" s="6" t="str">
        <f>_xlfn.LET(
_xlpm.rowNo, MATCH($C264&amp;"|"&amp;
($F264+N$4),Raw_Fund!$A:$A,0),
_xlpm.colNo,
MATCH(N$3,Raw_Fund!$E$1:$AZ$1,0),
_xlpm.val,
INDEX(Raw_Fund!$E:$AZ,_xlpm.rowNo,_xlpm.colNo),
IF(ISNUMBER(_xlpm.val),_xlpm.val*$H264,""))</f>
        <v/>
      </c>
      <c r="O264" s="6" t="str">
        <f>_xlfn.LET(
_xlpm.rowNo, MATCH($C264&amp;"|"&amp;
($F264+O$4),Raw_Fund!$A:$A,0),
_xlpm.colNo,
MATCH(O$3,Raw_Fund!$E$1:$AZ$1,0),
_xlpm.val,
INDEX(Raw_Fund!$E:$AZ,_xlpm.rowNo,_xlpm.colNo),
IF(ISNUMBER(_xlpm.val),_xlpm.val*$H264,""))</f>
        <v/>
      </c>
      <c r="P264" s="6" t="str">
        <f>_xlfn.LET(
_xlpm.rowNo, MATCH($C264&amp;"|"&amp;
($F264+P$4),Raw_Fund!$A:$A,0),
_xlpm.colNo,
MATCH(P$3,Raw_Fund!$E$1:$AZ$1,0),
_xlpm.val,
INDEX(Raw_Fund!$E:$AZ,_xlpm.rowNo,_xlpm.colNo),
IF(ISNUMBER(_xlpm.val),_xlpm.val*$H264,""))</f>
        <v/>
      </c>
      <c r="Q264" s="6" t="str">
        <f>_xlfn.LET(
_xlpm.rowNo, MATCH($C264&amp;"|"&amp;
($F264+Q$4),Raw_Fund!$A:$A,0),
_xlpm.colNo,
MATCH(Q$3,Raw_Fund!$E$1:$AZ$1,0),
_xlpm.val,
INDEX(Raw_Fund!$E:$AZ,_xlpm.rowNo,_xlpm.colNo),
IF(ISNUMBER(_xlpm.val),_xlpm.val*$H264,""))</f>
        <v/>
      </c>
      <c r="R264" s="6" t="str">
        <f>_xlfn.LET(
_xlpm.rowNo, MATCH($C264&amp;"|"&amp;
($F264+R$4),Raw_Fund!$A:$A,0),
_xlpm.colNo,
MATCH(R$3,Raw_Fund!$E$1:$AZ$1,0),
_xlpm.val,
INDEX(Raw_Fund!$E:$AZ,_xlpm.rowNo,_xlpm.colNo),
IF(ISNUMBER(_xlpm.val),_xlpm.val*$H264,""))</f>
        <v/>
      </c>
      <c r="S264" s="6" t="str">
        <f>_xlfn.LET(
_xlpm.rowNo, MATCH($C264&amp;"|"&amp;
($F264+S$4),Raw_Fund!$A:$A,0),
_xlpm.colNo,
MATCH(S$3,Raw_Fund!$E$1:$AZ$1,0),
_xlpm.val,
INDEX(Raw_Fund!$E:$AZ,_xlpm.rowNo,_xlpm.colNo),
IF(ISNUMBER(_xlpm.val),_xlpm.val*$H264,""))</f>
        <v/>
      </c>
      <c r="T264" s="6" t="str">
        <f>_xlfn.LET(
_xlpm.rowNo, MATCH($C264&amp;"|"&amp;
($F264+T$4),Raw_Fund!$A:$A,0),
_xlpm.colNo,
MATCH(T$3,Raw_Fund!$E$1:$AZ$1,0),
_xlpm.val,
INDEX(Raw_Fund!$E:$AZ,_xlpm.rowNo,_xlpm.colNo),
IF(ISNUMBER(_xlpm.val),_xlpm.val*$H264,""))</f>
        <v/>
      </c>
      <c r="U264" s="6" t="str">
        <f>_xlfn.LET(
_xlpm.rowNo, MATCH($C264&amp;"|"&amp;
($F264+U$4),Raw_Fund!$A:$A,0),
_xlpm.colNo,
MATCH(U$3,Raw_Fund!$E$1:$AZ$1,0),
_xlpm.val,
INDEX(Raw_Fund!$E:$AZ,_xlpm.rowNo,_xlpm.colNo),
IF(ISNUMBER(_xlpm.val),_xlpm.val*$H264,""))</f>
        <v/>
      </c>
      <c r="V264" s="6" t="str">
        <f>_xlfn.LET(
_xlpm.rowNo, MATCH($C264&amp;"|"&amp;
($F264+V$4),Raw_Fund!$A:$A,0),
_xlpm.colNo,
MATCH(V$3,Raw_Fund!$E$1:$AZ$1,0),
_xlpm.val,
INDEX(Raw_Fund!$E:$AZ,_xlpm.rowNo,_xlpm.colNo),
IF(ISNUMBER(_xlpm.val),_xlpm.val*$H264,""))</f>
        <v/>
      </c>
      <c r="W264" s="6" t="str">
        <f>_xlfn.LET(
_xlpm.rowNo, MATCH($C264&amp;"|"&amp;
($F264+W$4),Raw_Fund!$A:$A,0),
_xlpm.colNo,
MATCH(W$3,Raw_Fund!$E$1:$AZ$1,0),
_xlpm.val,
INDEX(Raw_Fund!$E:$AZ,_xlpm.rowNo,_xlpm.colNo),
IF(ISNUMBER(_xlpm.val),_xlpm.val*$H264,""))</f>
        <v/>
      </c>
      <c r="X264" s="6" t="str">
        <f>_xlfn.LET(
_xlpm.rowNo, MATCH($C264&amp;"|"&amp;
($F264+X$4),Raw_Fund!$A:$A,0),
_xlpm.colNo,
MATCH(X$3,Raw_Fund!$E$1:$AZ$1,0),
_xlpm.val,
INDEX(Raw_Fund!$E:$AZ,_xlpm.rowNo,_xlpm.colNo),
IF(ISNUMBER(_xlpm.val),_xlpm.val*$H264,""))</f>
        <v/>
      </c>
      <c r="Y264" s="6" t="str">
        <f>_xlfn.LET(
_xlpm.rowNo, MATCH($C264&amp;"|"&amp;
($F264+Y$4),Raw_Fund!$A:$A,0),
_xlpm.colNo,
MATCH(Y$3,Raw_Fund!$E$1:$AZ$1,0),
_xlpm.val,
INDEX(Raw_Fund!$E:$AZ,_xlpm.rowNo,_xlpm.colNo),
IF(ISNUMBER(_xlpm.val),_xlpm.val*$H264,""))</f>
        <v/>
      </c>
      <c r="Z264" s="6" t="str">
        <f>IF($E264&lt;&gt;"Include","",_xlfn.XLOOKUP($C264,Raw_Mkt!$A:$A,Raw_Mkt!$B:$B))</f>
        <v/>
      </c>
    </row>
    <row r="265" spans="1:26" x14ac:dyDescent="0.4">
      <c r="A265" t="str">
        <f>IF(Universe!A265&lt;&gt;"",Universe!A265,"")</f>
        <v/>
      </c>
      <c r="B265" t="str">
        <f>IF(Universe!B265&lt;&gt;"",Universe!B265,"")</f>
        <v/>
      </c>
      <c r="C265" t="str">
        <f>IF(Universe!C265&lt;&gt;"",Universe!C265,"")</f>
        <v/>
      </c>
      <c r="D265" t="str">
        <f>IF(Universe!D265&lt;&gt;"",Universe!D265,"")</f>
        <v/>
      </c>
      <c r="E265" t="str">
        <f>Universe!G265</f>
        <v/>
      </c>
      <c r="F265" t="str">
        <f>IF($E265&lt;&gt;"Include","",_xlfn.LET(_xlpm.latest,_xlfn.MAXIFS(Raw_Fund!$C:$C,Raw_Fund!$B:$B,Data!$C265),IF(_xlpm.latest=0,"",_xlpm.latest)))</f>
        <v/>
      </c>
      <c r="G265" t="str">
        <f>IF($F265="","",INDEX(Raw_Fund!$E:$AZ,MATCH($C265&amp;"|"&amp;$F265,Raw_Fund!$A:$A,0),MATCH(G$3,Raw_Fund!$E$1:$AZ$1,0)))</f>
        <v/>
      </c>
      <c r="H265" t="str">
        <f t="shared" si="4"/>
        <v/>
      </c>
      <c r="I265" s="6" t="str">
        <f>_xlfn.LET(
_xlpm.rowNo, MATCH($C265&amp;"|"&amp;
($F265+I$4),Raw_Fund!$A:$A,0),
_xlpm.colNo,
MATCH(I$3,Raw_Fund!$E$1:$AZ$1,0),
_xlpm.val,
INDEX(Raw_Fund!$E:$AZ,_xlpm.rowNo,_xlpm.colNo),
IF(ISNUMBER(_xlpm.val),_xlpm.val*$H265,""))</f>
        <v/>
      </c>
      <c r="J265" s="6" t="str">
        <f>_xlfn.LET(
_xlpm.rowNo, MATCH($C265&amp;"|"&amp;
($F265+J$4),Raw_Fund!$A:$A,0),
_xlpm.colNo,
MATCH(J$3,Raw_Fund!$E$1:$AZ$1,0),
_xlpm.val,
INDEX(Raw_Fund!$E:$AZ,_xlpm.rowNo,_xlpm.colNo),
IF(ISNUMBER(_xlpm.val),_xlpm.val*$H265,""))</f>
        <v/>
      </c>
      <c r="K265" s="6" t="str">
        <f>_xlfn.LET(
_xlpm.rowNo, MATCH($C265&amp;"|"&amp;
($F265+K$4),Raw_Fund!$A:$A,0),
_xlpm.colNo,
MATCH(K$3,Raw_Fund!$E$1:$AZ$1,0),
_xlpm.val,
INDEX(Raw_Fund!$E:$AZ,_xlpm.rowNo,_xlpm.colNo),
IF(ISNUMBER(_xlpm.val),_xlpm.val*$H265,""))</f>
        <v/>
      </c>
      <c r="L265" s="6" t="str">
        <f>_xlfn.LET(
_xlpm.rowNo, MATCH($C265&amp;"|"&amp;
($F265+L$4),Raw_Fund!$A:$A,0),
_xlpm.colNo,
MATCH(L$3,Raw_Fund!$E$1:$AZ$1,0),
_xlpm.val,
INDEX(Raw_Fund!$E:$AZ,_xlpm.rowNo,_xlpm.colNo),
IF(ISNUMBER(_xlpm.val),_xlpm.val*$H265,""))</f>
        <v/>
      </c>
      <c r="M265" s="6" t="str">
        <f>_xlfn.LET(
_xlpm.rowNo, MATCH($C265&amp;"|"&amp;
($F265+M$4),Raw_Fund!$A:$A,0),
_xlpm.colNo,
MATCH(M$3,Raw_Fund!$E$1:$AZ$1,0),
_xlpm.val,
INDEX(Raw_Fund!$E:$AZ,_xlpm.rowNo,_xlpm.colNo),
IF(ISNUMBER(_xlpm.val),_xlpm.val*$H265,""))</f>
        <v/>
      </c>
      <c r="N265" s="6" t="str">
        <f>_xlfn.LET(
_xlpm.rowNo, MATCH($C265&amp;"|"&amp;
($F265+N$4),Raw_Fund!$A:$A,0),
_xlpm.colNo,
MATCH(N$3,Raw_Fund!$E$1:$AZ$1,0),
_xlpm.val,
INDEX(Raw_Fund!$E:$AZ,_xlpm.rowNo,_xlpm.colNo),
IF(ISNUMBER(_xlpm.val),_xlpm.val*$H265,""))</f>
        <v/>
      </c>
      <c r="O265" s="6" t="str">
        <f>_xlfn.LET(
_xlpm.rowNo, MATCH($C265&amp;"|"&amp;
($F265+O$4),Raw_Fund!$A:$A,0),
_xlpm.colNo,
MATCH(O$3,Raw_Fund!$E$1:$AZ$1,0),
_xlpm.val,
INDEX(Raw_Fund!$E:$AZ,_xlpm.rowNo,_xlpm.colNo),
IF(ISNUMBER(_xlpm.val),_xlpm.val*$H265,""))</f>
        <v/>
      </c>
      <c r="P265" s="6" t="str">
        <f>_xlfn.LET(
_xlpm.rowNo, MATCH($C265&amp;"|"&amp;
($F265+P$4),Raw_Fund!$A:$A,0),
_xlpm.colNo,
MATCH(P$3,Raw_Fund!$E$1:$AZ$1,0),
_xlpm.val,
INDEX(Raw_Fund!$E:$AZ,_xlpm.rowNo,_xlpm.colNo),
IF(ISNUMBER(_xlpm.val),_xlpm.val*$H265,""))</f>
        <v/>
      </c>
      <c r="Q265" s="6" t="str">
        <f>_xlfn.LET(
_xlpm.rowNo, MATCH($C265&amp;"|"&amp;
($F265+Q$4),Raw_Fund!$A:$A,0),
_xlpm.colNo,
MATCH(Q$3,Raw_Fund!$E$1:$AZ$1,0),
_xlpm.val,
INDEX(Raw_Fund!$E:$AZ,_xlpm.rowNo,_xlpm.colNo),
IF(ISNUMBER(_xlpm.val),_xlpm.val*$H265,""))</f>
        <v/>
      </c>
      <c r="R265" s="6" t="str">
        <f>_xlfn.LET(
_xlpm.rowNo, MATCH($C265&amp;"|"&amp;
($F265+R$4),Raw_Fund!$A:$A,0),
_xlpm.colNo,
MATCH(R$3,Raw_Fund!$E$1:$AZ$1,0),
_xlpm.val,
INDEX(Raw_Fund!$E:$AZ,_xlpm.rowNo,_xlpm.colNo),
IF(ISNUMBER(_xlpm.val),_xlpm.val*$H265,""))</f>
        <v/>
      </c>
      <c r="S265" s="6" t="str">
        <f>_xlfn.LET(
_xlpm.rowNo, MATCH($C265&amp;"|"&amp;
($F265+S$4),Raw_Fund!$A:$A,0),
_xlpm.colNo,
MATCH(S$3,Raw_Fund!$E$1:$AZ$1,0),
_xlpm.val,
INDEX(Raw_Fund!$E:$AZ,_xlpm.rowNo,_xlpm.colNo),
IF(ISNUMBER(_xlpm.val),_xlpm.val*$H265,""))</f>
        <v/>
      </c>
      <c r="T265" s="6" t="str">
        <f>_xlfn.LET(
_xlpm.rowNo, MATCH($C265&amp;"|"&amp;
($F265+T$4),Raw_Fund!$A:$A,0),
_xlpm.colNo,
MATCH(T$3,Raw_Fund!$E$1:$AZ$1,0),
_xlpm.val,
INDEX(Raw_Fund!$E:$AZ,_xlpm.rowNo,_xlpm.colNo),
IF(ISNUMBER(_xlpm.val),_xlpm.val*$H265,""))</f>
        <v/>
      </c>
      <c r="U265" s="6" t="str">
        <f>_xlfn.LET(
_xlpm.rowNo, MATCH($C265&amp;"|"&amp;
($F265+U$4),Raw_Fund!$A:$A,0),
_xlpm.colNo,
MATCH(U$3,Raw_Fund!$E$1:$AZ$1,0),
_xlpm.val,
INDEX(Raw_Fund!$E:$AZ,_xlpm.rowNo,_xlpm.colNo),
IF(ISNUMBER(_xlpm.val),_xlpm.val*$H265,""))</f>
        <v/>
      </c>
      <c r="V265" s="6" t="str">
        <f>_xlfn.LET(
_xlpm.rowNo, MATCH($C265&amp;"|"&amp;
($F265+V$4),Raw_Fund!$A:$A,0),
_xlpm.colNo,
MATCH(V$3,Raw_Fund!$E$1:$AZ$1,0),
_xlpm.val,
INDEX(Raw_Fund!$E:$AZ,_xlpm.rowNo,_xlpm.colNo),
IF(ISNUMBER(_xlpm.val),_xlpm.val*$H265,""))</f>
        <v/>
      </c>
      <c r="W265" s="6" t="str">
        <f>_xlfn.LET(
_xlpm.rowNo, MATCH($C265&amp;"|"&amp;
($F265+W$4),Raw_Fund!$A:$A,0),
_xlpm.colNo,
MATCH(W$3,Raw_Fund!$E$1:$AZ$1,0),
_xlpm.val,
INDEX(Raw_Fund!$E:$AZ,_xlpm.rowNo,_xlpm.colNo),
IF(ISNUMBER(_xlpm.val),_xlpm.val*$H265,""))</f>
        <v/>
      </c>
      <c r="X265" s="6" t="str">
        <f>_xlfn.LET(
_xlpm.rowNo, MATCH($C265&amp;"|"&amp;
($F265+X$4),Raw_Fund!$A:$A,0),
_xlpm.colNo,
MATCH(X$3,Raw_Fund!$E$1:$AZ$1,0),
_xlpm.val,
INDEX(Raw_Fund!$E:$AZ,_xlpm.rowNo,_xlpm.colNo),
IF(ISNUMBER(_xlpm.val),_xlpm.val*$H265,""))</f>
        <v/>
      </c>
      <c r="Y265" s="6" t="str">
        <f>_xlfn.LET(
_xlpm.rowNo, MATCH($C265&amp;"|"&amp;
($F265+Y$4),Raw_Fund!$A:$A,0),
_xlpm.colNo,
MATCH(Y$3,Raw_Fund!$E$1:$AZ$1,0),
_xlpm.val,
INDEX(Raw_Fund!$E:$AZ,_xlpm.rowNo,_xlpm.colNo),
IF(ISNUMBER(_xlpm.val),_xlpm.val*$H265,""))</f>
        <v/>
      </c>
      <c r="Z265" s="6" t="str">
        <f>IF($E265&lt;&gt;"Include","",_xlfn.XLOOKUP($C265,Raw_Mkt!$A:$A,Raw_Mkt!$B:$B))</f>
        <v/>
      </c>
    </row>
    <row r="266" spans="1:26" x14ac:dyDescent="0.4">
      <c r="A266" t="str">
        <f>IF(Universe!A266&lt;&gt;"",Universe!A266,"")</f>
        <v/>
      </c>
      <c r="B266" t="str">
        <f>IF(Universe!B266&lt;&gt;"",Universe!B266,"")</f>
        <v/>
      </c>
      <c r="C266" t="str">
        <f>IF(Universe!C266&lt;&gt;"",Universe!C266,"")</f>
        <v/>
      </c>
      <c r="D266" t="str">
        <f>IF(Universe!D266&lt;&gt;"",Universe!D266,"")</f>
        <v/>
      </c>
      <c r="E266" t="str">
        <f>Universe!G266</f>
        <v/>
      </c>
      <c r="F266" t="str">
        <f>IF($E266&lt;&gt;"Include","",_xlfn.LET(_xlpm.latest,_xlfn.MAXIFS(Raw_Fund!$C:$C,Raw_Fund!$B:$B,Data!$C266),IF(_xlpm.latest=0,"",_xlpm.latest)))</f>
        <v/>
      </c>
      <c r="G266" t="str">
        <f>IF($F266="","",INDEX(Raw_Fund!$E:$AZ,MATCH($C266&amp;"|"&amp;$F266,Raw_Fund!$A:$A,0),MATCH(G$3,Raw_Fund!$E$1:$AZ$1,0)))</f>
        <v/>
      </c>
      <c r="H266" t="str">
        <f t="shared" si="4"/>
        <v/>
      </c>
      <c r="I266" s="6" t="str">
        <f>_xlfn.LET(
_xlpm.rowNo, MATCH($C266&amp;"|"&amp;
($F266+I$4),Raw_Fund!$A:$A,0),
_xlpm.colNo,
MATCH(I$3,Raw_Fund!$E$1:$AZ$1,0),
_xlpm.val,
INDEX(Raw_Fund!$E:$AZ,_xlpm.rowNo,_xlpm.colNo),
IF(ISNUMBER(_xlpm.val),_xlpm.val*$H266,""))</f>
        <v/>
      </c>
      <c r="J266" s="6" t="str">
        <f>_xlfn.LET(
_xlpm.rowNo, MATCH($C266&amp;"|"&amp;
($F266+J$4),Raw_Fund!$A:$A,0),
_xlpm.colNo,
MATCH(J$3,Raw_Fund!$E$1:$AZ$1,0),
_xlpm.val,
INDEX(Raw_Fund!$E:$AZ,_xlpm.rowNo,_xlpm.colNo),
IF(ISNUMBER(_xlpm.val),_xlpm.val*$H266,""))</f>
        <v/>
      </c>
      <c r="K266" s="6" t="str">
        <f>_xlfn.LET(
_xlpm.rowNo, MATCH($C266&amp;"|"&amp;
($F266+K$4),Raw_Fund!$A:$A,0),
_xlpm.colNo,
MATCH(K$3,Raw_Fund!$E$1:$AZ$1,0),
_xlpm.val,
INDEX(Raw_Fund!$E:$AZ,_xlpm.rowNo,_xlpm.colNo),
IF(ISNUMBER(_xlpm.val),_xlpm.val*$H266,""))</f>
        <v/>
      </c>
      <c r="L266" s="6" t="str">
        <f>_xlfn.LET(
_xlpm.rowNo, MATCH($C266&amp;"|"&amp;
($F266+L$4),Raw_Fund!$A:$A,0),
_xlpm.colNo,
MATCH(L$3,Raw_Fund!$E$1:$AZ$1,0),
_xlpm.val,
INDEX(Raw_Fund!$E:$AZ,_xlpm.rowNo,_xlpm.colNo),
IF(ISNUMBER(_xlpm.val),_xlpm.val*$H266,""))</f>
        <v/>
      </c>
      <c r="M266" s="6" t="str">
        <f>_xlfn.LET(
_xlpm.rowNo, MATCH($C266&amp;"|"&amp;
($F266+M$4),Raw_Fund!$A:$A,0),
_xlpm.colNo,
MATCH(M$3,Raw_Fund!$E$1:$AZ$1,0),
_xlpm.val,
INDEX(Raw_Fund!$E:$AZ,_xlpm.rowNo,_xlpm.colNo),
IF(ISNUMBER(_xlpm.val),_xlpm.val*$H266,""))</f>
        <v/>
      </c>
      <c r="N266" s="6" t="str">
        <f>_xlfn.LET(
_xlpm.rowNo, MATCH($C266&amp;"|"&amp;
($F266+N$4),Raw_Fund!$A:$A,0),
_xlpm.colNo,
MATCH(N$3,Raw_Fund!$E$1:$AZ$1,0),
_xlpm.val,
INDEX(Raw_Fund!$E:$AZ,_xlpm.rowNo,_xlpm.colNo),
IF(ISNUMBER(_xlpm.val),_xlpm.val*$H266,""))</f>
        <v/>
      </c>
      <c r="O266" s="6" t="str">
        <f>_xlfn.LET(
_xlpm.rowNo, MATCH($C266&amp;"|"&amp;
($F266+O$4),Raw_Fund!$A:$A,0),
_xlpm.colNo,
MATCH(O$3,Raw_Fund!$E$1:$AZ$1,0),
_xlpm.val,
INDEX(Raw_Fund!$E:$AZ,_xlpm.rowNo,_xlpm.colNo),
IF(ISNUMBER(_xlpm.val),_xlpm.val*$H266,""))</f>
        <v/>
      </c>
      <c r="P266" s="6" t="str">
        <f>_xlfn.LET(
_xlpm.rowNo, MATCH($C266&amp;"|"&amp;
($F266+P$4),Raw_Fund!$A:$A,0),
_xlpm.colNo,
MATCH(P$3,Raw_Fund!$E$1:$AZ$1,0),
_xlpm.val,
INDEX(Raw_Fund!$E:$AZ,_xlpm.rowNo,_xlpm.colNo),
IF(ISNUMBER(_xlpm.val),_xlpm.val*$H266,""))</f>
        <v/>
      </c>
      <c r="Q266" s="6" t="str">
        <f>_xlfn.LET(
_xlpm.rowNo, MATCH($C266&amp;"|"&amp;
($F266+Q$4),Raw_Fund!$A:$A,0),
_xlpm.colNo,
MATCH(Q$3,Raw_Fund!$E$1:$AZ$1,0),
_xlpm.val,
INDEX(Raw_Fund!$E:$AZ,_xlpm.rowNo,_xlpm.colNo),
IF(ISNUMBER(_xlpm.val),_xlpm.val*$H266,""))</f>
        <v/>
      </c>
      <c r="R266" s="6" t="str">
        <f>_xlfn.LET(
_xlpm.rowNo, MATCH($C266&amp;"|"&amp;
($F266+R$4),Raw_Fund!$A:$A,0),
_xlpm.colNo,
MATCH(R$3,Raw_Fund!$E$1:$AZ$1,0),
_xlpm.val,
INDEX(Raw_Fund!$E:$AZ,_xlpm.rowNo,_xlpm.colNo),
IF(ISNUMBER(_xlpm.val),_xlpm.val*$H266,""))</f>
        <v/>
      </c>
      <c r="S266" s="6" t="str">
        <f>_xlfn.LET(
_xlpm.rowNo, MATCH($C266&amp;"|"&amp;
($F266+S$4),Raw_Fund!$A:$A,0),
_xlpm.colNo,
MATCH(S$3,Raw_Fund!$E$1:$AZ$1,0),
_xlpm.val,
INDEX(Raw_Fund!$E:$AZ,_xlpm.rowNo,_xlpm.colNo),
IF(ISNUMBER(_xlpm.val),_xlpm.val*$H266,""))</f>
        <v/>
      </c>
      <c r="T266" s="6" t="str">
        <f>_xlfn.LET(
_xlpm.rowNo, MATCH($C266&amp;"|"&amp;
($F266+T$4),Raw_Fund!$A:$A,0),
_xlpm.colNo,
MATCH(T$3,Raw_Fund!$E$1:$AZ$1,0),
_xlpm.val,
INDEX(Raw_Fund!$E:$AZ,_xlpm.rowNo,_xlpm.colNo),
IF(ISNUMBER(_xlpm.val),_xlpm.val*$H266,""))</f>
        <v/>
      </c>
      <c r="U266" s="6" t="str">
        <f>_xlfn.LET(
_xlpm.rowNo, MATCH($C266&amp;"|"&amp;
($F266+U$4),Raw_Fund!$A:$A,0),
_xlpm.colNo,
MATCH(U$3,Raw_Fund!$E$1:$AZ$1,0),
_xlpm.val,
INDEX(Raw_Fund!$E:$AZ,_xlpm.rowNo,_xlpm.colNo),
IF(ISNUMBER(_xlpm.val),_xlpm.val*$H266,""))</f>
        <v/>
      </c>
      <c r="V266" s="6" t="str">
        <f>_xlfn.LET(
_xlpm.rowNo, MATCH($C266&amp;"|"&amp;
($F266+V$4),Raw_Fund!$A:$A,0),
_xlpm.colNo,
MATCH(V$3,Raw_Fund!$E$1:$AZ$1,0),
_xlpm.val,
INDEX(Raw_Fund!$E:$AZ,_xlpm.rowNo,_xlpm.colNo),
IF(ISNUMBER(_xlpm.val),_xlpm.val*$H266,""))</f>
        <v/>
      </c>
      <c r="W266" s="6" t="str">
        <f>_xlfn.LET(
_xlpm.rowNo, MATCH($C266&amp;"|"&amp;
($F266+W$4),Raw_Fund!$A:$A,0),
_xlpm.colNo,
MATCH(W$3,Raw_Fund!$E$1:$AZ$1,0),
_xlpm.val,
INDEX(Raw_Fund!$E:$AZ,_xlpm.rowNo,_xlpm.colNo),
IF(ISNUMBER(_xlpm.val),_xlpm.val*$H266,""))</f>
        <v/>
      </c>
      <c r="X266" s="6" t="str">
        <f>_xlfn.LET(
_xlpm.rowNo, MATCH($C266&amp;"|"&amp;
($F266+X$4),Raw_Fund!$A:$A,0),
_xlpm.colNo,
MATCH(X$3,Raw_Fund!$E$1:$AZ$1,0),
_xlpm.val,
INDEX(Raw_Fund!$E:$AZ,_xlpm.rowNo,_xlpm.colNo),
IF(ISNUMBER(_xlpm.val),_xlpm.val*$H266,""))</f>
        <v/>
      </c>
      <c r="Y266" s="6" t="str">
        <f>_xlfn.LET(
_xlpm.rowNo, MATCH($C266&amp;"|"&amp;
($F266+Y$4),Raw_Fund!$A:$A,0),
_xlpm.colNo,
MATCH(Y$3,Raw_Fund!$E$1:$AZ$1,0),
_xlpm.val,
INDEX(Raw_Fund!$E:$AZ,_xlpm.rowNo,_xlpm.colNo),
IF(ISNUMBER(_xlpm.val),_xlpm.val*$H266,""))</f>
        <v/>
      </c>
      <c r="Z266" s="6" t="str">
        <f>IF($E266&lt;&gt;"Include","",_xlfn.XLOOKUP($C266,Raw_Mkt!$A:$A,Raw_Mkt!$B:$B))</f>
        <v/>
      </c>
    </row>
    <row r="267" spans="1:26" x14ac:dyDescent="0.4">
      <c r="A267" t="str">
        <f>IF(Universe!A267&lt;&gt;"",Universe!A267,"")</f>
        <v/>
      </c>
      <c r="B267" t="str">
        <f>IF(Universe!B267&lt;&gt;"",Universe!B267,"")</f>
        <v/>
      </c>
      <c r="C267" t="str">
        <f>IF(Universe!C267&lt;&gt;"",Universe!C267,"")</f>
        <v/>
      </c>
      <c r="D267" t="str">
        <f>IF(Universe!D267&lt;&gt;"",Universe!D267,"")</f>
        <v/>
      </c>
      <c r="E267" t="str">
        <f>Universe!G267</f>
        <v/>
      </c>
      <c r="F267" t="str">
        <f>IF($E267&lt;&gt;"Include","",_xlfn.LET(_xlpm.latest,_xlfn.MAXIFS(Raw_Fund!$C:$C,Raw_Fund!$B:$B,Data!$C267),IF(_xlpm.latest=0,"",_xlpm.latest)))</f>
        <v/>
      </c>
      <c r="G267" t="str">
        <f>IF($F267="","",INDEX(Raw_Fund!$E:$AZ,MATCH($C267&amp;"|"&amp;$F267,Raw_Fund!$A:$A,0),MATCH(G$3,Raw_Fund!$E$1:$AZ$1,0)))</f>
        <v/>
      </c>
      <c r="H267" t="str">
        <f t="shared" si="4"/>
        <v/>
      </c>
      <c r="I267" s="6" t="str">
        <f>_xlfn.LET(
_xlpm.rowNo, MATCH($C267&amp;"|"&amp;
($F267+I$4),Raw_Fund!$A:$A,0),
_xlpm.colNo,
MATCH(I$3,Raw_Fund!$E$1:$AZ$1,0),
_xlpm.val,
INDEX(Raw_Fund!$E:$AZ,_xlpm.rowNo,_xlpm.colNo),
IF(ISNUMBER(_xlpm.val),_xlpm.val*$H267,""))</f>
        <v/>
      </c>
      <c r="J267" s="6" t="str">
        <f>_xlfn.LET(
_xlpm.rowNo, MATCH($C267&amp;"|"&amp;
($F267+J$4),Raw_Fund!$A:$A,0),
_xlpm.colNo,
MATCH(J$3,Raw_Fund!$E$1:$AZ$1,0),
_xlpm.val,
INDEX(Raw_Fund!$E:$AZ,_xlpm.rowNo,_xlpm.colNo),
IF(ISNUMBER(_xlpm.val),_xlpm.val*$H267,""))</f>
        <v/>
      </c>
      <c r="K267" s="6" t="str">
        <f>_xlfn.LET(
_xlpm.rowNo, MATCH($C267&amp;"|"&amp;
($F267+K$4),Raw_Fund!$A:$A,0),
_xlpm.colNo,
MATCH(K$3,Raw_Fund!$E$1:$AZ$1,0),
_xlpm.val,
INDEX(Raw_Fund!$E:$AZ,_xlpm.rowNo,_xlpm.colNo),
IF(ISNUMBER(_xlpm.val),_xlpm.val*$H267,""))</f>
        <v/>
      </c>
      <c r="L267" s="6" t="str">
        <f>_xlfn.LET(
_xlpm.rowNo, MATCH($C267&amp;"|"&amp;
($F267+L$4),Raw_Fund!$A:$A,0),
_xlpm.colNo,
MATCH(L$3,Raw_Fund!$E$1:$AZ$1,0),
_xlpm.val,
INDEX(Raw_Fund!$E:$AZ,_xlpm.rowNo,_xlpm.colNo),
IF(ISNUMBER(_xlpm.val),_xlpm.val*$H267,""))</f>
        <v/>
      </c>
      <c r="M267" s="6" t="str">
        <f>_xlfn.LET(
_xlpm.rowNo, MATCH($C267&amp;"|"&amp;
($F267+M$4),Raw_Fund!$A:$A,0),
_xlpm.colNo,
MATCH(M$3,Raw_Fund!$E$1:$AZ$1,0),
_xlpm.val,
INDEX(Raw_Fund!$E:$AZ,_xlpm.rowNo,_xlpm.colNo),
IF(ISNUMBER(_xlpm.val),_xlpm.val*$H267,""))</f>
        <v/>
      </c>
      <c r="N267" s="6" t="str">
        <f>_xlfn.LET(
_xlpm.rowNo, MATCH($C267&amp;"|"&amp;
($F267+N$4),Raw_Fund!$A:$A,0),
_xlpm.colNo,
MATCH(N$3,Raw_Fund!$E$1:$AZ$1,0),
_xlpm.val,
INDEX(Raw_Fund!$E:$AZ,_xlpm.rowNo,_xlpm.colNo),
IF(ISNUMBER(_xlpm.val),_xlpm.val*$H267,""))</f>
        <v/>
      </c>
      <c r="O267" s="6" t="str">
        <f>_xlfn.LET(
_xlpm.rowNo, MATCH($C267&amp;"|"&amp;
($F267+O$4),Raw_Fund!$A:$A,0),
_xlpm.colNo,
MATCH(O$3,Raw_Fund!$E$1:$AZ$1,0),
_xlpm.val,
INDEX(Raw_Fund!$E:$AZ,_xlpm.rowNo,_xlpm.colNo),
IF(ISNUMBER(_xlpm.val),_xlpm.val*$H267,""))</f>
        <v/>
      </c>
      <c r="P267" s="6" t="str">
        <f>_xlfn.LET(
_xlpm.rowNo, MATCH($C267&amp;"|"&amp;
($F267+P$4),Raw_Fund!$A:$A,0),
_xlpm.colNo,
MATCH(P$3,Raw_Fund!$E$1:$AZ$1,0),
_xlpm.val,
INDEX(Raw_Fund!$E:$AZ,_xlpm.rowNo,_xlpm.colNo),
IF(ISNUMBER(_xlpm.val),_xlpm.val*$H267,""))</f>
        <v/>
      </c>
      <c r="Q267" s="6" t="str">
        <f>_xlfn.LET(
_xlpm.rowNo, MATCH($C267&amp;"|"&amp;
($F267+Q$4),Raw_Fund!$A:$A,0),
_xlpm.colNo,
MATCH(Q$3,Raw_Fund!$E$1:$AZ$1,0),
_xlpm.val,
INDEX(Raw_Fund!$E:$AZ,_xlpm.rowNo,_xlpm.colNo),
IF(ISNUMBER(_xlpm.val),_xlpm.val*$H267,""))</f>
        <v/>
      </c>
      <c r="R267" s="6" t="str">
        <f>_xlfn.LET(
_xlpm.rowNo, MATCH($C267&amp;"|"&amp;
($F267+R$4),Raw_Fund!$A:$A,0),
_xlpm.colNo,
MATCH(R$3,Raw_Fund!$E$1:$AZ$1,0),
_xlpm.val,
INDEX(Raw_Fund!$E:$AZ,_xlpm.rowNo,_xlpm.colNo),
IF(ISNUMBER(_xlpm.val),_xlpm.val*$H267,""))</f>
        <v/>
      </c>
      <c r="S267" s="6" t="str">
        <f>_xlfn.LET(
_xlpm.rowNo, MATCH($C267&amp;"|"&amp;
($F267+S$4),Raw_Fund!$A:$A,0),
_xlpm.colNo,
MATCH(S$3,Raw_Fund!$E$1:$AZ$1,0),
_xlpm.val,
INDEX(Raw_Fund!$E:$AZ,_xlpm.rowNo,_xlpm.colNo),
IF(ISNUMBER(_xlpm.val),_xlpm.val*$H267,""))</f>
        <v/>
      </c>
      <c r="T267" s="6" t="str">
        <f>_xlfn.LET(
_xlpm.rowNo, MATCH($C267&amp;"|"&amp;
($F267+T$4),Raw_Fund!$A:$A,0),
_xlpm.colNo,
MATCH(T$3,Raw_Fund!$E$1:$AZ$1,0),
_xlpm.val,
INDEX(Raw_Fund!$E:$AZ,_xlpm.rowNo,_xlpm.colNo),
IF(ISNUMBER(_xlpm.val),_xlpm.val*$H267,""))</f>
        <v/>
      </c>
      <c r="U267" s="6" t="str">
        <f>_xlfn.LET(
_xlpm.rowNo, MATCH($C267&amp;"|"&amp;
($F267+U$4),Raw_Fund!$A:$A,0),
_xlpm.colNo,
MATCH(U$3,Raw_Fund!$E$1:$AZ$1,0),
_xlpm.val,
INDEX(Raw_Fund!$E:$AZ,_xlpm.rowNo,_xlpm.colNo),
IF(ISNUMBER(_xlpm.val),_xlpm.val*$H267,""))</f>
        <v/>
      </c>
      <c r="V267" s="6" t="str">
        <f>_xlfn.LET(
_xlpm.rowNo, MATCH($C267&amp;"|"&amp;
($F267+V$4),Raw_Fund!$A:$A,0),
_xlpm.colNo,
MATCH(V$3,Raw_Fund!$E$1:$AZ$1,0),
_xlpm.val,
INDEX(Raw_Fund!$E:$AZ,_xlpm.rowNo,_xlpm.colNo),
IF(ISNUMBER(_xlpm.val),_xlpm.val*$H267,""))</f>
        <v/>
      </c>
      <c r="W267" s="6" t="str">
        <f>_xlfn.LET(
_xlpm.rowNo, MATCH($C267&amp;"|"&amp;
($F267+W$4),Raw_Fund!$A:$A,0),
_xlpm.colNo,
MATCH(W$3,Raw_Fund!$E$1:$AZ$1,0),
_xlpm.val,
INDEX(Raw_Fund!$E:$AZ,_xlpm.rowNo,_xlpm.colNo),
IF(ISNUMBER(_xlpm.val),_xlpm.val*$H267,""))</f>
        <v/>
      </c>
      <c r="X267" s="6" t="str">
        <f>_xlfn.LET(
_xlpm.rowNo, MATCH($C267&amp;"|"&amp;
($F267+X$4),Raw_Fund!$A:$A,0),
_xlpm.colNo,
MATCH(X$3,Raw_Fund!$E$1:$AZ$1,0),
_xlpm.val,
INDEX(Raw_Fund!$E:$AZ,_xlpm.rowNo,_xlpm.colNo),
IF(ISNUMBER(_xlpm.val),_xlpm.val*$H267,""))</f>
        <v/>
      </c>
      <c r="Y267" s="6" t="str">
        <f>_xlfn.LET(
_xlpm.rowNo, MATCH($C267&amp;"|"&amp;
($F267+Y$4),Raw_Fund!$A:$A,0),
_xlpm.colNo,
MATCH(Y$3,Raw_Fund!$E$1:$AZ$1,0),
_xlpm.val,
INDEX(Raw_Fund!$E:$AZ,_xlpm.rowNo,_xlpm.colNo),
IF(ISNUMBER(_xlpm.val),_xlpm.val*$H267,""))</f>
        <v/>
      </c>
      <c r="Z267" s="6" t="str">
        <f>IF($E267&lt;&gt;"Include","",_xlfn.XLOOKUP($C267,Raw_Mkt!$A:$A,Raw_Mkt!$B:$B))</f>
        <v/>
      </c>
    </row>
    <row r="268" spans="1:26" x14ac:dyDescent="0.4">
      <c r="A268" t="str">
        <f>IF(Universe!A268&lt;&gt;"",Universe!A268,"")</f>
        <v/>
      </c>
      <c r="B268" t="str">
        <f>IF(Universe!B268&lt;&gt;"",Universe!B268,"")</f>
        <v/>
      </c>
      <c r="C268" t="str">
        <f>IF(Universe!C268&lt;&gt;"",Universe!C268,"")</f>
        <v/>
      </c>
      <c r="D268" t="str">
        <f>IF(Universe!D268&lt;&gt;"",Universe!D268,"")</f>
        <v/>
      </c>
      <c r="E268" t="str">
        <f>Universe!G268</f>
        <v/>
      </c>
      <c r="F268" t="str">
        <f>IF($E268&lt;&gt;"Include","",_xlfn.LET(_xlpm.latest,_xlfn.MAXIFS(Raw_Fund!$C:$C,Raw_Fund!$B:$B,Data!$C268),IF(_xlpm.latest=0,"",_xlpm.latest)))</f>
        <v/>
      </c>
      <c r="G268" t="str">
        <f>IF($F268="","",INDEX(Raw_Fund!$E:$AZ,MATCH($C268&amp;"|"&amp;$F268,Raw_Fund!$A:$A,0),MATCH(G$3,Raw_Fund!$E$1:$AZ$1,0)))</f>
        <v/>
      </c>
      <c r="H268" t="str">
        <f t="shared" si="4"/>
        <v/>
      </c>
      <c r="I268" s="6" t="str">
        <f>_xlfn.LET(
_xlpm.rowNo, MATCH($C268&amp;"|"&amp;
($F268+I$4),Raw_Fund!$A:$A,0),
_xlpm.colNo,
MATCH(I$3,Raw_Fund!$E$1:$AZ$1,0),
_xlpm.val,
INDEX(Raw_Fund!$E:$AZ,_xlpm.rowNo,_xlpm.colNo),
IF(ISNUMBER(_xlpm.val),_xlpm.val*$H268,""))</f>
        <v/>
      </c>
      <c r="J268" s="6" t="str">
        <f>_xlfn.LET(
_xlpm.rowNo, MATCH($C268&amp;"|"&amp;
($F268+J$4),Raw_Fund!$A:$A,0),
_xlpm.colNo,
MATCH(J$3,Raw_Fund!$E$1:$AZ$1,0),
_xlpm.val,
INDEX(Raw_Fund!$E:$AZ,_xlpm.rowNo,_xlpm.colNo),
IF(ISNUMBER(_xlpm.val),_xlpm.val*$H268,""))</f>
        <v/>
      </c>
      <c r="K268" s="6" t="str">
        <f>_xlfn.LET(
_xlpm.rowNo, MATCH($C268&amp;"|"&amp;
($F268+K$4),Raw_Fund!$A:$A,0),
_xlpm.colNo,
MATCH(K$3,Raw_Fund!$E$1:$AZ$1,0),
_xlpm.val,
INDEX(Raw_Fund!$E:$AZ,_xlpm.rowNo,_xlpm.colNo),
IF(ISNUMBER(_xlpm.val),_xlpm.val*$H268,""))</f>
        <v/>
      </c>
      <c r="L268" s="6" t="str">
        <f>_xlfn.LET(
_xlpm.rowNo, MATCH($C268&amp;"|"&amp;
($F268+L$4),Raw_Fund!$A:$A,0),
_xlpm.colNo,
MATCH(L$3,Raw_Fund!$E$1:$AZ$1,0),
_xlpm.val,
INDEX(Raw_Fund!$E:$AZ,_xlpm.rowNo,_xlpm.colNo),
IF(ISNUMBER(_xlpm.val),_xlpm.val*$H268,""))</f>
        <v/>
      </c>
      <c r="M268" s="6" t="str">
        <f>_xlfn.LET(
_xlpm.rowNo, MATCH($C268&amp;"|"&amp;
($F268+M$4),Raw_Fund!$A:$A,0),
_xlpm.colNo,
MATCH(M$3,Raw_Fund!$E$1:$AZ$1,0),
_xlpm.val,
INDEX(Raw_Fund!$E:$AZ,_xlpm.rowNo,_xlpm.colNo),
IF(ISNUMBER(_xlpm.val),_xlpm.val*$H268,""))</f>
        <v/>
      </c>
      <c r="N268" s="6" t="str">
        <f>_xlfn.LET(
_xlpm.rowNo, MATCH($C268&amp;"|"&amp;
($F268+N$4),Raw_Fund!$A:$A,0),
_xlpm.colNo,
MATCH(N$3,Raw_Fund!$E$1:$AZ$1,0),
_xlpm.val,
INDEX(Raw_Fund!$E:$AZ,_xlpm.rowNo,_xlpm.colNo),
IF(ISNUMBER(_xlpm.val),_xlpm.val*$H268,""))</f>
        <v/>
      </c>
      <c r="O268" s="6" t="str">
        <f>_xlfn.LET(
_xlpm.rowNo, MATCH($C268&amp;"|"&amp;
($F268+O$4),Raw_Fund!$A:$A,0),
_xlpm.colNo,
MATCH(O$3,Raw_Fund!$E$1:$AZ$1,0),
_xlpm.val,
INDEX(Raw_Fund!$E:$AZ,_xlpm.rowNo,_xlpm.colNo),
IF(ISNUMBER(_xlpm.val),_xlpm.val*$H268,""))</f>
        <v/>
      </c>
      <c r="P268" s="6" t="str">
        <f>_xlfn.LET(
_xlpm.rowNo, MATCH($C268&amp;"|"&amp;
($F268+P$4),Raw_Fund!$A:$A,0),
_xlpm.colNo,
MATCH(P$3,Raw_Fund!$E$1:$AZ$1,0),
_xlpm.val,
INDEX(Raw_Fund!$E:$AZ,_xlpm.rowNo,_xlpm.colNo),
IF(ISNUMBER(_xlpm.val),_xlpm.val*$H268,""))</f>
        <v/>
      </c>
      <c r="Q268" s="6" t="str">
        <f>_xlfn.LET(
_xlpm.rowNo, MATCH($C268&amp;"|"&amp;
($F268+Q$4),Raw_Fund!$A:$A,0),
_xlpm.colNo,
MATCH(Q$3,Raw_Fund!$E$1:$AZ$1,0),
_xlpm.val,
INDEX(Raw_Fund!$E:$AZ,_xlpm.rowNo,_xlpm.colNo),
IF(ISNUMBER(_xlpm.val),_xlpm.val*$H268,""))</f>
        <v/>
      </c>
      <c r="R268" s="6" t="str">
        <f>_xlfn.LET(
_xlpm.rowNo, MATCH($C268&amp;"|"&amp;
($F268+R$4),Raw_Fund!$A:$A,0),
_xlpm.colNo,
MATCH(R$3,Raw_Fund!$E$1:$AZ$1,0),
_xlpm.val,
INDEX(Raw_Fund!$E:$AZ,_xlpm.rowNo,_xlpm.colNo),
IF(ISNUMBER(_xlpm.val),_xlpm.val*$H268,""))</f>
        <v/>
      </c>
      <c r="S268" s="6" t="str">
        <f>_xlfn.LET(
_xlpm.rowNo, MATCH($C268&amp;"|"&amp;
($F268+S$4),Raw_Fund!$A:$A,0),
_xlpm.colNo,
MATCH(S$3,Raw_Fund!$E$1:$AZ$1,0),
_xlpm.val,
INDEX(Raw_Fund!$E:$AZ,_xlpm.rowNo,_xlpm.colNo),
IF(ISNUMBER(_xlpm.val),_xlpm.val*$H268,""))</f>
        <v/>
      </c>
      <c r="T268" s="6" t="str">
        <f>_xlfn.LET(
_xlpm.rowNo, MATCH($C268&amp;"|"&amp;
($F268+T$4),Raw_Fund!$A:$A,0),
_xlpm.colNo,
MATCH(T$3,Raw_Fund!$E$1:$AZ$1,0),
_xlpm.val,
INDEX(Raw_Fund!$E:$AZ,_xlpm.rowNo,_xlpm.colNo),
IF(ISNUMBER(_xlpm.val),_xlpm.val*$H268,""))</f>
        <v/>
      </c>
      <c r="U268" s="6" t="str">
        <f>_xlfn.LET(
_xlpm.rowNo, MATCH($C268&amp;"|"&amp;
($F268+U$4),Raw_Fund!$A:$A,0),
_xlpm.colNo,
MATCH(U$3,Raw_Fund!$E$1:$AZ$1,0),
_xlpm.val,
INDEX(Raw_Fund!$E:$AZ,_xlpm.rowNo,_xlpm.colNo),
IF(ISNUMBER(_xlpm.val),_xlpm.val*$H268,""))</f>
        <v/>
      </c>
      <c r="V268" s="6" t="str">
        <f>_xlfn.LET(
_xlpm.rowNo, MATCH($C268&amp;"|"&amp;
($F268+V$4),Raw_Fund!$A:$A,0),
_xlpm.colNo,
MATCH(V$3,Raw_Fund!$E$1:$AZ$1,0),
_xlpm.val,
INDEX(Raw_Fund!$E:$AZ,_xlpm.rowNo,_xlpm.colNo),
IF(ISNUMBER(_xlpm.val),_xlpm.val*$H268,""))</f>
        <v/>
      </c>
      <c r="W268" s="6" t="str">
        <f>_xlfn.LET(
_xlpm.rowNo, MATCH($C268&amp;"|"&amp;
($F268+W$4),Raw_Fund!$A:$A,0),
_xlpm.colNo,
MATCH(W$3,Raw_Fund!$E$1:$AZ$1,0),
_xlpm.val,
INDEX(Raw_Fund!$E:$AZ,_xlpm.rowNo,_xlpm.colNo),
IF(ISNUMBER(_xlpm.val),_xlpm.val*$H268,""))</f>
        <v/>
      </c>
      <c r="X268" s="6" t="str">
        <f>_xlfn.LET(
_xlpm.rowNo, MATCH($C268&amp;"|"&amp;
($F268+X$4),Raw_Fund!$A:$A,0),
_xlpm.colNo,
MATCH(X$3,Raw_Fund!$E$1:$AZ$1,0),
_xlpm.val,
INDEX(Raw_Fund!$E:$AZ,_xlpm.rowNo,_xlpm.colNo),
IF(ISNUMBER(_xlpm.val),_xlpm.val*$H268,""))</f>
        <v/>
      </c>
      <c r="Y268" s="6" t="str">
        <f>_xlfn.LET(
_xlpm.rowNo, MATCH($C268&amp;"|"&amp;
($F268+Y$4),Raw_Fund!$A:$A,0),
_xlpm.colNo,
MATCH(Y$3,Raw_Fund!$E$1:$AZ$1,0),
_xlpm.val,
INDEX(Raw_Fund!$E:$AZ,_xlpm.rowNo,_xlpm.colNo),
IF(ISNUMBER(_xlpm.val),_xlpm.val*$H268,""))</f>
        <v/>
      </c>
      <c r="Z268" s="6" t="str">
        <f>IF($E268&lt;&gt;"Include","",_xlfn.XLOOKUP($C268,Raw_Mkt!$A:$A,Raw_Mkt!$B:$B))</f>
        <v/>
      </c>
    </row>
    <row r="269" spans="1:26" x14ac:dyDescent="0.4">
      <c r="A269" t="str">
        <f>IF(Universe!A269&lt;&gt;"",Universe!A269,"")</f>
        <v/>
      </c>
      <c r="B269" t="str">
        <f>IF(Universe!B269&lt;&gt;"",Universe!B269,"")</f>
        <v/>
      </c>
      <c r="C269" t="str">
        <f>IF(Universe!C269&lt;&gt;"",Universe!C269,"")</f>
        <v/>
      </c>
      <c r="D269" t="str">
        <f>IF(Universe!D269&lt;&gt;"",Universe!D269,"")</f>
        <v/>
      </c>
      <c r="E269" t="str">
        <f>Universe!G269</f>
        <v/>
      </c>
      <c r="F269" t="str">
        <f>IF($E269&lt;&gt;"Include","",_xlfn.LET(_xlpm.latest,_xlfn.MAXIFS(Raw_Fund!$C:$C,Raw_Fund!$B:$B,Data!$C269),IF(_xlpm.latest=0,"",_xlpm.latest)))</f>
        <v/>
      </c>
      <c r="G269" t="str">
        <f>IF($F269="","",INDEX(Raw_Fund!$E:$AZ,MATCH($C269&amp;"|"&amp;$F269,Raw_Fund!$A:$A,0),MATCH(G$3,Raw_Fund!$E$1:$AZ$1,0)))</f>
        <v/>
      </c>
      <c r="H269" t="str">
        <f t="shared" si="4"/>
        <v/>
      </c>
      <c r="I269" s="6" t="str">
        <f>_xlfn.LET(
_xlpm.rowNo, MATCH($C269&amp;"|"&amp;
($F269+I$4),Raw_Fund!$A:$A,0),
_xlpm.colNo,
MATCH(I$3,Raw_Fund!$E$1:$AZ$1,0),
_xlpm.val,
INDEX(Raw_Fund!$E:$AZ,_xlpm.rowNo,_xlpm.colNo),
IF(ISNUMBER(_xlpm.val),_xlpm.val*$H269,""))</f>
        <v/>
      </c>
      <c r="J269" s="6" t="str">
        <f>_xlfn.LET(
_xlpm.rowNo, MATCH($C269&amp;"|"&amp;
($F269+J$4),Raw_Fund!$A:$A,0),
_xlpm.colNo,
MATCH(J$3,Raw_Fund!$E$1:$AZ$1,0),
_xlpm.val,
INDEX(Raw_Fund!$E:$AZ,_xlpm.rowNo,_xlpm.colNo),
IF(ISNUMBER(_xlpm.val),_xlpm.val*$H269,""))</f>
        <v/>
      </c>
      <c r="K269" s="6" t="str">
        <f>_xlfn.LET(
_xlpm.rowNo, MATCH($C269&amp;"|"&amp;
($F269+K$4),Raw_Fund!$A:$A,0),
_xlpm.colNo,
MATCH(K$3,Raw_Fund!$E$1:$AZ$1,0),
_xlpm.val,
INDEX(Raw_Fund!$E:$AZ,_xlpm.rowNo,_xlpm.colNo),
IF(ISNUMBER(_xlpm.val),_xlpm.val*$H269,""))</f>
        <v/>
      </c>
      <c r="L269" s="6" t="str">
        <f>_xlfn.LET(
_xlpm.rowNo, MATCH($C269&amp;"|"&amp;
($F269+L$4),Raw_Fund!$A:$A,0),
_xlpm.colNo,
MATCH(L$3,Raw_Fund!$E$1:$AZ$1,0),
_xlpm.val,
INDEX(Raw_Fund!$E:$AZ,_xlpm.rowNo,_xlpm.colNo),
IF(ISNUMBER(_xlpm.val),_xlpm.val*$H269,""))</f>
        <v/>
      </c>
      <c r="M269" s="6" t="str">
        <f>_xlfn.LET(
_xlpm.rowNo, MATCH($C269&amp;"|"&amp;
($F269+M$4),Raw_Fund!$A:$A,0),
_xlpm.colNo,
MATCH(M$3,Raw_Fund!$E$1:$AZ$1,0),
_xlpm.val,
INDEX(Raw_Fund!$E:$AZ,_xlpm.rowNo,_xlpm.colNo),
IF(ISNUMBER(_xlpm.val),_xlpm.val*$H269,""))</f>
        <v/>
      </c>
      <c r="N269" s="6" t="str">
        <f>_xlfn.LET(
_xlpm.rowNo, MATCH($C269&amp;"|"&amp;
($F269+N$4),Raw_Fund!$A:$A,0),
_xlpm.colNo,
MATCH(N$3,Raw_Fund!$E$1:$AZ$1,0),
_xlpm.val,
INDEX(Raw_Fund!$E:$AZ,_xlpm.rowNo,_xlpm.colNo),
IF(ISNUMBER(_xlpm.val),_xlpm.val*$H269,""))</f>
        <v/>
      </c>
      <c r="O269" s="6" t="str">
        <f>_xlfn.LET(
_xlpm.rowNo, MATCH($C269&amp;"|"&amp;
($F269+O$4),Raw_Fund!$A:$A,0),
_xlpm.colNo,
MATCH(O$3,Raw_Fund!$E$1:$AZ$1,0),
_xlpm.val,
INDEX(Raw_Fund!$E:$AZ,_xlpm.rowNo,_xlpm.colNo),
IF(ISNUMBER(_xlpm.val),_xlpm.val*$H269,""))</f>
        <v/>
      </c>
      <c r="P269" s="6" t="str">
        <f>_xlfn.LET(
_xlpm.rowNo, MATCH($C269&amp;"|"&amp;
($F269+P$4),Raw_Fund!$A:$A,0),
_xlpm.colNo,
MATCH(P$3,Raw_Fund!$E$1:$AZ$1,0),
_xlpm.val,
INDEX(Raw_Fund!$E:$AZ,_xlpm.rowNo,_xlpm.colNo),
IF(ISNUMBER(_xlpm.val),_xlpm.val*$H269,""))</f>
        <v/>
      </c>
      <c r="Q269" s="6" t="str">
        <f>_xlfn.LET(
_xlpm.rowNo, MATCH($C269&amp;"|"&amp;
($F269+Q$4),Raw_Fund!$A:$A,0),
_xlpm.colNo,
MATCH(Q$3,Raw_Fund!$E$1:$AZ$1,0),
_xlpm.val,
INDEX(Raw_Fund!$E:$AZ,_xlpm.rowNo,_xlpm.colNo),
IF(ISNUMBER(_xlpm.val),_xlpm.val*$H269,""))</f>
        <v/>
      </c>
      <c r="R269" s="6" t="str">
        <f>_xlfn.LET(
_xlpm.rowNo, MATCH($C269&amp;"|"&amp;
($F269+R$4),Raw_Fund!$A:$A,0),
_xlpm.colNo,
MATCH(R$3,Raw_Fund!$E$1:$AZ$1,0),
_xlpm.val,
INDEX(Raw_Fund!$E:$AZ,_xlpm.rowNo,_xlpm.colNo),
IF(ISNUMBER(_xlpm.val),_xlpm.val*$H269,""))</f>
        <v/>
      </c>
      <c r="S269" s="6" t="str">
        <f>_xlfn.LET(
_xlpm.rowNo, MATCH($C269&amp;"|"&amp;
($F269+S$4),Raw_Fund!$A:$A,0),
_xlpm.colNo,
MATCH(S$3,Raw_Fund!$E$1:$AZ$1,0),
_xlpm.val,
INDEX(Raw_Fund!$E:$AZ,_xlpm.rowNo,_xlpm.colNo),
IF(ISNUMBER(_xlpm.val),_xlpm.val*$H269,""))</f>
        <v/>
      </c>
      <c r="T269" s="6" t="str">
        <f>_xlfn.LET(
_xlpm.rowNo, MATCH($C269&amp;"|"&amp;
($F269+T$4),Raw_Fund!$A:$A,0),
_xlpm.colNo,
MATCH(T$3,Raw_Fund!$E$1:$AZ$1,0),
_xlpm.val,
INDEX(Raw_Fund!$E:$AZ,_xlpm.rowNo,_xlpm.colNo),
IF(ISNUMBER(_xlpm.val),_xlpm.val*$H269,""))</f>
        <v/>
      </c>
      <c r="U269" s="6" t="str">
        <f>_xlfn.LET(
_xlpm.rowNo, MATCH($C269&amp;"|"&amp;
($F269+U$4),Raw_Fund!$A:$A,0),
_xlpm.colNo,
MATCH(U$3,Raw_Fund!$E$1:$AZ$1,0),
_xlpm.val,
INDEX(Raw_Fund!$E:$AZ,_xlpm.rowNo,_xlpm.colNo),
IF(ISNUMBER(_xlpm.val),_xlpm.val*$H269,""))</f>
        <v/>
      </c>
      <c r="V269" s="6" t="str">
        <f>_xlfn.LET(
_xlpm.rowNo, MATCH($C269&amp;"|"&amp;
($F269+V$4),Raw_Fund!$A:$A,0),
_xlpm.colNo,
MATCH(V$3,Raw_Fund!$E$1:$AZ$1,0),
_xlpm.val,
INDEX(Raw_Fund!$E:$AZ,_xlpm.rowNo,_xlpm.colNo),
IF(ISNUMBER(_xlpm.val),_xlpm.val*$H269,""))</f>
        <v/>
      </c>
      <c r="W269" s="6" t="str">
        <f>_xlfn.LET(
_xlpm.rowNo, MATCH($C269&amp;"|"&amp;
($F269+W$4),Raw_Fund!$A:$A,0),
_xlpm.colNo,
MATCH(W$3,Raw_Fund!$E$1:$AZ$1,0),
_xlpm.val,
INDEX(Raw_Fund!$E:$AZ,_xlpm.rowNo,_xlpm.colNo),
IF(ISNUMBER(_xlpm.val),_xlpm.val*$H269,""))</f>
        <v/>
      </c>
      <c r="X269" s="6" t="str">
        <f>_xlfn.LET(
_xlpm.rowNo, MATCH($C269&amp;"|"&amp;
($F269+X$4),Raw_Fund!$A:$A,0),
_xlpm.colNo,
MATCH(X$3,Raw_Fund!$E$1:$AZ$1,0),
_xlpm.val,
INDEX(Raw_Fund!$E:$AZ,_xlpm.rowNo,_xlpm.colNo),
IF(ISNUMBER(_xlpm.val),_xlpm.val*$H269,""))</f>
        <v/>
      </c>
      <c r="Y269" s="6" t="str">
        <f>_xlfn.LET(
_xlpm.rowNo, MATCH($C269&amp;"|"&amp;
($F269+Y$4),Raw_Fund!$A:$A,0),
_xlpm.colNo,
MATCH(Y$3,Raw_Fund!$E$1:$AZ$1,0),
_xlpm.val,
INDEX(Raw_Fund!$E:$AZ,_xlpm.rowNo,_xlpm.colNo),
IF(ISNUMBER(_xlpm.val),_xlpm.val*$H269,""))</f>
        <v/>
      </c>
      <c r="Z269" s="6" t="str">
        <f>IF($E269&lt;&gt;"Include","",_xlfn.XLOOKUP($C269,Raw_Mkt!$A:$A,Raw_Mkt!$B:$B))</f>
        <v/>
      </c>
    </row>
    <row r="270" spans="1:26" x14ac:dyDescent="0.4">
      <c r="A270" t="str">
        <f>IF(Universe!A270&lt;&gt;"",Universe!A270,"")</f>
        <v/>
      </c>
      <c r="B270" t="str">
        <f>IF(Universe!B270&lt;&gt;"",Universe!B270,"")</f>
        <v/>
      </c>
      <c r="C270" t="str">
        <f>IF(Universe!C270&lt;&gt;"",Universe!C270,"")</f>
        <v/>
      </c>
      <c r="D270" t="str">
        <f>IF(Universe!D270&lt;&gt;"",Universe!D270,"")</f>
        <v/>
      </c>
      <c r="E270" t="str">
        <f>Universe!G270</f>
        <v/>
      </c>
      <c r="F270" t="str">
        <f>IF($E270&lt;&gt;"Include","",_xlfn.LET(_xlpm.latest,_xlfn.MAXIFS(Raw_Fund!$C:$C,Raw_Fund!$B:$B,Data!$C270),IF(_xlpm.latest=0,"",_xlpm.latest)))</f>
        <v/>
      </c>
      <c r="G270" t="str">
        <f>IF($F270="","",INDEX(Raw_Fund!$E:$AZ,MATCH($C270&amp;"|"&amp;$F270,Raw_Fund!$A:$A,0),MATCH(G$3,Raw_Fund!$E$1:$AZ$1,0)))</f>
        <v/>
      </c>
      <c r="H270" t="str">
        <f t="shared" si="4"/>
        <v/>
      </c>
      <c r="I270" s="6" t="str">
        <f>_xlfn.LET(
_xlpm.rowNo, MATCH($C270&amp;"|"&amp;
($F270+I$4),Raw_Fund!$A:$A,0),
_xlpm.colNo,
MATCH(I$3,Raw_Fund!$E$1:$AZ$1,0),
_xlpm.val,
INDEX(Raw_Fund!$E:$AZ,_xlpm.rowNo,_xlpm.colNo),
IF(ISNUMBER(_xlpm.val),_xlpm.val*$H270,""))</f>
        <v/>
      </c>
      <c r="J270" s="6" t="str">
        <f>_xlfn.LET(
_xlpm.rowNo, MATCH($C270&amp;"|"&amp;
($F270+J$4),Raw_Fund!$A:$A,0),
_xlpm.colNo,
MATCH(J$3,Raw_Fund!$E$1:$AZ$1,0),
_xlpm.val,
INDEX(Raw_Fund!$E:$AZ,_xlpm.rowNo,_xlpm.colNo),
IF(ISNUMBER(_xlpm.val),_xlpm.val*$H270,""))</f>
        <v/>
      </c>
      <c r="K270" s="6" t="str">
        <f>_xlfn.LET(
_xlpm.rowNo, MATCH($C270&amp;"|"&amp;
($F270+K$4),Raw_Fund!$A:$A,0),
_xlpm.colNo,
MATCH(K$3,Raw_Fund!$E$1:$AZ$1,0),
_xlpm.val,
INDEX(Raw_Fund!$E:$AZ,_xlpm.rowNo,_xlpm.colNo),
IF(ISNUMBER(_xlpm.val),_xlpm.val*$H270,""))</f>
        <v/>
      </c>
      <c r="L270" s="6" t="str">
        <f>_xlfn.LET(
_xlpm.rowNo, MATCH($C270&amp;"|"&amp;
($F270+L$4),Raw_Fund!$A:$A,0),
_xlpm.colNo,
MATCH(L$3,Raw_Fund!$E$1:$AZ$1,0),
_xlpm.val,
INDEX(Raw_Fund!$E:$AZ,_xlpm.rowNo,_xlpm.colNo),
IF(ISNUMBER(_xlpm.val),_xlpm.val*$H270,""))</f>
        <v/>
      </c>
      <c r="M270" s="6" t="str">
        <f>_xlfn.LET(
_xlpm.rowNo, MATCH($C270&amp;"|"&amp;
($F270+M$4),Raw_Fund!$A:$A,0),
_xlpm.colNo,
MATCH(M$3,Raw_Fund!$E$1:$AZ$1,0),
_xlpm.val,
INDEX(Raw_Fund!$E:$AZ,_xlpm.rowNo,_xlpm.colNo),
IF(ISNUMBER(_xlpm.val),_xlpm.val*$H270,""))</f>
        <v/>
      </c>
      <c r="N270" s="6" t="str">
        <f>_xlfn.LET(
_xlpm.rowNo, MATCH($C270&amp;"|"&amp;
($F270+N$4),Raw_Fund!$A:$A,0),
_xlpm.colNo,
MATCH(N$3,Raw_Fund!$E$1:$AZ$1,0),
_xlpm.val,
INDEX(Raw_Fund!$E:$AZ,_xlpm.rowNo,_xlpm.colNo),
IF(ISNUMBER(_xlpm.val),_xlpm.val*$H270,""))</f>
        <v/>
      </c>
      <c r="O270" s="6" t="str">
        <f>_xlfn.LET(
_xlpm.rowNo, MATCH($C270&amp;"|"&amp;
($F270+O$4),Raw_Fund!$A:$A,0),
_xlpm.colNo,
MATCH(O$3,Raw_Fund!$E$1:$AZ$1,0),
_xlpm.val,
INDEX(Raw_Fund!$E:$AZ,_xlpm.rowNo,_xlpm.colNo),
IF(ISNUMBER(_xlpm.val),_xlpm.val*$H270,""))</f>
        <v/>
      </c>
      <c r="P270" s="6" t="str">
        <f>_xlfn.LET(
_xlpm.rowNo, MATCH($C270&amp;"|"&amp;
($F270+P$4),Raw_Fund!$A:$A,0),
_xlpm.colNo,
MATCH(P$3,Raw_Fund!$E$1:$AZ$1,0),
_xlpm.val,
INDEX(Raw_Fund!$E:$AZ,_xlpm.rowNo,_xlpm.colNo),
IF(ISNUMBER(_xlpm.val),_xlpm.val*$H270,""))</f>
        <v/>
      </c>
      <c r="Q270" s="6" t="str">
        <f>_xlfn.LET(
_xlpm.rowNo, MATCH($C270&amp;"|"&amp;
($F270+Q$4),Raw_Fund!$A:$A,0),
_xlpm.colNo,
MATCH(Q$3,Raw_Fund!$E$1:$AZ$1,0),
_xlpm.val,
INDEX(Raw_Fund!$E:$AZ,_xlpm.rowNo,_xlpm.colNo),
IF(ISNUMBER(_xlpm.val),_xlpm.val*$H270,""))</f>
        <v/>
      </c>
      <c r="R270" s="6" t="str">
        <f>_xlfn.LET(
_xlpm.rowNo, MATCH($C270&amp;"|"&amp;
($F270+R$4),Raw_Fund!$A:$A,0),
_xlpm.colNo,
MATCH(R$3,Raw_Fund!$E$1:$AZ$1,0),
_xlpm.val,
INDEX(Raw_Fund!$E:$AZ,_xlpm.rowNo,_xlpm.colNo),
IF(ISNUMBER(_xlpm.val),_xlpm.val*$H270,""))</f>
        <v/>
      </c>
      <c r="S270" s="6" t="str">
        <f>_xlfn.LET(
_xlpm.rowNo, MATCH($C270&amp;"|"&amp;
($F270+S$4),Raw_Fund!$A:$A,0),
_xlpm.colNo,
MATCH(S$3,Raw_Fund!$E$1:$AZ$1,0),
_xlpm.val,
INDEX(Raw_Fund!$E:$AZ,_xlpm.rowNo,_xlpm.colNo),
IF(ISNUMBER(_xlpm.val),_xlpm.val*$H270,""))</f>
        <v/>
      </c>
      <c r="T270" s="6" t="str">
        <f>_xlfn.LET(
_xlpm.rowNo, MATCH($C270&amp;"|"&amp;
($F270+T$4),Raw_Fund!$A:$A,0),
_xlpm.colNo,
MATCH(T$3,Raw_Fund!$E$1:$AZ$1,0),
_xlpm.val,
INDEX(Raw_Fund!$E:$AZ,_xlpm.rowNo,_xlpm.colNo),
IF(ISNUMBER(_xlpm.val),_xlpm.val*$H270,""))</f>
        <v/>
      </c>
      <c r="U270" s="6" t="str">
        <f>_xlfn.LET(
_xlpm.rowNo, MATCH($C270&amp;"|"&amp;
($F270+U$4),Raw_Fund!$A:$A,0),
_xlpm.colNo,
MATCH(U$3,Raw_Fund!$E$1:$AZ$1,0),
_xlpm.val,
INDEX(Raw_Fund!$E:$AZ,_xlpm.rowNo,_xlpm.colNo),
IF(ISNUMBER(_xlpm.val),_xlpm.val*$H270,""))</f>
        <v/>
      </c>
      <c r="V270" s="6" t="str">
        <f>_xlfn.LET(
_xlpm.rowNo, MATCH($C270&amp;"|"&amp;
($F270+V$4),Raw_Fund!$A:$A,0),
_xlpm.colNo,
MATCH(V$3,Raw_Fund!$E$1:$AZ$1,0),
_xlpm.val,
INDEX(Raw_Fund!$E:$AZ,_xlpm.rowNo,_xlpm.colNo),
IF(ISNUMBER(_xlpm.val),_xlpm.val*$H270,""))</f>
        <v/>
      </c>
      <c r="W270" s="6" t="str">
        <f>_xlfn.LET(
_xlpm.rowNo, MATCH($C270&amp;"|"&amp;
($F270+W$4),Raw_Fund!$A:$A,0),
_xlpm.colNo,
MATCH(W$3,Raw_Fund!$E$1:$AZ$1,0),
_xlpm.val,
INDEX(Raw_Fund!$E:$AZ,_xlpm.rowNo,_xlpm.colNo),
IF(ISNUMBER(_xlpm.val),_xlpm.val*$H270,""))</f>
        <v/>
      </c>
      <c r="X270" s="6" t="str">
        <f>_xlfn.LET(
_xlpm.rowNo, MATCH($C270&amp;"|"&amp;
($F270+X$4),Raw_Fund!$A:$A,0),
_xlpm.colNo,
MATCH(X$3,Raw_Fund!$E$1:$AZ$1,0),
_xlpm.val,
INDEX(Raw_Fund!$E:$AZ,_xlpm.rowNo,_xlpm.colNo),
IF(ISNUMBER(_xlpm.val),_xlpm.val*$H270,""))</f>
        <v/>
      </c>
      <c r="Y270" s="6" t="str">
        <f>_xlfn.LET(
_xlpm.rowNo, MATCH($C270&amp;"|"&amp;
($F270+Y$4),Raw_Fund!$A:$A,0),
_xlpm.colNo,
MATCH(Y$3,Raw_Fund!$E$1:$AZ$1,0),
_xlpm.val,
INDEX(Raw_Fund!$E:$AZ,_xlpm.rowNo,_xlpm.colNo),
IF(ISNUMBER(_xlpm.val),_xlpm.val*$H270,""))</f>
        <v/>
      </c>
      <c r="Z270" s="6" t="str">
        <f>IF($E270&lt;&gt;"Include","",_xlfn.XLOOKUP($C270,Raw_Mkt!$A:$A,Raw_Mkt!$B:$B))</f>
        <v/>
      </c>
    </row>
    <row r="271" spans="1:26" x14ac:dyDescent="0.4">
      <c r="A271" t="str">
        <f>IF(Universe!A271&lt;&gt;"",Universe!A271,"")</f>
        <v/>
      </c>
      <c r="B271" t="str">
        <f>IF(Universe!B271&lt;&gt;"",Universe!B271,"")</f>
        <v/>
      </c>
      <c r="C271" t="str">
        <f>IF(Universe!C271&lt;&gt;"",Universe!C271,"")</f>
        <v/>
      </c>
      <c r="D271" t="str">
        <f>IF(Universe!D271&lt;&gt;"",Universe!D271,"")</f>
        <v/>
      </c>
      <c r="E271" t="str">
        <f>Universe!G271</f>
        <v/>
      </c>
      <c r="F271" t="str">
        <f>IF($E271&lt;&gt;"Include","",_xlfn.LET(_xlpm.latest,_xlfn.MAXIFS(Raw_Fund!$C:$C,Raw_Fund!$B:$B,Data!$C271),IF(_xlpm.latest=0,"",_xlpm.latest)))</f>
        <v/>
      </c>
      <c r="G271" t="str">
        <f>IF($F271="","",INDEX(Raw_Fund!$E:$AZ,MATCH($C271&amp;"|"&amp;$F271,Raw_Fund!$A:$A,0),MATCH(G$3,Raw_Fund!$E$1:$AZ$1,0)))</f>
        <v/>
      </c>
      <c r="H271" t="str">
        <f t="shared" si="4"/>
        <v/>
      </c>
      <c r="I271" s="6" t="str">
        <f>_xlfn.LET(
_xlpm.rowNo, MATCH($C271&amp;"|"&amp;
($F271+I$4),Raw_Fund!$A:$A,0),
_xlpm.colNo,
MATCH(I$3,Raw_Fund!$E$1:$AZ$1,0),
_xlpm.val,
INDEX(Raw_Fund!$E:$AZ,_xlpm.rowNo,_xlpm.colNo),
IF(ISNUMBER(_xlpm.val),_xlpm.val*$H271,""))</f>
        <v/>
      </c>
      <c r="J271" s="6" t="str">
        <f>_xlfn.LET(
_xlpm.rowNo, MATCH($C271&amp;"|"&amp;
($F271+J$4),Raw_Fund!$A:$A,0),
_xlpm.colNo,
MATCH(J$3,Raw_Fund!$E$1:$AZ$1,0),
_xlpm.val,
INDEX(Raw_Fund!$E:$AZ,_xlpm.rowNo,_xlpm.colNo),
IF(ISNUMBER(_xlpm.val),_xlpm.val*$H271,""))</f>
        <v/>
      </c>
      <c r="K271" s="6" t="str">
        <f>_xlfn.LET(
_xlpm.rowNo, MATCH($C271&amp;"|"&amp;
($F271+K$4),Raw_Fund!$A:$A,0),
_xlpm.colNo,
MATCH(K$3,Raw_Fund!$E$1:$AZ$1,0),
_xlpm.val,
INDEX(Raw_Fund!$E:$AZ,_xlpm.rowNo,_xlpm.colNo),
IF(ISNUMBER(_xlpm.val),_xlpm.val*$H271,""))</f>
        <v/>
      </c>
      <c r="L271" s="6" t="str">
        <f>_xlfn.LET(
_xlpm.rowNo, MATCH($C271&amp;"|"&amp;
($F271+L$4),Raw_Fund!$A:$A,0),
_xlpm.colNo,
MATCH(L$3,Raw_Fund!$E$1:$AZ$1,0),
_xlpm.val,
INDEX(Raw_Fund!$E:$AZ,_xlpm.rowNo,_xlpm.colNo),
IF(ISNUMBER(_xlpm.val),_xlpm.val*$H271,""))</f>
        <v/>
      </c>
      <c r="M271" s="6" t="str">
        <f>_xlfn.LET(
_xlpm.rowNo, MATCH($C271&amp;"|"&amp;
($F271+M$4),Raw_Fund!$A:$A,0),
_xlpm.colNo,
MATCH(M$3,Raw_Fund!$E$1:$AZ$1,0),
_xlpm.val,
INDEX(Raw_Fund!$E:$AZ,_xlpm.rowNo,_xlpm.colNo),
IF(ISNUMBER(_xlpm.val),_xlpm.val*$H271,""))</f>
        <v/>
      </c>
      <c r="N271" s="6" t="str">
        <f>_xlfn.LET(
_xlpm.rowNo, MATCH($C271&amp;"|"&amp;
($F271+N$4),Raw_Fund!$A:$A,0),
_xlpm.colNo,
MATCH(N$3,Raw_Fund!$E$1:$AZ$1,0),
_xlpm.val,
INDEX(Raw_Fund!$E:$AZ,_xlpm.rowNo,_xlpm.colNo),
IF(ISNUMBER(_xlpm.val),_xlpm.val*$H271,""))</f>
        <v/>
      </c>
      <c r="O271" s="6" t="str">
        <f>_xlfn.LET(
_xlpm.rowNo, MATCH($C271&amp;"|"&amp;
($F271+O$4),Raw_Fund!$A:$A,0),
_xlpm.colNo,
MATCH(O$3,Raw_Fund!$E$1:$AZ$1,0),
_xlpm.val,
INDEX(Raw_Fund!$E:$AZ,_xlpm.rowNo,_xlpm.colNo),
IF(ISNUMBER(_xlpm.val),_xlpm.val*$H271,""))</f>
        <v/>
      </c>
      <c r="P271" s="6" t="str">
        <f>_xlfn.LET(
_xlpm.rowNo, MATCH($C271&amp;"|"&amp;
($F271+P$4),Raw_Fund!$A:$A,0),
_xlpm.colNo,
MATCH(P$3,Raw_Fund!$E$1:$AZ$1,0),
_xlpm.val,
INDEX(Raw_Fund!$E:$AZ,_xlpm.rowNo,_xlpm.colNo),
IF(ISNUMBER(_xlpm.val),_xlpm.val*$H271,""))</f>
        <v/>
      </c>
      <c r="Q271" s="6" t="str">
        <f>_xlfn.LET(
_xlpm.rowNo, MATCH($C271&amp;"|"&amp;
($F271+Q$4),Raw_Fund!$A:$A,0),
_xlpm.colNo,
MATCH(Q$3,Raw_Fund!$E$1:$AZ$1,0),
_xlpm.val,
INDEX(Raw_Fund!$E:$AZ,_xlpm.rowNo,_xlpm.colNo),
IF(ISNUMBER(_xlpm.val),_xlpm.val*$H271,""))</f>
        <v/>
      </c>
      <c r="R271" s="6" t="str">
        <f>_xlfn.LET(
_xlpm.rowNo, MATCH($C271&amp;"|"&amp;
($F271+R$4),Raw_Fund!$A:$A,0),
_xlpm.colNo,
MATCH(R$3,Raw_Fund!$E$1:$AZ$1,0),
_xlpm.val,
INDEX(Raw_Fund!$E:$AZ,_xlpm.rowNo,_xlpm.colNo),
IF(ISNUMBER(_xlpm.val),_xlpm.val*$H271,""))</f>
        <v/>
      </c>
      <c r="S271" s="6" t="str">
        <f>_xlfn.LET(
_xlpm.rowNo, MATCH($C271&amp;"|"&amp;
($F271+S$4),Raw_Fund!$A:$A,0),
_xlpm.colNo,
MATCH(S$3,Raw_Fund!$E$1:$AZ$1,0),
_xlpm.val,
INDEX(Raw_Fund!$E:$AZ,_xlpm.rowNo,_xlpm.colNo),
IF(ISNUMBER(_xlpm.val),_xlpm.val*$H271,""))</f>
        <v/>
      </c>
      <c r="T271" s="6" t="str">
        <f>_xlfn.LET(
_xlpm.rowNo, MATCH($C271&amp;"|"&amp;
($F271+T$4),Raw_Fund!$A:$A,0),
_xlpm.colNo,
MATCH(T$3,Raw_Fund!$E$1:$AZ$1,0),
_xlpm.val,
INDEX(Raw_Fund!$E:$AZ,_xlpm.rowNo,_xlpm.colNo),
IF(ISNUMBER(_xlpm.val),_xlpm.val*$H271,""))</f>
        <v/>
      </c>
      <c r="U271" s="6" t="str">
        <f>_xlfn.LET(
_xlpm.rowNo, MATCH($C271&amp;"|"&amp;
($F271+U$4),Raw_Fund!$A:$A,0),
_xlpm.colNo,
MATCH(U$3,Raw_Fund!$E$1:$AZ$1,0),
_xlpm.val,
INDEX(Raw_Fund!$E:$AZ,_xlpm.rowNo,_xlpm.colNo),
IF(ISNUMBER(_xlpm.val),_xlpm.val*$H271,""))</f>
        <v/>
      </c>
      <c r="V271" s="6" t="str">
        <f>_xlfn.LET(
_xlpm.rowNo, MATCH($C271&amp;"|"&amp;
($F271+V$4),Raw_Fund!$A:$A,0),
_xlpm.colNo,
MATCH(V$3,Raw_Fund!$E$1:$AZ$1,0),
_xlpm.val,
INDEX(Raw_Fund!$E:$AZ,_xlpm.rowNo,_xlpm.colNo),
IF(ISNUMBER(_xlpm.val),_xlpm.val*$H271,""))</f>
        <v/>
      </c>
      <c r="W271" s="6" t="str">
        <f>_xlfn.LET(
_xlpm.rowNo, MATCH($C271&amp;"|"&amp;
($F271+W$4),Raw_Fund!$A:$A,0),
_xlpm.colNo,
MATCH(W$3,Raw_Fund!$E$1:$AZ$1,0),
_xlpm.val,
INDEX(Raw_Fund!$E:$AZ,_xlpm.rowNo,_xlpm.colNo),
IF(ISNUMBER(_xlpm.val),_xlpm.val*$H271,""))</f>
        <v/>
      </c>
      <c r="X271" s="6" t="str">
        <f>_xlfn.LET(
_xlpm.rowNo, MATCH($C271&amp;"|"&amp;
($F271+X$4),Raw_Fund!$A:$A,0),
_xlpm.colNo,
MATCH(X$3,Raw_Fund!$E$1:$AZ$1,0),
_xlpm.val,
INDEX(Raw_Fund!$E:$AZ,_xlpm.rowNo,_xlpm.colNo),
IF(ISNUMBER(_xlpm.val),_xlpm.val*$H271,""))</f>
        <v/>
      </c>
      <c r="Y271" s="6" t="str">
        <f>_xlfn.LET(
_xlpm.rowNo, MATCH($C271&amp;"|"&amp;
($F271+Y$4),Raw_Fund!$A:$A,0),
_xlpm.colNo,
MATCH(Y$3,Raw_Fund!$E$1:$AZ$1,0),
_xlpm.val,
INDEX(Raw_Fund!$E:$AZ,_xlpm.rowNo,_xlpm.colNo),
IF(ISNUMBER(_xlpm.val),_xlpm.val*$H271,""))</f>
        <v/>
      </c>
      <c r="Z271" s="6" t="str">
        <f>IF($E271&lt;&gt;"Include","",_xlfn.XLOOKUP($C271,Raw_Mkt!$A:$A,Raw_Mkt!$B:$B))</f>
        <v/>
      </c>
    </row>
    <row r="272" spans="1:26" x14ac:dyDescent="0.4">
      <c r="A272" t="str">
        <f>IF(Universe!A272&lt;&gt;"",Universe!A272,"")</f>
        <v/>
      </c>
      <c r="B272" t="str">
        <f>IF(Universe!B272&lt;&gt;"",Universe!B272,"")</f>
        <v/>
      </c>
      <c r="C272" t="str">
        <f>IF(Universe!C272&lt;&gt;"",Universe!C272,"")</f>
        <v/>
      </c>
      <c r="D272" t="str">
        <f>IF(Universe!D272&lt;&gt;"",Universe!D272,"")</f>
        <v/>
      </c>
      <c r="E272" t="str">
        <f>Universe!G272</f>
        <v/>
      </c>
      <c r="F272" t="str">
        <f>IF($E272&lt;&gt;"Include","",_xlfn.LET(_xlpm.latest,_xlfn.MAXIFS(Raw_Fund!$C:$C,Raw_Fund!$B:$B,Data!$C272),IF(_xlpm.latest=0,"",_xlpm.latest)))</f>
        <v/>
      </c>
      <c r="G272" t="str">
        <f>IF($F272="","",INDEX(Raw_Fund!$E:$AZ,MATCH($C272&amp;"|"&amp;$F272,Raw_Fund!$A:$A,0),MATCH(G$3,Raw_Fund!$E$1:$AZ$1,0)))</f>
        <v/>
      </c>
      <c r="H272" t="str">
        <f t="shared" si="4"/>
        <v/>
      </c>
      <c r="I272" s="6" t="str">
        <f>_xlfn.LET(
_xlpm.rowNo, MATCH($C272&amp;"|"&amp;
($F272+I$4),Raw_Fund!$A:$A,0),
_xlpm.colNo,
MATCH(I$3,Raw_Fund!$E$1:$AZ$1,0),
_xlpm.val,
INDEX(Raw_Fund!$E:$AZ,_xlpm.rowNo,_xlpm.colNo),
IF(ISNUMBER(_xlpm.val),_xlpm.val*$H272,""))</f>
        <v/>
      </c>
      <c r="J272" s="6" t="str">
        <f>_xlfn.LET(
_xlpm.rowNo, MATCH($C272&amp;"|"&amp;
($F272+J$4),Raw_Fund!$A:$A,0),
_xlpm.colNo,
MATCH(J$3,Raw_Fund!$E$1:$AZ$1,0),
_xlpm.val,
INDEX(Raw_Fund!$E:$AZ,_xlpm.rowNo,_xlpm.colNo),
IF(ISNUMBER(_xlpm.val),_xlpm.val*$H272,""))</f>
        <v/>
      </c>
      <c r="K272" s="6" t="str">
        <f>_xlfn.LET(
_xlpm.rowNo, MATCH($C272&amp;"|"&amp;
($F272+K$4),Raw_Fund!$A:$A,0),
_xlpm.colNo,
MATCH(K$3,Raw_Fund!$E$1:$AZ$1,0),
_xlpm.val,
INDEX(Raw_Fund!$E:$AZ,_xlpm.rowNo,_xlpm.colNo),
IF(ISNUMBER(_xlpm.val),_xlpm.val*$H272,""))</f>
        <v/>
      </c>
      <c r="L272" s="6" t="str">
        <f>_xlfn.LET(
_xlpm.rowNo, MATCH($C272&amp;"|"&amp;
($F272+L$4),Raw_Fund!$A:$A,0),
_xlpm.colNo,
MATCH(L$3,Raw_Fund!$E$1:$AZ$1,0),
_xlpm.val,
INDEX(Raw_Fund!$E:$AZ,_xlpm.rowNo,_xlpm.colNo),
IF(ISNUMBER(_xlpm.val),_xlpm.val*$H272,""))</f>
        <v/>
      </c>
      <c r="M272" s="6" t="str">
        <f>_xlfn.LET(
_xlpm.rowNo, MATCH($C272&amp;"|"&amp;
($F272+M$4),Raw_Fund!$A:$A,0),
_xlpm.colNo,
MATCH(M$3,Raw_Fund!$E$1:$AZ$1,0),
_xlpm.val,
INDEX(Raw_Fund!$E:$AZ,_xlpm.rowNo,_xlpm.colNo),
IF(ISNUMBER(_xlpm.val),_xlpm.val*$H272,""))</f>
        <v/>
      </c>
      <c r="N272" s="6" t="str">
        <f>_xlfn.LET(
_xlpm.rowNo, MATCH($C272&amp;"|"&amp;
($F272+N$4),Raw_Fund!$A:$A,0),
_xlpm.colNo,
MATCH(N$3,Raw_Fund!$E$1:$AZ$1,0),
_xlpm.val,
INDEX(Raw_Fund!$E:$AZ,_xlpm.rowNo,_xlpm.colNo),
IF(ISNUMBER(_xlpm.val),_xlpm.val*$H272,""))</f>
        <v/>
      </c>
      <c r="O272" s="6" t="str">
        <f>_xlfn.LET(
_xlpm.rowNo, MATCH($C272&amp;"|"&amp;
($F272+O$4),Raw_Fund!$A:$A,0),
_xlpm.colNo,
MATCH(O$3,Raw_Fund!$E$1:$AZ$1,0),
_xlpm.val,
INDEX(Raw_Fund!$E:$AZ,_xlpm.rowNo,_xlpm.colNo),
IF(ISNUMBER(_xlpm.val),_xlpm.val*$H272,""))</f>
        <v/>
      </c>
      <c r="P272" s="6" t="str">
        <f>_xlfn.LET(
_xlpm.rowNo, MATCH($C272&amp;"|"&amp;
($F272+P$4),Raw_Fund!$A:$A,0),
_xlpm.colNo,
MATCH(P$3,Raw_Fund!$E$1:$AZ$1,0),
_xlpm.val,
INDEX(Raw_Fund!$E:$AZ,_xlpm.rowNo,_xlpm.colNo),
IF(ISNUMBER(_xlpm.val),_xlpm.val*$H272,""))</f>
        <v/>
      </c>
      <c r="Q272" s="6" t="str">
        <f>_xlfn.LET(
_xlpm.rowNo, MATCH($C272&amp;"|"&amp;
($F272+Q$4),Raw_Fund!$A:$A,0),
_xlpm.colNo,
MATCH(Q$3,Raw_Fund!$E$1:$AZ$1,0),
_xlpm.val,
INDEX(Raw_Fund!$E:$AZ,_xlpm.rowNo,_xlpm.colNo),
IF(ISNUMBER(_xlpm.val),_xlpm.val*$H272,""))</f>
        <v/>
      </c>
      <c r="R272" s="6" t="str">
        <f>_xlfn.LET(
_xlpm.rowNo, MATCH($C272&amp;"|"&amp;
($F272+R$4),Raw_Fund!$A:$A,0),
_xlpm.colNo,
MATCH(R$3,Raw_Fund!$E$1:$AZ$1,0),
_xlpm.val,
INDEX(Raw_Fund!$E:$AZ,_xlpm.rowNo,_xlpm.colNo),
IF(ISNUMBER(_xlpm.val),_xlpm.val*$H272,""))</f>
        <v/>
      </c>
      <c r="S272" s="6" t="str">
        <f>_xlfn.LET(
_xlpm.rowNo, MATCH($C272&amp;"|"&amp;
($F272+S$4),Raw_Fund!$A:$A,0),
_xlpm.colNo,
MATCH(S$3,Raw_Fund!$E$1:$AZ$1,0),
_xlpm.val,
INDEX(Raw_Fund!$E:$AZ,_xlpm.rowNo,_xlpm.colNo),
IF(ISNUMBER(_xlpm.val),_xlpm.val*$H272,""))</f>
        <v/>
      </c>
      <c r="T272" s="6" t="str">
        <f>_xlfn.LET(
_xlpm.rowNo, MATCH($C272&amp;"|"&amp;
($F272+T$4),Raw_Fund!$A:$A,0),
_xlpm.colNo,
MATCH(T$3,Raw_Fund!$E$1:$AZ$1,0),
_xlpm.val,
INDEX(Raw_Fund!$E:$AZ,_xlpm.rowNo,_xlpm.colNo),
IF(ISNUMBER(_xlpm.val),_xlpm.val*$H272,""))</f>
        <v/>
      </c>
      <c r="U272" s="6" t="str">
        <f>_xlfn.LET(
_xlpm.rowNo, MATCH($C272&amp;"|"&amp;
($F272+U$4),Raw_Fund!$A:$A,0),
_xlpm.colNo,
MATCH(U$3,Raw_Fund!$E$1:$AZ$1,0),
_xlpm.val,
INDEX(Raw_Fund!$E:$AZ,_xlpm.rowNo,_xlpm.colNo),
IF(ISNUMBER(_xlpm.val),_xlpm.val*$H272,""))</f>
        <v/>
      </c>
      <c r="V272" s="6" t="str">
        <f>_xlfn.LET(
_xlpm.rowNo, MATCH($C272&amp;"|"&amp;
($F272+V$4),Raw_Fund!$A:$A,0),
_xlpm.colNo,
MATCH(V$3,Raw_Fund!$E$1:$AZ$1,0),
_xlpm.val,
INDEX(Raw_Fund!$E:$AZ,_xlpm.rowNo,_xlpm.colNo),
IF(ISNUMBER(_xlpm.val),_xlpm.val*$H272,""))</f>
        <v/>
      </c>
      <c r="W272" s="6" t="str">
        <f>_xlfn.LET(
_xlpm.rowNo, MATCH($C272&amp;"|"&amp;
($F272+W$4),Raw_Fund!$A:$A,0),
_xlpm.colNo,
MATCH(W$3,Raw_Fund!$E$1:$AZ$1,0),
_xlpm.val,
INDEX(Raw_Fund!$E:$AZ,_xlpm.rowNo,_xlpm.colNo),
IF(ISNUMBER(_xlpm.val),_xlpm.val*$H272,""))</f>
        <v/>
      </c>
      <c r="X272" s="6" t="str">
        <f>_xlfn.LET(
_xlpm.rowNo, MATCH($C272&amp;"|"&amp;
($F272+X$4),Raw_Fund!$A:$A,0),
_xlpm.colNo,
MATCH(X$3,Raw_Fund!$E$1:$AZ$1,0),
_xlpm.val,
INDEX(Raw_Fund!$E:$AZ,_xlpm.rowNo,_xlpm.colNo),
IF(ISNUMBER(_xlpm.val),_xlpm.val*$H272,""))</f>
        <v/>
      </c>
      <c r="Y272" s="6" t="str">
        <f>_xlfn.LET(
_xlpm.rowNo, MATCH($C272&amp;"|"&amp;
($F272+Y$4),Raw_Fund!$A:$A,0),
_xlpm.colNo,
MATCH(Y$3,Raw_Fund!$E$1:$AZ$1,0),
_xlpm.val,
INDEX(Raw_Fund!$E:$AZ,_xlpm.rowNo,_xlpm.colNo),
IF(ISNUMBER(_xlpm.val),_xlpm.val*$H272,""))</f>
        <v/>
      </c>
      <c r="Z272" s="6" t="str">
        <f>IF($E272&lt;&gt;"Include","",_xlfn.XLOOKUP($C272,Raw_Mkt!$A:$A,Raw_Mkt!$B:$B))</f>
        <v/>
      </c>
    </row>
    <row r="273" spans="1:26" x14ac:dyDescent="0.4">
      <c r="A273" t="str">
        <f>IF(Universe!A273&lt;&gt;"",Universe!A273,"")</f>
        <v/>
      </c>
      <c r="B273" t="str">
        <f>IF(Universe!B273&lt;&gt;"",Universe!B273,"")</f>
        <v/>
      </c>
      <c r="C273" t="str">
        <f>IF(Universe!C273&lt;&gt;"",Universe!C273,"")</f>
        <v/>
      </c>
      <c r="D273" t="str">
        <f>IF(Universe!D273&lt;&gt;"",Universe!D273,"")</f>
        <v/>
      </c>
      <c r="E273" t="str">
        <f>Universe!G273</f>
        <v/>
      </c>
      <c r="F273" t="str">
        <f>IF($E273&lt;&gt;"Include","",_xlfn.LET(_xlpm.latest,_xlfn.MAXIFS(Raw_Fund!$C:$C,Raw_Fund!$B:$B,Data!$C273),IF(_xlpm.latest=0,"",_xlpm.latest)))</f>
        <v/>
      </c>
      <c r="G273" t="str">
        <f>IF($F273="","",INDEX(Raw_Fund!$E:$AZ,MATCH($C273&amp;"|"&amp;$F273,Raw_Fund!$A:$A,0),MATCH(G$3,Raw_Fund!$E$1:$AZ$1,0)))</f>
        <v/>
      </c>
      <c r="H273" t="str">
        <f t="shared" si="4"/>
        <v/>
      </c>
      <c r="I273" s="6" t="str">
        <f>_xlfn.LET(
_xlpm.rowNo, MATCH($C273&amp;"|"&amp;
($F273+I$4),Raw_Fund!$A:$A,0),
_xlpm.colNo,
MATCH(I$3,Raw_Fund!$E$1:$AZ$1,0),
_xlpm.val,
INDEX(Raw_Fund!$E:$AZ,_xlpm.rowNo,_xlpm.colNo),
IF(ISNUMBER(_xlpm.val),_xlpm.val*$H273,""))</f>
        <v/>
      </c>
      <c r="J273" s="6" t="str">
        <f>_xlfn.LET(
_xlpm.rowNo, MATCH($C273&amp;"|"&amp;
($F273+J$4),Raw_Fund!$A:$A,0),
_xlpm.colNo,
MATCH(J$3,Raw_Fund!$E$1:$AZ$1,0),
_xlpm.val,
INDEX(Raw_Fund!$E:$AZ,_xlpm.rowNo,_xlpm.colNo),
IF(ISNUMBER(_xlpm.val),_xlpm.val*$H273,""))</f>
        <v/>
      </c>
      <c r="K273" s="6" t="str">
        <f>_xlfn.LET(
_xlpm.rowNo, MATCH($C273&amp;"|"&amp;
($F273+K$4),Raw_Fund!$A:$A,0),
_xlpm.colNo,
MATCH(K$3,Raw_Fund!$E$1:$AZ$1,0),
_xlpm.val,
INDEX(Raw_Fund!$E:$AZ,_xlpm.rowNo,_xlpm.colNo),
IF(ISNUMBER(_xlpm.val),_xlpm.val*$H273,""))</f>
        <v/>
      </c>
      <c r="L273" s="6" t="str">
        <f>_xlfn.LET(
_xlpm.rowNo, MATCH($C273&amp;"|"&amp;
($F273+L$4),Raw_Fund!$A:$A,0),
_xlpm.colNo,
MATCH(L$3,Raw_Fund!$E$1:$AZ$1,0),
_xlpm.val,
INDEX(Raw_Fund!$E:$AZ,_xlpm.rowNo,_xlpm.colNo),
IF(ISNUMBER(_xlpm.val),_xlpm.val*$H273,""))</f>
        <v/>
      </c>
      <c r="M273" s="6" t="str">
        <f>_xlfn.LET(
_xlpm.rowNo, MATCH($C273&amp;"|"&amp;
($F273+M$4),Raw_Fund!$A:$A,0),
_xlpm.colNo,
MATCH(M$3,Raw_Fund!$E$1:$AZ$1,0),
_xlpm.val,
INDEX(Raw_Fund!$E:$AZ,_xlpm.rowNo,_xlpm.colNo),
IF(ISNUMBER(_xlpm.val),_xlpm.val*$H273,""))</f>
        <v/>
      </c>
      <c r="N273" s="6" t="str">
        <f>_xlfn.LET(
_xlpm.rowNo, MATCH($C273&amp;"|"&amp;
($F273+N$4),Raw_Fund!$A:$A,0),
_xlpm.colNo,
MATCH(N$3,Raw_Fund!$E$1:$AZ$1,0),
_xlpm.val,
INDEX(Raw_Fund!$E:$AZ,_xlpm.rowNo,_xlpm.colNo),
IF(ISNUMBER(_xlpm.val),_xlpm.val*$H273,""))</f>
        <v/>
      </c>
      <c r="O273" s="6" t="str">
        <f>_xlfn.LET(
_xlpm.rowNo, MATCH($C273&amp;"|"&amp;
($F273+O$4),Raw_Fund!$A:$A,0),
_xlpm.colNo,
MATCH(O$3,Raw_Fund!$E$1:$AZ$1,0),
_xlpm.val,
INDEX(Raw_Fund!$E:$AZ,_xlpm.rowNo,_xlpm.colNo),
IF(ISNUMBER(_xlpm.val),_xlpm.val*$H273,""))</f>
        <v/>
      </c>
      <c r="P273" s="6" t="str">
        <f>_xlfn.LET(
_xlpm.rowNo, MATCH($C273&amp;"|"&amp;
($F273+P$4),Raw_Fund!$A:$A,0),
_xlpm.colNo,
MATCH(P$3,Raw_Fund!$E$1:$AZ$1,0),
_xlpm.val,
INDEX(Raw_Fund!$E:$AZ,_xlpm.rowNo,_xlpm.colNo),
IF(ISNUMBER(_xlpm.val),_xlpm.val*$H273,""))</f>
        <v/>
      </c>
      <c r="Q273" s="6" t="str">
        <f>_xlfn.LET(
_xlpm.rowNo, MATCH($C273&amp;"|"&amp;
($F273+Q$4),Raw_Fund!$A:$A,0),
_xlpm.colNo,
MATCH(Q$3,Raw_Fund!$E$1:$AZ$1,0),
_xlpm.val,
INDEX(Raw_Fund!$E:$AZ,_xlpm.rowNo,_xlpm.colNo),
IF(ISNUMBER(_xlpm.val),_xlpm.val*$H273,""))</f>
        <v/>
      </c>
      <c r="R273" s="6" t="str">
        <f>_xlfn.LET(
_xlpm.rowNo, MATCH($C273&amp;"|"&amp;
($F273+R$4),Raw_Fund!$A:$A,0),
_xlpm.colNo,
MATCH(R$3,Raw_Fund!$E$1:$AZ$1,0),
_xlpm.val,
INDEX(Raw_Fund!$E:$AZ,_xlpm.rowNo,_xlpm.colNo),
IF(ISNUMBER(_xlpm.val),_xlpm.val*$H273,""))</f>
        <v/>
      </c>
      <c r="S273" s="6" t="str">
        <f>_xlfn.LET(
_xlpm.rowNo, MATCH($C273&amp;"|"&amp;
($F273+S$4),Raw_Fund!$A:$A,0),
_xlpm.colNo,
MATCH(S$3,Raw_Fund!$E$1:$AZ$1,0),
_xlpm.val,
INDEX(Raw_Fund!$E:$AZ,_xlpm.rowNo,_xlpm.colNo),
IF(ISNUMBER(_xlpm.val),_xlpm.val*$H273,""))</f>
        <v/>
      </c>
      <c r="T273" s="6" t="str">
        <f>_xlfn.LET(
_xlpm.rowNo, MATCH($C273&amp;"|"&amp;
($F273+T$4),Raw_Fund!$A:$A,0),
_xlpm.colNo,
MATCH(T$3,Raw_Fund!$E$1:$AZ$1,0),
_xlpm.val,
INDEX(Raw_Fund!$E:$AZ,_xlpm.rowNo,_xlpm.colNo),
IF(ISNUMBER(_xlpm.val),_xlpm.val*$H273,""))</f>
        <v/>
      </c>
      <c r="U273" s="6" t="str">
        <f>_xlfn.LET(
_xlpm.rowNo, MATCH($C273&amp;"|"&amp;
($F273+U$4),Raw_Fund!$A:$A,0),
_xlpm.colNo,
MATCH(U$3,Raw_Fund!$E$1:$AZ$1,0),
_xlpm.val,
INDEX(Raw_Fund!$E:$AZ,_xlpm.rowNo,_xlpm.colNo),
IF(ISNUMBER(_xlpm.val),_xlpm.val*$H273,""))</f>
        <v/>
      </c>
      <c r="V273" s="6" t="str">
        <f>_xlfn.LET(
_xlpm.rowNo, MATCH($C273&amp;"|"&amp;
($F273+V$4),Raw_Fund!$A:$A,0),
_xlpm.colNo,
MATCH(V$3,Raw_Fund!$E$1:$AZ$1,0),
_xlpm.val,
INDEX(Raw_Fund!$E:$AZ,_xlpm.rowNo,_xlpm.colNo),
IF(ISNUMBER(_xlpm.val),_xlpm.val*$H273,""))</f>
        <v/>
      </c>
      <c r="W273" s="6" t="str">
        <f>_xlfn.LET(
_xlpm.rowNo, MATCH($C273&amp;"|"&amp;
($F273+W$4),Raw_Fund!$A:$A,0),
_xlpm.colNo,
MATCH(W$3,Raw_Fund!$E$1:$AZ$1,0),
_xlpm.val,
INDEX(Raw_Fund!$E:$AZ,_xlpm.rowNo,_xlpm.colNo),
IF(ISNUMBER(_xlpm.val),_xlpm.val*$H273,""))</f>
        <v/>
      </c>
      <c r="X273" s="6" t="str">
        <f>_xlfn.LET(
_xlpm.rowNo, MATCH($C273&amp;"|"&amp;
($F273+X$4),Raw_Fund!$A:$A,0),
_xlpm.colNo,
MATCH(X$3,Raw_Fund!$E$1:$AZ$1,0),
_xlpm.val,
INDEX(Raw_Fund!$E:$AZ,_xlpm.rowNo,_xlpm.colNo),
IF(ISNUMBER(_xlpm.val),_xlpm.val*$H273,""))</f>
        <v/>
      </c>
      <c r="Y273" s="6" t="str">
        <f>_xlfn.LET(
_xlpm.rowNo, MATCH($C273&amp;"|"&amp;
($F273+Y$4),Raw_Fund!$A:$A,0),
_xlpm.colNo,
MATCH(Y$3,Raw_Fund!$E$1:$AZ$1,0),
_xlpm.val,
INDEX(Raw_Fund!$E:$AZ,_xlpm.rowNo,_xlpm.colNo),
IF(ISNUMBER(_xlpm.val),_xlpm.val*$H273,""))</f>
        <v/>
      </c>
      <c r="Z273" s="6" t="str">
        <f>IF($E273&lt;&gt;"Include","",_xlfn.XLOOKUP($C273,Raw_Mkt!$A:$A,Raw_Mkt!$B:$B))</f>
        <v/>
      </c>
    </row>
    <row r="274" spans="1:26" x14ac:dyDescent="0.4">
      <c r="A274" t="str">
        <f>IF(Universe!A274&lt;&gt;"",Universe!A274,"")</f>
        <v/>
      </c>
      <c r="B274" t="str">
        <f>IF(Universe!B274&lt;&gt;"",Universe!B274,"")</f>
        <v/>
      </c>
      <c r="C274" t="str">
        <f>IF(Universe!C274&lt;&gt;"",Universe!C274,"")</f>
        <v/>
      </c>
      <c r="D274" t="str">
        <f>IF(Universe!D274&lt;&gt;"",Universe!D274,"")</f>
        <v/>
      </c>
      <c r="E274" t="str">
        <f>Universe!G274</f>
        <v/>
      </c>
      <c r="F274" t="str">
        <f>IF($E274&lt;&gt;"Include","",_xlfn.LET(_xlpm.latest,_xlfn.MAXIFS(Raw_Fund!$C:$C,Raw_Fund!$B:$B,Data!$C274),IF(_xlpm.latest=0,"",_xlpm.latest)))</f>
        <v/>
      </c>
      <c r="G274" t="str">
        <f>IF($F274="","",INDEX(Raw_Fund!$E:$AZ,MATCH($C274&amp;"|"&amp;$F274,Raw_Fund!$A:$A,0),MATCH(G$3,Raw_Fund!$E$1:$AZ$1,0)))</f>
        <v/>
      </c>
      <c r="H274" t="str">
        <f t="shared" si="4"/>
        <v/>
      </c>
      <c r="I274" s="6" t="str">
        <f>_xlfn.LET(
_xlpm.rowNo, MATCH($C274&amp;"|"&amp;
($F274+I$4),Raw_Fund!$A:$A,0),
_xlpm.colNo,
MATCH(I$3,Raw_Fund!$E$1:$AZ$1,0),
_xlpm.val,
INDEX(Raw_Fund!$E:$AZ,_xlpm.rowNo,_xlpm.colNo),
IF(ISNUMBER(_xlpm.val),_xlpm.val*$H274,""))</f>
        <v/>
      </c>
      <c r="J274" s="6" t="str">
        <f>_xlfn.LET(
_xlpm.rowNo, MATCH($C274&amp;"|"&amp;
($F274+J$4),Raw_Fund!$A:$A,0),
_xlpm.colNo,
MATCH(J$3,Raw_Fund!$E$1:$AZ$1,0),
_xlpm.val,
INDEX(Raw_Fund!$E:$AZ,_xlpm.rowNo,_xlpm.colNo),
IF(ISNUMBER(_xlpm.val),_xlpm.val*$H274,""))</f>
        <v/>
      </c>
      <c r="K274" s="6" t="str">
        <f>_xlfn.LET(
_xlpm.rowNo, MATCH($C274&amp;"|"&amp;
($F274+K$4),Raw_Fund!$A:$A,0),
_xlpm.colNo,
MATCH(K$3,Raw_Fund!$E$1:$AZ$1,0),
_xlpm.val,
INDEX(Raw_Fund!$E:$AZ,_xlpm.rowNo,_xlpm.colNo),
IF(ISNUMBER(_xlpm.val),_xlpm.val*$H274,""))</f>
        <v/>
      </c>
      <c r="L274" s="6" t="str">
        <f>_xlfn.LET(
_xlpm.rowNo, MATCH($C274&amp;"|"&amp;
($F274+L$4),Raw_Fund!$A:$A,0),
_xlpm.colNo,
MATCH(L$3,Raw_Fund!$E$1:$AZ$1,0),
_xlpm.val,
INDEX(Raw_Fund!$E:$AZ,_xlpm.rowNo,_xlpm.colNo),
IF(ISNUMBER(_xlpm.val),_xlpm.val*$H274,""))</f>
        <v/>
      </c>
      <c r="M274" s="6" t="str">
        <f>_xlfn.LET(
_xlpm.rowNo, MATCH($C274&amp;"|"&amp;
($F274+M$4),Raw_Fund!$A:$A,0),
_xlpm.colNo,
MATCH(M$3,Raw_Fund!$E$1:$AZ$1,0),
_xlpm.val,
INDEX(Raw_Fund!$E:$AZ,_xlpm.rowNo,_xlpm.colNo),
IF(ISNUMBER(_xlpm.val),_xlpm.val*$H274,""))</f>
        <v/>
      </c>
      <c r="N274" s="6" t="str">
        <f>_xlfn.LET(
_xlpm.rowNo, MATCH($C274&amp;"|"&amp;
($F274+N$4),Raw_Fund!$A:$A,0),
_xlpm.colNo,
MATCH(N$3,Raw_Fund!$E$1:$AZ$1,0),
_xlpm.val,
INDEX(Raw_Fund!$E:$AZ,_xlpm.rowNo,_xlpm.colNo),
IF(ISNUMBER(_xlpm.val),_xlpm.val*$H274,""))</f>
        <v/>
      </c>
      <c r="O274" s="6" t="str">
        <f>_xlfn.LET(
_xlpm.rowNo, MATCH($C274&amp;"|"&amp;
($F274+O$4),Raw_Fund!$A:$A,0),
_xlpm.colNo,
MATCH(O$3,Raw_Fund!$E$1:$AZ$1,0),
_xlpm.val,
INDEX(Raw_Fund!$E:$AZ,_xlpm.rowNo,_xlpm.colNo),
IF(ISNUMBER(_xlpm.val),_xlpm.val*$H274,""))</f>
        <v/>
      </c>
      <c r="P274" s="6" t="str">
        <f>_xlfn.LET(
_xlpm.rowNo, MATCH($C274&amp;"|"&amp;
($F274+P$4),Raw_Fund!$A:$A,0),
_xlpm.colNo,
MATCH(P$3,Raw_Fund!$E$1:$AZ$1,0),
_xlpm.val,
INDEX(Raw_Fund!$E:$AZ,_xlpm.rowNo,_xlpm.colNo),
IF(ISNUMBER(_xlpm.val),_xlpm.val*$H274,""))</f>
        <v/>
      </c>
      <c r="Q274" s="6" t="str">
        <f>_xlfn.LET(
_xlpm.rowNo, MATCH($C274&amp;"|"&amp;
($F274+Q$4),Raw_Fund!$A:$A,0),
_xlpm.colNo,
MATCH(Q$3,Raw_Fund!$E$1:$AZ$1,0),
_xlpm.val,
INDEX(Raw_Fund!$E:$AZ,_xlpm.rowNo,_xlpm.colNo),
IF(ISNUMBER(_xlpm.val),_xlpm.val*$H274,""))</f>
        <v/>
      </c>
      <c r="R274" s="6" t="str">
        <f>_xlfn.LET(
_xlpm.rowNo, MATCH($C274&amp;"|"&amp;
($F274+R$4),Raw_Fund!$A:$A,0),
_xlpm.colNo,
MATCH(R$3,Raw_Fund!$E$1:$AZ$1,0),
_xlpm.val,
INDEX(Raw_Fund!$E:$AZ,_xlpm.rowNo,_xlpm.colNo),
IF(ISNUMBER(_xlpm.val),_xlpm.val*$H274,""))</f>
        <v/>
      </c>
      <c r="S274" s="6" t="str">
        <f>_xlfn.LET(
_xlpm.rowNo, MATCH($C274&amp;"|"&amp;
($F274+S$4),Raw_Fund!$A:$A,0),
_xlpm.colNo,
MATCH(S$3,Raw_Fund!$E$1:$AZ$1,0),
_xlpm.val,
INDEX(Raw_Fund!$E:$AZ,_xlpm.rowNo,_xlpm.colNo),
IF(ISNUMBER(_xlpm.val),_xlpm.val*$H274,""))</f>
        <v/>
      </c>
      <c r="T274" s="6" t="str">
        <f>_xlfn.LET(
_xlpm.rowNo, MATCH($C274&amp;"|"&amp;
($F274+T$4),Raw_Fund!$A:$A,0),
_xlpm.colNo,
MATCH(T$3,Raw_Fund!$E$1:$AZ$1,0),
_xlpm.val,
INDEX(Raw_Fund!$E:$AZ,_xlpm.rowNo,_xlpm.colNo),
IF(ISNUMBER(_xlpm.val),_xlpm.val*$H274,""))</f>
        <v/>
      </c>
      <c r="U274" s="6" t="str">
        <f>_xlfn.LET(
_xlpm.rowNo, MATCH($C274&amp;"|"&amp;
($F274+U$4),Raw_Fund!$A:$A,0),
_xlpm.colNo,
MATCH(U$3,Raw_Fund!$E$1:$AZ$1,0),
_xlpm.val,
INDEX(Raw_Fund!$E:$AZ,_xlpm.rowNo,_xlpm.colNo),
IF(ISNUMBER(_xlpm.val),_xlpm.val*$H274,""))</f>
        <v/>
      </c>
      <c r="V274" s="6" t="str">
        <f>_xlfn.LET(
_xlpm.rowNo, MATCH($C274&amp;"|"&amp;
($F274+V$4),Raw_Fund!$A:$A,0),
_xlpm.colNo,
MATCH(V$3,Raw_Fund!$E$1:$AZ$1,0),
_xlpm.val,
INDEX(Raw_Fund!$E:$AZ,_xlpm.rowNo,_xlpm.colNo),
IF(ISNUMBER(_xlpm.val),_xlpm.val*$H274,""))</f>
        <v/>
      </c>
      <c r="W274" s="6" t="str">
        <f>_xlfn.LET(
_xlpm.rowNo, MATCH($C274&amp;"|"&amp;
($F274+W$4),Raw_Fund!$A:$A,0),
_xlpm.colNo,
MATCH(W$3,Raw_Fund!$E$1:$AZ$1,0),
_xlpm.val,
INDEX(Raw_Fund!$E:$AZ,_xlpm.rowNo,_xlpm.colNo),
IF(ISNUMBER(_xlpm.val),_xlpm.val*$H274,""))</f>
        <v/>
      </c>
      <c r="X274" s="6" t="str">
        <f>_xlfn.LET(
_xlpm.rowNo, MATCH($C274&amp;"|"&amp;
($F274+X$4),Raw_Fund!$A:$A,0),
_xlpm.colNo,
MATCH(X$3,Raw_Fund!$E$1:$AZ$1,0),
_xlpm.val,
INDEX(Raw_Fund!$E:$AZ,_xlpm.rowNo,_xlpm.colNo),
IF(ISNUMBER(_xlpm.val),_xlpm.val*$H274,""))</f>
        <v/>
      </c>
      <c r="Y274" s="6" t="str">
        <f>_xlfn.LET(
_xlpm.rowNo, MATCH($C274&amp;"|"&amp;
($F274+Y$4),Raw_Fund!$A:$A,0),
_xlpm.colNo,
MATCH(Y$3,Raw_Fund!$E$1:$AZ$1,0),
_xlpm.val,
INDEX(Raw_Fund!$E:$AZ,_xlpm.rowNo,_xlpm.colNo),
IF(ISNUMBER(_xlpm.val),_xlpm.val*$H274,""))</f>
        <v/>
      </c>
      <c r="Z274" s="6" t="str">
        <f>IF($E274&lt;&gt;"Include","",_xlfn.XLOOKUP($C274,Raw_Mkt!$A:$A,Raw_Mkt!$B:$B))</f>
        <v/>
      </c>
    </row>
    <row r="275" spans="1:26" x14ac:dyDescent="0.4">
      <c r="A275" t="str">
        <f>IF(Universe!A275&lt;&gt;"",Universe!A275,"")</f>
        <v/>
      </c>
      <c r="B275" t="str">
        <f>IF(Universe!B275&lt;&gt;"",Universe!B275,"")</f>
        <v/>
      </c>
      <c r="C275" t="str">
        <f>IF(Universe!C275&lt;&gt;"",Universe!C275,"")</f>
        <v/>
      </c>
      <c r="D275" t="str">
        <f>IF(Universe!D275&lt;&gt;"",Universe!D275,"")</f>
        <v/>
      </c>
      <c r="E275" t="str">
        <f>Universe!G275</f>
        <v/>
      </c>
      <c r="F275" t="str">
        <f>IF($E275&lt;&gt;"Include","",_xlfn.LET(_xlpm.latest,_xlfn.MAXIFS(Raw_Fund!$C:$C,Raw_Fund!$B:$B,Data!$C275),IF(_xlpm.latest=0,"",_xlpm.latest)))</f>
        <v/>
      </c>
      <c r="G275" t="str">
        <f>IF($F275="","",INDEX(Raw_Fund!$E:$AZ,MATCH($C275&amp;"|"&amp;$F275,Raw_Fund!$A:$A,0),MATCH(G$3,Raw_Fund!$E$1:$AZ$1,0)))</f>
        <v/>
      </c>
      <c r="H275" t="str">
        <f t="shared" si="4"/>
        <v/>
      </c>
      <c r="I275" s="6" t="str">
        <f>_xlfn.LET(
_xlpm.rowNo, MATCH($C275&amp;"|"&amp;
($F275+I$4),Raw_Fund!$A:$A,0),
_xlpm.colNo,
MATCH(I$3,Raw_Fund!$E$1:$AZ$1,0),
_xlpm.val,
INDEX(Raw_Fund!$E:$AZ,_xlpm.rowNo,_xlpm.colNo),
IF(ISNUMBER(_xlpm.val),_xlpm.val*$H275,""))</f>
        <v/>
      </c>
      <c r="J275" s="6" t="str">
        <f>_xlfn.LET(
_xlpm.rowNo, MATCH($C275&amp;"|"&amp;
($F275+J$4),Raw_Fund!$A:$A,0),
_xlpm.colNo,
MATCH(J$3,Raw_Fund!$E$1:$AZ$1,0),
_xlpm.val,
INDEX(Raw_Fund!$E:$AZ,_xlpm.rowNo,_xlpm.colNo),
IF(ISNUMBER(_xlpm.val),_xlpm.val*$H275,""))</f>
        <v/>
      </c>
      <c r="K275" s="6" t="str">
        <f>_xlfn.LET(
_xlpm.rowNo, MATCH($C275&amp;"|"&amp;
($F275+K$4),Raw_Fund!$A:$A,0),
_xlpm.colNo,
MATCH(K$3,Raw_Fund!$E$1:$AZ$1,0),
_xlpm.val,
INDEX(Raw_Fund!$E:$AZ,_xlpm.rowNo,_xlpm.colNo),
IF(ISNUMBER(_xlpm.val),_xlpm.val*$H275,""))</f>
        <v/>
      </c>
      <c r="L275" s="6" t="str">
        <f>_xlfn.LET(
_xlpm.rowNo, MATCH($C275&amp;"|"&amp;
($F275+L$4),Raw_Fund!$A:$A,0),
_xlpm.colNo,
MATCH(L$3,Raw_Fund!$E$1:$AZ$1,0),
_xlpm.val,
INDEX(Raw_Fund!$E:$AZ,_xlpm.rowNo,_xlpm.colNo),
IF(ISNUMBER(_xlpm.val),_xlpm.val*$H275,""))</f>
        <v/>
      </c>
      <c r="M275" s="6" t="str">
        <f>_xlfn.LET(
_xlpm.rowNo, MATCH($C275&amp;"|"&amp;
($F275+M$4),Raw_Fund!$A:$A,0),
_xlpm.colNo,
MATCH(M$3,Raw_Fund!$E$1:$AZ$1,0),
_xlpm.val,
INDEX(Raw_Fund!$E:$AZ,_xlpm.rowNo,_xlpm.colNo),
IF(ISNUMBER(_xlpm.val),_xlpm.val*$H275,""))</f>
        <v/>
      </c>
      <c r="N275" s="6" t="str">
        <f>_xlfn.LET(
_xlpm.rowNo, MATCH($C275&amp;"|"&amp;
($F275+N$4),Raw_Fund!$A:$A,0),
_xlpm.colNo,
MATCH(N$3,Raw_Fund!$E$1:$AZ$1,0),
_xlpm.val,
INDEX(Raw_Fund!$E:$AZ,_xlpm.rowNo,_xlpm.colNo),
IF(ISNUMBER(_xlpm.val),_xlpm.val*$H275,""))</f>
        <v/>
      </c>
      <c r="O275" s="6" t="str">
        <f>_xlfn.LET(
_xlpm.rowNo, MATCH($C275&amp;"|"&amp;
($F275+O$4),Raw_Fund!$A:$A,0),
_xlpm.colNo,
MATCH(O$3,Raw_Fund!$E$1:$AZ$1,0),
_xlpm.val,
INDEX(Raw_Fund!$E:$AZ,_xlpm.rowNo,_xlpm.colNo),
IF(ISNUMBER(_xlpm.val),_xlpm.val*$H275,""))</f>
        <v/>
      </c>
      <c r="P275" s="6" t="str">
        <f>_xlfn.LET(
_xlpm.rowNo, MATCH($C275&amp;"|"&amp;
($F275+P$4),Raw_Fund!$A:$A,0),
_xlpm.colNo,
MATCH(P$3,Raw_Fund!$E$1:$AZ$1,0),
_xlpm.val,
INDEX(Raw_Fund!$E:$AZ,_xlpm.rowNo,_xlpm.colNo),
IF(ISNUMBER(_xlpm.val),_xlpm.val*$H275,""))</f>
        <v/>
      </c>
      <c r="Q275" s="6" t="str">
        <f>_xlfn.LET(
_xlpm.rowNo, MATCH($C275&amp;"|"&amp;
($F275+Q$4),Raw_Fund!$A:$A,0),
_xlpm.colNo,
MATCH(Q$3,Raw_Fund!$E$1:$AZ$1,0),
_xlpm.val,
INDEX(Raw_Fund!$E:$AZ,_xlpm.rowNo,_xlpm.colNo),
IF(ISNUMBER(_xlpm.val),_xlpm.val*$H275,""))</f>
        <v/>
      </c>
      <c r="R275" s="6" t="str">
        <f>_xlfn.LET(
_xlpm.rowNo, MATCH($C275&amp;"|"&amp;
($F275+R$4),Raw_Fund!$A:$A,0),
_xlpm.colNo,
MATCH(R$3,Raw_Fund!$E$1:$AZ$1,0),
_xlpm.val,
INDEX(Raw_Fund!$E:$AZ,_xlpm.rowNo,_xlpm.colNo),
IF(ISNUMBER(_xlpm.val),_xlpm.val*$H275,""))</f>
        <v/>
      </c>
      <c r="S275" s="6" t="str">
        <f>_xlfn.LET(
_xlpm.rowNo, MATCH($C275&amp;"|"&amp;
($F275+S$4),Raw_Fund!$A:$A,0),
_xlpm.colNo,
MATCH(S$3,Raw_Fund!$E$1:$AZ$1,0),
_xlpm.val,
INDEX(Raw_Fund!$E:$AZ,_xlpm.rowNo,_xlpm.colNo),
IF(ISNUMBER(_xlpm.val),_xlpm.val*$H275,""))</f>
        <v/>
      </c>
      <c r="T275" s="6" t="str">
        <f>_xlfn.LET(
_xlpm.rowNo, MATCH($C275&amp;"|"&amp;
($F275+T$4),Raw_Fund!$A:$A,0),
_xlpm.colNo,
MATCH(T$3,Raw_Fund!$E$1:$AZ$1,0),
_xlpm.val,
INDEX(Raw_Fund!$E:$AZ,_xlpm.rowNo,_xlpm.colNo),
IF(ISNUMBER(_xlpm.val),_xlpm.val*$H275,""))</f>
        <v/>
      </c>
      <c r="U275" s="6" t="str">
        <f>_xlfn.LET(
_xlpm.rowNo, MATCH($C275&amp;"|"&amp;
($F275+U$4),Raw_Fund!$A:$A,0),
_xlpm.colNo,
MATCH(U$3,Raw_Fund!$E$1:$AZ$1,0),
_xlpm.val,
INDEX(Raw_Fund!$E:$AZ,_xlpm.rowNo,_xlpm.colNo),
IF(ISNUMBER(_xlpm.val),_xlpm.val*$H275,""))</f>
        <v/>
      </c>
      <c r="V275" s="6" t="str">
        <f>_xlfn.LET(
_xlpm.rowNo, MATCH($C275&amp;"|"&amp;
($F275+V$4),Raw_Fund!$A:$A,0),
_xlpm.colNo,
MATCH(V$3,Raw_Fund!$E$1:$AZ$1,0),
_xlpm.val,
INDEX(Raw_Fund!$E:$AZ,_xlpm.rowNo,_xlpm.colNo),
IF(ISNUMBER(_xlpm.val),_xlpm.val*$H275,""))</f>
        <v/>
      </c>
      <c r="W275" s="6" t="str">
        <f>_xlfn.LET(
_xlpm.rowNo, MATCH($C275&amp;"|"&amp;
($F275+W$4),Raw_Fund!$A:$A,0),
_xlpm.colNo,
MATCH(W$3,Raw_Fund!$E$1:$AZ$1,0),
_xlpm.val,
INDEX(Raw_Fund!$E:$AZ,_xlpm.rowNo,_xlpm.colNo),
IF(ISNUMBER(_xlpm.val),_xlpm.val*$H275,""))</f>
        <v/>
      </c>
      <c r="X275" s="6" t="str">
        <f>_xlfn.LET(
_xlpm.rowNo, MATCH($C275&amp;"|"&amp;
($F275+X$4),Raw_Fund!$A:$A,0),
_xlpm.colNo,
MATCH(X$3,Raw_Fund!$E$1:$AZ$1,0),
_xlpm.val,
INDEX(Raw_Fund!$E:$AZ,_xlpm.rowNo,_xlpm.colNo),
IF(ISNUMBER(_xlpm.val),_xlpm.val*$H275,""))</f>
        <v/>
      </c>
      <c r="Y275" s="6" t="str">
        <f>_xlfn.LET(
_xlpm.rowNo, MATCH($C275&amp;"|"&amp;
($F275+Y$4),Raw_Fund!$A:$A,0),
_xlpm.colNo,
MATCH(Y$3,Raw_Fund!$E$1:$AZ$1,0),
_xlpm.val,
INDEX(Raw_Fund!$E:$AZ,_xlpm.rowNo,_xlpm.colNo),
IF(ISNUMBER(_xlpm.val),_xlpm.val*$H275,""))</f>
        <v/>
      </c>
      <c r="Z275" s="6" t="str">
        <f>IF($E275&lt;&gt;"Include","",_xlfn.XLOOKUP($C275,Raw_Mkt!$A:$A,Raw_Mkt!$B:$B))</f>
        <v/>
      </c>
    </row>
    <row r="276" spans="1:26" x14ac:dyDescent="0.4">
      <c r="A276" t="str">
        <f>IF(Universe!A276&lt;&gt;"",Universe!A276,"")</f>
        <v/>
      </c>
      <c r="B276" t="str">
        <f>IF(Universe!B276&lt;&gt;"",Universe!B276,"")</f>
        <v/>
      </c>
      <c r="C276" t="str">
        <f>IF(Universe!C276&lt;&gt;"",Universe!C276,"")</f>
        <v/>
      </c>
      <c r="D276" t="str">
        <f>IF(Universe!D276&lt;&gt;"",Universe!D276,"")</f>
        <v/>
      </c>
      <c r="E276" t="str">
        <f>Universe!G276</f>
        <v/>
      </c>
      <c r="F276" t="str">
        <f>IF($E276&lt;&gt;"Include","",_xlfn.LET(_xlpm.latest,_xlfn.MAXIFS(Raw_Fund!$C:$C,Raw_Fund!$B:$B,Data!$C276),IF(_xlpm.latest=0,"",_xlpm.latest)))</f>
        <v/>
      </c>
      <c r="G276" t="str">
        <f>IF($F276="","",INDEX(Raw_Fund!$E:$AZ,MATCH($C276&amp;"|"&amp;$F276,Raw_Fund!$A:$A,0),MATCH(G$3,Raw_Fund!$E$1:$AZ$1,0)))</f>
        <v/>
      </c>
      <c r="H276" t="str">
        <f t="shared" si="4"/>
        <v/>
      </c>
      <c r="I276" s="6" t="str">
        <f>_xlfn.LET(
_xlpm.rowNo, MATCH($C276&amp;"|"&amp;
($F276+I$4),Raw_Fund!$A:$A,0),
_xlpm.colNo,
MATCH(I$3,Raw_Fund!$E$1:$AZ$1,0),
_xlpm.val,
INDEX(Raw_Fund!$E:$AZ,_xlpm.rowNo,_xlpm.colNo),
IF(ISNUMBER(_xlpm.val),_xlpm.val*$H276,""))</f>
        <v/>
      </c>
      <c r="J276" s="6" t="str">
        <f>_xlfn.LET(
_xlpm.rowNo, MATCH($C276&amp;"|"&amp;
($F276+J$4),Raw_Fund!$A:$A,0),
_xlpm.colNo,
MATCH(J$3,Raw_Fund!$E$1:$AZ$1,0),
_xlpm.val,
INDEX(Raw_Fund!$E:$AZ,_xlpm.rowNo,_xlpm.colNo),
IF(ISNUMBER(_xlpm.val),_xlpm.val*$H276,""))</f>
        <v/>
      </c>
      <c r="K276" s="6" t="str">
        <f>_xlfn.LET(
_xlpm.rowNo, MATCH($C276&amp;"|"&amp;
($F276+K$4),Raw_Fund!$A:$A,0),
_xlpm.colNo,
MATCH(K$3,Raw_Fund!$E$1:$AZ$1,0),
_xlpm.val,
INDEX(Raw_Fund!$E:$AZ,_xlpm.rowNo,_xlpm.colNo),
IF(ISNUMBER(_xlpm.val),_xlpm.val*$H276,""))</f>
        <v/>
      </c>
      <c r="L276" s="6" t="str">
        <f>_xlfn.LET(
_xlpm.rowNo, MATCH($C276&amp;"|"&amp;
($F276+L$4),Raw_Fund!$A:$A,0),
_xlpm.colNo,
MATCH(L$3,Raw_Fund!$E$1:$AZ$1,0),
_xlpm.val,
INDEX(Raw_Fund!$E:$AZ,_xlpm.rowNo,_xlpm.colNo),
IF(ISNUMBER(_xlpm.val),_xlpm.val*$H276,""))</f>
        <v/>
      </c>
      <c r="M276" s="6" t="str">
        <f>_xlfn.LET(
_xlpm.rowNo, MATCH($C276&amp;"|"&amp;
($F276+M$4),Raw_Fund!$A:$A,0),
_xlpm.colNo,
MATCH(M$3,Raw_Fund!$E$1:$AZ$1,0),
_xlpm.val,
INDEX(Raw_Fund!$E:$AZ,_xlpm.rowNo,_xlpm.colNo),
IF(ISNUMBER(_xlpm.val),_xlpm.val*$H276,""))</f>
        <v/>
      </c>
      <c r="N276" s="6" t="str">
        <f>_xlfn.LET(
_xlpm.rowNo, MATCH($C276&amp;"|"&amp;
($F276+N$4),Raw_Fund!$A:$A,0),
_xlpm.colNo,
MATCH(N$3,Raw_Fund!$E$1:$AZ$1,0),
_xlpm.val,
INDEX(Raw_Fund!$E:$AZ,_xlpm.rowNo,_xlpm.colNo),
IF(ISNUMBER(_xlpm.val),_xlpm.val*$H276,""))</f>
        <v/>
      </c>
      <c r="O276" s="6" t="str">
        <f>_xlfn.LET(
_xlpm.rowNo, MATCH($C276&amp;"|"&amp;
($F276+O$4),Raw_Fund!$A:$A,0),
_xlpm.colNo,
MATCH(O$3,Raw_Fund!$E$1:$AZ$1,0),
_xlpm.val,
INDEX(Raw_Fund!$E:$AZ,_xlpm.rowNo,_xlpm.colNo),
IF(ISNUMBER(_xlpm.val),_xlpm.val*$H276,""))</f>
        <v/>
      </c>
      <c r="P276" s="6" t="str">
        <f>_xlfn.LET(
_xlpm.rowNo, MATCH($C276&amp;"|"&amp;
($F276+P$4),Raw_Fund!$A:$A,0),
_xlpm.colNo,
MATCH(P$3,Raw_Fund!$E$1:$AZ$1,0),
_xlpm.val,
INDEX(Raw_Fund!$E:$AZ,_xlpm.rowNo,_xlpm.colNo),
IF(ISNUMBER(_xlpm.val),_xlpm.val*$H276,""))</f>
        <v/>
      </c>
      <c r="Q276" s="6" t="str">
        <f>_xlfn.LET(
_xlpm.rowNo, MATCH($C276&amp;"|"&amp;
($F276+Q$4),Raw_Fund!$A:$A,0),
_xlpm.colNo,
MATCH(Q$3,Raw_Fund!$E$1:$AZ$1,0),
_xlpm.val,
INDEX(Raw_Fund!$E:$AZ,_xlpm.rowNo,_xlpm.colNo),
IF(ISNUMBER(_xlpm.val),_xlpm.val*$H276,""))</f>
        <v/>
      </c>
      <c r="R276" s="6" t="str">
        <f>_xlfn.LET(
_xlpm.rowNo, MATCH($C276&amp;"|"&amp;
($F276+R$4),Raw_Fund!$A:$A,0),
_xlpm.colNo,
MATCH(R$3,Raw_Fund!$E$1:$AZ$1,0),
_xlpm.val,
INDEX(Raw_Fund!$E:$AZ,_xlpm.rowNo,_xlpm.colNo),
IF(ISNUMBER(_xlpm.val),_xlpm.val*$H276,""))</f>
        <v/>
      </c>
      <c r="S276" s="6" t="str">
        <f>_xlfn.LET(
_xlpm.rowNo, MATCH($C276&amp;"|"&amp;
($F276+S$4),Raw_Fund!$A:$A,0),
_xlpm.colNo,
MATCH(S$3,Raw_Fund!$E$1:$AZ$1,0),
_xlpm.val,
INDEX(Raw_Fund!$E:$AZ,_xlpm.rowNo,_xlpm.colNo),
IF(ISNUMBER(_xlpm.val),_xlpm.val*$H276,""))</f>
        <v/>
      </c>
      <c r="T276" s="6" t="str">
        <f>_xlfn.LET(
_xlpm.rowNo, MATCH($C276&amp;"|"&amp;
($F276+T$4),Raw_Fund!$A:$A,0),
_xlpm.colNo,
MATCH(T$3,Raw_Fund!$E$1:$AZ$1,0),
_xlpm.val,
INDEX(Raw_Fund!$E:$AZ,_xlpm.rowNo,_xlpm.colNo),
IF(ISNUMBER(_xlpm.val),_xlpm.val*$H276,""))</f>
        <v/>
      </c>
      <c r="U276" s="6" t="str">
        <f>_xlfn.LET(
_xlpm.rowNo, MATCH($C276&amp;"|"&amp;
($F276+U$4),Raw_Fund!$A:$A,0),
_xlpm.colNo,
MATCH(U$3,Raw_Fund!$E$1:$AZ$1,0),
_xlpm.val,
INDEX(Raw_Fund!$E:$AZ,_xlpm.rowNo,_xlpm.colNo),
IF(ISNUMBER(_xlpm.val),_xlpm.val*$H276,""))</f>
        <v/>
      </c>
      <c r="V276" s="6" t="str">
        <f>_xlfn.LET(
_xlpm.rowNo, MATCH($C276&amp;"|"&amp;
($F276+V$4),Raw_Fund!$A:$A,0),
_xlpm.colNo,
MATCH(V$3,Raw_Fund!$E$1:$AZ$1,0),
_xlpm.val,
INDEX(Raw_Fund!$E:$AZ,_xlpm.rowNo,_xlpm.colNo),
IF(ISNUMBER(_xlpm.val),_xlpm.val*$H276,""))</f>
        <v/>
      </c>
      <c r="W276" s="6" t="str">
        <f>_xlfn.LET(
_xlpm.rowNo, MATCH($C276&amp;"|"&amp;
($F276+W$4),Raw_Fund!$A:$A,0),
_xlpm.colNo,
MATCH(W$3,Raw_Fund!$E$1:$AZ$1,0),
_xlpm.val,
INDEX(Raw_Fund!$E:$AZ,_xlpm.rowNo,_xlpm.colNo),
IF(ISNUMBER(_xlpm.val),_xlpm.val*$H276,""))</f>
        <v/>
      </c>
      <c r="X276" s="6" t="str">
        <f>_xlfn.LET(
_xlpm.rowNo, MATCH($C276&amp;"|"&amp;
($F276+X$4),Raw_Fund!$A:$A,0),
_xlpm.colNo,
MATCH(X$3,Raw_Fund!$E$1:$AZ$1,0),
_xlpm.val,
INDEX(Raw_Fund!$E:$AZ,_xlpm.rowNo,_xlpm.colNo),
IF(ISNUMBER(_xlpm.val),_xlpm.val*$H276,""))</f>
        <v/>
      </c>
      <c r="Y276" s="6" t="str">
        <f>_xlfn.LET(
_xlpm.rowNo, MATCH($C276&amp;"|"&amp;
($F276+Y$4),Raw_Fund!$A:$A,0),
_xlpm.colNo,
MATCH(Y$3,Raw_Fund!$E$1:$AZ$1,0),
_xlpm.val,
INDEX(Raw_Fund!$E:$AZ,_xlpm.rowNo,_xlpm.colNo),
IF(ISNUMBER(_xlpm.val),_xlpm.val*$H276,""))</f>
        <v/>
      </c>
      <c r="Z276" s="6" t="str">
        <f>IF($E276&lt;&gt;"Include","",_xlfn.XLOOKUP($C276,Raw_Mkt!$A:$A,Raw_Mkt!$B:$B))</f>
        <v/>
      </c>
    </row>
    <row r="277" spans="1:26" x14ac:dyDescent="0.4">
      <c r="A277" t="str">
        <f>IF(Universe!A277&lt;&gt;"",Universe!A277,"")</f>
        <v/>
      </c>
      <c r="B277" t="str">
        <f>IF(Universe!B277&lt;&gt;"",Universe!B277,"")</f>
        <v/>
      </c>
      <c r="C277" t="str">
        <f>IF(Universe!C277&lt;&gt;"",Universe!C277,"")</f>
        <v/>
      </c>
      <c r="D277" t="str">
        <f>IF(Universe!D277&lt;&gt;"",Universe!D277,"")</f>
        <v/>
      </c>
      <c r="E277" t="str">
        <f>Universe!G277</f>
        <v/>
      </c>
      <c r="F277" t="str">
        <f>IF($E277&lt;&gt;"Include","",_xlfn.LET(_xlpm.latest,_xlfn.MAXIFS(Raw_Fund!$C:$C,Raw_Fund!$B:$B,Data!$C277),IF(_xlpm.latest=0,"",_xlpm.latest)))</f>
        <v/>
      </c>
      <c r="G277" t="str">
        <f>IF($F277="","",INDEX(Raw_Fund!$E:$AZ,MATCH($C277&amp;"|"&amp;$F277,Raw_Fund!$A:$A,0),MATCH(G$3,Raw_Fund!$E$1:$AZ$1,0)))</f>
        <v/>
      </c>
      <c r="H277" t="str">
        <f t="shared" si="4"/>
        <v/>
      </c>
      <c r="I277" s="6" t="str">
        <f>_xlfn.LET(
_xlpm.rowNo, MATCH($C277&amp;"|"&amp;
($F277+I$4),Raw_Fund!$A:$A,0),
_xlpm.colNo,
MATCH(I$3,Raw_Fund!$E$1:$AZ$1,0),
_xlpm.val,
INDEX(Raw_Fund!$E:$AZ,_xlpm.rowNo,_xlpm.colNo),
IF(ISNUMBER(_xlpm.val),_xlpm.val*$H277,""))</f>
        <v/>
      </c>
      <c r="J277" s="6" t="str">
        <f>_xlfn.LET(
_xlpm.rowNo, MATCH($C277&amp;"|"&amp;
($F277+J$4),Raw_Fund!$A:$A,0),
_xlpm.colNo,
MATCH(J$3,Raw_Fund!$E$1:$AZ$1,0),
_xlpm.val,
INDEX(Raw_Fund!$E:$AZ,_xlpm.rowNo,_xlpm.colNo),
IF(ISNUMBER(_xlpm.val),_xlpm.val*$H277,""))</f>
        <v/>
      </c>
      <c r="K277" s="6" t="str">
        <f>_xlfn.LET(
_xlpm.rowNo, MATCH($C277&amp;"|"&amp;
($F277+K$4),Raw_Fund!$A:$A,0),
_xlpm.colNo,
MATCH(K$3,Raw_Fund!$E$1:$AZ$1,0),
_xlpm.val,
INDEX(Raw_Fund!$E:$AZ,_xlpm.rowNo,_xlpm.colNo),
IF(ISNUMBER(_xlpm.val),_xlpm.val*$H277,""))</f>
        <v/>
      </c>
      <c r="L277" s="6" t="str">
        <f>_xlfn.LET(
_xlpm.rowNo, MATCH($C277&amp;"|"&amp;
($F277+L$4),Raw_Fund!$A:$A,0),
_xlpm.colNo,
MATCH(L$3,Raw_Fund!$E$1:$AZ$1,0),
_xlpm.val,
INDEX(Raw_Fund!$E:$AZ,_xlpm.rowNo,_xlpm.colNo),
IF(ISNUMBER(_xlpm.val),_xlpm.val*$H277,""))</f>
        <v/>
      </c>
      <c r="M277" s="6" t="str">
        <f>_xlfn.LET(
_xlpm.rowNo, MATCH($C277&amp;"|"&amp;
($F277+M$4),Raw_Fund!$A:$A,0),
_xlpm.colNo,
MATCH(M$3,Raw_Fund!$E$1:$AZ$1,0),
_xlpm.val,
INDEX(Raw_Fund!$E:$AZ,_xlpm.rowNo,_xlpm.colNo),
IF(ISNUMBER(_xlpm.val),_xlpm.val*$H277,""))</f>
        <v/>
      </c>
      <c r="N277" s="6" t="str">
        <f>_xlfn.LET(
_xlpm.rowNo, MATCH($C277&amp;"|"&amp;
($F277+N$4),Raw_Fund!$A:$A,0),
_xlpm.colNo,
MATCH(N$3,Raw_Fund!$E$1:$AZ$1,0),
_xlpm.val,
INDEX(Raw_Fund!$E:$AZ,_xlpm.rowNo,_xlpm.colNo),
IF(ISNUMBER(_xlpm.val),_xlpm.val*$H277,""))</f>
        <v/>
      </c>
      <c r="O277" s="6" t="str">
        <f>_xlfn.LET(
_xlpm.rowNo, MATCH($C277&amp;"|"&amp;
($F277+O$4),Raw_Fund!$A:$A,0),
_xlpm.colNo,
MATCH(O$3,Raw_Fund!$E$1:$AZ$1,0),
_xlpm.val,
INDEX(Raw_Fund!$E:$AZ,_xlpm.rowNo,_xlpm.colNo),
IF(ISNUMBER(_xlpm.val),_xlpm.val*$H277,""))</f>
        <v/>
      </c>
      <c r="P277" s="6" t="str">
        <f>_xlfn.LET(
_xlpm.rowNo, MATCH($C277&amp;"|"&amp;
($F277+P$4),Raw_Fund!$A:$A,0),
_xlpm.colNo,
MATCH(P$3,Raw_Fund!$E$1:$AZ$1,0),
_xlpm.val,
INDEX(Raw_Fund!$E:$AZ,_xlpm.rowNo,_xlpm.colNo),
IF(ISNUMBER(_xlpm.val),_xlpm.val*$H277,""))</f>
        <v/>
      </c>
      <c r="Q277" s="6" t="str">
        <f>_xlfn.LET(
_xlpm.rowNo, MATCH($C277&amp;"|"&amp;
($F277+Q$4),Raw_Fund!$A:$A,0),
_xlpm.colNo,
MATCH(Q$3,Raw_Fund!$E$1:$AZ$1,0),
_xlpm.val,
INDEX(Raw_Fund!$E:$AZ,_xlpm.rowNo,_xlpm.colNo),
IF(ISNUMBER(_xlpm.val),_xlpm.val*$H277,""))</f>
        <v/>
      </c>
      <c r="R277" s="6" t="str">
        <f>_xlfn.LET(
_xlpm.rowNo, MATCH($C277&amp;"|"&amp;
($F277+R$4),Raw_Fund!$A:$A,0),
_xlpm.colNo,
MATCH(R$3,Raw_Fund!$E$1:$AZ$1,0),
_xlpm.val,
INDEX(Raw_Fund!$E:$AZ,_xlpm.rowNo,_xlpm.colNo),
IF(ISNUMBER(_xlpm.val),_xlpm.val*$H277,""))</f>
        <v/>
      </c>
      <c r="S277" s="6" t="str">
        <f>_xlfn.LET(
_xlpm.rowNo, MATCH($C277&amp;"|"&amp;
($F277+S$4),Raw_Fund!$A:$A,0),
_xlpm.colNo,
MATCH(S$3,Raw_Fund!$E$1:$AZ$1,0),
_xlpm.val,
INDEX(Raw_Fund!$E:$AZ,_xlpm.rowNo,_xlpm.colNo),
IF(ISNUMBER(_xlpm.val),_xlpm.val*$H277,""))</f>
        <v/>
      </c>
      <c r="T277" s="6" t="str">
        <f>_xlfn.LET(
_xlpm.rowNo, MATCH($C277&amp;"|"&amp;
($F277+T$4),Raw_Fund!$A:$A,0),
_xlpm.colNo,
MATCH(T$3,Raw_Fund!$E$1:$AZ$1,0),
_xlpm.val,
INDEX(Raw_Fund!$E:$AZ,_xlpm.rowNo,_xlpm.colNo),
IF(ISNUMBER(_xlpm.val),_xlpm.val*$H277,""))</f>
        <v/>
      </c>
      <c r="U277" s="6" t="str">
        <f>_xlfn.LET(
_xlpm.rowNo, MATCH($C277&amp;"|"&amp;
($F277+U$4),Raw_Fund!$A:$A,0),
_xlpm.colNo,
MATCH(U$3,Raw_Fund!$E$1:$AZ$1,0),
_xlpm.val,
INDEX(Raw_Fund!$E:$AZ,_xlpm.rowNo,_xlpm.colNo),
IF(ISNUMBER(_xlpm.val),_xlpm.val*$H277,""))</f>
        <v/>
      </c>
      <c r="V277" s="6" t="str">
        <f>_xlfn.LET(
_xlpm.rowNo, MATCH($C277&amp;"|"&amp;
($F277+V$4),Raw_Fund!$A:$A,0),
_xlpm.colNo,
MATCH(V$3,Raw_Fund!$E$1:$AZ$1,0),
_xlpm.val,
INDEX(Raw_Fund!$E:$AZ,_xlpm.rowNo,_xlpm.colNo),
IF(ISNUMBER(_xlpm.val),_xlpm.val*$H277,""))</f>
        <v/>
      </c>
      <c r="W277" s="6" t="str">
        <f>_xlfn.LET(
_xlpm.rowNo, MATCH($C277&amp;"|"&amp;
($F277+W$4),Raw_Fund!$A:$A,0),
_xlpm.colNo,
MATCH(W$3,Raw_Fund!$E$1:$AZ$1,0),
_xlpm.val,
INDEX(Raw_Fund!$E:$AZ,_xlpm.rowNo,_xlpm.colNo),
IF(ISNUMBER(_xlpm.val),_xlpm.val*$H277,""))</f>
        <v/>
      </c>
      <c r="X277" s="6" t="str">
        <f>_xlfn.LET(
_xlpm.rowNo, MATCH($C277&amp;"|"&amp;
($F277+X$4),Raw_Fund!$A:$A,0),
_xlpm.colNo,
MATCH(X$3,Raw_Fund!$E$1:$AZ$1,0),
_xlpm.val,
INDEX(Raw_Fund!$E:$AZ,_xlpm.rowNo,_xlpm.colNo),
IF(ISNUMBER(_xlpm.val),_xlpm.val*$H277,""))</f>
        <v/>
      </c>
      <c r="Y277" s="6" t="str">
        <f>_xlfn.LET(
_xlpm.rowNo, MATCH($C277&amp;"|"&amp;
($F277+Y$4),Raw_Fund!$A:$A,0),
_xlpm.colNo,
MATCH(Y$3,Raw_Fund!$E$1:$AZ$1,0),
_xlpm.val,
INDEX(Raw_Fund!$E:$AZ,_xlpm.rowNo,_xlpm.colNo),
IF(ISNUMBER(_xlpm.val),_xlpm.val*$H277,""))</f>
        <v/>
      </c>
      <c r="Z277" s="6" t="str">
        <f>IF($E277&lt;&gt;"Include","",_xlfn.XLOOKUP($C277,Raw_Mkt!$A:$A,Raw_Mkt!$B:$B))</f>
        <v/>
      </c>
    </row>
    <row r="278" spans="1:26" x14ac:dyDescent="0.4">
      <c r="A278" t="str">
        <f>IF(Universe!A278&lt;&gt;"",Universe!A278,"")</f>
        <v/>
      </c>
      <c r="B278" t="str">
        <f>IF(Universe!B278&lt;&gt;"",Universe!B278,"")</f>
        <v/>
      </c>
      <c r="C278" t="str">
        <f>IF(Universe!C278&lt;&gt;"",Universe!C278,"")</f>
        <v/>
      </c>
      <c r="D278" t="str">
        <f>IF(Universe!D278&lt;&gt;"",Universe!D278,"")</f>
        <v/>
      </c>
      <c r="E278" t="str">
        <f>Universe!G278</f>
        <v/>
      </c>
      <c r="F278" t="str">
        <f>IF($E278&lt;&gt;"Include","",_xlfn.LET(_xlpm.latest,_xlfn.MAXIFS(Raw_Fund!$C:$C,Raw_Fund!$B:$B,Data!$C278),IF(_xlpm.latest=0,"",_xlpm.latest)))</f>
        <v/>
      </c>
      <c r="G278" t="str">
        <f>IF($F278="","",INDEX(Raw_Fund!$E:$AZ,MATCH($C278&amp;"|"&amp;$F278,Raw_Fund!$A:$A,0),MATCH(G$3,Raw_Fund!$E$1:$AZ$1,0)))</f>
        <v/>
      </c>
      <c r="H278" t="str">
        <f t="shared" si="4"/>
        <v/>
      </c>
      <c r="I278" s="6" t="str">
        <f>_xlfn.LET(
_xlpm.rowNo, MATCH($C278&amp;"|"&amp;
($F278+I$4),Raw_Fund!$A:$A,0),
_xlpm.colNo,
MATCH(I$3,Raw_Fund!$E$1:$AZ$1,0),
_xlpm.val,
INDEX(Raw_Fund!$E:$AZ,_xlpm.rowNo,_xlpm.colNo),
IF(ISNUMBER(_xlpm.val),_xlpm.val*$H278,""))</f>
        <v/>
      </c>
      <c r="J278" s="6" t="str">
        <f>_xlfn.LET(
_xlpm.rowNo, MATCH($C278&amp;"|"&amp;
($F278+J$4),Raw_Fund!$A:$A,0),
_xlpm.colNo,
MATCH(J$3,Raw_Fund!$E$1:$AZ$1,0),
_xlpm.val,
INDEX(Raw_Fund!$E:$AZ,_xlpm.rowNo,_xlpm.colNo),
IF(ISNUMBER(_xlpm.val),_xlpm.val*$H278,""))</f>
        <v/>
      </c>
      <c r="K278" s="6" t="str">
        <f>_xlfn.LET(
_xlpm.rowNo, MATCH($C278&amp;"|"&amp;
($F278+K$4),Raw_Fund!$A:$A,0),
_xlpm.colNo,
MATCH(K$3,Raw_Fund!$E$1:$AZ$1,0),
_xlpm.val,
INDEX(Raw_Fund!$E:$AZ,_xlpm.rowNo,_xlpm.colNo),
IF(ISNUMBER(_xlpm.val),_xlpm.val*$H278,""))</f>
        <v/>
      </c>
      <c r="L278" s="6" t="str">
        <f>_xlfn.LET(
_xlpm.rowNo, MATCH($C278&amp;"|"&amp;
($F278+L$4),Raw_Fund!$A:$A,0),
_xlpm.colNo,
MATCH(L$3,Raw_Fund!$E$1:$AZ$1,0),
_xlpm.val,
INDEX(Raw_Fund!$E:$AZ,_xlpm.rowNo,_xlpm.colNo),
IF(ISNUMBER(_xlpm.val),_xlpm.val*$H278,""))</f>
        <v/>
      </c>
      <c r="M278" s="6" t="str">
        <f>_xlfn.LET(
_xlpm.rowNo, MATCH($C278&amp;"|"&amp;
($F278+M$4),Raw_Fund!$A:$A,0),
_xlpm.colNo,
MATCH(M$3,Raw_Fund!$E$1:$AZ$1,0),
_xlpm.val,
INDEX(Raw_Fund!$E:$AZ,_xlpm.rowNo,_xlpm.colNo),
IF(ISNUMBER(_xlpm.val),_xlpm.val*$H278,""))</f>
        <v/>
      </c>
      <c r="N278" s="6" t="str">
        <f>_xlfn.LET(
_xlpm.rowNo, MATCH($C278&amp;"|"&amp;
($F278+N$4),Raw_Fund!$A:$A,0),
_xlpm.colNo,
MATCH(N$3,Raw_Fund!$E$1:$AZ$1,0),
_xlpm.val,
INDEX(Raw_Fund!$E:$AZ,_xlpm.rowNo,_xlpm.colNo),
IF(ISNUMBER(_xlpm.val),_xlpm.val*$H278,""))</f>
        <v/>
      </c>
      <c r="O278" s="6" t="str">
        <f>_xlfn.LET(
_xlpm.rowNo, MATCH($C278&amp;"|"&amp;
($F278+O$4),Raw_Fund!$A:$A,0),
_xlpm.colNo,
MATCH(O$3,Raw_Fund!$E$1:$AZ$1,0),
_xlpm.val,
INDEX(Raw_Fund!$E:$AZ,_xlpm.rowNo,_xlpm.colNo),
IF(ISNUMBER(_xlpm.val),_xlpm.val*$H278,""))</f>
        <v/>
      </c>
      <c r="P278" s="6" t="str">
        <f>_xlfn.LET(
_xlpm.rowNo, MATCH($C278&amp;"|"&amp;
($F278+P$4),Raw_Fund!$A:$A,0),
_xlpm.colNo,
MATCH(P$3,Raw_Fund!$E$1:$AZ$1,0),
_xlpm.val,
INDEX(Raw_Fund!$E:$AZ,_xlpm.rowNo,_xlpm.colNo),
IF(ISNUMBER(_xlpm.val),_xlpm.val*$H278,""))</f>
        <v/>
      </c>
      <c r="Q278" s="6" t="str">
        <f>_xlfn.LET(
_xlpm.rowNo, MATCH($C278&amp;"|"&amp;
($F278+Q$4),Raw_Fund!$A:$A,0),
_xlpm.colNo,
MATCH(Q$3,Raw_Fund!$E$1:$AZ$1,0),
_xlpm.val,
INDEX(Raw_Fund!$E:$AZ,_xlpm.rowNo,_xlpm.colNo),
IF(ISNUMBER(_xlpm.val),_xlpm.val*$H278,""))</f>
        <v/>
      </c>
      <c r="R278" s="6" t="str">
        <f>_xlfn.LET(
_xlpm.rowNo, MATCH($C278&amp;"|"&amp;
($F278+R$4),Raw_Fund!$A:$A,0),
_xlpm.colNo,
MATCH(R$3,Raw_Fund!$E$1:$AZ$1,0),
_xlpm.val,
INDEX(Raw_Fund!$E:$AZ,_xlpm.rowNo,_xlpm.colNo),
IF(ISNUMBER(_xlpm.val),_xlpm.val*$H278,""))</f>
        <v/>
      </c>
      <c r="S278" s="6" t="str">
        <f>_xlfn.LET(
_xlpm.rowNo, MATCH($C278&amp;"|"&amp;
($F278+S$4),Raw_Fund!$A:$A,0),
_xlpm.colNo,
MATCH(S$3,Raw_Fund!$E$1:$AZ$1,0),
_xlpm.val,
INDEX(Raw_Fund!$E:$AZ,_xlpm.rowNo,_xlpm.colNo),
IF(ISNUMBER(_xlpm.val),_xlpm.val*$H278,""))</f>
        <v/>
      </c>
      <c r="T278" s="6" t="str">
        <f>_xlfn.LET(
_xlpm.rowNo, MATCH($C278&amp;"|"&amp;
($F278+T$4),Raw_Fund!$A:$A,0),
_xlpm.colNo,
MATCH(T$3,Raw_Fund!$E$1:$AZ$1,0),
_xlpm.val,
INDEX(Raw_Fund!$E:$AZ,_xlpm.rowNo,_xlpm.colNo),
IF(ISNUMBER(_xlpm.val),_xlpm.val*$H278,""))</f>
        <v/>
      </c>
      <c r="U278" s="6" t="str">
        <f>_xlfn.LET(
_xlpm.rowNo, MATCH($C278&amp;"|"&amp;
($F278+U$4),Raw_Fund!$A:$A,0),
_xlpm.colNo,
MATCH(U$3,Raw_Fund!$E$1:$AZ$1,0),
_xlpm.val,
INDEX(Raw_Fund!$E:$AZ,_xlpm.rowNo,_xlpm.colNo),
IF(ISNUMBER(_xlpm.val),_xlpm.val*$H278,""))</f>
        <v/>
      </c>
      <c r="V278" s="6" t="str">
        <f>_xlfn.LET(
_xlpm.rowNo, MATCH($C278&amp;"|"&amp;
($F278+V$4),Raw_Fund!$A:$A,0),
_xlpm.colNo,
MATCH(V$3,Raw_Fund!$E$1:$AZ$1,0),
_xlpm.val,
INDEX(Raw_Fund!$E:$AZ,_xlpm.rowNo,_xlpm.colNo),
IF(ISNUMBER(_xlpm.val),_xlpm.val*$H278,""))</f>
        <v/>
      </c>
      <c r="W278" s="6" t="str">
        <f>_xlfn.LET(
_xlpm.rowNo, MATCH($C278&amp;"|"&amp;
($F278+W$4),Raw_Fund!$A:$A,0),
_xlpm.colNo,
MATCH(W$3,Raw_Fund!$E$1:$AZ$1,0),
_xlpm.val,
INDEX(Raw_Fund!$E:$AZ,_xlpm.rowNo,_xlpm.colNo),
IF(ISNUMBER(_xlpm.val),_xlpm.val*$H278,""))</f>
        <v/>
      </c>
      <c r="X278" s="6" t="str">
        <f>_xlfn.LET(
_xlpm.rowNo, MATCH($C278&amp;"|"&amp;
($F278+X$4),Raw_Fund!$A:$A,0),
_xlpm.colNo,
MATCH(X$3,Raw_Fund!$E$1:$AZ$1,0),
_xlpm.val,
INDEX(Raw_Fund!$E:$AZ,_xlpm.rowNo,_xlpm.colNo),
IF(ISNUMBER(_xlpm.val),_xlpm.val*$H278,""))</f>
        <v/>
      </c>
      <c r="Y278" s="6" t="str">
        <f>_xlfn.LET(
_xlpm.rowNo, MATCH($C278&amp;"|"&amp;
($F278+Y$4),Raw_Fund!$A:$A,0),
_xlpm.colNo,
MATCH(Y$3,Raw_Fund!$E$1:$AZ$1,0),
_xlpm.val,
INDEX(Raw_Fund!$E:$AZ,_xlpm.rowNo,_xlpm.colNo),
IF(ISNUMBER(_xlpm.val),_xlpm.val*$H278,""))</f>
        <v/>
      </c>
      <c r="Z278" s="6" t="str">
        <f>IF($E278&lt;&gt;"Include","",_xlfn.XLOOKUP($C278,Raw_Mkt!$A:$A,Raw_Mkt!$B:$B))</f>
        <v/>
      </c>
    </row>
    <row r="279" spans="1:26" x14ac:dyDescent="0.4">
      <c r="A279" t="str">
        <f>IF(Universe!A279&lt;&gt;"",Universe!A279,"")</f>
        <v/>
      </c>
      <c r="B279" t="str">
        <f>IF(Universe!B279&lt;&gt;"",Universe!B279,"")</f>
        <v/>
      </c>
      <c r="C279" t="str">
        <f>IF(Universe!C279&lt;&gt;"",Universe!C279,"")</f>
        <v/>
      </c>
      <c r="D279" t="str">
        <f>IF(Universe!D279&lt;&gt;"",Universe!D279,"")</f>
        <v/>
      </c>
      <c r="E279" t="str">
        <f>Universe!G279</f>
        <v/>
      </c>
      <c r="F279" t="str">
        <f>IF($E279&lt;&gt;"Include","",_xlfn.LET(_xlpm.latest,_xlfn.MAXIFS(Raw_Fund!$C:$C,Raw_Fund!$B:$B,Data!$C279),IF(_xlpm.latest=0,"",_xlpm.latest)))</f>
        <v/>
      </c>
      <c r="G279" t="str">
        <f>IF($F279="","",INDEX(Raw_Fund!$E:$AZ,MATCH($C279&amp;"|"&amp;$F279,Raw_Fund!$A:$A,0),MATCH(G$3,Raw_Fund!$E$1:$AZ$1,0)))</f>
        <v/>
      </c>
      <c r="H279" t="str">
        <f t="shared" si="4"/>
        <v/>
      </c>
      <c r="I279" s="6" t="str">
        <f>_xlfn.LET(
_xlpm.rowNo, MATCH($C279&amp;"|"&amp;
($F279+I$4),Raw_Fund!$A:$A,0),
_xlpm.colNo,
MATCH(I$3,Raw_Fund!$E$1:$AZ$1,0),
_xlpm.val,
INDEX(Raw_Fund!$E:$AZ,_xlpm.rowNo,_xlpm.colNo),
IF(ISNUMBER(_xlpm.val),_xlpm.val*$H279,""))</f>
        <v/>
      </c>
      <c r="J279" s="6" t="str">
        <f>_xlfn.LET(
_xlpm.rowNo, MATCH($C279&amp;"|"&amp;
($F279+J$4),Raw_Fund!$A:$A,0),
_xlpm.colNo,
MATCH(J$3,Raw_Fund!$E$1:$AZ$1,0),
_xlpm.val,
INDEX(Raw_Fund!$E:$AZ,_xlpm.rowNo,_xlpm.colNo),
IF(ISNUMBER(_xlpm.val),_xlpm.val*$H279,""))</f>
        <v/>
      </c>
      <c r="K279" s="6" t="str">
        <f>_xlfn.LET(
_xlpm.rowNo, MATCH($C279&amp;"|"&amp;
($F279+K$4),Raw_Fund!$A:$A,0),
_xlpm.colNo,
MATCH(K$3,Raw_Fund!$E$1:$AZ$1,0),
_xlpm.val,
INDEX(Raw_Fund!$E:$AZ,_xlpm.rowNo,_xlpm.colNo),
IF(ISNUMBER(_xlpm.val),_xlpm.val*$H279,""))</f>
        <v/>
      </c>
      <c r="L279" s="6" t="str">
        <f>_xlfn.LET(
_xlpm.rowNo, MATCH($C279&amp;"|"&amp;
($F279+L$4),Raw_Fund!$A:$A,0),
_xlpm.colNo,
MATCH(L$3,Raw_Fund!$E$1:$AZ$1,0),
_xlpm.val,
INDEX(Raw_Fund!$E:$AZ,_xlpm.rowNo,_xlpm.colNo),
IF(ISNUMBER(_xlpm.val),_xlpm.val*$H279,""))</f>
        <v/>
      </c>
      <c r="M279" s="6" t="str">
        <f>_xlfn.LET(
_xlpm.rowNo, MATCH($C279&amp;"|"&amp;
($F279+M$4),Raw_Fund!$A:$A,0),
_xlpm.colNo,
MATCH(M$3,Raw_Fund!$E$1:$AZ$1,0),
_xlpm.val,
INDEX(Raw_Fund!$E:$AZ,_xlpm.rowNo,_xlpm.colNo),
IF(ISNUMBER(_xlpm.val),_xlpm.val*$H279,""))</f>
        <v/>
      </c>
      <c r="N279" s="6" t="str">
        <f>_xlfn.LET(
_xlpm.rowNo, MATCH($C279&amp;"|"&amp;
($F279+N$4),Raw_Fund!$A:$A,0),
_xlpm.colNo,
MATCH(N$3,Raw_Fund!$E$1:$AZ$1,0),
_xlpm.val,
INDEX(Raw_Fund!$E:$AZ,_xlpm.rowNo,_xlpm.colNo),
IF(ISNUMBER(_xlpm.val),_xlpm.val*$H279,""))</f>
        <v/>
      </c>
      <c r="O279" s="6" t="str">
        <f>_xlfn.LET(
_xlpm.rowNo, MATCH($C279&amp;"|"&amp;
($F279+O$4),Raw_Fund!$A:$A,0),
_xlpm.colNo,
MATCH(O$3,Raw_Fund!$E$1:$AZ$1,0),
_xlpm.val,
INDEX(Raw_Fund!$E:$AZ,_xlpm.rowNo,_xlpm.colNo),
IF(ISNUMBER(_xlpm.val),_xlpm.val*$H279,""))</f>
        <v/>
      </c>
      <c r="P279" s="6" t="str">
        <f>_xlfn.LET(
_xlpm.rowNo, MATCH($C279&amp;"|"&amp;
($F279+P$4),Raw_Fund!$A:$A,0),
_xlpm.colNo,
MATCH(P$3,Raw_Fund!$E$1:$AZ$1,0),
_xlpm.val,
INDEX(Raw_Fund!$E:$AZ,_xlpm.rowNo,_xlpm.colNo),
IF(ISNUMBER(_xlpm.val),_xlpm.val*$H279,""))</f>
        <v/>
      </c>
      <c r="Q279" s="6" t="str">
        <f>_xlfn.LET(
_xlpm.rowNo, MATCH($C279&amp;"|"&amp;
($F279+Q$4),Raw_Fund!$A:$A,0),
_xlpm.colNo,
MATCH(Q$3,Raw_Fund!$E$1:$AZ$1,0),
_xlpm.val,
INDEX(Raw_Fund!$E:$AZ,_xlpm.rowNo,_xlpm.colNo),
IF(ISNUMBER(_xlpm.val),_xlpm.val*$H279,""))</f>
        <v/>
      </c>
      <c r="R279" s="6" t="str">
        <f>_xlfn.LET(
_xlpm.rowNo, MATCH($C279&amp;"|"&amp;
($F279+R$4),Raw_Fund!$A:$A,0),
_xlpm.colNo,
MATCH(R$3,Raw_Fund!$E$1:$AZ$1,0),
_xlpm.val,
INDEX(Raw_Fund!$E:$AZ,_xlpm.rowNo,_xlpm.colNo),
IF(ISNUMBER(_xlpm.val),_xlpm.val*$H279,""))</f>
        <v/>
      </c>
      <c r="S279" s="6" t="str">
        <f>_xlfn.LET(
_xlpm.rowNo, MATCH($C279&amp;"|"&amp;
($F279+S$4),Raw_Fund!$A:$A,0),
_xlpm.colNo,
MATCH(S$3,Raw_Fund!$E$1:$AZ$1,0),
_xlpm.val,
INDEX(Raw_Fund!$E:$AZ,_xlpm.rowNo,_xlpm.colNo),
IF(ISNUMBER(_xlpm.val),_xlpm.val*$H279,""))</f>
        <v/>
      </c>
      <c r="T279" s="6" t="str">
        <f>_xlfn.LET(
_xlpm.rowNo, MATCH($C279&amp;"|"&amp;
($F279+T$4),Raw_Fund!$A:$A,0),
_xlpm.colNo,
MATCH(T$3,Raw_Fund!$E$1:$AZ$1,0),
_xlpm.val,
INDEX(Raw_Fund!$E:$AZ,_xlpm.rowNo,_xlpm.colNo),
IF(ISNUMBER(_xlpm.val),_xlpm.val*$H279,""))</f>
        <v/>
      </c>
      <c r="U279" s="6" t="str">
        <f>_xlfn.LET(
_xlpm.rowNo, MATCH($C279&amp;"|"&amp;
($F279+U$4),Raw_Fund!$A:$A,0),
_xlpm.colNo,
MATCH(U$3,Raw_Fund!$E$1:$AZ$1,0),
_xlpm.val,
INDEX(Raw_Fund!$E:$AZ,_xlpm.rowNo,_xlpm.colNo),
IF(ISNUMBER(_xlpm.val),_xlpm.val*$H279,""))</f>
        <v/>
      </c>
      <c r="V279" s="6" t="str">
        <f>_xlfn.LET(
_xlpm.rowNo, MATCH($C279&amp;"|"&amp;
($F279+V$4),Raw_Fund!$A:$A,0),
_xlpm.colNo,
MATCH(V$3,Raw_Fund!$E$1:$AZ$1,0),
_xlpm.val,
INDEX(Raw_Fund!$E:$AZ,_xlpm.rowNo,_xlpm.colNo),
IF(ISNUMBER(_xlpm.val),_xlpm.val*$H279,""))</f>
        <v/>
      </c>
      <c r="W279" s="6" t="str">
        <f>_xlfn.LET(
_xlpm.rowNo, MATCH($C279&amp;"|"&amp;
($F279+W$4),Raw_Fund!$A:$A,0),
_xlpm.colNo,
MATCH(W$3,Raw_Fund!$E$1:$AZ$1,0),
_xlpm.val,
INDEX(Raw_Fund!$E:$AZ,_xlpm.rowNo,_xlpm.colNo),
IF(ISNUMBER(_xlpm.val),_xlpm.val*$H279,""))</f>
        <v/>
      </c>
      <c r="X279" s="6" t="str">
        <f>_xlfn.LET(
_xlpm.rowNo, MATCH($C279&amp;"|"&amp;
($F279+X$4),Raw_Fund!$A:$A,0),
_xlpm.colNo,
MATCH(X$3,Raw_Fund!$E$1:$AZ$1,0),
_xlpm.val,
INDEX(Raw_Fund!$E:$AZ,_xlpm.rowNo,_xlpm.colNo),
IF(ISNUMBER(_xlpm.val),_xlpm.val*$H279,""))</f>
        <v/>
      </c>
      <c r="Y279" s="6" t="str">
        <f>_xlfn.LET(
_xlpm.rowNo, MATCH($C279&amp;"|"&amp;
($F279+Y$4),Raw_Fund!$A:$A,0),
_xlpm.colNo,
MATCH(Y$3,Raw_Fund!$E$1:$AZ$1,0),
_xlpm.val,
INDEX(Raw_Fund!$E:$AZ,_xlpm.rowNo,_xlpm.colNo),
IF(ISNUMBER(_xlpm.val),_xlpm.val*$H279,""))</f>
        <v/>
      </c>
      <c r="Z279" s="6" t="str">
        <f>IF($E279&lt;&gt;"Include","",_xlfn.XLOOKUP($C279,Raw_Mkt!$A:$A,Raw_Mkt!$B:$B))</f>
        <v/>
      </c>
    </row>
    <row r="280" spans="1:26" x14ac:dyDescent="0.4">
      <c r="A280" t="str">
        <f>IF(Universe!A280&lt;&gt;"",Universe!A280,"")</f>
        <v/>
      </c>
      <c r="B280" t="str">
        <f>IF(Universe!B280&lt;&gt;"",Universe!B280,"")</f>
        <v/>
      </c>
      <c r="C280" t="str">
        <f>IF(Universe!C280&lt;&gt;"",Universe!C280,"")</f>
        <v/>
      </c>
      <c r="D280" t="str">
        <f>IF(Universe!D280&lt;&gt;"",Universe!D280,"")</f>
        <v/>
      </c>
      <c r="E280" t="str">
        <f>Universe!G280</f>
        <v/>
      </c>
      <c r="F280" t="str">
        <f>IF($E280&lt;&gt;"Include","",_xlfn.LET(_xlpm.latest,_xlfn.MAXIFS(Raw_Fund!$C:$C,Raw_Fund!$B:$B,Data!$C280),IF(_xlpm.latest=0,"",_xlpm.latest)))</f>
        <v/>
      </c>
      <c r="G280" t="str">
        <f>IF($F280="","",INDEX(Raw_Fund!$E:$AZ,MATCH($C280&amp;"|"&amp;$F280,Raw_Fund!$A:$A,0),MATCH(G$3,Raw_Fund!$E$1:$AZ$1,0)))</f>
        <v/>
      </c>
      <c r="H280" t="str">
        <f t="shared" si="4"/>
        <v/>
      </c>
      <c r="I280" s="6" t="str">
        <f>_xlfn.LET(
_xlpm.rowNo, MATCH($C280&amp;"|"&amp;
($F280+I$4),Raw_Fund!$A:$A,0),
_xlpm.colNo,
MATCH(I$3,Raw_Fund!$E$1:$AZ$1,0),
_xlpm.val,
INDEX(Raw_Fund!$E:$AZ,_xlpm.rowNo,_xlpm.colNo),
IF(ISNUMBER(_xlpm.val),_xlpm.val*$H280,""))</f>
        <v/>
      </c>
      <c r="J280" s="6" t="str">
        <f>_xlfn.LET(
_xlpm.rowNo, MATCH($C280&amp;"|"&amp;
($F280+J$4),Raw_Fund!$A:$A,0),
_xlpm.colNo,
MATCH(J$3,Raw_Fund!$E$1:$AZ$1,0),
_xlpm.val,
INDEX(Raw_Fund!$E:$AZ,_xlpm.rowNo,_xlpm.colNo),
IF(ISNUMBER(_xlpm.val),_xlpm.val*$H280,""))</f>
        <v/>
      </c>
      <c r="K280" s="6" t="str">
        <f>_xlfn.LET(
_xlpm.rowNo, MATCH($C280&amp;"|"&amp;
($F280+K$4),Raw_Fund!$A:$A,0),
_xlpm.colNo,
MATCH(K$3,Raw_Fund!$E$1:$AZ$1,0),
_xlpm.val,
INDEX(Raw_Fund!$E:$AZ,_xlpm.rowNo,_xlpm.colNo),
IF(ISNUMBER(_xlpm.val),_xlpm.val*$H280,""))</f>
        <v/>
      </c>
      <c r="L280" s="6" t="str">
        <f>_xlfn.LET(
_xlpm.rowNo, MATCH($C280&amp;"|"&amp;
($F280+L$4),Raw_Fund!$A:$A,0),
_xlpm.colNo,
MATCH(L$3,Raw_Fund!$E$1:$AZ$1,0),
_xlpm.val,
INDEX(Raw_Fund!$E:$AZ,_xlpm.rowNo,_xlpm.colNo),
IF(ISNUMBER(_xlpm.val),_xlpm.val*$H280,""))</f>
        <v/>
      </c>
      <c r="M280" s="6" t="str">
        <f>_xlfn.LET(
_xlpm.rowNo, MATCH($C280&amp;"|"&amp;
($F280+M$4),Raw_Fund!$A:$A,0),
_xlpm.colNo,
MATCH(M$3,Raw_Fund!$E$1:$AZ$1,0),
_xlpm.val,
INDEX(Raw_Fund!$E:$AZ,_xlpm.rowNo,_xlpm.colNo),
IF(ISNUMBER(_xlpm.val),_xlpm.val*$H280,""))</f>
        <v/>
      </c>
      <c r="N280" s="6" t="str">
        <f>_xlfn.LET(
_xlpm.rowNo, MATCH($C280&amp;"|"&amp;
($F280+N$4),Raw_Fund!$A:$A,0),
_xlpm.colNo,
MATCH(N$3,Raw_Fund!$E$1:$AZ$1,0),
_xlpm.val,
INDEX(Raw_Fund!$E:$AZ,_xlpm.rowNo,_xlpm.colNo),
IF(ISNUMBER(_xlpm.val),_xlpm.val*$H280,""))</f>
        <v/>
      </c>
      <c r="O280" s="6" t="str">
        <f>_xlfn.LET(
_xlpm.rowNo, MATCH($C280&amp;"|"&amp;
($F280+O$4),Raw_Fund!$A:$A,0),
_xlpm.colNo,
MATCH(O$3,Raw_Fund!$E$1:$AZ$1,0),
_xlpm.val,
INDEX(Raw_Fund!$E:$AZ,_xlpm.rowNo,_xlpm.colNo),
IF(ISNUMBER(_xlpm.val),_xlpm.val*$H280,""))</f>
        <v/>
      </c>
      <c r="P280" s="6" t="str">
        <f>_xlfn.LET(
_xlpm.rowNo, MATCH($C280&amp;"|"&amp;
($F280+P$4),Raw_Fund!$A:$A,0),
_xlpm.colNo,
MATCH(P$3,Raw_Fund!$E$1:$AZ$1,0),
_xlpm.val,
INDEX(Raw_Fund!$E:$AZ,_xlpm.rowNo,_xlpm.colNo),
IF(ISNUMBER(_xlpm.val),_xlpm.val*$H280,""))</f>
        <v/>
      </c>
      <c r="Q280" s="6" t="str">
        <f>_xlfn.LET(
_xlpm.rowNo, MATCH($C280&amp;"|"&amp;
($F280+Q$4),Raw_Fund!$A:$A,0),
_xlpm.colNo,
MATCH(Q$3,Raw_Fund!$E$1:$AZ$1,0),
_xlpm.val,
INDEX(Raw_Fund!$E:$AZ,_xlpm.rowNo,_xlpm.colNo),
IF(ISNUMBER(_xlpm.val),_xlpm.val*$H280,""))</f>
        <v/>
      </c>
      <c r="R280" s="6" t="str">
        <f>_xlfn.LET(
_xlpm.rowNo, MATCH($C280&amp;"|"&amp;
($F280+R$4),Raw_Fund!$A:$A,0),
_xlpm.colNo,
MATCH(R$3,Raw_Fund!$E$1:$AZ$1,0),
_xlpm.val,
INDEX(Raw_Fund!$E:$AZ,_xlpm.rowNo,_xlpm.colNo),
IF(ISNUMBER(_xlpm.val),_xlpm.val*$H280,""))</f>
        <v/>
      </c>
      <c r="S280" s="6" t="str">
        <f>_xlfn.LET(
_xlpm.rowNo, MATCH($C280&amp;"|"&amp;
($F280+S$4),Raw_Fund!$A:$A,0),
_xlpm.colNo,
MATCH(S$3,Raw_Fund!$E$1:$AZ$1,0),
_xlpm.val,
INDEX(Raw_Fund!$E:$AZ,_xlpm.rowNo,_xlpm.colNo),
IF(ISNUMBER(_xlpm.val),_xlpm.val*$H280,""))</f>
        <v/>
      </c>
      <c r="T280" s="6" t="str">
        <f>_xlfn.LET(
_xlpm.rowNo, MATCH($C280&amp;"|"&amp;
($F280+T$4),Raw_Fund!$A:$A,0),
_xlpm.colNo,
MATCH(T$3,Raw_Fund!$E$1:$AZ$1,0),
_xlpm.val,
INDEX(Raw_Fund!$E:$AZ,_xlpm.rowNo,_xlpm.colNo),
IF(ISNUMBER(_xlpm.val),_xlpm.val*$H280,""))</f>
        <v/>
      </c>
      <c r="U280" s="6" t="str">
        <f>_xlfn.LET(
_xlpm.rowNo, MATCH($C280&amp;"|"&amp;
($F280+U$4),Raw_Fund!$A:$A,0),
_xlpm.colNo,
MATCH(U$3,Raw_Fund!$E$1:$AZ$1,0),
_xlpm.val,
INDEX(Raw_Fund!$E:$AZ,_xlpm.rowNo,_xlpm.colNo),
IF(ISNUMBER(_xlpm.val),_xlpm.val*$H280,""))</f>
        <v/>
      </c>
      <c r="V280" s="6" t="str">
        <f>_xlfn.LET(
_xlpm.rowNo, MATCH($C280&amp;"|"&amp;
($F280+V$4),Raw_Fund!$A:$A,0),
_xlpm.colNo,
MATCH(V$3,Raw_Fund!$E$1:$AZ$1,0),
_xlpm.val,
INDEX(Raw_Fund!$E:$AZ,_xlpm.rowNo,_xlpm.colNo),
IF(ISNUMBER(_xlpm.val),_xlpm.val*$H280,""))</f>
        <v/>
      </c>
      <c r="W280" s="6" t="str">
        <f>_xlfn.LET(
_xlpm.rowNo, MATCH($C280&amp;"|"&amp;
($F280+W$4),Raw_Fund!$A:$A,0),
_xlpm.colNo,
MATCH(W$3,Raw_Fund!$E$1:$AZ$1,0),
_xlpm.val,
INDEX(Raw_Fund!$E:$AZ,_xlpm.rowNo,_xlpm.colNo),
IF(ISNUMBER(_xlpm.val),_xlpm.val*$H280,""))</f>
        <v/>
      </c>
      <c r="X280" s="6" t="str">
        <f>_xlfn.LET(
_xlpm.rowNo, MATCH($C280&amp;"|"&amp;
($F280+X$4),Raw_Fund!$A:$A,0),
_xlpm.colNo,
MATCH(X$3,Raw_Fund!$E$1:$AZ$1,0),
_xlpm.val,
INDEX(Raw_Fund!$E:$AZ,_xlpm.rowNo,_xlpm.colNo),
IF(ISNUMBER(_xlpm.val),_xlpm.val*$H280,""))</f>
        <v/>
      </c>
      <c r="Y280" s="6" t="str">
        <f>_xlfn.LET(
_xlpm.rowNo, MATCH($C280&amp;"|"&amp;
($F280+Y$4),Raw_Fund!$A:$A,0),
_xlpm.colNo,
MATCH(Y$3,Raw_Fund!$E$1:$AZ$1,0),
_xlpm.val,
INDEX(Raw_Fund!$E:$AZ,_xlpm.rowNo,_xlpm.colNo),
IF(ISNUMBER(_xlpm.val),_xlpm.val*$H280,""))</f>
        <v/>
      </c>
      <c r="Z280" s="6" t="str">
        <f>IF($E280&lt;&gt;"Include","",_xlfn.XLOOKUP($C280,Raw_Mkt!$A:$A,Raw_Mkt!$B:$B))</f>
        <v/>
      </c>
    </row>
    <row r="281" spans="1:26" x14ac:dyDescent="0.4">
      <c r="A281" t="str">
        <f>IF(Universe!A281&lt;&gt;"",Universe!A281,"")</f>
        <v/>
      </c>
      <c r="B281" t="str">
        <f>IF(Universe!B281&lt;&gt;"",Universe!B281,"")</f>
        <v/>
      </c>
      <c r="C281" t="str">
        <f>IF(Universe!C281&lt;&gt;"",Universe!C281,"")</f>
        <v/>
      </c>
      <c r="D281" t="str">
        <f>IF(Universe!D281&lt;&gt;"",Universe!D281,"")</f>
        <v/>
      </c>
      <c r="E281" t="str">
        <f>Universe!G281</f>
        <v/>
      </c>
      <c r="F281" t="str">
        <f>IF($E281&lt;&gt;"Include","",_xlfn.LET(_xlpm.latest,_xlfn.MAXIFS(Raw_Fund!$C:$C,Raw_Fund!$B:$B,Data!$C281),IF(_xlpm.latest=0,"",_xlpm.latest)))</f>
        <v/>
      </c>
      <c r="G281" t="str">
        <f>IF($F281="","",INDEX(Raw_Fund!$E:$AZ,MATCH($C281&amp;"|"&amp;$F281,Raw_Fund!$A:$A,0),MATCH(G$3,Raw_Fund!$E$1:$AZ$1,0)))</f>
        <v/>
      </c>
      <c r="H281" t="str">
        <f t="shared" si="4"/>
        <v/>
      </c>
      <c r="I281" s="6" t="str">
        <f>_xlfn.LET(
_xlpm.rowNo, MATCH($C281&amp;"|"&amp;
($F281+I$4),Raw_Fund!$A:$A,0),
_xlpm.colNo,
MATCH(I$3,Raw_Fund!$E$1:$AZ$1,0),
_xlpm.val,
INDEX(Raw_Fund!$E:$AZ,_xlpm.rowNo,_xlpm.colNo),
IF(ISNUMBER(_xlpm.val),_xlpm.val*$H281,""))</f>
        <v/>
      </c>
      <c r="J281" s="6" t="str">
        <f>_xlfn.LET(
_xlpm.rowNo, MATCH($C281&amp;"|"&amp;
($F281+J$4),Raw_Fund!$A:$A,0),
_xlpm.colNo,
MATCH(J$3,Raw_Fund!$E$1:$AZ$1,0),
_xlpm.val,
INDEX(Raw_Fund!$E:$AZ,_xlpm.rowNo,_xlpm.colNo),
IF(ISNUMBER(_xlpm.val),_xlpm.val*$H281,""))</f>
        <v/>
      </c>
      <c r="K281" s="6" t="str">
        <f>_xlfn.LET(
_xlpm.rowNo, MATCH($C281&amp;"|"&amp;
($F281+K$4),Raw_Fund!$A:$A,0),
_xlpm.colNo,
MATCH(K$3,Raw_Fund!$E$1:$AZ$1,0),
_xlpm.val,
INDEX(Raw_Fund!$E:$AZ,_xlpm.rowNo,_xlpm.colNo),
IF(ISNUMBER(_xlpm.val),_xlpm.val*$H281,""))</f>
        <v/>
      </c>
      <c r="L281" s="6" t="str">
        <f>_xlfn.LET(
_xlpm.rowNo, MATCH($C281&amp;"|"&amp;
($F281+L$4),Raw_Fund!$A:$A,0),
_xlpm.colNo,
MATCH(L$3,Raw_Fund!$E$1:$AZ$1,0),
_xlpm.val,
INDEX(Raw_Fund!$E:$AZ,_xlpm.rowNo,_xlpm.colNo),
IF(ISNUMBER(_xlpm.val),_xlpm.val*$H281,""))</f>
        <v/>
      </c>
      <c r="M281" s="6" t="str">
        <f>_xlfn.LET(
_xlpm.rowNo, MATCH($C281&amp;"|"&amp;
($F281+M$4),Raw_Fund!$A:$A,0),
_xlpm.colNo,
MATCH(M$3,Raw_Fund!$E$1:$AZ$1,0),
_xlpm.val,
INDEX(Raw_Fund!$E:$AZ,_xlpm.rowNo,_xlpm.colNo),
IF(ISNUMBER(_xlpm.val),_xlpm.val*$H281,""))</f>
        <v/>
      </c>
      <c r="N281" s="6" t="str">
        <f>_xlfn.LET(
_xlpm.rowNo, MATCH($C281&amp;"|"&amp;
($F281+N$4),Raw_Fund!$A:$A,0),
_xlpm.colNo,
MATCH(N$3,Raw_Fund!$E$1:$AZ$1,0),
_xlpm.val,
INDEX(Raw_Fund!$E:$AZ,_xlpm.rowNo,_xlpm.colNo),
IF(ISNUMBER(_xlpm.val),_xlpm.val*$H281,""))</f>
        <v/>
      </c>
      <c r="O281" s="6" t="str">
        <f>_xlfn.LET(
_xlpm.rowNo, MATCH($C281&amp;"|"&amp;
($F281+O$4),Raw_Fund!$A:$A,0),
_xlpm.colNo,
MATCH(O$3,Raw_Fund!$E$1:$AZ$1,0),
_xlpm.val,
INDEX(Raw_Fund!$E:$AZ,_xlpm.rowNo,_xlpm.colNo),
IF(ISNUMBER(_xlpm.val),_xlpm.val*$H281,""))</f>
        <v/>
      </c>
      <c r="P281" s="6" t="str">
        <f>_xlfn.LET(
_xlpm.rowNo, MATCH($C281&amp;"|"&amp;
($F281+P$4),Raw_Fund!$A:$A,0),
_xlpm.colNo,
MATCH(P$3,Raw_Fund!$E$1:$AZ$1,0),
_xlpm.val,
INDEX(Raw_Fund!$E:$AZ,_xlpm.rowNo,_xlpm.colNo),
IF(ISNUMBER(_xlpm.val),_xlpm.val*$H281,""))</f>
        <v/>
      </c>
      <c r="Q281" s="6" t="str">
        <f>_xlfn.LET(
_xlpm.rowNo, MATCH($C281&amp;"|"&amp;
($F281+Q$4),Raw_Fund!$A:$A,0),
_xlpm.colNo,
MATCH(Q$3,Raw_Fund!$E$1:$AZ$1,0),
_xlpm.val,
INDEX(Raw_Fund!$E:$AZ,_xlpm.rowNo,_xlpm.colNo),
IF(ISNUMBER(_xlpm.val),_xlpm.val*$H281,""))</f>
        <v/>
      </c>
      <c r="R281" s="6" t="str">
        <f>_xlfn.LET(
_xlpm.rowNo, MATCH($C281&amp;"|"&amp;
($F281+R$4),Raw_Fund!$A:$A,0),
_xlpm.colNo,
MATCH(R$3,Raw_Fund!$E$1:$AZ$1,0),
_xlpm.val,
INDEX(Raw_Fund!$E:$AZ,_xlpm.rowNo,_xlpm.colNo),
IF(ISNUMBER(_xlpm.val),_xlpm.val*$H281,""))</f>
        <v/>
      </c>
      <c r="S281" s="6" t="str">
        <f>_xlfn.LET(
_xlpm.rowNo, MATCH($C281&amp;"|"&amp;
($F281+S$4),Raw_Fund!$A:$A,0),
_xlpm.colNo,
MATCH(S$3,Raw_Fund!$E$1:$AZ$1,0),
_xlpm.val,
INDEX(Raw_Fund!$E:$AZ,_xlpm.rowNo,_xlpm.colNo),
IF(ISNUMBER(_xlpm.val),_xlpm.val*$H281,""))</f>
        <v/>
      </c>
      <c r="T281" s="6" t="str">
        <f>_xlfn.LET(
_xlpm.rowNo, MATCH($C281&amp;"|"&amp;
($F281+T$4),Raw_Fund!$A:$A,0),
_xlpm.colNo,
MATCH(T$3,Raw_Fund!$E$1:$AZ$1,0),
_xlpm.val,
INDEX(Raw_Fund!$E:$AZ,_xlpm.rowNo,_xlpm.colNo),
IF(ISNUMBER(_xlpm.val),_xlpm.val*$H281,""))</f>
        <v/>
      </c>
      <c r="U281" s="6" t="str">
        <f>_xlfn.LET(
_xlpm.rowNo, MATCH($C281&amp;"|"&amp;
($F281+U$4),Raw_Fund!$A:$A,0),
_xlpm.colNo,
MATCH(U$3,Raw_Fund!$E$1:$AZ$1,0),
_xlpm.val,
INDEX(Raw_Fund!$E:$AZ,_xlpm.rowNo,_xlpm.colNo),
IF(ISNUMBER(_xlpm.val),_xlpm.val*$H281,""))</f>
        <v/>
      </c>
      <c r="V281" s="6" t="str">
        <f>_xlfn.LET(
_xlpm.rowNo, MATCH($C281&amp;"|"&amp;
($F281+V$4),Raw_Fund!$A:$A,0),
_xlpm.colNo,
MATCH(V$3,Raw_Fund!$E$1:$AZ$1,0),
_xlpm.val,
INDEX(Raw_Fund!$E:$AZ,_xlpm.rowNo,_xlpm.colNo),
IF(ISNUMBER(_xlpm.val),_xlpm.val*$H281,""))</f>
        <v/>
      </c>
      <c r="W281" s="6" t="str">
        <f>_xlfn.LET(
_xlpm.rowNo, MATCH($C281&amp;"|"&amp;
($F281+W$4),Raw_Fund!$A:$A,0),
_xlpm.colNo,
MATCH(W$3,Raw_Fund!$E$1:$AZ$1,0),
_xlpm.val,
INDEX(Raw_Fund!$E:$AZ,_xlpm.rowNo,_xlpm.colNo),
IF(ISNUMBER(_xlpm.val),_xlpm.val*$H281,""))</f>
        <v/>
      </c>
      <c r="X281" s="6" t="str">
        <f>_xlfn.LET(
_xlpm.rowNo, MATCH($C281&amp;"|"&amp;
($F281+X$4),Raw_Fund!$A:$A,0),
_xlpm.colNo,
MATCH(X$3,Raw_Fund!$E$1:$AZ$1,0),
_xlpm.val,
INDEX(Raw_Fund!$E:$AZ,_xlpm.rowNo,_xlpm.colNo),
IF(ISNUMBER(_xlpm.val),_xlpm.val*$H281,""))</f>
        <v/>
      </c>
      <c r="Y281" s="6" t="str">
        <f>_xlfn.LET(
_xlpm.rowNo, MATCH($C281&amp;"|"&amp;
($F281+Y$4),Raw_Fund!$A:$A,0),
_xlpm.colNo,
MATCH(Y$3,Raw_Fund!$E$1:$AZ$1,0),
_xlpm.val,
INDEX(Raw_Fund!$E:$AZ,_xlpm.rowNo,_xlpm.colNo),
IF(ISNUMBER(_xlpm.val),_xlpm.val*$H281,""))</f>
        <v/>
      </c>
      <c r="Z281" s="6" t="str">
        <f>IF($E281&lt;&gt;"Include","",_xlfn.XLOOKUP($C281,Raw_Mkt!$A:$A,Raw_Mkt!$B:$B))</f>
        <v/>
      </c>
    </row>
    <row r="282" spans="1:26" x14ac:dyDescent="0.4">
      <c r="A282" t="str">
        <f>IF(Universe!A282&lt;&gt;"",Universe!A282,"")</f>
        <v/>
      </c>
      <c r="B282" t="str">
        <f>IF(Universe!B282&lt;&gt;"",Universe!B282,"")</f>
        <v/>
      </c>
      <c r="C282" t="str">
        <f>IF(Universe!C282&lt;&gt;"",Universe!C282,"")</f>
        <v/>
      </c>
      <c r="D282" t="str">
        <f>IF(Universe!D282&lt;&gt;"",Universe!D282,"")</f>
        <v/>
      </c>
      <c r="E282" t="str">
        <f>Universe!G282</f>
        <v/>
      </c>
      <c r="F282" t="str">
        <f>IF($E282&lt;&gt;"Include","",_xlfn.LET(_xlpm.latest,_xlfn.MAXIFS(Raw_Fund!$C:$C,Raw_Fund!$B:$B,Data!$C282),IF(_xlpm.latest=0,"",_xlpm.latest)))</f>
        <v/>
      </c>
      <c r="G282" t="str">
        <f>IF($F282="","",INDEX(Raw_Fund!$E:$AZ,MATCH($C282&amp;"|"&amp;$F282,Raw_Fund!$A:$A,0),MATCH(G$3,Raw_Fund!$E$1:$AZ$1,0)))</f>
        <v/>
      </c>
      <c r="H282" t="str">
        <f t="shared" si="4"/>
        <v/>
      </c>
      <c r="I282" s="6" t="str">
        <f>_xlfn.LET(
_xlpm.rowNo, MATCH($C282&amp;"|"&amp;
($F282+I$4),Raw_Fund!$A:$A,0),
_xlpm.colNo,
MATCH(I$3,Raw_Fund!$E$1:$AZ$1,0),
_xlpm.val,
INDEX(Raw_Fund!$E:$AZ,_xlpm.rowNo,_xlpm.colNo),
IF(ISNUMBER(_xlpm.val),_xlpm.val*$H282,""))</f>
        <v/>
      </c>
      <c r="J282" s="6" t="str">
        <f>_xlfn.LET(
_xlpm.rowNo, MATCH($C282&amp;"|"&amp;
($F282+J$4),Raw_Fund!$A:$A,0),
_xlpm.colNo,
MATCH(J$3,Raw_Fund!$E$1:$AZ$1,0),
_xlpm.val,
INDEX(Raw_Fund!$E:$AZ,_xlpm.rowNo,_xlpm.colNo),
IF(ISNUMBER(_xlpm.val),_xlpm.val*$H282,""))</f>
        <v/>
      </c>
      <c r="K282" s="6" t="str">
        <f>_xlfn.LET(
_xlpm.rowNo, MATCH($C282&amp;"|"&amp;
($F282+K$4),Raw_Fund!$A:$A,0),
_xlpm.colNo,
MATCH(K$3,Raw_Fund!$E$1:$AZ$1,0),
_xlpm.val,
INDEX(Raw_Fund!$E:$AZ,_xlpm.rowNo,_xlpm.colNo),
IF(ISNUMBER(_xlpm.val),_xlpm.val*$H282,""))</f>
        <v/>
      </c>
      <c r="L282" s="6" t="str">
        <f>_xlfn.LET(
_xlpm.rowNo, MATCH($C282&amp;"|"&amp;
($F282+L$4),Raw_Fund!$A:$A,0),
_xlpm.colNo,
MATCH(L$3,Raw_Fund!$E$1:$AZ$1,0),
_xlpm.val,
INDEX(Raw_Fund!$E:$AZ,_xlpm.rowNo,_xlpm.colNo),
IF(ISNUMBER(_xlpm.val),_xlpm.val*$H282,""))</f>
        <v/>
      </c>
      <c r="M282" s="6" t="str">
        <f>_xlfn.LET(
_xlpm.rowNo, MATCH($C282&amp;"|"&amp;
($F282+M$4),Raw_Fund!$A:$A,0),
_xlpm.colNo,
MATCH(M$3,Raw_Fund!$E$1:$AZ$1,0),
_xlpm.val,
INDEX(Raw_Fund!$E:$AZ,_xlpm.rowNo,_xlpm.colNo),
IF(ISNUMBER(_xlpm.val),_xlpm.val*$H282,""))</f>
        <v/>
      </c>
      <c r="N282" s="6" t="str">
        <f>_xlfn.LET(
_xlpm.rowNo, MATCH($C282&amp;"|"&amp;
($F282+N$4),Raw_Fund!$A:$A,0),
_xlpm.colNo,
MATCH(N$3,Raw_Fund!$E$1:$AZ$1,0),
_xlpm.val,
INDEX(Raw_Fund!$E:$AZ,_xlpm.rowNo,_xlpm.colNo),
IF(ISNUMBER(_xlpm.val),_xlpm.val*$H282,""))</f>
        <v/>
      </c>
      <c r="O282" s="6" t="str">
        <f>_xlfn.LET(
_xlpm.rowNo, MATCH($C282&amp;"|"&amp;
($F282+O$4),Raw_Fund!$A:$A,0),
_xlpm.colNo,
MATCH(O$3,Raw_Fund!$E$1:$AZ$1,0),
_xlpm.val,
INDEX(Raw_Fund!$E:$AZ,_xlpm.rowNo,_xlpm.colNo),
IF(ISNUMBER(_xlpm.val),_xlpm.val*$H282,""))</f>
        <v/>
      </c>
      <c r="P282" s="6" t="str">
        <f>_xlfn.LET(
_xlpm.rowNo, MATCH($C282&amp;"|"&amp;
($F282+P$4),Raw_Fund!$A:$A,0),
_xlpm.colNo,
MATCH(P$3,Raw_Fund!$E$1:$AZ$1,0),
_xlpm.val,
INDEX(Raw_Fund!$E:$AZ,_xlpm.rowNo,_xlpm.colNo),
IF(ISNUMBER(_xlpm.val),_xlpm.val*$H282,""))</f>
        <v/>
      </c>
      <c r="Q282" s="6" t="str">
        <f>_xlfn.LET(
_xlpm.rowNo, MATCH($C282&amp;"|"&amp;
($F282+Q$4),Raw_Fund!$A:$A,0),
_xlpm.colNo,
MATCH(Q$3,Raw_Fund!$E$1:$AZ$1,0),
_xlpm.val,
INDEX(Raw_Fund!$E:$AZ,_xlpm.rowNo,_xlpm.colNo),
IF(ISNUMBER(_xlpm.val),_xlpm.val*$H282,""))</f>
        <v/>
      </c>
      <c r="R282" s="6" t="str">
        <f>_xlfn.LET(
_xlpm.rowNo, MATCH($C282&amp;"|"&amp;
($F282+R$4),Raw_Fund!$A:$A,0),
_xlpm.colNo,
MATCH(R$3,Raw_Fund!$E$1:$AZ$1,0),
_xlpm.val,
INDEX(Raw_Fund!$E:$AZ,_xlpm.rowNo,_xlpm.colNo),
IF(ISNUMBER(_xlpm.val),_xlpm.val*$H282,""))</f>
        <v/>
      </c>
      <c r="S282" s="6" t="str">
        <f>_xlfn.LET(
_xlpm.rowNo, MATCH($C282&amp;"|"&amp;
($F282+S$4),Raw_Fund!$A:$A,0),
_xlpm.colNo,
MATCH(S$3,Raw_Fund!$E$1:$AZ$1,0),
_xlpm.val,
INDEX(Raw_Fund!$E:$AZ,_xlpm.rowNo,_xlpm.colNo),
IF(ISNUMBER(_xlpm.val),_xlpm.val*$H282,""))</f>
        <v/>
      </c>
      <c r="T282" s="6" t="str">
        <f>_xlfn.LET(
_xlpm.rowNo, MATCH($C282&amp;"|"&amp;
($F282+T$4),Raw_Fund!$A:$A,0),
_xlpm.colNo,
MATCH(T$3,Raw_Fund!$E$1:$AZ$1,0),
_xlpm.val,
INDEX(Raw_Fund!$E:$AZ,_xlpm.rowNo,_xlpm.colNo),
IF(ISNUMBER(_xlpm.val),_xlpm.val*$H282,""))</f>
        <v/>
      </c>
      <c r="U282" s="6" t="str">
        <f>_xlfn.LET(
_xlpm.rowNo, MATCH($C282&amp;"|"&amp;
($F282+U$4),Raw_Fund!$A:$A,0),
_xlpm.colNo,
MATCH(U$3,Raw_Fund!$E$1:$AZ$1,0),
_xlpm.val,
INDEX(Raw_Fund!$E:$AZ,_xlpm.rowNo,_xlpm.colNo),
IF(ISNUMBER(_xlpm.val),_xlpm.val*$H282,""))</f>
        <v/>
      </c>
      <c r="V282" s="6" t="str">
        <f>_xlfn.LET(
_xlpm.rowNo, MATCH($C282&amp;"|"&amp;
($F282+V$4),Raw_Fund!$A:$A,0),
_xlpm.colNo,
MATCH(V$3,Raw_Fund!$E$1:$AZ$1,0),
_xlpm.val,
INDEX(Raw_Fund!$E:$AZ,_xlpm.rowNo,_xlpm.colNo),
IF(ISNUMBER(_xlpm.val),_xlpm.val*$H282,""))</f>
        <v/>
      </c>
      <c r="W282" s="6" t="str">
        <f>_xlfn.LET(
_xlpm.rowNo, MATCH($C282&amp;"|"&amp;
($F282+W$4),Raw_Fund!$A:$A,0),
_xlpm.colNo,
MATCH(W$3,Raw_Fund!$E$1:$AZ$1,0),
_xlpm.val,
INDEX(Raw_Fund!$E:$AZ,_xlpm.rowNo,_xlpm.colNo),
IF(ISNUMBER(_xlpm.val),_xlpm.val*$H282,""))</f>
        <v/>
      </c>
      <c r="X282" s="6" t="str">
        <f>_xlfn.LET(
_xlpm.rowNo, MATCH($C282&amp;"|"&amp;
($F282+X$4),Raw_Fund!$A:$A,0),
_xlpm.colNo,
MATCH(X$3,Raw_Fund!$E$1:$AZ$1,0),
_xlpm.val,
INDEX(Raw_Fund!$E:$AZ,_xlpm.rowNo,_xlpm.colNo),
IF(ISNUMBER(_xlpm.val),_xlpm.val*$H282,""))</f>
        <v/>
      </c>
      <c r="Y282" s="6" t="str">
        <f>_xlfn.LET(
_xlpm.rowNo, MATCH($C282&amp;"|"&amp;
($F282+Y$4),Raw_Fund!$A:$A,0),
_xlpm.colNo,
MATCH(Y$3,Raw_Fund!$E$1:$AZ$1,0),
_xlpm.val,
INDEX(Raw_Fund!$E:$AZ,_xlpm.rowNo,_xlpm.colNo),
IF(ISNUMBER(_xlpm.val),_xlpm.val*$H282,""))</f>
        <v/>
      </c>
      <c r="Z282" s="6" t="str">
        <f>IF($E282&lt;&gt;"Include","",_xlfn.XLOOKUP($C282,Raw_Mkt!$A:$A,Raw_Mkt!$B:$B))</f>
        <v/>
      </c>
    </row>
    <row r="283" spans="1:26" x14ac:dyDescent="0.4">
      <c r="A283" t="str">
        <f>IF(Universe!A283&lt;&gt;"",Universe!A283,"")</f>
        <v/>
      </c>
      <c r="B283" t="str">
        <f>IF(Universe!B283&lt;&gt;"",Universe!B283,"")</f>
        <v/>
      </c>
      <c r="C283" t="str">
        <f>IF(Universe!C283&lt;&gt;"",Universe!C283,"")</f>
        <v/>
      </c>
      <c r="D283" t="str">
        <f>IF(Universe!D283&lt;&gt;"",Universe!D283,"")</f>
        <v/>
      </c>
      <c r="E283" t="str">
        <f>Universe!G283</f>
        <v/>
      </c>
      <c r="F283" t="str">
        <f>IF($E283&lt;&gt;"Include","",_xlfn.LET(_xlpm.latest,_xlfn.MAXIFS(Raw_Fund!$C:$C,Raw_Fund!$B:$B,Data!$C283),IF(_xlpm.latest=0,"",_xlpm.latest)))</f>
        <v/>
      </c>
      <c r="G283" t="str">
        <f>IF($F283="","",INDEX(Raw_Fund!$E:$AZ,MATCH($C283&amp;"|"&amp;$F283,Raw_Fund!$A:$A,0),MATCH(G$3,Raw_Fund!$E$1:$AZ$1,0)))</f>
        <v/>
      </c>
      <c r="H283" t="str">
        <f t="shared" si="4"/>
        <v/>
      </c>
      <c r="I283" s="6" t="str">
        <f>_xlfn.LET(
_xlpm.rowNo, MATCH($C283&amp;"|"&amp;
($F283+I$4),Raw_Fund!$A:$A,0),
_xlpm.colNo,
MATCH(I$3,Raw_Fund!$E$1:$AZ$1,0),
_xlpm.val,
INDEX(Raw_Fund!$E:$AZ,_xlpm.rowNo,_xlpm.colNo),
IF(ISNUMBER(_xlpm.val),_xlpm.val*$H283,""))</f>
        <v/>
      </c>
      <c r="J283" s="6" t="str">
        <f>_xlfn.LET(
_xlpm.rowNo, MATCH($C283&amp;"|"&amp;
($F283+J$4),Raw_Fund!$A:$A,0),
_xlpm.colNo,
MATCH(J$3,Raw_Fund!$E$1:$AZ$1,0),
_xlpm.val,
INDEX(Raw_Fund!$E:$AZ,_xlpm.rowNo,_xlpm.colNo),
IF(ISNUMBER(_xlpm.val),_xlpm.val*$H283,""))</f>
        <v/>
      </c>
      <c r="K283" s="6" t="str">
        <f>_xlfn.LET(
_xlpm.rowNo, MATCH($C283&amp;"|"&amp;
($F283+K$4),Raw_Fund!$A:$A,0),
_xlpm.colNo,
MATCH(K$3,Raw_Fund!$E$1:$AZ$1,0),
_xlpm.val,
INDEX(Raw_Fund!$E:$AZ,_xlpm.rowNo,_xlpm.colNo),
IF(ISNUMBER(_xlpm.val),_xlpm.val*$H283,""))</f>
        <v/>
      </c>
      <c r="L283" s="6" t="str">
        <f>_xlfn.LET(
_xlpm.rowNo, MATCH($C283&amp;"|"&amp;
($F283+L$4),Raw_Fund!$A:$A,0),
_xlpm.colNo,
MATCH(L$3,Raw_Fund!$E$1:$AZ$1,0),
_xlpm.val,
INDEX(Raw_Fund!$E:$AZ,_xlpm.rowNo,_xlpm.colNo),
IF(ISNUMBER(_xlpm.val),_xlpm.val*$H283,""))</f>
        <v/>
      </c>
      <c r="M283" s="6" t="str">
        <f>_xlfn.LET(
_xlpm.rowNo, MATCH($C283&amp;"|"&amp;
($F283+M$4),Raw_Fund!$A:$A,0),
_xlpm.colNo,
MATCH(M$3,Raw_Fund!$E$1:$AZ$1,0),
_xlpm.val,
INDEX(Raw_Fund!$E:$AZ,_xlpm.rowNo,_xlpm.colNo),
IF(ISNUMBER(_xlpm.val),_xlpm.val*$H283,""))</f>
        <v/>
      </c>
      <c r="N283" s="6" t="str">
        <f>_xlfn.LET(
_xlpm.rowNo, MATCH($C283&amp;"|"&amp;
($F283+N$4),Raw_Fund!$A:$A,0),
_xlpm.colNo,
MATCH(N$3,Raw_Fund!$E$1:$AZ$1,0),
_xlpm.val,
INDEX(Raw_Fund!$E:$AZ,_xlpm.rowNo,_xlpm.colNo),
IF(ISNUMBER(_xlpm.val),_xlpm.val*$H283,""))</f>
        <v/>
      </c>
      <c r="O283" s="6" t="str">
        <f>_xlfn.LET(
_xlpm.rowNo, MATCH($C283&amp;"|"&amp;
($F283+O$4),Raw_Fund!$A:$A,0),
_xlpm.colNo,
MATCH(O$3,Raw_Fund!$E$1:$AZ$1,0),
_xlpm.val,
INDEX(Raw_Fund!$E:$AZ,_xlpm.rowNo,_xlpm.colNo),
IF(ISNUMBER(_xlpm.val),_xlpm.val*$H283,""))</f>
        <v/>
      </c>
      <c r="P283" s="6" t="str">
        <f>_xlfn.LET(
_xlpm.rowNo, MATCH($C283&amp;"|"&amp;
($F283+P$4),Raw_Fund!$A:$A,0),
_xlpm.colNo,
MATCH(P$3,Raw_Fund!$E$1:$AZ$1,0),
_xlpm.val,
INDEX(Raw_Fund!$E:$AZ,_xlpm.rowNo,_xlpm.colNo),
IF(ISNUMBER(_xlpm.val),_xlpm.val*$H283,""))</f>
        <v/>
      </c>
      <c r="Q283" s="6" t="str">
        <f>_xlfn.LET(
_xlpm.rowNo, MATCH($C283&amp;"|"&amp;
($F283+Q$4),Raw_Fund!$A:$A,0),
_xlpm.colNo,
MATCH(Q$3,Raw_Fund!$E$1:$AZ$1,0),
_xlpm.val,
INDEX(Raw_Fund!$E:$AZ,_xlpm.rowNo,_xlpm.colNo),
IF(ISNUMBER(_xlpm.val),_xlpm.val*$H283,""))</f>
        <v/>
      </c>
      <c r="R283" s="6" t="str">
        <f>_xlfn.LET(
_xlpm.rowNo, MATCH($C283&amp;"|"&amp;
($F283+R$4),Raw_Fund!$A:$A,0),
_xlpm.colNo,
MATCH(R$3,Raw_Fund!$E$1:$AZ$1,0),
_xlpm.val,
INDEX(Raw_Fund!$E:$AZ,_xlpm.rowNo,_xlpm.colNo),
IF(ISNUMBER(_xlpm.val),_xlpm.val*$H283,""))</f>
        <v/>
      </c>
      <c r="S283" s="6" t="str">
        <f>_xlfn.LET(
_xlpm.rowNo, MATCH($C283&amp;"|"&amp;
($F283+S$4),Raw_Fund!$A:$A,0),
_xlpm.colNo,
MATCH(S$3,Raw_Fund!$E$1:$AZ$1,0),
_xlpm.val,
INDEX(Raw_Fund!$E:$AZ,_xlpm.rowNo,_xlpm.colNo),
IF(ISNUMBER(_xlpm.val),_xlpm.val*$H283,""))</f>
        <v/>
      </c>
      <c r="T283" s="6" t="str">
        <f>_xlfn.LET(
_xlpm.rowNo, MATCH($C283&amp;"|"&amp;
($F283+T$4),Raw_Fund!$A:$A,0),
_xlpm.colNo,
MATCH(T$3,Raw_Fund!$E$1:$AZ$1,0),
_xlpm.val,
INDEX(Raw_Fund!$E:$AZ,_xlpm.rowNo,_xlpm.colNo),
IF(ISNUMBER(_xlpm.val),_xlpm.val*$H283,""))</f>
        <v/>
      </c>
      <c r="U283" s="6" t="str">
        <f>_xlfn.LET(
_xlpm.rowNo, MATCH($C283&amp;"|"&amp;
($F283+U$4),Raw_Fund!$A:$A,0),
_xlpm.colNo,
MATCH(U$3,Raw_Fund!$E$1:$AZ$1,0),
_xlpm.val,
INDEX(Raw_Fund!$E:$AZ,_xlpm.rowNo,_xlpm.colNo),
IF(ISNUMBER(_xlpm.val),_xlpm.val*$H283,""))</f>
        <v/>
      </c>
      <c r="V283" s="6" t="str">
        <f>_xlfn.LET(
_xlpm.rowNo, MATCH($C283&amp;"|"&amp;
($F283+V$4),Raw_Fund!$A:$A,0),
_xlpm.colNo,
MATCH(V$3,Raw_Fund!$E$1:$AZ$1,0),
_xlpm.val,
INDEX(Raw_Fund!$E:$AZ,_xlpm.rowNo,_xlpm.colNo),
IF(ISNUMBER(_xlpm.val),_xlpm.val*$H283,""))</f>
        <v/>
      </c>
      <c r="W283" s="6" t="str">
        <f>_xlfn.LET(
_xlpm.rowNo, MATCH($C283&amp;"|"&amp;
($F283+W$4),Raw_Fund!$A:$A,0),
_xlpm.colNo,
MATCH(W$3,Raw_Fund!$E$1:$AZ$1,0),
_xlpm.val,
INDEX(Raw_Fund!$E:$AZ,_xlpm.rowNo,_xlpm.colNo),
IF(ISNUMBER(_xlpm.val),_xlpm.val*$H283,""))</f>
        <v/>
      </c>
      <c r="X283" s="6" t="str">
        <f>_xlfn.LET(
_xlpm.rowNo, MATCH($C283&amp;"|"&amp;
($F283+X$4),Raw_Fund!$A:$A,0),
_xlpm.colNo,
MATCH(X$3,Raw_Fund!$E$1:$AZ$1,0),
_xlpm.val,
INDEX(Raw_Fund!$E:$AZ,_xlpm.rowNo,_xlpm.colNo),
IF(ISNUMBER(_xlpm.val),_xlpm.val*$H283,""))</f>
        <v/>
      </c>
      <c r="Y283" s="6" t="str">
        <f>_xlfn.LET(
_xlpm.rowNo, MATCH($C283&amp;"|"&amp;
($F283+Y$4),Raw_Fund!$A:$A,0),
_xlpm.colNo,
MATCH(Y$3,Raw_Fund!$E$1:$AZ$1,0),
_xlpm.val,
INDEX(Raw_Fund!$E:$AZ,_xlpm.rowNo,_xlpm.colNo),
IF(ISNUMBER(_xlpm.val),_xlpm.val*$H283,""))</f>
        <v/>
      </c>
      <c r="Z283" s="6" t="str">
        <f>IF($E283&lt;&gt;"Include","",_xlfn.XLOOKUP($C283,Raw_Mkt!$A:$A,Raw_Mkt!$B:$B))</f>
        <v/>
      </c>
    </row>
    <row r="284" spans="1:26" x14ac:dyDescent="0.4">
      <c r="A284" t="str">
        <f>IF(Universe!A284&lt;&gt;"",Universe!A284,"")</f>
        <v/>
      </c>
      <c r="B284" t="str">
        <f>IF(Universe!B284&lt;&gt;"",Universe!B284,"")</f>
        <v/>
      </c>
      <c r="C284" t="str">
        <f>IF(Universe!C284&lt;&gt;"",Universe!C284,"")</f>
        <v/>
      </c>
      <c r="D284" t="str">
        <f>IF(Universe!D284&lt;&gt;"",Universe!D284,"")</f>
        <v/>
      </c>
      <c r="E284" t="str">
        <f>Universe!G284</f>
        <v/>
      </c>
      <c r="F284" t="str">
        <f>IF($E284&lt;&gt;"Include","",_xlfn.LET(_xlpm.latest,_xlfn.MAXIFS(Raw_Fund!$C:$C,Raw_Fund!$B:$B,Data!$C284),IF(_xlpm.latest=0,"",_xlpm.latest)))</f>
        <v/>
      </c>
      <c r="G284" t="str">
        <f>IF($F284="","",INDEX(Raw_Fund!$E:$AZ,MATCH($C284&amp;"|"&amp;$F284,Raw_Fund!$A:$A,0),MATCH(G$3,Raw_Fund!$E$1:$AZ$1,0)))</f>
        <v/>
      </c>
      <c r="H284" t="str">
        <f t="shared" si="4"/>
        <v/>
      </c>
      <c r="I284" s="6" t="str">
        <f>_xlfn.LET(
_xlpm.rowNo, MATCH($C284&amp;"|"&amp;
($F284+I$4),Raw_Fund!$A:$A,0),
_xlpm.colNo,
MATCH(I$3,Raw_Fund!$E$1:$AZ$1,0),
_xlpm.val,
INDEX(Raw_Fund!$E:$AZ,_xlpm.rowNo,_xlpm.colNo),
IF(ISNUMBER(_xlpm.val),_xlpm.val*$H284,""))</f>
        <v/>
      </c>
      <c r="J284" s="6" t="str">
        <f>_xlfn.LET(
_xlpm.rowNo, MATCH($C284&amp;"|"&amp;
($F284+J$4),Raw_Fund!$A:$A,0),
_xlpm.colNo,
MATCH(J$3,Raw_Fund!$E$1:$AZ$1,0),
_xlpm.val,
INDEX(Raw_Fund!$E:$AZ,_xlpm.rowNo,_xlpm.colNo),
IF(ISNUMBER(_xlpm.val),_xlpm.val*$H284,""))</f>
        <v/>
      </c>
      <c r="K284" s="6" t="str">
        <f>_xlfn.LET(
_xlpm.rowNo, MATCH($C284&amp;"|"&amp;
($F284+K$4),Raw_Fund!$A:$A,0),
_xlpm.colNo,
MATCH(K$3,Raw_Fund!$E$1:$AZ$1,0),
_xlpm.val,
INDEX(Raw_Fund!$E:$AZ,_xlpm.rowNo,_xlpm.colNo),
IF(ISNUMBER(_xlpm.val),_xlpm.val*$H284,""))</f>
        <v/>
      </c>
      <c r="L284" s="6" t="str">
        <f>_xlfn.LET(
_xlpm.rowNo, MATCH($C284&amp;"|"&amp;
($F284+L$4),Raw_Fund!$A:$A,0),
_xlpm.colNo,
MATCH(L$3,Raw_Fund!$E$1:$AZ$1,0),
_xlpm.val,
INDEX(Raw_Fund!$E:$AZ,_xlpm.rowNo,_xlpm.colNo),
IF(ISNUMBER(_xlpm.val),_xlpm.val*$H284,""))</f>
        <v/>
      </c>
      <c r="M284" s="6" t="str">
        <f>_xlfn.LET(
_xlpm.rowNo, MATCH($C284&amp;"|"&amp;
($F284+M$4),Raw_Fund!$A:$A,0),
_xlpm.colNo,
MATCH(M$3,Raw_Fund!$E$1:$AZ$1,0),
_xlpm.val,
INDEX(Raw_Fund!$E:$AZ,_xlpm.rowNo,_xlpm.colNo),
IF(ISNUMBER(_xlpm.val),_xlpm.val*$H284,""))</f>
        <v/>
      </c>
      <c r="N284" s="6" t="str">
        <f>_xlfn.LET(
_xlpm.rowNo, MATCH($C284&amp;"|"&amp;
($F284+N$4),Raw_Fund!$A:$A,0),
_xlpm.colNo,
MATCH(N$3,Raw_Fund!$E$1:$AZ$1,0),
_xlpm.val,
INDEX(Raw_Fund!$E:$AZ,_xlpm.rowNo,_xlpm.colNo),
IF(ISNUMBER(_xlpm.val),_xlpm.val*$H284,""))</f>
        <v/>
      </c>
      <c r="O284" s="6" t="str">
        <f>_xlfn.LET(
_xlpm.rowNo, MATCH($C284&amp;"|"&amp;
($F284+O$4),Raw_Fund!$A:$A,0),
_xlpm.colNo,
MATCH(O$3,Raw_Fund!$E$1:$AZ$1,0),
_xlpm.val,
INDEX(Raw_Fund!$E:$AZ,_xlpm.rowNo,_xlpm.colNo),
IF(ISNUMBER(_xlpm.val),_xlpm.val*$H284,""))</f>
        <v/>
      </c>
      <c r="P284" s="6" t="str">
        <f>_xlfn.LET(
_xlpm.rowNo, MATCH($C284&amp;"|"&amp;
($F284+P$4),Raw_Fund!$A:$A,0),
_xlpm.colNo,
MATCH(P$3,Raw_Fund!$E$1:$AZ$1,0),
_xlpm.val,
INDEX(Raw_Fund!$E:$AZ,_xlpm.rowNo,_xlpm.colNo),
IF(ISNUMBER(_xlpm.val),_xlpm.val*$H284,""))</f>
        <v/>
      </c>
      <c r="Q284" s="6" t="str">
        <f>_xlfn.LET(
_xlpm.rowNo, MATCH($C284&amp;"|"&amp;
($F284+Q$4),Raw_Fund!$A:$A,0),
_xlpm.colNo,
MATCH(Q$3,Raw_Fund!$E$1:$AZ$1,0),
_xlpm.val,
INDEX(Raw_Fund!$E:$AZ,_xlpm.rowNo,_xlpm.colNo),
IF(ISNUMBER(_xlpm.val),_xlpm.val*$H284,""))</f>
        <v/>
      </c>
      <c r="R284" s="6" t="str">
        <f>_xlfn.LET(
_xlpm.rowNo, MATCH($C284&amp;"|"&amp;
($F284+R$4),Raw_Fund!$A:$A,0),
_xlpm.colNo,
MATCH(R$3,Raw_Fund!$E$1:$AZ$1,0),
_xlpm.val,
INDEX(Raw_Fund!$E:$AZ,_xlpm.rowNo,_xlpm.colNo),
IF(ISNUMBER(_xlpm.val),_xlpm.val*$H284,""))</f>
        <v/>
      </c>
      <c r="S284" s="6" t="str">
        <f>_xlfn.LET(
_xlpm.rowNo, MATCH($C284&amp;"|"&amp;
($F284+S$4),Raw_Fund!$A:$A,0),
_xlpm.colNo,
MATCH(S$3,Raw_Fund!$E$1:$AZ$1,0),
_xlpm.val,
INDEX(Raw_Fund!$E:$AZ,_xlpm.rowNo,_xlpm.colNo),
IF(ISNUMBER(_xlpm.val),_xlpm.val*$H284,""))</f>
        <v/>
      </c>
      <c r="T284" s="6" t="str">
        <f>_xlfn.LET(
_xlpm.rowNo, MATCH($C284&amp;"|"&amp;
($F284+T$4),Raw_Fund!$A:$A,0),
_xlpm.colNo,
MATCH(T$3,Raw_Fund!$E$1:$AZ$1,0),
_xlpm.val,
INDEX(Raw_Fund!$E:$AZ,_xlpm.rowNo,_xlpm.colNo),
IF(ISNUMBER(_xlpm.val),_xlpm.val*$H284,""))</f>
        <v/>
      </c>
      <c r="U284" s="6" t="str">
        <f>_xlfn.LET(
_xlpm.rowNo, MATCH($C284&amp;"|"&amp;
($F284+U$4),Raw_Fund!$A:$A,0),
_xlpm.colNo,
MATCH(U$3,Raw_Fund!$E$1:$AZ$1,0),
_xlpm.val,
INDEX(Raw_Fund!$E:$AZ,_xlpm.rowNo,_xlpm.colNo),
IF(ISNUMBER(_xlpm.val),_xlpm.val*$H284,""))</f>
        <v/>
      </c>
      <c r="V284" s="6" t="str">
        <f>_xlfn.LET(
_xlpm.rowNo, MATCH($C284&amp;"|"&amp;
($F284+V$4),Raw_Fund!$A:$A,0),
_xlpm.colNo,
MATCH(V$3,Raw_Fund!$E$1:$AZ$1,0),
_xlpm.val,
INDEX(Raw_Fund!$E:$AZ,_xlpm.rowNo,_xlpm.colNo),
IF(ISNUMBER(_xlpm.val),_xlpm.val*$H284,""))</f>
        <v/>
      </c>
      <c r="W284" s="6" t="str">
        <f>_xlfn.LET(
_xlpm.rowNo, MATCH($C284&amp;"|"&amp;
($F284+W$4),Raw_Fund!$A:$A,0),
_xlpm.colNo,
MATCH(W$3,Raw_Fund!$E$1:$AZ$1,0),
_xlpm.val,
INDEX(Raw_Fund!$E:$AZ,_xlpm.rowNo,_xlpm.colNo),
IF(ISNUMBER(_xlpm.val),_xlpm.val*$H284,""))</f>
        <v/>
      </c>
      <c r="X284" s="6" t="str">
        <f>_xlfn.LET(
_xlpm.rowNo, MATCH($C284&amp;"|"&amp;
($F284+X$4),Raw_Fund!$A:$A,0),
_xlpm.colNo,
MATCH(X$3,Raw_Fund!$E$1:$AZ$1,0),
_xlpm.val,
INDEX(Raw_Fund!$E:$AZ,_xlpm.rowNo,_xlpm.colNo),
IF(ISNUMBER(_xlpm.val),_xlpm.val*$H284,""))</f>
        <v/>
      </c>
      <c r="Y284" s="6" t="str">
        <f>_xlfn.LET(
_xlpm.rowNo, MATCH($C284&amp;"|"&amp;
($F284+Y$4),Raw_Fund!$A:$A,0),
_xlpm.colNo,
MATCH(Y$3,Raw_Fund!$E$1:$AZ$1,0),
_xlpm.val,
INDEX(Raw_Fund!$E:$AZ,_xlpm.rowNo,_xlpm.colNo),
IF(ISNUMBER(_xlpm.val),_xlpm.val*$H284,""))</f>
        <v/>
      </c>
      <c r="Z284" s="6" t="str">
        <f>IF($E284&lt;&gt;"Include","",_xlfn.XLOOKUP($C284,Raw_Mkt!$A:$A,Raw_Mkt!$B:$B))</f>
        <v/>
      </c>
    </row>
    <row r="285" spans="1:26" x14ac:dyDescent="0.4">
      <c r="A285" t="str">
        <f>IF(Universe!A285&lt;&gt;"",Universe!A285,"")</f>
        <v/>
      </c>
      <c r="B285" t="str">
        <f>IF(Universe!B285&lt;&gt;"",Universe!B285,"")</f>
        <v/>
      </c>
      <c r="C285" t="str">
        <f>IF(Universe!C285&lt;&gt;"",Universe!C285,"")</f>
        <v/>
      </c>
      <c r="D285" t="str">
        <f>IF(Universe!D285&lt;&gt;"",Universe!D285,"")</f>
        <v/>
      </c>
      <c r="E285" t="str">
        <f>Universe!G285</f>
        <v/>
      </c>
      <c r="F285" t="str">
        <f>IF($E285&lt;&gt;"Include","",_xlfn.LET(_xlpm.latest,_xlfn.MAXIFS(Raw_Fund!$C:$C,Raw_Fund!$B:$B,Data!$C285),IF(_xlpm.latest=0,"",_xlpm.latest)))</f>
        <v/>
      </c>
      <c r="G285" t="str">
        <f>IF($F285="","",INDEX(Raw_Fund!$E:$AZ,MATCH($C285&amp;"|"&amp;$F285,Raw_Fund!$A:$A,0),MATCH(G$3,Raw_Fund!$E$1:$AZ$1,0)))</f>
        <v/>
      </c>
      <c r="H285" t="str">
        <f t="shared" si="4"/>
        <v/>
      </c>
      <c r="I285" s="6" t="str">
        <f>_xlfn.LET(
_xlpm.rowNo, MATCH($C285&amp;"|"&amp;
($F285+I$4),Raw_Fund!$A:$A,0),
_xlpm.colNo,
MATCH(I$3,Raw_Fund!$E$1:$AZ$1,0),
_xlpm.val,
INDEX(Raw_Fund!$E:$AZ,_xlpm.rowNo,_xlpm.colNo),
IF(ISNUMBER(_xlpm.val),_xlpm.val*$H285,""))</f>
        <v/>
      </c>
      <c r="J285" s="6" t="str">
        <f>_xlfn.LET(
_xlpm.rowNo, MATCH($C285&amp;"|"&amp;
($F285+J$4),Raw_Fund!$A:$A,0),
_xlpm.colNo,
MATCH(J$3,Raw_Fund!$E$1:$AZ$1,0),
_xlpm.val,
INDEX(Raw_Fund!$E:$AZ,_xlpm.rowNo,_xlpm.colNo),
IF(ISNUMBER(_xlpm.val),_xlpm.val*$H285,""))</f>
        <v/>
      </c>
      <c r="K285" s="6" t="str">
        <f>_xlfn.LET(
_xlpm.rowNo, MATCH($C285&amp;"|"&amp;
($F285+K$4),Raw_Fund!$A:$A,0),
_xlpm.colNo,
MATCH(K$3,Raw_Fund!$E$1:$AZ$1,0),
_xlpm.val,
INDEX(Raw_Fund!$E:$AZ,_xlpm.rowNo,_xlpm.colNo),
IF(ISNUMBER(_xlpm.val),_xlpm.val*$H285,""))</f>
        <v/>
      </c>
      <c r="L285" s="6" t="str">
        <f>_xlfn.LET(
_xlpm.rowNo, MATCH($C285&amp;"|"&amp;
($F285+L$4),Raw_Fund!$A:$A,0),
_xlpm.colNo,
MATCH(L$3,Raw_Fund!$E$1:$AZ$1,0),
_xlpm.val,
INDEX(Raw_Fund!$E:$AZ,_xlpm.rowNo,_xlpm.colNo),
IF(ISNUMBER(_xlpm.val),_xlpm.val*$H285,""))</f>
        <v/>
      </c>
      <c r="M285" s="6" t="str">
        <f>_xlfn.LET(
_xlpm.rowNo, MATCH($C285&amp;"|"&amp;
($F285+M$4),Raw_Fund!$A:$A,0),
_xlpm.colNo,
MATCH(M$3,Raw_Fund!$E$1:$AZ$1,0),
_xlpm.val,
INDEX(Raw_Fund!$E:$AZ,_xlpm.rowNo,_xlpm.colNo),
IF(ISNUMBER(_xlpm.val),_xlpm.val*$H285,""))</f>
        <v/>
      </c>
      <c r="N285" s="6" t="str">
        <f>_xlfn.LET(
_xlpm.rowNo, MATCH($C285&amp;"|"&amp;
($F285+N$4),Raw_Fund!$A:$A,0),
_xlpm.colNo,
MATCH(N$3,Raw_Fund!$E$1:$AZ$1,0),
_xlpm.val,
INDEX(Raw_Fund!$E:$AZ,_xlpm.rowNo,_xlpm.colNo),
IF(ISNUMBER(_xlpm.val),_xlpm.val*$H285,""))</f>
        <v/>
      </c>
      <c r="O285" s="6" t="str">
        <f>_xlfn.LET(
_xlpm.rowNo, MATCH($C285&amp;"|"&amp;
($F285+O$4),Raw_Fund!$A:$A,0),
_xlpm.colNo,
MATCH(O$3,Raw_Fund!$E$1:$AZ$1,0),
_xlpm.val,
INDEX(Raw_Fund!$E:$AZ,_xlpm.rowNo,_xlpm.colNo),
IF(ISNUMBER(_xlpm.val),_xlpm.val*$H285,""))</f>
        <v/>
      </c>
      <c r="P285" s="6" t="str">
        <f>_xlfn.LET(
_xlpm.rowNo, MATCH($C285&amp;"|"&amp;
($F285+P$4),Raw_Fund!$A:$A,0),
_xlpm.colNo,
MATCH(P$3,Raw_Fund!$E$1:$AZ$1,0),
_xlpm.val,
INDEX(Raw_Fund!$E:$AZ,_xlpm.rowNo,_xlpm.colNo),
IF(ISNUMBER(_xlpm.val),_xlpm.val*$H285,""))</f>
        <v/>
      </c>
      <c r="Q285" s="6" t="str">
        <f>_xlfn.LET(
_xlpm.rowNo, MATCH($C285&amp;"|"&amp;
($F285+Q$4),Raw_Fund!$A:$A,0),
_xlpm.colNo,
MATCH(Q$3,Raw_Fund!$E$1:$AZ$1,0),
_xlpm.val,
INDEX(Raw_Fund!$E:$AZ,_xlpm.rowNo,_xlpm.colNo),
IF(ISNUMBER(_xlpm.val),_xlpm.val*$H285,""))</f>
        <v/>
      </c>
      <c r="R285" s="6" t="str">
        <f>_xlfn.LET(
_xlpm.rowNo, MATCH($C285&amp;"|"&amp;
($F285+R$4),Raw_Fund!$A:$A,0),
_xlpm.colNo,
MATCH(R$3,Raw_Fund!$E$1:$AZ$1,0),
_xlpm.val,
INDEX(Raw_Fund!$E:$AZ,_xlpm.rowNo,_xlpm.colNo),
IF(ISNUMBER(_xlpm.val),_xlpm.val*$H285,""))</f>
        <v/>
      </c>
      <c r="S285" s="6" t="str">
        <f>_xlfn.LET(
_xlpm.rowNo, MATCH($C285&amp;"|"&amp;
($F285+S$4),Raw_Fund!$A:$A,0),
_xlpm.colNo,
MATCH(S$3,Raw_Fund!$E$1:$AZ$1,0),
_xlpm.val,
INDEX(Raw_Fund!$E:$AZ,_xlpm.rowNo,_xlpm.colNo),
IF(ISNUMBER(_xlpm.val),_xlpm.val*$H285,""))</f>
        <v/>
      </c>
      <c r="T285" s="6" t="str">
        <f>_xlfn.LET(
_xlpm.rowNo, MATCH($C285&amp;"|"&amp;
($F285+T$4),Raw_Fund!$A:$A,0),
_xlpm.colNo,
MATCH(T$3,Raw_Fund!$E$1:$AZ$1,0),
_xlpm.val,
INDEX(Raw_Fund!$E:$AZ,_xlpm.rowNo,_xlpm.colNo),
IF(ISNUMBER(_xlpm.val),_xlpm.val*$H285,""))</f>
        <v/>
      </c>
      <c r="U285" s="6" t="str">
        <f>_xlfn.LET(
_xlpm.rowNo, MATCH($C285&amp;"|"&amp;
($F285+U$4),Raw_Fund!$A:$A,0),
_xlpm.colNo,
MATCH(U$3,Raw_Fund!$E$1:$AZ$1,0),
_xlpm.val,
INDEX(Raw_Fund!$E:$AZ,_xlpm.rowNo,_xlpm.colNo),
IF(ISNUMBER(_xlpm.val),_xlpm.val*$H285,""))</f>
        <v/>
      </c>
      <c r="V285" s="6" t="str">
        <f>_xlfn.LET(
_xlpm.rowNo, MATCH($C285&amp;"|"&amp;
($F285+V$4),Raw_Fund!$A:$A,0),
_xlpm.colNo,
MATCH(V$3,Raw_Fund!$E$1:$AZ$1,0),
_xlpm.val,
INDEX(Raw_Fund!$E:$AZ,_xlpm.rowNo,_xlpm.colNo),
IF(ISNUMBER(_xlpm.val),_xlpm.val*$H285,""))</f>
        <v/>
      </c>
      <c r="W285" s="6" t="str">
        <f>_xlfn.LET(
_xlpm.rowNo, MATCH($C285&amp;"|"&amp;
($F285+W$4),Raw_Fund!$A:$A,0),
_xlpm.colNo,
MATCH(W$3,Raw_Fund!$E$1:$AZ$1,0),
_xlpm.val,
INDEX(Raw_Fund!$E:$AZ,_xlpm.rowNo,_xlpm.colNo),
IF(ISNUMBER(_xlpm.val),_xlpm.val*$H285,""))</f>
        <v/>
      </c>
      <c r="X285" s="6" t="str">
        <f>_xlfn.LET(
_xlpm.rowNo, MATCH($C285&amp;"|"&amp;
($F285+X$4),Raw_Fund!$A:$A,0),
_xlpm.colNo,
MATCH(X$3,Raw_Fund!$E$1:$AZ$1,0),
_xlpm.val,
INDEX(Raw_Fund!$E:$AZ,_xlpm.rowNo,_xlpm.colNo),
IF(ISNUMBER(_xlpm.val),_xlpm.val*$H285,""))</f>
        <v/>
      </c>
      <c r="Y285" s="6" t="str">
        <f>_xlfn.LET(
_xlpm.rowNo, MATCH($C285&amp;"|"&amp;
($F285+Y$4),Raw_Fund!$A:$A,0),
_xlpm.colNo,
MATCH(Y$3,Raw_Fund!$E$1:$AZ$1,0),
_xlpm.val,
INDEX(Raw_Fund!$E:$AZ,_xlpm.rowNo,_xlpm.colNo),
IF(ISNUMBER(_xlpm.val),_xlpm.val*$H285,""))</f>
        <v/>
      </c>
      <c r="Z285" s="6" t="str">
        <f>IF($E285&lt;&gt;"Include","",_xlfn.XLOOKUP($C285,Raw_Mkt!$A:$A,Raw_Mkt!$B:$B))</f>
        <v/>
      </c>
    </row>
    <row r="286" spans="1:26" x14ac:dyDescent="0.4">
      <c r="A286" t="str">
        <f>IF(Universe!A286&lt;&gt;"",Universe!A286,"")</f>
        <v/>
      </c>
      <c r="B286" t="str">
        <f>IF(Universe!B286&lt;&gt;"",Universe!B286,"")</f>
        <v/>
      </c>
      <c r="C286" t="str">
        <f>IF(Universe!C286&lt;&gt;"",Universe!C286,"")</f>
        <v/>
      </c>
      <c r="D286" t="str">
        <f>IF(Universe!D286&lt;&gt;"",Universe!D286,"")</f>
        <v/>
      </c>
      <c r="E286" t="str">
        <f>Universe!G286</f>
        <v/>
      </c>
      <c r="F286" t="str">
        <f>IF($E286&lt;&gt;"Include","",_xlfn.LET(_xlpm.latest,_xlfn.MAXIFS(Raw_Fund!$C:$C,Raw_Fund!$B:$B,Data!$C286),IF(_xlpm.latest=0,"",_xlpm.latest)))</f>
        <v/>
      </c>
      <c r="G286" t="str">
        <f>IF($F286="","",INDEX(Raw_Fund!$E:$AZ,MATCH($C286&amp;"|"&amp;$F286,Raw_Fund!$A:$A,0),MATCH(G$3,Raw_Fund!$E$1:$AZ$1,0)))</f>
        <v/>
      </c>
      <c r="H286" t="str">
        <f t="shared" si="4"/>
        <v/>
      </c>
      <c r="I286" s="6" t="str">
        <f>_xlfn.LET(
_xlpm.rowNo, MATCH($C286&amp;"|"&amp;
($F286+I$4),Raw_Fund!$A:$A,0),
_xlpm.colNo,
MATCH(I$3,Raw_Fund!$E$1:$AZ$1,0),
_xlpm.val,
INDEX(Raw_Fund!$E:$AZ,_xlpm.rowNo,_xlpm.colNo),
IF(ISNUMBER(_xlpm.val),_xlpm.val*$H286,""))</f>
        <v/>
      </c>
      <c r="J286" s="6" t="str">
        <f>_xlfn.LET(
_xlpm.rowNo, MATCH($C286&amp;"|"&amp;
($F286+J$4),Raw_Fund!$A:$A,0),
_xlpm.colNo,
MATCH(J$3,Raw_Fund!$E$1:$AZ$1,0),
_xlpm.val,
INDEX(Raw_Fund!$E:$AZ,_xlpm.rowNo,_xlpm.colNo),
IF(ISNUMBER(_xlpm.val),_xlpm.val*$H286,""))</f>
        <v/>
      </c>
      <c r="K286" s="6" t="str">
        <f>_xlfn.LET(
_xlpm.rowNo, MATCH($C286&amp;"|"&amp;
($F286+K$4),Raw_Fund!$A:$A,0),
_xlpm.colNo,
MATCH(K$3,Raw_Fund!$E$1:$AZ$1,0),
_xlpm.val,
INDEX(Raw_Fund!$E:$AZ,_xlpm.rowNo,_xlpm.colNo),
IF(ISNUMBER(_xlpm.val),_xlpm.val*$H286,""))</f>
        <v/>
      </c>
      <c r="L286" s="6" t="str">
        <f>_xlfn.LET(
_xlpm.rowNo, MATCH($C286&amp;"|"&amp;
($F286+L$4),Raw_Fund!$A:$A,0),
_xlpm.colNo,
MATCH(L$3,Raw_Fund!$E$1:$AZ$1,0),
_xlpm.val,
INDEX(Raw_Fund!$E:$AZ,_xlpm.rowNo,_xlpm.colNo),
IF(ISNUMBER(_xlpm.val),_xlpm.val*$H286,""))</f>
        <v/>
      </c>
      <c r="M286" s="6" t="str">
        <f>_xlfn.LET(
_xlpm.rowNo, MATCH($C286&amp;"|"&amp;
($F286+M$4),Raw_Fund!$A:$A,0),
_xlpm.colNo,
MATCH(M$3,Raw_Fund!$E$1:$AZ$1,0),
_xlpm.val,
INDEX(Raw_Fund!$E:$AZ,_xlpm.rowNo,_xlpm.colNo),
IF(ISNUMBER(_xlpm.val),_xlpm.val*$H286,""))</f>
        <v/>
      </c>
      <c r="N286" s="6" t="str">
        <f>_xlfn.LET(
_xlpm.rowNo, MATCH($C286&amp;"|"&amp;
($F286+N$4),Raw_Fund!$A:$A,0),
_xlpm.colNo,
MATCH(N$3,Raw_Fund!$E$1:$AZ$1,0),
_xlpm.val,
INDEX(Raw_Fund!$E:$AZ,_xlpm.rowNo,_xlpm.colNo),
IF(ISNUMBER(_xlpm.val),_xlpm.val*$H286,""))</f>
        <v/>
      </c>
      <c r="O286" s="6" t="str">
        <f>_xlfn.LET(
_xlpm.rowNo, MATCH($C286&amp;"|"&amp;
($F286+O$4),Raw_Fund!$A:$A,0),
_xlpm.colNo,
MATCH(O$3,Raw_Fund!$E$1:$AZ$1,0),
_xlpm.val,
INDEX(Raw_Fund!$E:$AZ,_xlpm.rowNo,_xlpm.colNo),
IF(ISNUMBER(_xlpm.val),_xlpm.val*$H286,""))</f>
        <v/>
      </c>
      <c r="P286" s="6" t="str">
        <f>_xlfn.LET(
_xlpm.rowNo, MATCH($C286&amp;"|"&amp;
($F286+P$4),Raw_Fund!$A:$A,0),
_xlpm.colNo,
MATCH(P$3,Raw_Fund!$E$1:$AZ$1,0),
_xlpm.val,
INDEX(Raw_Fund!$E:$AZ,_xlpm.rowNo,_xlpm.colNo),
IF(ISNUMBER(_xlpm.val),_xlpm.val*$H286,""))</f>
        <v/>
      </c>
      <c r="Q286" s="6" t="str">
        <f>_xlfn.LET(
_xlpm.rowNo, MATCH($C286&amp;"|"&amp;
($F286+Q$4),Raw_Fund!$A:$A,0),
_xlpm.colNo,
MATCH(Q$3,Raw_Fund!$E$1:$AZ$1,0),
_xlpm.val,
INDEX(Raw_Fund!$E:$AZ,_xlpm.rowNo,_xlpm.colNo),
IF(ISNUMBER(_xlpm.val),_xlpm.val*$H286,""))</f>
        <v/>
      </c>
      <c r="R286" s="6" t="str">
        <f>_xlfn.LET(
_xlpm.rowNo, MATCH($C286&amp;"|"&amp;
($F286+R$4),Raw_Fund!$A:$A,0),
_xlpm.colNo,
MATCH(R$3,Raw_Fund!$E$1:$AZ$1,0),
_xlpm.val,
INDEX(Raw_Fund!$E:$AZ,_xlpm.rowNo,_xlpm.colNo),
IF(ISNUMBER(_xlpm.val),_xlpm.val*$H286,""))</f>
        <v/>
      </c>
      <c r="S286" s="6" t="str">
        <f>_xlfn.LET(
_xlpm.rowNo, MATCH($C286&amp;"|"&amp;
($F286+S$4),Raw_Fund!$A:$A,0),
_xlpm.colNo,
MATCH(S$3,Raw_Fund!$E$1:$AZ$1,0),
_xlpm.val,
INDEX(Raw_Fund!$E:$AZ,_xlpm.rowNo,_xlpm.colNo),
IF(ISNUMBER(_xlpm.val),_xlpm.val*$H286,""))</f>
        <v/>
      </c>
      <c r="T286" s="6" t="str">
        <f>_xlfn.LET(
_xlpm.rowNo, MATCH($C286&amp;"|"&amp;
($F286+T$4),Raw_Fund!$A:$A,0),
_xlpm.colNo,
MATCH(T$3,Raw_Fund!$E$1:$AZ$1,0),
_xlpm.val,
INDEX(Raw_Fund!$E:$AZ,_xlpm.rowNo,_xlpm.colNo),
IF(ISNUMBER(_xlpm.val),_xlpm.val*$H286,""))</f>
        <v/>
      </c>
      <c r="U286" s="6" t="str">
        <f>_xlfn.LET(
_xlpm.rowNo, MATCH($C286&amp;"|"&amp;
($F286+U$4),Raw_Fund!$A:$A,0),
_xlpm.colNo,
MATCH(U$3,Raw_Fund!$E$1:$AZ$1,0),
_xlpm.val,
INDEX(Raw_Fund!$E:$AZ,_xlpm.rowNo,_xlpm.colNo),
IF(ISNUMBER(_xlpm.val),_xlpm.val*$H286,""))</f>
        <v/>
      </c>
      <c r="V286" s="6" t="str">
        <f>_xlfn.LET(
_xlpm.rowNo, MATCH($C286&amp;"|"&amp;
($F286+V$4),Raw_Fund!$A:$A,0),
_xlpm.colNo,
MATCH(V$3,Raw_Fund!$E$1:$AZ$1,0),
_xlpm.val,
INDEX(Raw_Fund!$E:$AZ,_xlpm.rowNo,_xlpm.colNo),
IF(ISNUMBER(_xlpm.val),_xlpm.val*$H286,""))</f>
        <v/>
      </c>
      <c r="W286" s="6" t="str">
        <f>_xlfn.LET(
_xlpm.rowNo, MATCH($C286&amp;"|"&amp;
($F286+W$4),Raw_Fund!$A:$A,0),
_xlpm.colNo,
MATCH(W$3,Raw_Fund!$E$1:$AZ$1,0),
_xlpm.val,
INDEX(Raw_Fund!$E:$AZ,_xlpm.rowNo,_xlpm.colNo),
IF(ISNUMBER(_xlpm.val),_xlpm.val*$H286,""))</f>
        <v/>
      </c>
      <c r="X286" s="6" t="str">
        <f>_xlfn.LET(
_xlpm.rowNo, MATCH($C286&amp;"|"&amp;
($F286+X$4),Raw_Fund!$A:$A,0),
_xlpm.colNo,
MATCH(X$3,Raw_Fund!$E$1:$AZ$1,0),
_xlpm.val,
INDEX(Raw_Fund!$E:$AZ,_xlpm.rowNo,_xlpm.colNo),
IF(ISNUMBER(_xlpm.val),_xlpm.val*$H286,""))</f>
        <v/>
      </c>
      <c r="Y286" s="6" t="str">
        <f>_xlfn.LET(
_xlpm.rowNo, MATCH($C286&amp;"|"&amp;
($F286+Y$4),Raw_Fund!$A:$A,0),
_xlpm.colNo,
MATCH(Y$3,Raw_Fund!$E$1:$AZ$1,0),
_xlpm.val,
INDEX(Raw_Fund!$E:$AZ,_xlpm.rowNo,_xlpm.colNo),
IF(ISNUMBER(_xlpm.val),_xlpm.val*$H286,""))</f>
        <v/>
      </c>
      <c r="Z286" s="6" t="str">
        <f>IF($E286&lt;&gt;"Include","",_xlfn.XLOOKUP($C286,Raw_Mkt!$A:$A,Raw_Mkt!$B:$B))</f>
        <v/>
      </c>
    </row>
    <row r="287" spans="1:26" x14ac:dyDescent="0.4">
      <c r="A287" t="str">
        <f>IF(Universe!A287&lt;&gt;"",Universe!A287,"")</f>
        <v/>
      </c>
      <c r="B287" t="str">
        <f>IF(Universe!B287&lt;&gt;"",Universe!B287,"")</f>
        <v/>
      </c>
      <c r="C287" t="str">
        <f>IF(Universe!C287&lt;&gt;"",Universe!C287,"")</f>
        <v/>
      </c>
      <c r="D287" t="str">
        <f>IF(Universe!D287&lt;&gt;"",Universe!D287,"")</f>
        <v/>
      </c>
      <c r="E287" t="str">
        <f>Universe!G287</f>
        <v/>
      </c>
      <c r="F287" t="str">
        <f>IF($E287&lt;&gt;"Include","",_xlfn.LET(_xlpm.latest,_xlfn.MAXIFS(Raw_Fund!$C:$C,Raw_Fund!$B:$B,Data!$C287),IF(_xlpm.latest=0,"",_xlpm.latest)))</f>
        <v/>
      </c>
      <c r="G287" t="str">
        <f>IF($F287="","",INDEX(Raw_Fund!$E:$AZ,MATCH($C287&amp;"|"&amp;$F287,Raw_Fund!$A:$A,0),MATCH(G$3,Raw_Fund!$E$1:$AZ$1,0)))</f>
        <v/>
      </c>
      <c r="H287" t="str">
        <f t="shared" si="4"/>
        <v/>
      </c>
      <c r="I287" s="6" t="str">
        <f>_xlfn.LET(
_xlpm.rowNo, MATCH($C287&amp;"|"&amp;
($F287+I$4),Raw_Fund!$A:$A,0),
_xlpm.colNo,
MATCH(I$3,Raw_Fund!$E$1:$AZ$1,0),
_xlpm.val,
INDEX(Raw_Fund!$E:$AZ,_xlpm.rowNo,_xlpm.colNo),
IF(ISNUMBER(_xlpm.val),_xlpm.val*$H287,""))</f>
        <v/>
      </c>
      <c r="J287" s="6" t="str">
        <f>_xlfn.LET(
_xlpm.rowNo, MATCH($C287&amp;"|"&amp;
($F287+J$4),Raw_Fund!$A:$A,0),
_xlpm.colNo,
MATCH(J$3,Raw_Fund!$E$1:$AZ$1,0),
_xlpm.val,
INDEX(Raw_Fund!$E:$AZ,_xlpm.rowNo,_xlpm.colNo),
IF(ISNUMBER(_xlpm.val),_xlpm.val*$H287,""))</f>
        <v/>
      </c>
      <c r="K287" s="6" t="str">
        <f>_xlfn.LET(
_xlpm.rowNo, MATCH($C287&amp;"|"&amp;
($F287+K$4),Raw_Fund!$A:$A,0),
_xlpm.colNo,
MATCH(K$3,Raw_Fund!$E$1:$AZ$1,0),
_xlpm.val,
INDEX(Raw_Fund!$E:$AZ,_xlpm.rowNo,_xlpm.colNo),
IF(ISNUMBER(_xlpm.val),_xlpm.val*$H287,""))</f>
        <v/>
      </c>
      <c r="L287" s="6" t="str">
        <f>_xlfn.LET(
_xlpm.rowNo, MATCH($C287&amp;"|"&amp;
($F287+L$4),Raw_Fund!$A:$A,0),
_xlpm.colNo,
MATCH(L$3,Raw_Fund!$E$1:$AZ$1,0),
_xlpm.val,
INDEX(Raw_Fund!$E:$AZ,_xlpm.rowNo,_xlpm.colNo),
IF(ISNUMBER(_xlpm.val),_xlpm.val*$H287,""))</f>
        <v/>
      </c>
      <c r="M287" s="6" t="str">
        <f>_xlfn.LET(
_xlpm.rowNo, MATCH($C287&amp;"|"&amp;
($F287+M$4),Raw_Fund!$A:$A,0),
_xlpm.colNo,
MATCH(M$3,Raw_Fund!$E$1:$AZ$1,0),
_xlpm.val,
INDEX(Raw_Fund!$E:$AZ,_xlpm.rowNo,_xlpm.colNo),
IF(ISNUMBER(_xlpm.val),_xlpm.val*$H287,""))</f>
        <v/>
      </c>
      <c r="N287" s="6" t="str">
        <f>_xlfn.LET(
_xlpm.rowNo, MATCH($C287&amp;"|"&amp;
($F287+N$4),Raw_Fund!$A:$A,0),
_xlpm.colNo,
MATCH(N$3,Raw_Fund!$E$1:$AZ$1,0),
_xlpm.val,
INDEX(Raw_Fund!$E:$AZ,_xlpm.rowNo,_xlpm.colNo),
IF(ISNUMBER(_xlpm.val),_xlpm.val*$H287,""))</f>
        <v/>
      </c>
      <c r="O287" s="6" t="str">
        <f>_xlfn.LET(
_xlpm.rowNo, MATCH($C287&amp;"|"&amp;
($F287+O$4),Raw_Fund!$A:$A,0),
_xlpm.colNo,
MATCH(O$3,Raw_Fund!$E$1:$AZ$1,0),
_xlpm.val,
INDEX(Raw_Fund!$E:$AZ,_xlpm.rowNo,_xlpm.colNo),
IF(ISNUMBER(_xlpm.val),_xlpm.val*$H287,""))</f>
        <v/>
      </c>
      <c r="P287" s="6" t="str">
        <f>_xlfn.LET(
_xlpm.rowNo, MATCH($C287&amp;"|"&amp;
($F287+P$4),Raw_Fund!$A:$A,0),
_xlpm.colNo,
MATCH(P$3,Raw_Fund!$E$1:$AZ$1,0),
_xlpm.val,
INDEX(Raw_Fund!$E:$AZ,_xlpm.rowNo,_xlpm.colNo),
IF(ISNUMBER(_xlpm.val),_xlpm.val*$H287,""))</f>
        <v/>
      </c>
      <c r="Q287" s="6" t="str">
        <f>_xlfn.LET(
_xlpm.rowNo, MATCH($C287&amp;"|"&amp;
($F287+Q$4),Raw_Fund!$A:$A,0),
_xlpm.colNo,
MATCH(Q$3,Raw_Fund!$E$1:$AZ$1,0),
_xlpm.val,
INDEX(Raw_Fund!$E:$AZ,_xlpm.rowNo,_xlpm.colNo),
IF(ISNUMBER(_xlpm.val),_xlpm.val*$H287,""))</f>
        <v/>
      </c>
      <c r="R287" s="6" t="str">
        <f>_xlfn.LET(
_xlpm.rowNo, MATCH($C287&amp;"|"&amp;
($F287+R$4),Raw_Fund!$A:$A,0),
_xlpm.colNo,
MATCH(R$3,Raw_Fund!$E$1:$AZ$1,0),
_xlpm.val,
INDEX(Raw_Fund!$E:$AZ,_xlpm.rowNo,_xlpm.colNo),
IF(ISNUMBER(_xlpm.val),_xlpm.val*$H287,""))</f>
        <v/>
      </c>
      <c r="S287" s="6" t="str">
        <f>_xlfn.LET(
_xlpm.rowNo, MATCH($C287&amp;"|"&amp;
($F287+S$4),Raw_Fund!$A:$A,0),
_xlpm.colNo,
MATCH(S$3,Raw_Fund!$E$1:$AZ$1,0),
_xlpm.val,
INDEX(Raw_Fund!$E:$AZ,_xlpm.rowNo,_xlpm.colNo),
IF(ISNUMBER(_xlpm.val),_xlpm.val*$H287,""))</f>
        <v/>
      </c>
      <c r="T287" s="6" t="str">
        <f>_xlfn.LET(
_xlpm.rowNo, MATCH($C287&amp;"|"&amp;
($F287+T$4),Raw_Fund!$A:$A,0),
_xlpm.colNo,
MATCH(T$3,Raw_Fund!$E$1:$AZ$1,0),
_xlpm.val,
INDEX(Raw_Fund!$E:$AZ,_xlpm.rowNo,_xlpm.colNo),
IF(ISNUMBER(_xlpm.val),_xlpm.val*$H287,""))</f>
        <v/>
      </c>
      <c r="U287" s="6" t="str">
        <f>_xlfn.LET(
_xlpm.rowNo, MATCH($C287&amp;"|"&amp;
($F287+U$4),Raw_Fund!$A:$A,0),
_xlpm.colNo,
MATCH(U$3,Raw_Fund!$E$1:$AZ$1,0),
_xlpm.val,
INDEX(Raw_Fund!$E:$AZ,_xlpm.rowNo,_xlpm.colNo),
IF(ISNUMBER(_xlpm.val),_xlpm.val*$H287,""))</f>
        <v/>
      </c>
      <c r="V287" s="6" t="str">
        <f>_xlfn.LET(
_xlpm.rowNo, MATCH($C287&amp;"|"&amp;
($F287+V$4),Raw_Fund!$A:$A,0),
_xlpm.colNo,
MATCH(V$3,Raw_Fund!$E$1:$AZ$1,0),
_xlpm.val,
INDEX(Raw_Fund!$E:$AZ,_xlpm.rowNo,_xlpm.colNo),
IF(ISNUMBER(_xlpm.val),_xlpm.val*$H287,""))</f>
        <v/>
      </c>
      <c r="W287" s="6" t="str">
        <f>_xlfn.LET(
_xlpm.rowNo, MATCH($C287&amp;"|"&amp;
($F287+W$4),Raw_Fund!$A:$A,0),
_xlpm.colNo,
MATCH(W$3,Raw_Fund!$E$1:$AZ$1,0),
_xlpm.val,
INDEX(Raw_Fund!$E:$AZ,_xlpm.rowNo,_xlpm.colNo),
IF(ISNUMBER(_xlpm.val),_xlpm.val*$H287,""))</f>
        <v/>
      </c>
      <c r="X287" s="6" t="str">
        <f>_xlfn.LET(
_xlpm.rowNo, MATCH($C287&amp;"|"&amp;
($F287+X$4),Raw_Fund!$A:$A,0),
_xlpm.colNo,
MATCH(X$3,Raw_Fund!$E$1:$AZ$1,0),
_xlpm.val,
INDEX(Raw_Fund!$E:$AZ,_xlpm.rowNo,_xlpm.colNo),
IF(ISNUMBER(_xlpm.val),_xlpm.val*$H287,""))</f>
        <v/>
      </c>
      <c r="Y287" s="6" t="str">
        <f>_xlfn.LET(
_xlpm.rowNo, MATCH($C287&amp;"|"&amp;
($F287+Y$4),Raw_Fund!$A:$A,0),
_xlpm.colNo,
MATCH(Y$3,Raw_Fund!$E$1:$AZ$1,0),
_xlpm.val,
INDEX(Raw_Fund!$E:$AZ,_xlpm.rowNo,_xlpm.colNo),
IF(ISNUMBER(_xlpm.val),_xlpm.val*$H287,""))</f>
        <v/>
      </c>
      <c r="Z287" s="6" t="str">
        <f>IF($E287&lt;&gt;"Include","",_xlfn.XLOOKUP($C287,Raw_Mkt!$A:$A,Raw_Mkt!$B:$B))</f>
        <v/>
      </c>
    </row>
    <row r="288" spans="1:26" x14ac:dyDescent="0.4">
      <c r="A288" t="str">
        <f>IF(Universe!A288&lt;&gt;"",Universe!A288,"")</f>
        <v/>
      </c>
      <c r="B288" t="str">
        <f>IF(Universe!B288&lt;&gt;"",Universe!B288,"")</f>
        <v/>
      </c>
      <c r="C288" t="str">
        <f>IF(Universe!C288&lt;&gt;"",Universe!C288,"")</f>
        <v/>
      </c>
      <c r="D288" t="str">
        <f>IF(Universe!D288&lt;&gt;"",Universe!D288,"")</f>
        <v/>
      </c>
      <c r="E288" t="str">
        <f>Universe!G288</f>
        <v/>
      </c>
      <c r="F288" t="str">
        <f>IF($E288&lt;&gt;"Include","",_xlfn.LET(_xlpm.latest,_xlfn.MAXIFS(Raw_Fund!$C:$C,Raw_Fund!$B:$B,Data!$C288),IF(_xlpm.latest=0,"",_xlpm.latest)))</f>
        <v/>
      </c>
      <c r="G288" t="str">
        <f>IF($F288="","",INDEX(Raw_Fund!$E:$AZ,MATCH($C288&amp;"|"&amp;$F288,Raw_Fund!$A:$A,0),MATCH(G$3,Raw_Fund!$E$1:$AZ$1,0)))</f>
        <v/>
      </c>
      <c r="H288" t="str">
        <f t="shared" si="4"/>
        <v/>
      </c>
      <c r="I288" s="6" t="str">
        <f>_xlfn.LET(
_xlpm.rowNo, MATCH($C288&amp;"|"&amp;
($F288+I$4),Raw_Fund!$A:$A,0),
_xlpm.colNo,
MATCH(I$3,Raw_Fund!$E$1:$AZ$1,0),
_xlpm.val,
INDEX(Raw_Fund!$E:$AZ,_xlpm.rowNo,_xlpm.colNo),
IF(ISNUMBER(_xlpm.val),_xlpm.val*$H288,""))</f>
        <v/>
      </c>
      <c r="J288" s="6" t="str">
        <f>_xlfn.LET(
_xlpm.rowNo, MATCH($C288&amp;"|"&amp;
($F288+J$4),Raw_Fund!$A:$A,0),
_xlpm.colNo,
MATCH(J$3,Raw_Fund!$E$1:$AZ$1,0),
_xlpm.val,
INDEX(Raw_Fund!$E:$AZ,_xlpm.rowNo,_xlpm.colNo),
IF(ISNUMBER(_xlpm.val),_xlpm.val*$H288,""))</f>
        <v/>
      </c>
      <c r="K288" s="6" t="str">
        <f>_xlfn.LET(
_xlpm.rowNo, MATCH($C288&amp;"|"&amp;
($F288+K$4),Raw_Fund!$A:$A,0),
_xlpm.colNo,
MATCH(K$3,Raw_Fund!$E$1:$AZ$1,0),
_xlpm.val,
INDEX(Raw_Fund!$E:$AZ,_xlpm.rowNo,_xlpm.colNo),
IF(ISNUMBER(_xlpm.val),_xlpm.val*$H288,""))</f>
        <v/>
      </c>
      <c r="L288" s="6" t="str">
        <f>_xlfn.LET(
_xlpm.rowNo, MATCH($C288&amp;"|"&amp;
($F288+L$4),Raw_Fund!$A:$A,0),
_xlpm.colNo,
MATCH(L$3,Raw_Fund!$E$1:$AZ$1,0),
_xlpm.val,
INDEX(Raw_Fund!$E:$AZ,_xlpm.rowNo,_xlpm.colNo),
IF(ISNUMBER(_xlpm.val),_xlpm.val*$H288,""))</f>
        <v/>
      </c>
      <c r="M288" s="6" t="str">
        <f>_xlfn.LET(
_xlpm.rowNo, MATCH($C288&amp;"|"&amp;
($F288+M$4),Raw_Fund!$A:$A,0),
_xlpm.colNo,
MATCH(M$3,Raw_Fund!$E$1:$AZ$1,0),
_xlpm.val,
INDEX(Raw_Fund!$E:$AZ,_xlpm.rowNo,_xlpm.colNo),
IF(ISNUMBER(_xlpm.val),_xlpm.val*$H288,""))</f>
        <v/>
      </c>
      <c r="N288" s="6" t="str">
        <f>_xlfn.LET(
_xlpm.rowNo, MATCH($C288&amp;"|"&amp;
($F288+N$4),Raw_Fund!$A:$A,0),
_xlpm.colNo,
MATCH(N$3,Raw_Fund!$E$1:$AZ$1,0),
_xlpm.val,
INDEX(Raw_Fund!$E:$AZ,_xlpm.rowNo,_xlpm.colNo),
IF(ISNUMBER(_xlpm.val),_xlpm.val*$H288,""))</f>
        <v/>
      </c>
      <c r="O288" s="6" t="str">
        <f>_xlfn.LET(
_xlpm.rowNo, MATCH($C288&amp;"|"&amp;
($F288+O$4),Raw_Fund!$A:$A,0),
_xlpm.colNo,
MATCH(O$3,Raw_Fund!$E$1:$AZ$1,0),
_xlpm.val,
INDEX(Raw_Fund!$E:$AZ,_xlpm.rowNo,_xlpm.colNo),
IF(ISNUMBER(_xlpm.val),_xlpm.val*$H288,""))</f>
        <v/>
      </c>
      <c r="P288" s="6" t="str">
        <f>_xlfn.LET(
_xlpm.rowNo, MATCH($C288&amp;"|"&amp;
($F288+P$4),Raw_Fund!$A:$A,0),
_xlpm.colNo,
MATCH(P$3,Raw_Fund!$E$1:$AZ$1,0),
_xlpm.val,
INDEX(Raw_Fund!$E:$AZ,_xlpm.rowNo,_xlpm.colNo),
IF(ISNUMBER(_xlpm.val),_xlpm.val*$H288,""))</f>
        <v/>
      </c>
      <c r="Q288" s="6" t="str">
        <f>_xlfn.LET(
_xlpm.rowNo, MATCH($C288&amp;"|"&amp;
($F288+Q$4),Raw_Fund!$A:$A,0),
_xlpm.colNo,
MATCH(Q$3,Raw_Fund!$E$1:$AZ$1,0),
_xlpm.val,
INDEX(Raw_Fund!$E:$AZ,_xlpm.rowNo,_xlpm.colNo),
IF(ISNUMBER(_xlpm.val),_xlpm.val*$H288,""))</f>
        <v/>
      </c>
      <c r="R288" s="6" t="str">
        <f>_xlfn.LET(
_xlpm.rowNo, MATCH($C288&amp;"|"&amp;
($F288+R$4),Raw_Fund!$A:$A,0),
_xlpm.colNo,
MATCH(R$3,Raw_Fund!$E$1:$AZ$1,0),
_xlpm.val,
INDEX(Raw_Fund!$E:$AZ,_xlpm.rowNo,_xlpm.colNo),
IF(ISNUMBER(_xlpm.val),_xlpm.val*$H288,""))</f>
        <v/>
      </c>
      <c r="S288" s="6" t="str">
        <f>_xlfn.LET(
_xlpm.rowNo, MATCH($C288&amp;"|"&amp;
($F288+S$4),Raw_Fund!$A:$A,0),
_xlpm.colNo,
MATCH(S$3,Raw_Fund!$E$1:$AZ$1,0),
_xlpm.val,
INDEX(Raw_Fund!$E:$AZ,_xlpm.rowNo,_xlpm.colNo),
IF(ISNUMBER(_xlpm.val),_xlpm.val*$H288,""))</f>
        <v/>
      </c>
      <c r="T288" s="6" t="str">
        <f>_xlfn.LET(
_xlpm.rowNo, MATCH($C288&amp;"|"&amp;
($F288+T$4),Raw_Fund!$A:$A,0),
_xlpm.colNo,
MATCH(T$3,Raw_Fund!$E$1:$AZ$1,0),
_xlpm.val,
INDEX(Raw_Fund!$E:$AZ,_xlpm.rowNo,_xlpm.colNo),
IF(ISNUMBER(_xlpm.val),_xlpm.val*$H288,""))</f>
        <v/>
      </c>
      <c r="U288" s="6" t="str">
        <f>_xlfn.LET(
_xlpm.rowNo, MATCH($C288&amp;"|"&amp;
($F288+U$4),Raw_Fund!$A:$A,0),
_xlpm.colNo,
MATCH(U$3,Raw_Fund!$E$1:$AZ$1,0),
_xlpm.val,
INDEX(Raw_Fund!$E:$AZ,_xlpm.rowNo,_xlpm.colNo),
IF(ISNUMBER(_xlpm.val),_xlpm.val*$H288,""))</f>
        <v/>
      </c>
      <c r="V288" s="6" t="str">
        <f>_xlfn.LET(
_xlpm.rowNo, MATCH($C288&amp;"|"&amp;
($F288+V$4),Raw_Fund!$A:$A,0),
_xlpm.colNo,
MATCH(V$3,Raw_Fund!$E$1:$AZ$1,0),
_xlpm.val,
INDEX(Raw_Fund!$E:$AZ,_xlpm.rowNo,_xlpm.colNo),
IF(ISNUMBER(_xlpm.val),_xlpm.val*$H288,""))</f>
        <v/>
      </c>
      <c r="W288" s="6" t="str">
        <f>_xlfn.LET(
_xlpm.rowNo, MATCH($C288&amp;"|"&amp;
($F288+W$4),Raw_Fund!$A:$A,0),
_xlpm.colNo,
MATCH(W$3,Raw_Fund!$E$1:$AZ$1,0),
_xlpm.val,
INDEX(Raw_Fund!$E:$AZ,_xlpm.rowNo,_xlpm.colNo),
IF(ISNUMBER(_xlpm.val),_xlpm.val*$H288,""))</f>
        <v/>
      </c>
      <c r="X288" s="6" t="str">
        <f>_xlfn.LET(
_xlpm.rowNo, MATCH($C288&amp;"|"&amp;
($F288+X$4),Raw_Fund!$A:$A,0),
_xlpm.colNo,
MATCH(X$3,Raw_Fund!$E$1:$AZ$1,0),
_xlpm.val,
INDEX(Raw_Fund!$E:$AZ,_xlpm.rowNo,_xlpm.colNo),
IF(ISNUMBER(_xlpm.val),_xlpm.val*$H288,""))</f>
        <v/>
      </c>
      <c r="Y288" s="6" t="str">
        <f>_xlfn.LET(
_xlpm.rowNo, MATCH($C288&amp;"|"&amp;
($F288+Y$4),Raw_Fund!$A:$A,0),
_xlpm.colNo,
MATCH(Y$3,Raw_Fund!$E$1:$AZ$1,0),
_xlpm.val,
INDEX(Raw_Fund!$E:$AZ,_xlpm.rowNo,_xlpm.colNo),
IF(ISNUMBER(_xlpm.val),_xlpm.val*$H288,""))</f>
        <v/>
      </c>
      <c r="Z288" s="6" t="str">
        <f>IF($E288&lt;&gt;"Include","",_xlfn.XLOOKUP($C288,Raw_Mkt!$A:$A,Raw_Mkt!$B:$B))</f>
        <v/>
      </c>
    </row>
    <row r="289" spans="1:26" x14ac:dyDescent="0.4">
      <c r="A289" t="str">
        <f>IF(Universe!A289&lt;&gt;"",Universe!A289,"")</f>
        <v/>
      </c>
      <c r="B289" t="str">
        <f>IF(Universe!B289&lt;&gt;"",Universe!B289,"")</f>
        <v/>
      </c>
      <c r="C289" t="str">
        <f>IF(Universe!C289&lt;&gt;"",Universe!C289,"")</f>
        <v/>
      </c>
      <c r="D289" t="str">
        <f>IF(Universe!D289&lt;&gt;"",Universe!D289,"")</f>
        <v/>
      </c>
      <c r="E289" t="str">
        <f>Universe!G289</f>
        <v/>
      </c>
      <c r="F289" t="str">
        <f>IF($E289&lt;&gt;"Include","",_xlfn.LET(_xlpm.latest,_xlfn.MAXIFS(Raw_Fund!$C:$C,Raw_Fund!$B:$B,Data!$C289),IF(_xlpm.latest=0,"",_xlpm.latest)))</f>
        <v/>
      </c>
      <c r="G289" t="str">
        <f>IF($F289="","",INDEX(Raw_Fund!$E:$AZ,MATCH($C289&amp;"|"&amp;$F289,Raw_Fund!$A:$A,0),MATCH(G$3,Raw_Fund!$E$1:$AZ$1,0)))</f>
        <v/>
      </c>
      <c r="H289" t="str">
        <f t="shared" si="4"/>
        <v/>
      </c>
      <c r="I289" s="6" t="str">
        <f>_xlfn.LET(
_xlpm.rowNo, MATCH($C289&amp;"|"&amp;
($F289+I$4),Raw_Fund!$A:$A,0),
_xlpm.colNo,
MATCH(I$3,Raw_Fund!$E$1:$AZ$1,0),
_xlpm.val,
INDEX(Raw_Fund!$E:$AZ,_xlpm.rowNo,_xlpm.colNo),
IF(ISNUMBER(_xlpm.val),_xlpm.val*$H289,""))</f>
        <v/>
      </c>
      <c r="J289" s="6" t="str">
        <f>_xlfn.LET(
_xlpm.rowNo, MATCH($C289&amp;"|"&amp;
($F289+J$4),Raw_Fund!$A:$A,0),
_xlpm.colNo,
MATCH(J$3,Raw_Fund!$E$1:$AZ$1,0),
_xlpm.val,
INDEX(Raw_Fund!$E:$AZ,_xlpm.rowNo,_xlpm.colNo),
IF(ISNUMBER(_xlpm.val),_xlpm.val*$H289,""))</f>
        <v/>
      </c>
      <c r="K289" s="6" t="str">
        <f>_xlfn.LET(
_xlpm.rowNo, MATCH($C289&amp;"|"&amp;
($F289+K$4),Raw_Fund!$A:$A,0),
_xlpm.colNo,
MATCH(K$3,Raw_Fund!$E$1:$AZ$1,0),
_xlpm.val,
INDEX(Raw_Fund!$E:$AZ,_xlpm.rowNo,_xlpm.colNo),
IF(ISNUMBER(_xlpm.val),_xlpm.val*$H289,""))</f>
        <v/>
      </c>
      <c r="L289" s="6" t="str">
        <f>_xlfn.LET(
_xlpm.rowNo, MATCH($C289&amp;"|"&amp;
($F289+L$4),Raw_Fund!$A:$A,0),
_xlpm.colNo,
MATCH(L$3,Raw_Fund!$E$1:$AZ$1,0),
_xlpm.val,
INDEX(Raw_Fund!$E:$AZ,_xlpm.rowNo,_xlpm.colNo),
IF(ISNUMBER(_xlpm.val),_xlpm.val*$H289,""))</f>
        <v/>
      </c>
      <c r="M289" s="6" t="str">
        <f>_xlfn.LET(
_xlpm.rowNo, MATCH($C289&amp;"|"&amp;
($F289+M$4),Raw_Fund!$A:$A,0),
_xlpm.colNo,
MATCH(M$3,Raw_Fund!$E$1:$AZ$1,0),
_xlpm.val,
INDEX(Raw_Fund!$E:$AZ,_xlpm.rowNo,_xlpm.colNo),
IF(ISNUMBER(_xlpm.val),_xlpm.val*$H289,""))</f>
        <v/>
      </c>
      <c r="N289" s="6" t="str">
        <f>_xlfn.LET(
_xlpm.rowNo, MATCH($C289&amp;"|"&amp;
($F289+N$4),Raw_Fund!$A:$A,0),
_xlpm.colNo,
MATCH(N$3,Raw_Fund!$E$1:$AZ$1,0),
_xlpm.val,
INDEX(Raw_Fund!$E:$AZ,_xlpm.rowNo,_xlpm.colNo),
IF(ISNUMBER(_xlpm.val),_xlpm.val*$H289,""))</f>
        <v/>
      </c>
      <c r="O289" s="6" t="str">
        <f>_xlfn.LET(
_xlpm.rowNo, MATCH($C289&amp;"|"&amp;
($F289+O$4),Raw_Fund!$A:$A,0),
_xlpm.colNo,
MATCH(O$3,Raw_Fund!$E$1:$AZ$1,0),
_xlpm.val,
INDEX(Raw_Fund!$E:$AZ,_xlpm.rowNo,_xlpm.colNo),
IF(ISNUMBER(_xlpm.val),_xlpm.val*$H289,""))</f>
        <v/>
      </c>
      <c r="P289" s="6" t="str">
        <f>_xlfn.LET(
_xlpm.rowNo, MATCH($C289&amp;"|"&amp;
($F289+P$4),Raw_Fund!$A:$A,0),
_xlpm.colNo,
MATCH(P$3,Raw_Fund!$E$1:$AZ$1,0),
_xlpm.val,
INDEX(Raw_Fund!$E:$AZ,_xlpm.rowNo,_xlpm.colNo),
IF(ISNUMBER(_xlpm.val),_xlpm.val*$H289,""))</f>
        <v/>
      </c>
      <c r="Q289" s="6" t="str">
        <f>_xlfn.LET(
_xlpm.rowNo, MATCH($C289&amp;"|"&amp;
($F289+Q$4),Raw_Fund!$A:$A,0),
_xlpm.colNo,
MATCH(Q$3,Raw_Fund!$E$1:$AZ$1,0),
_xlpm.val,
INDEX(Raw_Fund!$E:$AZ,_xlpm.rowNo,_xlpm.colNo),
IF(ISNUMBER(_xlpm.val),_xlpm.val*$H289,""))</f>
        <v/>
      </c>
      <c r="R289" s="6" t="str">
        <f>_xlfn.LET(
_xlpm.rowNo, MATCH($C289&amp;"|"&amp;
($F289+R$4),Raw_Fund!$A:$A,0),
_xlpm.colNo,
MATCH(R$3,Raw_Fund!$E$1:$AZ$1,0),
_xlpm.val,
INDEX(Raw_Fund!$E:$AZ,_xlpm.rowNo,_xlpm.colNo),
IF(ISNUMBER(_xlpm.val),_xlpm.val*$H289,""))</f>
        <v/>
      </c>
      <c r="S289" s="6" t="str">
        <f>_xlfn.LET(
_xlpm.rowNo, MATCH($C289&amp;"|"&amp;
($F289+S$4),Raw_Fund!$A:$A,0),
_xlpm.colNo,
MATCH(S$3,Raw_Fund!$E$1:$AZ$1,0),
_xlpm.val,
INDEX(Raw_Fund!$E:$AZ,_xlpm.rowNo,_xlpm.colNo),
IF(ISNUMBER(_xlpm.val),_xlpm.val*$H289,""))</f>
        <v/>
      </c>
      <c r="T289" s="6" t="str">
        <f>_xlfn.LET(
_xlpm.rowNo, MATCH($C289&amp;"|"&amp;
($F289+T$4),Raw_Fund!$A:$A,0),
_xlpm.colNo,
MATCH(T$3,Raw_Fund!$E$1:$AZ$1,0),
_xlpm.val,
INDEX(Raw_Fund!$E:$AZ,_xlpm.rowNo,_xlpm.colNo),
IF(ISNUMBER(_xlpm.val),_xlpm.val*$H289,""))</f>
        <v/>
      </c>
      <c r="U289" s="6" t="str">
        <f>_xlfn.LET(
_xlpm.rowNo, MATCH($C289&amp;"|"&amp;
($F289+U$4),Raw_Fund!$A:$A,0),
_xlpm.colNo,
MATCH(U$3,Raw_Fund!$E$1:$AZ$1,0),
_xlpm.val,
INDEX(Raw_Fund!$E:$AZ,_xlpm.rowNo,_xlpm.colNo),
IF(ISNUMBER(_xlpm.val),_xlpm.val*$H289,""))</f>
        <v/>
      </c>
      <c r="V289" s="6" t="str">
        <f>_xlfn.LET(
_xlpm.rowNo, MATCH($C289&amp;"|"&amp;
($F289+V$4),Raw_Fund!$A:$A,0),
_xlpm.colNo,
MATCH(V$3,Raw_Fund!$E$1:$AZ$1,0),
_xlpm.val,
INDEX(Raw_Fund!$E:$AZ,_xlpm.rowNo,_xlpm.colNo),
IF(ISNUMBER(_xlpm.val),_xlpm.val*$H289,""))</f>
        <v/>
      </c>
      <c r="W289" s="6" t="str">
        <f>_xlfn.LET(
_xlpm.rowNo, MATCH($C289&amp;"|"&amp;
($F289+W$4),Raw_Fund!$A:$A,0),
_xlpm.colNo,
MATCH(W$3,Raw_Fund!$E$1:$AZ$1,0),
_xlpm.val,
INDEX(Raw_Fund!$E:$AZ,_xlpm.rowNo,_xlpm.colNo),
IF(ISNUMBER(_xlpm.val),_xlpm.val*$H289,""))</f>
        <v/>
      </c>
      <c r="X289" s="6" t="str">
        <f>_xlfn.LET(
_xlpm.rowNo, MATCH($C289&amp;"|"&amp;
($F289+X$4),Raw_Fund!$A:$A,0),
_xlpm.colNo,
MATCH(X$3,Raw_Fund!$E$1:$AZ$1,0),
_xlpm.val,
INDEX(Raw_Fund!$E:$AZ,_xlpm.rowNo,_xlpm.colNo),
IF(ISNUMBER(_xlpm.val),_xlpm.val*$H289,""))</f>
        <v/>
      </c>
      <c r="Y289" s="6" t="str">
        <f>_xlfn.LET(
_xlpm.rowNo, MATCH($C289&amp;"|"&amp;
($F289+Y$4),Raw_Fund!$A:$A,0),
_xlpm.colNo,
MATCH(Y$3,Raw_Fund!$E$1:$AZ$1,0),
_xlpm.val,
INDEX(Raw_Fund!$E:$AZ,_xlpm.rowNo,_xlpm.colNo),
IF(ISNUMBER(_xlpm.val),_xlpm.val*$H289,""))</f>
        <v/>
      </c>
      <c r="Z289" s="6" t="str">
        <f>IF($E289&lt;&gt;"Include","",_xlfn.XLOOKUP($C289,Raw_Mkt!$A:$A,Raw_Mkt!$B:$B))</f>
        <v/>
      </c>
    </row>
    <row r="290" spans="1:26" x14ac:dyDescent="0.4">
      <c r="A290" t="str">
        <f>IF(Universe!A290&lt;&gt;"",Universe!A290,"")</f>
        <v/>
      </c>
      <c r="B290" t="str">
        <f>IF(Universe!B290&lt;&gt;"",Universe!B290,"")</f>
        <v/>
      </c>
      <c r="C290" t="str">
        <f>IF(Universe!C290&lt;&gt;"",Universe!C290,"")</f>
        <v/>
      </c>
      <c r="D290" t="str">
        <f>IF(Universe!D290&lt;&gt;"",Universe!D290,"")</f>
        <v/>
      </c>
      <c r="E290" t="str">
        <f>Universe!G290</f>
        <v/>
      </c>
      <c r="F290" t="str">
        <f>IF($E290&lt;&gt;"Include","",_xlfn.LET(_xlpm.latest,_xlfn.MAXIFS(Raw_Fund!$C:$C,Raw_Fund!$B:$B,Data!$C290),IF(_xlpm.latest=0,"",_xlpm.latest)))</f>
        <v/>
      </c>
      <c r="G290" t="str">
        <f>IF($F290="","",INDEX(Raw_Fund!$E:$AZ,MATCH($C290&amp;"|"&amp;$F290,Raw_Fund!$A:$A,0),MATCH(G$3,Raw_Fund!$E$1:$AZ$1,0)))</f>
        <v/>
      </c>
      <c r="H290" t="str">
        <f t="shared" si="4"/>
        <v/>
      </c>
      <c r="I290" s="6" t="str">
        <f>_xlfn.LET(
_xlpm.rowNo, MATCH($C290&amp;"|"&amp;
($F290+I$4),Raw_Fund!$A:$A,0),
_xlpm.colNo,
MATCH(I$3,Raw_Fund!$E$1:$AZ$1,0),
_xlpm.val,
INDEX(Raw_Fund!$E:$AZ,_xlpm.rowNo,_xlpm.colNo),
IF(ISNUMBER(_xlpm.val),_xlpm.val*$H290,""))</f>
        <v/>
      </c>
      <c r="J290" s="6" t="str">
        <f>_xlfn.LET(
_xlpm.rowNo, MATCH($C290&amp;"|"&amp;
($F290+J$4),Raw_Fund!$A:$A,0),
_xlpm.colNo,
MATCH(J$3,Raw_Fund!$E$1:$AZ$1,0),
_xlpm.val,
INDEX(Raw_Fund!$E:$AZ,_xlpm.rowNo,_xlpm.colNo),
IF(ISNUMBER(_xlpm.val),_xlpm.val*$H290,""))</f>
        <v/>
      </c>
      <c r="K290" s="6" t="str">
        <f>_xlfn.LET(
_xlpm.rowNo, MATCH($C290&amp;"|"&amp;
($F290+K$4),Raw_Fund!$A:$A,0),
_xlpm.colNo,
MATCH(K$3,Raw_Fund!$E$1:$AZ$1,0),
_xlpm.val,
INDEX(Raw_Fund!$E:$AZ,_xlpm.rowNo,_xlpm.colNo),
IF(ISNUMBER(_xlpm.val),_xlpm.val*$H290,""))</f>
        <v/>
      </c>
      <c r="L290" s="6" t="str">
        <f>_xlfn.LET(
_xlpm.rowNo, MATCH($C290&amp;"|"&amp;
($F290+L$4),Raw_Fund!$A:$A,0),
_xlpm.colNo,
MATCH(L$3,Raw_Fund!$E$1:$AZ$1,0),
_xlpm.val,
INDEX(Raw_Fund!$E:$AZ,_xlpm.rowNo,_xlpm.colNo),
IF(ISNUMBER(_xlpm.val),_xlpm.val*$H290,""))</f>
        <v/>
      </c>
      <c r="M290" s="6" t="str">
        <f>_xlfn.LET(
_xlpm.rowNo, MATCH($C290&amp;"|"&amp;
($F290+M$4),Raw_Fund!$A:$A,0),
_xlpm.colNo,
MATCH(M$3,Raw_Fund!$E$1:$AZ$1,0),
_xlpm.val,
INDEX(Raw_Fund!$E:$AZ,_xlpm.rowNo,_xlpm.colNo),
IF(ISNUMBER(_xlpm.val),_xlpm.val*$H290,""))</f>
        <v/>
      </c>
      <c r="N290" s="6" t="str">
        <f>_xlfn.LET(
_xlpm.rowNo, MATCH($C290&amp;"|"&amp;
($F290+N$4),Raw_Fund!$A:$A,0),
_xlpm.colNo,
MATCH(N$3,Raw_Fund!$E$1:$AZ$1,0),
_xlpm.val,
INDEX(Raw_Fund!$E:$AZ,_xlpm.rowNo,_xlpm.colNo),
IF(ISNUMBER(_xlpm.val),_xlpm.val*$H290,""))</f>
        <v/>
      </c>
      <c r="O290" s="6" t="str">
        <f>_xlfn.LET(
_xlpm.rowNo, MATCH($C290&amp;"|"&amp;
($F290+O$4),Raw_Fund!$A:$A,0),
_xlpm.colNo,
MATCH(O$3,Raw_Fund!$E$1:$AZ$1,0),
_xlpm.val,
INDEX(Raw_Fund!$E:$AZ,_xlpm.rowNo,_xlpm.colNo),
IF(ISNUMBER(_xlpm.val),_xlpm.val*$H290,""))</f>
        <v/>
      </c>
      <c r="P290" s="6" t="str">
        <f>_xlfn.LET(
_xlpm.rowNo, MATCH($C290&amp;"|"&amp;
($F290+P$4),Raw_Fund!$A:$A,0),
_xlpm.colNo,
MATCH(P$3,Raw_Fund!$E$1:$AZ$1,0),
_xlpm.val,
INDEX(Raw_Fund!$E:$AZ,_xlpm.rowNo,_xlpm.colNo),
IF(ISNUMBER(_xlpm.val),_xlpm.val*$H290,""))</f>
        <v/>
      </c>
      <c r="Q290" s="6" t="str">
        <f>_xlfn.LET(
_xlpm.rowNo, MATCH($C290&amp;"|"&amp;
($F290+Q$4),Raw_Fund!$A:$A,0),
_xlpm.colNo,
MATCH(Q$3,Raw_Fund!$E$1:$AZ$1,0),
_xlpm.val,
INDEX(Raw_Fund!$E:$AZ,_xlpm.rowNo,_xlpm.colNo),
IF(ISNUMBER(_xlpm.val),_xlpm.val*$H290,""))</f>
        <v/>
      </c>
      <c r="R290" s="6" t="str">
        <f>_xlfn.LET(
_xlpm.rowNo, MATCH($C290&amp;"|"&amp;
($F290+R$4),Raw_Fund!$A:$A,0),
_xlpm.colNo,
MATCH(R$3,Raw_Fund!$E$1:$AZ$1,0),
_xlpm.val,
INDEX(Raw_Fund!$E:$AZ,_xlpm.rowNo,_xlpm.colNo),
IF(ISNUMBER(_xlpm.val),_xlpm.val*$H290,""))</f>
        <v/>
      </c>
      <c r="S290" s="6" t="str">
        <f>_xlfn.LET(
_xlpm.rowNo, MATCH($C290&amp;"|"&amp;
($F290+S$4),Raw_Fund!$A:$A,0),
_xlpm.colNo,
MATCH(S$3,Raw_Fund!$E$1:$AZ$1,0),
_xlpm.val,
INDEX(Raw_Fund!$E:$AZ,_xlpm.rowNo,_xlpm.colNo),
IF(ISNUMBER(_xlpm.val),_xlpm.val*$H290,""))</f>
        <v/>
      </c>
      <c r="T290" s="6" t="str">
        <f>_xlfn.LET(
_xlpm.rowNo, MATCH($C290&amp;"|"&amp;
($F290+T$4),Raw_Fund!$A:$A,0),
_xlpm.colNo,
MATCH(T$3,Raw_Fund!$E$1:$AZ$1,0),
_xlpm.val,
INDEX(Raw_Fund!$E:$AZ,_xlpm.rowNo,_xlpm.colNo),
IF(ISNUMBER(_xlpm.val),_xlpm.val*$H290,""))</f>
        <v/>
      </c>
      <c r="U290" s="6" t="str">
        <f>_xlfn.LET(
_xlpm.rowNo, MATCH($C290&amp;"|"&amp;
($F290+U$4),Raw_Fund!$A:$A,0),
_xlpm.colNo,
MATCH(U$3,Raw_Fund!$E$1:$AZ$1,0),
_xlpm.val,
INDEX(Raw_Fund!$E:$AZ,_xlpm.rowNo,_xlpm.colNo),
IF(ISNUMBER(_xlpm.val),_xlpm.val*$H290,""))</f>
        <v/>
      </c>
      <c r="V290" s="6" t="str">
        <f>_xlfn.LET(
_xlpm.rowNo, MATCH($C290&amp;"|"&amp;
($F290+V$4),Raw_Fund!$A:$A,0),
_xlpm.colNo,
MATCH(V$3,Raw_Fund!$E$1:$AZ$1,0),
_xlpm.val,
INDEX(Raw_Fund!$E:$AZ,_xlpm.rowNo,_xlpm.colNo),
IF(ISNUMBER(_xlpm.val),_xlpm.val*$H290,""))</f>
        <v/>
      </c>
      <c r="W290" s="6" t="str">
        <f>_xlfn.LET(
_xlpm.rowNo, MATCH($C290&amp;"|"&amp;
($F290+W$4),Raw_Fund!$A:$A,0),
_xlpm.colNo,
MATCH(W$3,Raw_Fund!$E$1:$AZ$1,0),
_xlpm.val,
INDEX(Raw_Fund!$E:$AZ,_xlpm.rowNo,_xlpm.colNo),
IF(ISNUMBER(_xlpm.val),_xlpm.val*$H290,""))</f>
        <v/>
      </c>
      <c r="X290" s="6" t="str">
        <f>_xlfn.LET(
_xlpm.rowNo, MATCH($C290&amp;"|"&amp;
($F290+X$4),Raw_Fund!$A:$A,0),
_xlpm.colNo,
MATCH(X$3,Raw_Fund!$E$1:$AZ$1,0),
_xlpm.val,
INDEX(Raw_Fund!$E:$AZ,_xlpm.rowNo,_xlpm.colNo),
IF(ISNUMBER(_xlpm.val),_xlpm.val*$H290,""))</f>
        <v/>
      </c>
      <c r="Y290" s="6" t="str">
        <f>_xlfn.LET(
_xlpm.rowNo, MATCH($C290&amp;"|"&amp;
($F290+Y$4),Raw_Fund!$A:$A,0),
_xlpm.colNo,
MATCH(Y$3,Raw_Fund!$E$1:$AZ$1,0),
_xlpm.val,
INDEX(Raw_Fund!$E:$AZ,_xlpm.rowNo,_xlpm.colNo),
IF(ISNUMBER(_xlpm.val),_xlpm.val*$H290,""))</f>
        <v/>
      </c>
      <c r="Z290" s="6" t="str">
        <f>IF($E290&lt;&gt;"Include","",_xlfn.XLOOKUP($C290,Raw_Mkt!$A:$A,Raw_Mkt!$B:$B))</f>
        <v/>
      </c>
    </row>
    <row r="291" spans="1:26" x14ac:dyDescent="0.4">
      <c r="A291" t="str">
        <f>IF(Universe!A291&lt;&gt;"",Universe!A291,"")</f>
        <v/>
      </c>
      <c r="B291" t="str">
        <f>IF(Universe!B291&lt;&gt;"",Universe!B291,"")</f>
        <v/>
      </c>
      <c r="C291" t="str">
        <f>IF(Universe!C291&lt;&gt;"",Universe!C291,"")</f>
        <v/>
      </c>
      <c r="D291" t="str">
        <f>IF(Universe!D291&lt;&gt;"",Universe!D291,"")</f>
        <v/>
      </c>
      <c r="E291" t="str">
        <f>Universe!G291</f>
        <v/>
      </c>
      <c r="F291" t="str">
        <f>IF($E291&lt;&gt;"Include","",_xlfn.LET(_xlpm.latest,_xlfn.MAXIFS(Raw_Fund!$C:$C,Raw_Fund!$B:$B,Data!$C291),IF(_xlpm.latest=0,"",_xlpm.latest)))</f>
        <v/>
      </c>
      <c r="G291" t="str">
        <f>IF($F291="","",INDEX(Raw_Fund!$E:$AZ,MATCH($C291&amp;"|"&amp;$F291,Raw_Fund!$A:$A,0),MATCH(G$3,Raw_Fund!$E$1:$AZ$1,0)))</f>
        <v/>
      </c>
      <c r="H291" t="str">
        <f t="shared" si="4"/>
        <v/>
      </c>
      <c r="I291" s="6" t="str">
        <f>_xlfn.LET(
_xlpm.rowNo, MATCH($C291&amp;"|"&amp;
($F291+I$4),Raw_Fund!$A:$A,0),
_xlpm.colNo,
MATCH(I$3,Raw_Fund!$E$1:$AZ$1,0),
_xlpm.val,
INDEX(Raw_Fund!$E:$AZ,_xlpm.rowNo,_xlpm.colNo),
IF(ISNUMBER(_xlpm.val),_xlpm.val*$H291,""))</f>
        <v/>
      </c>
      <c r="J291" s="6" t="str">
        <f>_xlfn.LET(
_xlpm.rowNo, MATCH($C291&amp;"|"&amp;
($F291+J$4),Raw_Fund!$A:$A,0),
_xlpm.colNo,
MATCH(J$3,Raw_Fund!$E$1:$AZ$1,0),
_xlpm.val,
INDEX(Raw_Fund!$E:$AZ,_xlpm.rowNo,_xlpm.colNo),
IF(ISNUMBER(_xlpm.val),_xlpm.val*$H291,""))</f>
        <v/>
      </c>
      <c r="K291" s="6" t="str">
        <f>_xlfn.LET(
_xlpm.rowNo, MATCH($C291&amp;"|"&amp;
($F291+K$4),Raw_Fund!$A:$A,0),
_xlpm.colNo,
MATCH(K$3,Raw_Fund!$E$1:$AZ$1,0),
_xlpm.val,
INDEX(Raw_Fund!$E:$AZ,_xlpm.rowNo,_xlpm.colNo),
IF(ISNUMBER(_xlpm.val),_xlpm.val*$H291,""))</f>
        <v/>
      </c>
      <c r="L291" s="6" t="str">
        <f>_xlfn.LET(
_xlpm.rowNo, MATCH($C291&amp;"|"&amp;
($F291+L$4),Raw_Fund!$A:$A,0),
_xlpm.colNo,
MATCH(L$3,Raw_Fund!$E$1:$AZ$1,0),
_xlpm.val,
INDEX(Raw_Fund!$E:$AZ,_xlpm.rowNo,_xlpm.colNo),
IF(ISNUMBER(_xlpm.val),_xlpm.val*$H291,""))</f>
        <v/>
      </c>
      <c r="M291" s="6" t="str">
        <f>_xlfn.LET(
_xlpm.rowNo, MATCH($C291&amp;"|"&amp;
($F291+M$4),Raw_Fund!$A:$A,0),
_xlpm.colNo,
MATCH(M$3,Raw_Fund!$E$1:$AZ$1,0),
_xlpm.val,
INDEX(Raw_Fund!$E:$AZ,_xlpm.rowNo,_xlpm.colNo),
IF(ISNUMBER(_xlpm.val),_xlpm.val*$H291,""))</f>
        <v/>
      </c>
      <c r="N291" s="6" t="str">
        <f>_xlfn.LET(
_xlpm.rowNo, MATCH($C291&amp;"|"&amp;
($F291+N$4),Raw_Fund!$A:$A,0),
_xlpm.colNo,
MATCH(N$3,Raw_Fund!$E$1:$AZ$1,0),
_xlpm.val,
INDEX(Raw_Fund!$E:$AZ,_xlpm.rowNo,_xlpm.colNo),
IF(ISNUMBER(_xlpm.val),_xlpm.val*$H291,""))</f>
        <v/>
      </c>
      <c r="O291" s="6" t="str">
        <f>_xlfn.LET(
_xlpm.rowNo, MATCH($C291&amp;"|"&amp;
($F291+O$4),Raw_Fund!$A:$A,0),
_xlpm.colNo,
MATCH(O$3,Raw_Fund!$E$1:$AZ$1,0),
_xlpm.val,
INDEX(Raw_Fund!$E:$AZ,_xlpm.rowNo,_xlpm.colNo),
IF(ISNUMBER(_xlpm.val),_xlpm.val*$H291,""))</f>
        <v/>
      </c>
      <c r="P291" s="6" t="str">
        <f>_xlfn.LET(
_xlpm.rowNo, MATCH($C291&amp;"|"&amp;
($F291+P$4),Raw_Fund!$A:$A,0),
_xlpm.colNo,
MATCH(P$3,Raw_Fund!$E$1:$AZ$1,0),
_xlpm.val,
INDEX(Raw_Fund!$E:$AZ,_xlpm.rowNo,_xlpm.colNo),
IF(ISNUMBER(_xlpm.val),_xlpm.val*$H291,""))</f>
        <v/>
      </c>
      <c r="Q291" s="6" t="str">
        <f>_xlfn.LET(
_xlpm.rowNo, MATCH($C291&amp;"|"&amp;
($F291+Q$4),Raw_Fund!$A:$A,0),
_xlpm.colNo,
MATCH(Q$3,Raw_Fund!$E$1:$AZ$1,0),
_xlpm.val,
INDEX(Raw_Fund!$E:$AZ,_xlpm.rowNo,_xlpm.colNo),
IF(ISNUMBER(_xlpm.val),_xlpm.val*$H291,""))</f>
        <v/>
      </c>
      <c r="R291" s="6" t="str">
        <f>_xlfn.LET(
_xlpm.rowNo, MATCH($C291&amp;"|"&amp;
($F291+R$4),Raw_Fund!$A:$A,0),
_xlpm.colNo,
MATCH(R$3,Raw_Fund!$E$1:$AZ$1,0),
_xlpm.val,
INDEX(Raw_Fund!$E:$AZ,_xlpm.rowNo,_xlpm.colNo),
IF(ISNUMBER(_xlpm.val),_xlpm.val*$H291,""))</f>
        <v/>
      </c>
      <c r="S291" s="6" t="str">
        <f>_xlfn.LET(
_xlpm.rowNo, MATCH($C291&amp;"|"&amp;
($F291+S$4),Raw_Fund!$A:$A,0),
_xlpm.colNo,
MATCH(S$3,Raw_Fund!$E$1:$AZ$1,0),
_xlpm.val,
INDEX(Raw_Fund!$E:$AZ,_xlpm.rowNo,_xlpm.colNo),
IF(ISNUMBER(_xlpm.val),_xlpm.val*$H291,""))</f>
        <v/>
      </c>
      <c r="T291" s="6" t="str">
        <f>_xlfn.LET(
_xlpm.rowNo, MATCH($C291&amp;"|"&amp;
($F291+T$4),Raw_Fund!$A:$A,0),
_xlpm.colNo,
MATCH(T$3,Raw_Fund!$E$1:$AZ$1,0),
_xlpm.val,
INDEX(Raw_Fund!$E:$AZ,_xlpm.rowNo,_xlpm.colNo),
IF(ISNUMBER(_xlpm.val),_xlpm.val*$H291,""))</f>
        <v/>
      </c>
      <c r="U291" s="6" t="str">
        <f>_xlfn.LET(
_xlpm.rowNo, MATCH($C291&amp;"|"&amp;
($F291+U$4),Raw_Fund!$A:$A,0),
_xlpm.colNo,
MATCH(U$3,Raw_Fund!$E$1:$AZ$1,0),
_xlpm.val,
INDEX(Raw_Fund!$E:$AZ,_xlpm.rowNo,_xlpm.colNo),
IF(ISNUMBER(_xlpm.val),_xlpm.val*$H291,""))</f>
        <v/>
      </c>
      <c r="V291" s="6" t="str">
        <f>_xlfn.LET(
_xlpm.rowNo, MATCH($C291&amp;"|"&amp;
($F291+V$4),Raw_Fund!$A:$A,0),
_xlpm.colNo,
MATCH(V$3,Raw_Fund!$E$1:$AZ$1,0),
_xlpm.val,
INDEX(Raw_Fund!$E:$AZ,_xlpm.rowNo,_xlpm.colNo),
IF(ISNUMBER(_xlpm.val),_xlpm.val*$H291,""))</f>
        <v/>
      </c>
      <c r="W291" s="6" t="str">
        <f>_xlfn.LET(
_xlpm.rowNo, MATCH($C291&amp;"|"&amp;
($F291+W$4),Raw_Fund!$A:$A,0),
_xlpm.colNo,
MATCH(W$3,Raw_Fund!$E$1:$AZ$1,0),
_xlpm.val,
INDEX(Raw_Fund!$E:$AZ,_xlpm.rowNo,_xlpm.colNo),
IF(ISNUMBER(_xlpm.val),_xlpm.val*$H291,""))</f>
        <v/>
      </c>
      <c r="X291" s="6" t="str">
        <f>_xlfn.LET(
_xlpm.rowNo, MATCH($C291&amp;"|"&amp;
($F291+X$4),Raw_Fund!$A:$A,0),
_xlpm.colNo,
MATCH(X$3,Raw_Fund!$E$1:$AZ$1,0),
_xlpm.val,
INDEX(Raw_Fund!$E:$AZ,_xlpm.rowNo,_xlpm.colNo),
IF(ISNUMBER(_xlpm.val),_xlpm.val*$H291,""))</f>
        <v/>
      </c>
      <c r="Y291" s="6" t="str">
        <f>_xlfn.LET(
_xlpm.rowNo, MATCH($C291&amp;"|"&amp;
($F291+Y$4),Raw_Fund!$A:$A,0),
_xlpm.colNo,
MATCH(Y$3,Raw_Fund!$E$1:$AZ$1,0),
_xlpm.val,
INDEX(Raw_Fund!$E:$AZ,_xlpm.rowNo,_xlpm.colNo),
IF(ISNUMBER(_xlpm.val),_xlpm.val*$H291,""))</f>
        <v/>
      </c>
      <c r="Z291" s="6" t="str">
        <f>IF($E291&lt;&gt;"Include","",_xlfn.XLOOKUP($C291,Raw_Mkt!$A:$A,Raw_Mkt!$B:$B))</f>
        <v/>
      </c>
    </row>
    <row r="292" spans="1:26" x14ac:dyDescent="0.4">
      <c r="A292" t="str">
        <f>IF(Universe!A292&lt;&gt;"",Universe!A292,"")</f>
        <v/>
      </c>
      <c r="B292" t="str">
        <f>IF(Universe!B292&lt;&gt;"",Universe!B292,"")</f>
        <v/>
      </c>
      <c r="C292" t="str">
        <f>IF(Universe!C292&lt;&gt;"",Universe!C292,"")</f>
        <v/>
      </c>
      <c r="D292" t="str">
        <f>IF(Universe!D292&lt;&gt;"",Universe!D292,"")</f>
        <v/>
      </c>
      <c r="E292" t="str">
        <f>Universe!G292</f>
        <v/>
      </c>
      <c r="F292" t="str">
        <f>IF($E292&lt;&gt;"Include","",_xlfn.LET(_xlpm.latest,_xlfn.MAXIFS(Raw_Fund!$C:$C,Raw_Fund!$B:$B,Data!$C292),IF(_xlpm.latest=0,"",_xlpm.latest)))</f>
        <v/>
      </c>
      <c r="G292" t="str">
        <f>IF($F292="","",INDEX(Raw_Fund!$E:$AZ,MATCH($C292&amp;"|"&amp;$F292,Raw_Fund!$A:$A,0),MATCH(G$3,Raw_Fund!$E$1:$AZ$1,0)))</f>
        <v/>
      </c>
      <c r="H292" t="str">
        <f t="shared" si="4"/>
        <v/>
      </c>
      <c r="I292" s="6" t="str">
        <f>_xlfn.LET(
_xlpm.rowNo, MATCH($C292&amp;"|"&amp;
($F292+I$4),Raw_Fund!$A:$A,0),
_xlpm.colNo,
MATCH(I$3,Raw_Fund!$E$1:$AZ$1,0),
_xlpm.val,
INDEX(Raw_Fund!$E:$AZ,_xlpm.rowNo,_xlpm.colNo),
IF(ISNUMBER(_xlpm.val),_xlpm.val*$H292,""))</f>
        <v/>
      </c>
      <c r="J292" s="6" t="str">
        <f>_xlfn.LET(
_xlpm.rowNo, MATCH($C292&amp;"|"&amp;
($F292+J$4),Raw_Fund!$A:$A,0),
_xlpm.colNo,
MATCH(J$3,Raw_Fund!$E$1:$AZ$1,0),
_xlpm.val,
INDEX(Raw_Fund!$E:$AZ,_xlpm.rowNo,_xlpm.colNo),
IF(ISNUMBER(_xlpm.val),_xlpm.val*$H292,""))</f>
        <v/>
      </c>
      <c r="K292" s="6" t="str">
        <f>_xlfn.LET(
_xlpm.rowNo, MATCH($C292&amp;"|"&amp;
($F292+K$4),Raw_Fund!$A:$A,0),
_xlpm.colNo,
MATCH(K$3,Raw_Fund!$E$1:$AZ$1,0),
_xlpm.val,
INDEX(Raw_Fund!$E:$AZ,_xlpm.rowNo,_xlpm.colNo),
IF(ISNUMBER(_xlpm.val),_xlpm.val*$H292,""))</f>
        <v/>
      </c>
      <c r="L292" s="6" t="str">
        <f>_xlfn.LET(
_xlpm.rowNo, MATCH($C292&amp;"|"&amp;
($F292+L$4),Raw_Fund!$A:$A,0),
_xlpm.colNo,
MATCH(L$3,Raw_Fund!$E$1:$AZ$1,0),
_xlpm.val,
INDEX(Raw_Fund!$E:$AZ,_xlpm.rowNo,_xlpm.colNo),
IF(ISNUMBER(_xlpm.val),_xlpm.val*$H292,""))</f>
        <v/>
      </c>
      <c r="M292" s="6" t="str">
        <f>_xlfn.LET(
_xlpm.rowNo, MATCH($C292&amp;"|"&amp;
($F292+M$4),Raw_Fund!$A:$A,0),
_xlpm.colNo,
MATCH(M$3,Raw_Fund!$E$1:$AZ$1,0),
_xlpm.val,
INDEX(Raw_Fund!$E:$AZ,_xlpm.rowNo,_xlpm.colNo),
IF(ISNUMBER(_xlpm.val),_xlpm.val*$H292,""))</f>
        <v/>
      </c>
      <c r="N292" s="6" t="str">
        <f>_xlfn.LET(
_xlpm.rowNo, MATCH($C292&amp;"|"&amp;
($F292+N$4),Raw_Fund!$A:$A,0),
_xlpm.colNo,
MATCH(N$3,Raw_Fund!$E$1:$AZ$1,0),
_xlpm.val,
INDEX(Raw_Fund!$E:$AZ,_xlpm.rowNo,_xlpm.colNo),
IF(ISNUMBER(_xlpm.val),_xlpm.val*$H292,""))</f>
        <v/>
      </c>
      <c r="O292" s="6" t="str">
        <f>_xlfn.LET(
_xlpm.rowNo, MATCH($C292&amp;"|"&amp;
($F292+O$4),Raw_Fund!$A:$A,0),
_xlpm.colNo,
MATCH(O$3,Raw_Fund!$E$1:$AZ$1,0),
_xlpm.val,
INDEX(Raw_Fund!$E:$AZ,_xlpm.rowNo,_xlpm.colNo),
IF(ISNUMBER(_xlpm.val),_xlpm.val*$H292,""))</f>
        <v/>
      </c>
      <c r="P292" s="6" t="str">
        <f>_xlfn.LET(
_xlpm.rowNo, MATCH($C292&amp;"|"&amp;
($F292+P$4),Raw_Fund!$A:$A,0),
_xlpm.colNo,
MATCH(P$3,Raw_Fund!$E$1:$AZ$1,0),
_xlpm.val,
INDEX(Raw_Fund!$E:$AZ,_xlpm.rowNo,_xlpm.colNo),
IF(ISNUMBER(_xlpm.val),_xlpm.val*$H292,""))</f>
        <v/>
      </c>
      <c r="Q292" s="6" t="str">
        <f>_xlfn.LET(
_xlpm.rowNo, MATCH($C292&amp;"|"&amp;
($F292+Q$4),Raw_Fund!$A:$A,0),
_xlpm.colNo,
MATCH(Q$3,Raw_Fund!$E$1:$AZ$1,0),
_xlpm.val,
INDEX(Raw_Fund!$E:$AZ,_xlpm.rowNo,_xlpm.colNo),
IF(ISNUMBER(_xlpm.val),_xlpm.val*$H292,""))</f>
        <v/>
      </c>
      <c r="R292" s="6" t="str">
        <f>_xlfn.LET(
_xlpm.rowNo, MATCH($C292&amp;"|"&amp;
($F292+R$4),Raw_Fund!$A:$A,0),
_xlpm.colNo,
MATCH(R$3,Raw_Fund!$E$1:$AZ$1,0),
_xlpm.val,
INDEX(Raw_Fund!$E:$AZ,_xlpm.rowNo,_xlpm.colNo),
IF(ISNUMBER(_xlpm.val),_xlpm.val*$H292,""))</f>
        <v/>
      </c>
      <c r="S292" s="6" t="str">
        <f>_xlfn.LET(
_xlpm.rowNo, MATCH($C292&amp;"|"&amp;
($F292+S$4),Raw_Fund!$A:$A,0),
_xlpm.colNo,
MATCH(S$3,Raw_Fund!$E$1:$AZ$1,0),
_xlpm.val,
INDEX(Raw_Fund!$E:$AZ,_xlpm.rowNo,_xlpm.colNo),
IF(ISNUMBER(_xlpm.val),_xlpm.val*$H292,""))</f>
        <v/>
      </c>
      <c r="T292" s="6" t="str">
        <f>_xlfn.LET(
_xlpm.rowNo, MATCH($C292&amp;"|"&amp;
($F292+T$4),Raw_Fund!$A:$A,0),
_xlpm.colNo,
MATCH(T$3,Raw_Fund!$E$1:$AZ$1,0),
_xlpm.val,
INDEX(Raw_Fund!$E:$AZ,_xlpm.rowNo,_xlpm.colNo),
IF(ISNUMBER(_xlpm.val),_xlpm.val*$H292,""))</f>
        <v/>
      </c>
      <c r="U292" s="6" t="str">
        <f>_xlfn.LET(
_xlpm.rowNo, MATCH($C292&amp;"|"&amp;
($F292+U$4),Raw_Fund!$A:$A,0),
_xlpm.colNo,
MATCH(U$3,Raw_Fund!$E$1:$AZ$1,0),
_xlpm.val,
INDEX(Raw_Fund!$E:$AZ,_xlpm.rowNo,_xlpm.colNo),
IF(ISNUMBER(_xlpm.val),_xlpm.val*$H292,""))</f>
        <v/>
      </c>
      <c r="V292" s="6" t="str">
        <f>_xlfn.LET(
_xlpm.rowNo, MATCH($C292&amp;"|"&amp;
($F292+V$4),Raw_Fund!$A:$A,0),
_xlpm.colNo,
MATCH(V$3,Raw_Fund!$E$1:$AZ$1,0),
_xlpm.val,
INDEX(Raw_Fund!$E:$AZ,_xlpm.rowNo,_xlpm.colNo),
IF(ISNUMBER(_xlpm.val),_xlpm.val*$H292,""))</f>
        <v/>
      </c>
      <c r="W292" s="6" t="str">
        <f>_xlfn.LET(
_xlpm.rowNo, MATCH($C292&amp;"|"&amp;
($F292+W$4),Raw_Fund!$A:$A,0),
_xlpm.colNo,
MATCH(W$3,Raw_Fund!$E$1:$AZ$1,0),
_xlpm.val,
INDEX(Raw_Fund!$E:$AZ,_xlpm.rowNo,_xlpm.colNo),
IF(ISNUMBER(_xlpm.val),_xlpm.val*$H292,""))</f>
        <v/>
      </c>
      <c r="X292" s="6" t="str">
        <f>_xlfn.LET(
_xlpm.rowNo, MATCH($C292&amp;"|"&amp;
($F292+X$4),Raw_Fund!$A:$A,0),
_xlpm.colNo,
MATCH(X$3,Raw_Fund!$E$1:$AZ$1,0),
_xlpm.val,
INDEX(Raw_Fund!$E:$AZ,_xlpm.rowNo,_xlpm.colNo),
IF(ISNUMBER(_xlpm.val),_xlpm.val*$H292,""))</f>
        <v/>
      </c>
      <c r="Y292" s="6" t="str">
        <f>_xlfn.LET(
_xlpm.rowNo, MATCH($C292&amp;"|"&amp;
($F292+Y$4),Raw_Fund!$A:$A,0),
_xlpm.colNo,
MATCH(Y$3,Raw_Fund!$E$1:$AZ$1,0),
_xlpm.val,
INDEX(Raw_Fund!$E:$AZ,_xlpm.rowNo,_xlpm.colNo),
IF(ISNUMBER(_xlpm.val),_xlpm.val*$H292,""))</f>
        <v/>
      </c>
      <c r="Z292" s="6" t="str">
        <f>IF($E292&lt;&gt;"Include","",_xlfn.XLOOKUP($C292,Raw_Mkt!$A:$A,Raw_Mkt!$B:$B))</f>
        <v/>
      </c>
    </row>
    <row r="293" spans="1:26" x14ac:dyDescent="0.4">
      <c r="A293" t="str">
        <f>IF(Universe!A293&lt;&gt;"",Universe!A293,"")</f>
        <v/>
      </c>
      <c r="B293" t="str">
        <f>IF(Universe!B293&lt;&gt;"",Universe!B293,"")</f>
        <v/>
      </c>
      <c r="C293" t="str">
        <f>IF(Universe!C293&lt;&gt;"",Universe!C293,"")</f>
        <v/>
      </c>
      <c r="D293" t="str">
        <f>IF(Universe!D293&lt;&gt;"",Universe!D293,"")</f>
        <v/>
      </c>
      <c r="E293" t="str">
        <f>Universe!G293</f>
        <v/>
      </c>
      <c r="F293" t="str">
        <f>IF($E293&lt;&gt;"Include","",_xlfn.LET(_xlpm.latest,_xlfn.MAXIFS(Raw_Fund!$C:$C,Raw_Fund!$B:$B,Data!$C293),IF(_xlpm.latest=0,"",_xlpm.latest)))</f>
        <v/>
      </c>
      <c r="G293" t="str">
        <f>IF($F293="","",INDEX(Raw_Fund!$E:$AZ,MATCH($C293&amp;"|"&amp;$F293,Raw_Fund!$A:$A,0),MATCH(G$3,Raw_Fund!$E$1:$AZ$1,0)))</f>
        <v/>
      </c>
      <c r="H293" t="str">
        <f t="shared" si="4"/>
        <v/>
      </c>
      <c r="I293" s="6" t="str">
        <f>_xlfn.LET(
_xlpm.rowNo, MATCH($C293&amp;"|"&amp;
($F293+I$4),Raw_Fund!$A:$A,0),
_xlpm.colNo,
MATCH(I$3,Raw_Fund!$E$1:$AZ$1,0),
_xlpm.val,
INDEX(Raw_Fund!$E:$AZ,_xlpm.rowNo,_xlpm.colNo),
IF(ISNUMBER(_xlpm.val),_xlpm.val*$H293,""))</f>
        <v/>
      </c>
      <c r="J293" s="6" t="str">
        <f>_xlfn.LET(
_xlpm.rowNo, MATCH($C293&amp;"|"&amp;
($F293+J$4),Raw_Fund!$A:$A,0),
_xlpm.colNo,
MATCH(J$3,Raw_Fund!$E$1:$AZ$1,0),
_xlpm.val,
INDEX(Raw_Fund!$E:$AZ,_xlpm.rowNo,_xlpm.colNo),
IF(ISNUMBER(_xlpm.val),_xlpm.val*$H293,""))</f>
        <v/>
      </c>
      <c r="K293" s="6" t="str">
        <f>_xlfn.LET(
_xlpm.rowNo, MATCH($C293&amp;"|"&amp;
($F293+K$4),Raw_Fund!$A:$A,0),
_xlpm.colNo,
MATCH(K$3,Raw_Fund!$E$1:$AZ$1,0),
_xlpm.val,
INDEX(Raw_Fund!$E:$AZ,_xlpm.rowNo,_xlpm.colNo),
IF(ISNUMBER(_xlpm.val),_xlpm.val*$H293,""))</f>
        <v/>
      </c>
      <c r="L293" s="6" t="str">
        <f>_xlfn.LET(
_xlpm.rowNo, MATCH($C293&amp;"|"&amp;
($F293+L$4),Raw_Fund!$A:$A,0),
_xlpm.colNo,
MATCH(L$3,Raw_Fund!$E$1:$AZ$1,0),
_xlpm.val,
INDEX(Raw_Fund!$E:$AZ,_xlpm.rowNo,_xlpm.colNo),
IF(ISNUMBER(_xlpm.val),_xlpm.val*$H293,""))</f>
        <v/>
      </c>
      <c r="M293" s="6" t="str">
        <f>_xlfn.LET(
_xlpm.rowNo, MATCH($C293&amp;"|"&amp;
($F293+M$4),Raw_Fund!$A:$A,0),
_xlpm.colNo,
MATCH(M$3,Raw_Fund!$E$1:$AZ$1,0),
_xlpm.val,
INDEX(Raw_Fund!$E:$AZ,_xlpm.rowNo,_xlpm.colNo),
IF(ISNUMBER(_xlpm.val),_xlpm.val*$H293,""))</f>
        <v/>
      </c>
      <c r="N293" s="6" t="str">
        <f>_xlfn.LET(
_xlpm.rowNo, MATCH($C293&amp;"|"&amp;
($F293+N$4),Raw_Fund!$A:$A,0),
_xlpm.colNo,
MATCH(N$3,Raw_Fund!$E$1:$AZ$1,0),
_xlpm.val,
INDEX(Raw_Fund!$E:$AZ,_xlpm.rowNo,_xlpm.colNo),
IF(ISNUMBER(_xlpm.val),_xlpm.val*$H293,""))</f>
        <v/>
      </c>
      <c r="O293" s="6" t="str">
        <f>_xlfn.LET(
_xlpm.rowNo, MATCH($C293&amp;"|"&amp;
($F293+O$4),Raw_Fund!$A:$A,0),
_xlpm.colNo,
MATCH(O$3,Raw_Fund!$E$1:$AZ$1,0),
_xlpm.val,
INDEX(Raw_Fund!$E:$AZ,_xlpm.rowNo,_xlpm.colNo),
IF(ISNUMBER(_xlpm.val),_xlpm.val*$H293,""))</f>
        <v/>
      </c>
      <c r="P293" s="6" t="str">
        <f>_xlfn.LET(
_xlpm.rowNo, MATCH($C293&amp;"|"&amp;
($F293+P$4),Raw_Fund!$A:$A,0),
_xlpm.colNo,
MATCH(P$3,Raw_Fund!$E$1:$AZ$1,0),
_xlpm.val,
INDEX(Raw_Fund!$E:$AZ,_xlpm.rowNo,_xlpm.colNo),
IF(ISNUMBER(_xlpm.val),_xlpm.val*$H293,""))</f>
        <v/>
      </c>
      <c r="Q293" s="6" t="str">
        <f>_xlfn.LET(
_xlpm.rowNo, MATCH($C293&amp;"|"&amp;
($F293+Q$4),Raw_Fund!$A:$A,0),
_xlpm.colNo,
MATCH(Q$3,Raw_Fund!$E$1:$AZ$1,0),
_xlpm.val,
INDEX(Raw_Fund!$E:$AZ,_xlpm.rowNo,_xlpm.colNo),
IF(ISNUMBER(_xlpm.val),_xlpm.val*$H293,""))</f>
        <v/>
      </c>
      <c r="R293" s="6" t="str">
        <f>_xlfn.LET(
_xlpm.rowNo, MATCH($C293&amp;"|"&amp;
($F293+R$4),Raw_Fund!$A:$A,0),
_xlpm.colNo,
MATCH(R$3,Raw_Fund!$E$1:$AZ$1,0),
_xlpm.val,
INDEX(Raw_Fund!$E:$AZ,_xlpm.rowNo,_xlpm.colNo),
IF(ISNUMBER(_xlpm.val),_xlpm.val*$H293,""))</f>
        <v/>
      </c>
      <c r="S293" s="6" t="str">
        <f>_xlfn.LET(
_xlpm.rowNo, MATCH($C293&amp;"|"&amp;
($F293+S$4),Raw_Fund!$A:$A,0),
_xlpm.colNo,
MATCH(S$3,Raw_Fund!$E$1:$AZ$1,0),
_xlpm.val,
INDEX(Raw_Fund!$E:$AZ,_xlpm.rowNo,_xlpm.colNo),
IF(ISNUMBER(_xlpm.val),_xlpm.val*$H293,""))</f>
        <v/>
      </c>
      <c r="T293" s="6" t="str">
        <f>_xlfn.LET(
_xlpm.rowNo, MATCH($C293&amp;"|"&amp;
($F293+T$4),Raw_Fund!$A:$A,0),
_xlpm.colNo,
MATCH(T$3,Raw_Fund!$E$1:$AZ$1,0),
_xlpm.val,
INDEX(Raw_Fund!$E:$AZ,_xlpm.rowNo,_xlpm.colNo),
IF(ISNUMBER(_xlpm.val),_xlpm.val*$H293,""))</f>
        <v/>
      </c>
      <c r="U293" s="6" t="str">
        <f>_xlfn.LET(
_xlpm.rowNo, MATCH($C293&amp;"|"&amp;
($F293+U$4),Raw_Fund!$A:$A,0),
_xlpm.colNo,
MATCH(U$3,Raw_Fund!$E$1:$AZ$1,0),
_xlpm.val,
INDEX(Raw_Fund!$E:$AZ,_xlpm.rowNo,_xlpm.colNo),
IF(ISNUMBER(_xlpm.val),_xlpm.val*$H293,""))</f>
        <v/>
      </c>
      <c r="V293" s="6" t="str">
        <f>_xlfn.LET(
_xlpm.rowNo, MATCH($C293&amp;"|"&amp;
($F293+V$4),Raw_Fund!$A:$A,0),
_xlpm.colNo,
MATCH(V$3,Raw_Fund!$E$1:$AZ$1,0),
_xlpm.val,
INDEX(Raw_Fund!$E:$AZ,_xlpm.rowNo,_xlpm.colNo),
IF(ISNUMBER(_xlpm.val),_xlpm.val*$H293,""))</f>
        <v/>
      </c>
      <c r="W293" s="6" t="str">
        <f>_xlfn.LET(
_xlpm.rowNo, MATCH($C293&amp;"|"&amp;
($F293+W$4),Raw_Fund!$A:$A,0),
_xlpm.colNo,
MATCH(W$3,Raw_Fund!$E$1:$AZ$1,0),
_xlpm.val,
INDEX(Raw_Fund!$E:$AZ,_xlpm.rowNo,_xlpm.colNo),
IF(ISNUMBER(_xlpm.val),_xlpm.val*$H293,""))</f>
        <v/>
      </c>
      <c r="X293" s="6" t="str">
        <f>_xlfn.LET(
_xlpm.rowNo, MATCH($C293&amp;"|"&amp;
($F293+X$4),Raw_Fund!$A:$A,0),
_xlpm.colNo,
MATCH(X$3,Raw_Fund!$E$1:$AZ$1,0),
_xlpm.val,
INDEX(Raw_Fund!$E:$AZ,_xlpm.rowNo,_xlpm.colNo),
IF(ISNUMBER(_xlpm.val),_xlpm.val*$H293,""))</f>
        <v/>
      </c>
      <c r="Y293" s="6" t="str">
        <f>_xlfn.LET(
_xlpm.rowNo, MATCH($C293&amp;"|"&amp;
($F293+Y$4),Raw_Fund!$A:$A,0),
_xlpm.colNo,
MATCH(Y$3,Raw_Fund!$E$1:$AZ$1,0),
_xlpm.val,
INDEX(Raw_Fund!$E:$AZ,_xlpm.rowNo,_xlpm.colNo),
IF(ISNUMBER(_xlpm.val),_xlpm.val*$H293,""))</f>
        <v/>
      </c>
      <c r="Z293" s="6" t="str">
        <f>IF($E293&lt;&gt;"Include","",_xlfn.XLOOKUP($C293,Raw_Mkt!$A:$A,Raw_Mkt!$B:$B))</f>
        <v/>
      </c>
    </row>
    <row r="294" spans="1:26" x14ac:dyDescent="0.4">
      <c r="A294" t="str">
        <f>IF(Universe!A294&lt;&gt;"",Universe!A294,"")</f>
        <v/>
      </c>
      <c r="B294" t="str">
        <f>IF(Universe!B294&lt;&gt;"",Universe!B294,"")</f>
        <v/>
      </c>
      <c r="C294" t="str">
        <f>IF(Universe!C294&lt;&gt;"",Universe!C294,"")</f>
        <v/>
      </c>
      <c r="D294" t="str">
        <f>IF(Universe!D294&lt;&gt;"",Universe!D294,"")</f>
        <v/>
      </c>
      <c r="E294" t="str">
        <f>Universe!G294</f>
        <v/>
      </c>
      <c r="F294" t="str">
        <f>IF($E294&lt;&gt;"Include","",_xlfn.LET(_xlpm.latest,_xlfn.MAXIFS(Raw_Fund!$C:$C,Raw_Fund!$B:$B,Data!$C294),IF(_xlpm.latest=0,"",_xlpm.latest)))</f>
        <v/>
      </c>
      <c r="G294" t="str">
        <f>IF($F294="","",INDEX(Raw_Fund!$E:$AZ,MATCH($C294&amp;"|"&amp;$F294,Raw_Fund!$A:$A,0),MATCH(G$3,Raw_Fund!$E$1:$AZ$1,0)))</f>
        <v/>
      </c>
      <c r="H294" t="str">
        <f t="shared" si="4"/>
        <v/>
      </c>
      <c r="I294" s="6" t="str">
        <f>_xlfn.LET(
_xlpm.rowNo, MATCH($C294&amp;"|"&amp;
($F294+I$4),Raw_Fund!$A:$A,0),
_xlpm.colNo,
MATCH(I$3,Raw_Fund!$E$1:$AZ$1,0),
_xlpm.val,
INDEX(Raw_Fund!$E:$AZ,_xlpm.rowNo,_xlpm.colNo),
IF(ISNUMBER(_xlpm.val),_xlpm.val*$H294,""))</f>
        <v/>
      </c>
      <c r="J294" s="6" t="str">
        <f>_xlfn.LET(
_xlpm.rowNo, MATCH($C294&amp;"|"&amp;
($F294+J$4),Raw_Fund!$A:$A,0),
_xlpm.colNo,
MATCH(J$3,Raw_Fund!$E$1:$AZ$1,0),
_xlpm.val,
INDEX(Raw_Fund!$E:$AZ,_xlpm.rowNo,_xlpm.colNo),
IF(ISNUMBER(_xlpm.val),_xlpm.val*$H294,""))</f>
        <v/>
      </c>
      <c r="K294" s="6" t="str">
        <f>_xlfn.LET(
_xlpm.rowNo, MATCH($C294&amp;"|"&amp;
($F294+K$4),Raw_Fund!$A:$A,0),
_xlpm.colNo,
MATCH(K$3,Raw_Fund!$E$1:$AZ$1,0),
_xlpm.val,
INDEX(Raw_Fund!$E:$AZ,_xlpm.rowNo,_xlpm.colNo),
IF(ISNUMBER(_xlpm.val),_xlpm.val*$H294,""))</f>
        <v/>
      </c>
      <c r="L294" s="6" t="str">
        <f>_xlfn.LET(
_xlpm.rowNo, MATCH($C294&amp;"|"&amp;
($F294+L$4),Raw_Fund!$A:$A,0),
_xlpm.colNo,
MATCH(L$3,Raw_Fund!$E$1:$AZ$1,0),
_xlpm.val,
INDEX(Raw_Fund!$E:$AZ,_xlpm.rowNo,_xlpm.colNo),
IF(ISNUMBER(_xlpm.val),_xlpm.val*$H294,""))</f>
        <v/>
      </c>
      <c r="M294" s="6" t="str">
        <f>_xlfn.LET(
_xlpm.rowNo, MATCH($C294&amp;"|"&amp;
($F294+M$4),Raw_Fund!$A:$A,0),
_xlpm.colNo,
MATCH(M$3,Raw_Fund!$E$1:$AZ$1,0),
_xlpm.val,
INDEX(Raw_Fund!$E:$AZ,_xlpm.rowNo,_xlpm.colNo),
IF(ISNUMBER(_xlpm.val),_xlpm.val*$H294,""))</f>
        <v/>
      </c>
      <c r="N294" s="6" t="str">
        <f>_xlfn.LET(
_xlpm.rowNo, MATCH($C294&amp;"|"&amp;
($F294+N$4),Raw_Fund!$A:$A,0),
_xlpm.colNo,
MATCH(N$3,Raw_Fund!$E$1:$AZ$1,0),
_xlpm.val,
INDEX(Raw_Fund!$E:$AZ,_xlpm.rowNo,_xlpm.colNo),
IF(ISNUMBER(_xlpm.val),_xlpm.val*$H294,""))</f>
        <v/>
      </c>
      <c r="O294" s="6" t="str">
        <f>_xlfn.LET(
_xlpm.rowNo, MATCH($C294&amp;"|"&amp;
($F294+O$4),Raw_Fund!$A:$A,0),
_xlpm.colNo,
MATCH(O$3,Raw_Fund!$E$1:$AZ$1,0),
_xlpm.val,
INDEX(Raw_Fund!$E:$AZ,_xlpm.rowNo,_xlpm.colNo),
IF(ISNUMBER(_xlpm.val),_xlpm.val*$H294,""))</f>
        <v/>
      </c>
      <c r="P294" s="6" t="str">
        <f>_xlfn.LET(
_xlpm.rowNo, MATCH($C294&amp;"|"&amp;
($F294+P$4),Raw_Fund!$A:$A,0),
_xlpm.colNo,
MATCH(P$3,Raw_Fund!$E$1:$AZ$1,0),
_xlpm.val,
INDEX(Raw_Fund!$E:$AZ,_xlpm.rowNo,_xlpm.colNo),
IF(ISNUMBER(_xlpm.val),_xlpm.val*$H294,""))</f>
        <v/>
      </c>
      <c r="Q294" s="6" t="str">
        <f>_xlfn.LET(
_xlpm.rowNo, MATCH($C294&amp;"|"&amp;
($F294+Q$4),Raw_Fund!$A:$A,0),
_xlpm.colNo,
MATCH(Q$3,Raw_Fund!$E$1:$AZ$1,0),
_xlpm.val,
INDEX(Raw_Fund!$E:$AZ,_xlpm.rowNo,_xlpm.colNo),
IF(ISNUMBER(_xlpm.val),_xlpm.val*$H294,""))</f>
        <v/>
      </c>
      <c r="R294" s="6" t="str">
        <f>_xlfn.LET(
_xlpm.rowNo, MATCH($C294&amp;"|"&amp;
($F294+R$4),Raw_Fund!$A:$A,0),
_xlpm.colNo,
MATCH(R$3,Raw_Fund!$E$1:$AZ$1,0),
_xlpm.val,
INDEX(Raw_Fund!$E:$AZ,_xlpm.rowNo,_xlpm.colNo),
IF(ISNUMBER(_xlpm.val),_xlpm.val*$H294,""))</f>
        <v/>
      </c>
      <c r="S294" s="6" t="str">
        <f>_xlfn.LET(
_xlpm.rowNo, MATCH($C294&amp;"|"&amp;
($F294+S$4),Raw_Fund!$A:$A,0),
_xlpm.colNo,
MATCH(S$3,Raw_Fund!$E$1:$AZ$1,0),
_xlpm.val,
INDEX(Raw_Fund!$E:$AZ,_xlpm.rowNo,_xlpm.colNo),
IF(ISNUMBER(_xlpm.val),_xlpm.val*$H294,""))</f>
        <v/>
      </c>
      <c r="T294" s="6" t="str">
        <f>_xlfn.LET(
_xlpm.rowNo, MATCH($C294&amp;"|"&amp;
($F294+T$4),Raw_Fund!$A:$A,0),
_xlpm.colNo,
MATCH(T$3,Raw_Fund!$E$1:$AZ$1,0),
_xlpm.val,
INDEX(Raw_Fund!$E:$AZ,_xlpm.rowNo,_xlpm.colNo),
IF(ISNUMBER(_xlpm.val),_xlpm.val*$H294,""))</f>
        <v/>
      </c>
      <c r="U294" s="6" t="str">
        <f>_xlfn.LET(
_xlpm.rowNo, MATCH($C294&amp;"|"&amp;
($F294+U$4),Raw_Fund!$A:$A,0),
_xlpm.colNo,
MATCH(U$3,Raw_Fund!$E$1:$AZ$1,0),
_xlpm.val,
INDEX(Raw_Fund!$E:$AZ,_xlpm.rowNo,_xlpm.colNo),
IF(ISNUMBER(_xlpm.val),_xlpm.val*$H294,""))</f>
        <v/>
      </c>
      <c r="V294" s="6" t="str">
        <f>_xlfn.LET(
_xlpm.rowNo, MATCH($C294&amp;"|"&amp;
($F294+V$4),Raw_Fund!$A:$A,0),
_xlpm.colNo,
MATCH(V$3,Raw_Fund!$E$1:$AZ$1,0),
_xlpm.val,
INDEX(Raw_Fund!$E:$AZ,_xlpm.rowNo,_xlpm.colNo),
IF(ISNUMBER(_xlpm.val),_xlpm.val*$H294,""))</f>
        <v/>
      </c>
      <c r="W294" s="6" t="str">
        <f>_xlfn.LET(
_xlpm.rowNo, MATCH($C294&amp;"|"&amp;
($F294+W$4),Raw_Fund!$A:$A,0),
_xlpm.colNo,
MATCH(W$3,Raw_Fund!$E$1:$AZ$1,0),
_xlpm.val,
INDEX(Raw_Fund!$E:$AZ,_xlpm.rowNo,_xlpm.colNo),
IF(ISNUMBER(_xlpm.val),_xlpm.val*$H294,""))</f>
        <v/>
      </c>
      <c r="X294" s="6" t="str">
        <f>_xlfn.LET(
_xlpm.rowNo, MATCH($C294&amp;"|"&amp;
($F294+X$4),Raw_Fund!$A:$A,0),
_xlpm.colNo,
MATCH(X$3,Raw_Fund!$E$1:$AZ$1,0),
_xlpm.val,
INDEX(Raw_Fund!$E:$AZ,_xlpm.rowNo,_xlpm.colNo),
IF(ISNUMBER(_xlpm.val),_xlpm.val*$H294,""))</f>
        <v/>
      </c>
      <c r="Y294" s="6" t="str">
        <f>_xlfn.LET(
_xlpm.rowNo, MATCH($C294&amp;"|"&amp;
($F294+Y$4),Raw_Fund!$A:$A,0),
_xlpm.colNo,
MATCH(Y$3,Raw_Fund!$E$1:$AZ$1,0),
_xlpm.val,
INDEX(Raw_Fund!$E:$AZ,_xlpm.rowNo,_xlpm.colNo),
IF(ISNUMBER(_xlpm.val),_xlpm.val*$H294,""))</f>
        <v/>
      </c>
      <c r="Z294" s="6" t="str">
        <f>IF($E294&lt;&gt;"Include","",_xlfn.XLOOKUP($C294,Raw_Mkt!$A:$A,Raw_Mkt!$B:$B))</f>
        <v/>
      </c>
    </row>
    <row r="295" spans="1:26" x14ac:dyDescent="0.4">
      <c r="A295" t="str">
        <f>IF(Universe!A295&lt;&gt;"",Universe!A295,"")</f>
        <v/>
      </c>
      <c r="B295" t="str">
        <f>IF(Universe!B295&lt;&gt;"",Universe!B295,"")</f>
        <v/>
      </c>
      <c r="C295" t="str">
        <f>IF(Universe!C295&lt;&gt;"",Universe!C295,"")</f>
        <v/>
      </c>
      <c r="D295" t="str">
        <f>IF(Universe!D295&lt;&gt;"",Universe!D295,"")</f>
        <v/>
      </c>
      <c r="E295" t="str">
        <f>Universe!G295</f>
        <v/>
      </c>
      <c r="F295" t="str">
        <f>IF($E295&lt;&gt;"Include","",_xlfn.LET(_xlpm.latest,_xlfn.MAXIFS(Raw_Fund!$C:$C,Raw_Fund!$B:$B,Data!$C295),IF(_xlpm.latest=0,"",_xlpm.latest)))</f>
        <v/>
      </c>
      <c r="G295" t="str">
        <f>IF($F295="","",INDEX(Raw_Fund!$E:$AZ,MATCH($C295&amp;"|"&amp;$F295,Raw_Fund!$A:$A,0),MATCH(G$3,Raw_Fund!$E$1:$AZ$1,0)))</f>
        <v/>
      </c>
      <c r="H295" t="str">
        <f t="shared" si="4"/>
        <v/>
      </c>
      <c r="I295" s="6" t="str">
        <f>_xlfn.LET(
_xlpm.rowNo, MATCH($C295&amp;"|"&amp;
($F295+I$4),Raw_Fund!$A:$A,0),
_xlpm.colNo,
MATCH(I$3,Raw_Fund!$E$1:$AZ$1,0),
_xlpm.val,
INDEX(Raw_Fund!$E:$AZ,_xlpm.rowNo,_xlpm.colNo),
IF(ISNUMBER(_xlpm.val),_xlpm.val*$H295,""))</f>
        <v/>
      </c>
      <c r="J295" s="6" t="str">
        <f>_xlfn.LET(
_xlpm.rowNo, MATCH($C295&amp;"|"&amp;
($F295+J$4),Raw_Fund!$A:$A,0),
_xlpm.colNo,
MATCH(J$3,Raw_Fund!$E$1:$AZ$1,0),
_xlpm.val,
INDEX(Raw_Fund!$E:$AZ,_xlpm.rowNo,_xlpm.colNo),
IF(ISNUMBER(_xlpm.val),_xlpm.val*$H295,""))</f>
        <v/>
      </c>
      <c r="K295" s="6" t="str">
        <f>_xlfn.LET(
_xlpm.rowNo, MATCH($C295&amp;"|"&amp;
($F295+K$4),Raw_Fund!$A:$A,0),
_xlpm.colNo,
MATCH(K$3,Raw_Fund!$E$1:$AZ$1,0),
_xlpm.val,
INDEX(Raw_Fund!$E:$AZ,_xlpm.rowNo,_xlpm.colNo),
IF(ISNUMBER(_xlpm.val),_xlpm.val*$H295,""))</f>
        <v/>
      </c>
      <c r="L295" s="6" t="str">
        <f>_xlfn.LET(
_xlpm.rowNo, MATCH($C295&amp;"|"&amp;
($F295+L$4),Raw_Fund!$A:$A,0),
_xlpm.colNo,
MATCH(L$3,Raw_Fund!$E$1:$AZ$1,0),
_xlpm.val,
INDEX(Raw_Fund!$E:$AZ,_xlpm.rowNo,_xlpm.colNo),
IF(ISNUMBER(_xlpm.val),_xlpm.val*$H295,""))</f>
        <v/>
      </c>
      <c r="M295" s="6" t="str">
        <f>_xlfn.LET(
_xlpm.rowNo, MATCH($C295&amp;"|"&amp;
($F295+M$4),Raw_Fund!$A:$A,0),
_xlpm.colNo,
MATCH(M$3,Raw_Fund!$E$1:$AZ$1,0),
_xlpm.val,
INDEX(Raw_Fund!$E:$AZ,_xlpm.rowNo,_xlpm.colNo),
IF(ISNUMBER(_xlpm.val),_xlpm.val*$H295,""))</f>
        <v/>
      </c>
      <c r="N295" s="6" t="str">
        <f>_xlfn.LET(
_xlpm.rowNo, MATCH($C295&amp;"|"&amp;
($F295+N$4),Raw_Fund!$A:$A,0),
_xlpm.colNo,
MATCH(N$3,Raw_Fund!$E$1:$AZ$1,0),
_xlpm.val,
INDEX(Raw_Fund!$E:$AZ,_xlpm.rowNo,_xlpm.colNo),
IF(ISNUMBER(_xlpm.val),_xlpm.val*$H295,""))</f>
        <v/>
      </c>
      <c r="O295" s="6" t="str">
        <f>_xlfn.LET(
_xlpm.rowNo, MATCH($C295&amp;"|"&amp;
($F295+O$4),Raw_Fund!$A:$A,0),
_xlpm.colNo,
MATCH(O$3,Raw_Fund!$E$1:$AZ$1,0),
_xlpm.val,
INDEX(Raw_Fund!$E:$AZ,_xlpm.rowNo,_xlpm.colNo),
IF(ISNUMBER(_xlpm.val),_xlpm.val*$H295,""))</f>
        <v/>
      </c>
      <c r="P295" s="6" t="str">
        <f>_xlfn.LET(
_xlpm.rowNo, MATCH($C295&amp;"|"&amp;
($F295+P$4),Raw_Fund!$A:$A,0),
_xlpm.colNo,
MATCH(P$3,Raw_Fund!$E$1:$AZ$1,0),
_xlpm.val,
INDEX(Raw_Fund!$E:$AZ,_xlpm.rowNo,_xlpm.colNo),
IF(ISNUMBER(_xlpm.val),_xlpm.val*$H295,""))</f>
        <v/>
      </c>
      <c r="Q295" s="6" t="str">
        <f>_xlfn.LET(
_xlpm.rowNo, MATCH($C295&amp;"|"&amp;
($F295+Q$4),Raw_Fund!$A:$A,0),
_xlpm.colNo,
MATCH(Q$3,Raw_Fund!$E$1:$AZ$1,0),
_xlpm.val,
INDEX(Raw_Fund!$E:$AZ,_xlpm.rowNo,_xlpm.colNo),
IF(ISNUMBER(_xlpm.val),_xlpm.val*$H295,""))</f>
        <v/>
      </c>
      <c r="R295" s="6" t="str">
        <f>_xlfn.LET(
_xlpm.rowNo, MATCH($C295&amp;"|"&amp;
($F295+R$4),Raw_Fund!$A:$A,0),
_xlpm.colNo,
MATCH(R$3,Raw_Fund!$E$1:$AZ$1,0),
_xlpm.val,
INDEX(Raw_Fund!$E:$AZ,_xlpm.rowNo,_xlpm.colNo),
IF(ISNUMBER(_xlpm.val),_xlpm.val*$H295,""))</f>
        <v/>
      </c>
      <c r="S295" s="6" t="str">
        <f>_xlfn.LET(
_xlpm.rowNo, MATCH($C295&amp;"|"&amp;
($F295+S$4),Raw_Fund!$A:$A,0),
_xlpm.colNo,
MATCH(S$3,Raw_Fund!$E$1:$AZ$1,0),
_xlpm.val,
INDEX(Raw_Fund!$E:$AZ,_xlpm.rowNo,_xlpm.colNo),
IF(ISNUMBER(_xlpm.val),_xlpm.val*$H295,""))</f>
        <v/>
      </c>
      <c r="T295" s="6" t="str">
        <f>_xlfn.LET(
_xlpm.rowNo, MATCH($C295&amp;"|"&amp;
($F295+T$4),Raw_Fund!$A:$A,0),
_xlpm.colNo,
MATCH(T$3,Raw_Fund!$E$1:$AZ$1,0),
_xlpm.val,
INDEX(Raw_Fund!$E:$AZ,_xlpm.rowNo,_xlpm.colNo),
IF(ISNUMBER(_xlpm.val),_xlpm.val*$H295,""))</f>
        <v/>
      </c>
      <c r="U295" s="6" t="str">
        <f>_xlfn.LET(
_xlpm.rowNo, MATCH($C295&amp;"|"&amp;
($F295+U$4),Raw_Fund!$A:$A,0),
_xlpm.colNo,
MATCH(U$3,Raw_Fund!$E$1:$AZ$1,0),
_xlpm.val,
INDEX(Raw_Fund!$E:$AZ,_xlpm.rowNo,_xlpm.colNo),
IF(ISNUMBER(_xlpm.val),_xlpm.val*$H295,""))</f>
        <v/>
      </c>
      <c r="V295" s="6" t="str">
        <f>_xlfn.LET(
_xlpm.rowNo, MATCH($C295&amp;"|"&amp;
($F295+V$4),Raw_Fund!$A:$A,0),
_xlpm.colNo,
MATCH(V$3,Raw_Fund!$E$1:$AZ$1,0),
_xlpm.val,
INDEX(Raw_Fund!$E:$AZ,_xlpm.rowNo,_xlpm.colNo),
IF(ISNUMBER(_xlpm.val),_xlpm.val*$H295,""))</f>
        <v/>
      </c>
      <c r="W295" s="6" t="str">
        <f>_xlfn.LET(
_xlpm.rowNo, MATCH($C295&amp;"|"&amp;
($F295+W$4),Raw_Fund!$A:$A,0),
_xlpm.colNo,
MATCH(W$3,Raw_Fund!$E$1:$AZ$1,0),
_xlpm.val,
INDEX(Raw_Fund!$E:$AZ,_xlpm.rowNo,_xlpm.colNo),
IF(ISNUMBER(_xlpm.val),_xlpm.val*$H295,""))</f>
        <v/>
      </c>
      <c r="X295" s="6" t="str">
        <f>_xlfn.LET(
_xlpm.rowNo, MATCH($C295&amp;"|"&amp;
($F295+X$4),Raw_Fund!$A:$A,0),
_xlpm.colNo,
MATCH(X$3,Raw_Fund!$E$1:$AZ$1,0),
_xlpm.val,
INDEX(Raw_Fund!$E:$AZ,_xlpm.rowNo,_xlpm.colNo),
IF(ISNUMBER(_xlpm.val),_xlpm.val*$H295,""))</f>
        <v/>
      </c>
      <c r="Y295" s="6" t="str">
        <f>_xlfn.LET(
_xlpm.rowNo, MATCH($C295&amp;"|"&amp;
($F295+Y$4),Raw_Fund!$A:$A,0),
_xlpm.colNo,
MATCH(Y$3,Raw_Fund!$E$1:$AZ$1,0),
_xlpm.val,
INDEX(Raw_Fund!$E:$AZ,_xlpm.rowNo,_xlpm.colNo),
IF(ISNUMBER(_xlpm.val),_xlpm.val*$H295,""))</f>
        <v/>
      </c>
      <c r="Z295" s="6" t="str">
        <f>IF($E295&lt;&gt;"Include","",_xlfn.XLOOKUP($C295,Raw_Mkt!$A:$A,Raw_Mkt!$B:$B))</f>
        <v/>
      </c>
    </row>
    <row r="296" spans="1:26" x14ac:dyDescent="0.4">
      <c r="A296" t="str">
        <f>IF(Universe!A296&lt;&gt;"",Universe!A296,"")</f>
        <v/>
      </c>
      <c r="B296" t="str">
        <f>IF(Universe!B296&lt;&gt;"",Universe!B296,"")</f>
        <v/>
      </c>
      <c r="C296" t="str">
        <f>IF(Universe!C296&lt;&gt;"",Universe!C296,"")</f>
        <v/>
      </c>
      <c r="D296" t="str">
        <f>IF(Universe!D296&lt;&gt;"",Universe!D296,"")</f>
        <v/>
      </c>
      <c r="E296" t="str">
        <f>Universe!G296</f>
        <v/>
      </c>
      <c r="F296" t="str">
        <f>IF($E296&lt;&gt;"Include","",_xlfn.LET(_xlpm.latest,_xlfn.MAXIFS(Raw_Fund!$C:$C,Raw_Fund!$B:$B,Data!$C296),IF(_xlpm.latest=0,"",_xlpm.latest)))</f>
        <v/>
      </c>
      <c r="G296" t="str">
        <f>IF($F296="","",INDEX(Raw_Fund!$E:$AZ,MATCH($C296&amp;"|"&amp;$F296,Raw_Fund!$A:$A,0),MATCH(G$3,Raw_Fund!$E$1:$AZ$1,0)))</f>
        <v/>
      </c>
      <c r="H296" t="str">
        <f t="shared" si="4"/>
        <v/>
      </c>
      <c r="I296" s="6" t="str">
        <f>_xlfn.LET(
_xlpm.rowNo, MATCH($C296&amp;"|"&amp;
($F296+I$4),Raw_Fund!$A:$A,0),
_xlpm.colNo,
MATCH(I$3,Raw_Fund!$E$1:$AZ$1,0),
_xlpm.val,
INDEX(Raw_Fund!$E:$AZ,_xlpm.rowNo,_xlpm.colNo),
IF(ISNUMBER(_xlpm.val),_xlpm.val*$H296,""))</f>
        <v/>
      </c>
      <c r="J296" s="6" t="str">
        <f>_xlfn.LET(
_xlpm.rowNo, MATCH($C296&amp;"|"&amp;
($F296+J$4),Raw_Fund!$A:$A,0),
_xlpm.colNo,
MATCH(J$3,Raw_Fund!$E$1:$AZ$1,0),
_xlpm.val,
INDEX(Raw_Fund!$E:$AZ,_xlpm.rowNo,_xlpm.colNo),
IF(ISNUMBER(_xlpm.val),_xlpm.val*$H296,""))</f>
        <v/>
      </c>
      <c r="K296" s="6" t="str">
        <f>_xlfn.LET(
_xlpm.rowNo, MATCH($C296&amp;"|"&amp;
($F296+K$4),Raw_Fund!$A:$A,0),
_xlpm.colNo,
MATCH(K$3,Raw_Fund!$E$1:$AZ$1,0),
_xlpm.val,
INDEX(Raw_Fund!$E:$AZ,_xlpm.rowNo,_xlpm.colNo),
IF(ISNUMBER(_xlpm.val),_xlpm.val*$H296,""))</f>
        <v/>
      </c>
      <c r="L296" s="6" t="str">
        <f>_xlfn.LET(
_xlpm.rowNo, MATCH($C296&amp;"|"&amp;
($F296+L$4),Raw_Fund!$A:$A,0),
_xlpm.colNo,
MATCH(L$3,Raw_Fund!$E$1:$AZ$1,0),
_xlpm.val,
INDEX(Raw_Fund!$E:$AZ,_xlpm.rowNo,_xlpm.colNo),
IF(ISNUMBER(_xlpm.val),_xlpm.val*$H296,""))</f>
        <v/>
      </c>
      <c r="M296" s="6" t="str">
        <f>_xlfn.LET(
_xlpm.rowNo, MATCH($C296&amp;"|"&amp;
($F296+M$4),Raw_Fund!$A:$A,0),
_xlpm.colNo,
MATCH(M$3,Raw_Fund!$E$1:$AZ$1,0),
_xlpm.val,
INDEX(Raw_Fund!$E:$AZ,_xlpm.rowNo,_xlpm.colNo),
IF(ISNUMBER(_xlpm.val),_xlpm.val*$H296,""))</f>
        <v/>
      </c>
      <c r="N296" s="6" t="str">
        <f>_xlfn.LET(
_xlpm.rowNo, MATCH($C296&amp;"|"&amp;
($F296+N$4),Raw_Fund!$A:$A,0),
_xlpm.colNo,
MATCH(N$3,Raw_Fund!$E$1:$AZ$1,0),
_xlpm.val,
INDEX(Raw_Fund!$E:$AZ,_xlpm.rowNo,_xlpm.colNo),
IF(ISNUMBER(_xlpm.val),_xlpm.val*$H296,""))</f>
        <v/>
      </c>
      <c r="O296" s="6" t="str">
        <f>_xlfn.LET(
_xlpm.rowNo, MATCH($C296&amp;"|"&amp;
($F296+O$4),Raw_Fund!$A:$A,0),
_xlpm.colNo,
MATCH(O$3,Raw_Fund!$E$1:$AZ$1,0),
_xlpm.val,
INDEX(Raw_Fund!$E:$AZ,_xlpm.rowNo,_xlpm.colNo),
IF(ISNUMBER(_xlpm.val),_xlpm.val*$H296,""))</f>
        <v/>
      </c>
      <c r="P296" s="6" t="str">
        <f>_xlfn.LET(
_xlpm.rowNo, MATCH($C296&amp;"|"&amp;
($F296+P$4),Raw_Fund!$A:$A,0),
_xlpm.colNo,
MATCH(P$3,Raw_Fund!$E$1:$AZ$1,0),
_xlpm.val,
INDEX(Raw_Fund!$E:$AZ,_xlpm.rowNo,_xlpm.colNo),
IF(ISNUMBER(_xlpm.val),_xlpm.val*$H296,""))</f>
        <v/>
      </c>
      <c r="Q296" s="6" t="str">
        <f>_xlfn.LET(
_xlpm.rowNo, MATCH($C296&amp;"|"&amp;
($F296+Q$4),Raw_Fund!$A:$A,0),
_xlpm.colNo,
MATCH(Q$3,Raw_Fund!$E$1:$AZ$1,0),
_xlpm.val,
INDEX(Raw_Fund!$E:$AZ,_xlpm.rowNo,_xlpm.colNo),
IF(ISNUMBER(_xlpm.val),_xlpm.val*$H296,""))</f>
        <v/>
      </c>
      <c r="R296" s="6" t="str">
        <f>_xlfn.LET(
_xlpm.rowNo, MATCH($C296&amp;"|"&amp;
($F296+R$4),Raw_Fund!$A:$A,0),
_xlpm.colNo,
MATCH(R$3,Raw_Fund!$E$1:$AZ$1,0),
_xlpm.val,
INDEX(Raw_Fund!$E:$AZ,_xlpm.rowNo,_xlpm.colNo),
IF(ISNUMBER(_xlpm.val),_xlpm.val*$H296,""))</f>
        <v/>
      </c>
      <c r="S296" s="6" t="str">
        <f>_xlfn.LET(
_xlpm.rowNo, MATCH($C296&amp;"|"&amp;
($F296+S$4),Raw_Fund!$A:$A,0),
_xlpm.colNo,
MATCH(S$3,Raw_Fund!$E$1:$AZ$1,0),
_xlpm.val,
INDEX(Raw_Fund!$E:$AZ,_xlpm.rowNo,_xlpm.colNo),
IF(ISNUMBER(_xlpm.val),_xlpm.val*$H296,""))</f>
        <v/>
      </c>
      <c r="T296" s="6" t="str">
        <f>_xlfn.LET(
_xlpm.rowNo, MATCH($C296&amp;"|"&amp;
($F296+T$4),Raw_Fund!$A:$A,0),
_xlpm.colNo,
MATCH(T$3,Raw_Fund!$E$1:$AZ$1,0),
_xlpm.val,
INDEX(Raw_Fund!$E:$AZ,_xlpm.rowNo,_xlpm.colNo),
IF(ISNUMBER(_xlpm.val),_xlpm.val*$H296,""))</f>
        <v/>
      </c>
      <c r="U296" s="6" t="str">
        <f>_xlfn.LET(
_xlpm.rowNo, MATCH($C296&amp;"|"&amp;
($F296+U$4),Raw_Fund!$A:$A,0),
_xlpm.colNo,
MATCH(U$3,Raw_Fund!$E$1:$AZ$1,0),
_xlpm.val,
INDEX(Raw_Fund!$E:$AZ,_xlpm.rowNo,_xlpm.colNo),
IF(ISNUMBER(_xlpm.val),_xlpm.val*$H296,""))</f>
        <v/>
      </c>
      <c r="V296" s="6" t="str">
        <f>_xlfn.LET(
_xlpm.rowNo, MATCH($C296&amp;"|"&amp;
($F296+V$4),Raw_Fund!$A:$A,0),
_xlpm.colNo,
MATCH(V$3,Raw_Fund!$E$1:$AZ$1,0),
_xlpm.val,
INDEX(Raw_Fund!$E:$AZ,_xlpm.rowNo,_xlpm.colNo),
IF(ISNUMBER(_xlpm.val),_xlpm.val*$H296,""))</f>
        <v/>
      </c>
      <c r="W296" s="6" t="str">
        <f>_xlfn.LET(
_xlpm.rowNo, MATCH($C296&amp;"|"&amp;
($F296+W$4),Raw_Fund!$A:$A,0),
_xlpm.colNo,
MATCH(W$3,Raw_Fund!$E$1:$AZ$1,0),
_xlpm.val,
INDEX(Raw_Fund!$E:$AZ,_xlpm.rowNo,_xlpm.colNo),
IF(ISNUMBER(_xlpm.val),_xlpm.val*$H296,""))</f>
        <v/>
      </c>
      <c r="X296" s="6" t="str">
        <f>_xlfn.LET(
_xlpm.rowNo, MATCH($C296&amp;"|"&amp;
($F296+X$4),Raw_Fund!$A:$A,0),
_xlpm.colNo,
MATCH(X$3,Raw_Fund!$E$1:$AZ$1,0),
_xlpm.val,
INDEX(Raw_Fund!$E:$AZ,_xlpm.rowNo,_xlpm.colNo),
IF(ISNUMBER(_xlpm.val),_xlpm.val*$H296,""))</f>
        <v/>
      </c>
      <c r="Y296" s="6" t="str">
        <f>_xlfn.LET(
_xlpm.rowNo, MATCH($C296&amp;"|"&amp;
($F296+Y$4),Raw_Fund!$A:$A,0),
_xlpm.colNo,
MATCH(Y$3,Raw_Fund!$E$1:$AZ$1,0),
_xlpm.val,
INDEX(Raw_Fund!$E:$AZ,_xlpm.rowNo,_xlpm.colNo),
IF(ISNUMBER(_xlpm.val),_xlpm.val*$H296,""))</f>
        <v/>
      </c>
      <c r="Z296" s="6" t="str">
        <f>IF($E296&lt;&gt;"Include","",_xlfn.XLOOKUP($C296,Raw_Mkt!$A:$A,Raw_Mkt!$B:$B))</f>
        <v/>
      </c>
    </row>
    <row r="297" spans="1:26" x14ac:dyDescent="0.4">
      <c r="A297" t="str">
        <f>IF(Universe!A297&lt;&gt;"",Universe!A297,"")</f>
        <v/>
      </c>
      <c r="B297" t="str">
        <f>IF(Universe!B297&lt;&gt;"",Universe!B297,"")</f>
        <v/>
      </c>
      <c r="C297" t="str">
        <f>IF(Universe!C297&lt;&gt;"",Universe!C297,"")</f>
        <v/>
      </c>
      <c r="D297" t="str">
        <f>IF(Universe!D297&lt;&gt;"",Universe!D297,"")</f>
        <v/>
      </c>
      <c r="E297" t="str">
        <f>Universe!G297</f>
        <v/>
      </c>
      <c r="F297" t="str">
        <f>IF($E297&lt;&gt;"Include","",_xlfn.LET(_xlpm.latest,_xlfn.MAXIFS(Raw_Fund!$C:$C,Raw_Fund!$B:$B,Data!$C297),IF(_xlpm.latest=0,"",_xlpm.latest)))</f>
        <v/>
      </c>
      <c r="G297" t="str">
        <f>IF($F297="","",INDEX(Raw_Fund!$E:$AZ,MATCH($C297&amp;"|"&amp;$F297,Raw_Fund!$A:$A,0),MATCH(G$3,Raw_Fund!$E$1:$AZ$1,0)))</f>
        <v/>
      </c>
      <c r="H297" t="str">
        <f t="shared" si="4"/>
        <v/>
      </c>
      <c r="I297" s="6" t="str">
        <f>_xlfn.LET(
_xlpm.rowNo, MATCH($C297&amp;"|"&amp;
($F297+I$4),Raw_Fund!$A:$A,0),
_xlpm.colNo,
MATCH(I$3,Raw_Fund!$E$1:$AZ$1,0),
_xlpm.val,
INDEX(Raw_Fund!$E:$AZ,_xlpm.rowNo,_xlpm.colNo),
IF(ISNUMBER(_xlpm.val),_xlpm.val*$H297,""))</f>
        <v/>
      </c>
      <c r="J297" s="6" t="str">
        <f>_xlfn.LET(
_xlpm.rowNo, MATCH($C297&amp;"|"&amp;
($F297+J$4),Raw_Fund!$A:$A,0),
_xlpm.colNo,
MATCH(J$3,Raw_Fund!$E$1:$AZ$1,0),
_xlpm.val,
INDEX(Raw_Fund!$E:$AZ,_xlpm.rowNo,_xlpm.colNo),
IF(ISNUMBER(_xlpm.val),_xlpm.val*$H297,""))</f>
        <v/>
      </c>
      <c r="K297" s="6" t="str">
        <f>_xlfn.LET(
_xlpm.rowNo, MATCH($C297&amp;"|"&amp;
($F297+K$4),Raw_Fund!$A:$A,0),
_xlpm.colNo,
MATCH(K$3,Raw_Fund!$E$1:$AZ$1,0),
_xlpm.val,
INDEX(Raw_Fund!$E:$AZ,_xlpm.rowNo,_xlpm.colNo),
IF(ISNUMBER(_xlpm.val),_xlpm.val*$H297,""))</f>
        <v/>
      </c>
      <c r="L297" s="6" t="str">
        <f>_xlfn.LET(
_xlpm.rowNo, MATCH($C297&amp;"|"&amp;
($F297+L$4),Raw_Fund!$A:$A,0),
_xlpm.colNo,
MATCH(L$3,Raw_Fund!$E$1:$AZ$1,0),
_xlpm.val,
INDEX(Raw_Fund!$E:$AZ,_xlpm.rowNo,_xlpm.colNo),
IF(ISNUMBER(_xlpm.val),_xlpm.val*$H297,""))</f>
        <v/>
      </c>
      <c r="M297" s="6" t="str">
        <f>_xlfn.LET(
_xlpm.rowNo, MATCH($C297&amp;"|"&amp;
($F297+M$4),Raw_Fund!$A:$A,0),
_xlpm.colNo,
MATCH(M$3,Raw_Fund!$E$1:$AZ$1,0),
_xlpm.val,
INDEX(Raw_Fund!$E:$AZ,_xlpm.rowNo,_xlpm.colNo),
IF(ISNUMBER(_xlpm.val),_xlpm.val*$H297,""))</f>
        <v/>
      </c>
      <c r="N297" s="6" t="str">
        <f>_xlfn.LET(
_xlpm.rowNo, MATCH($C297&amp;"|"&amp;
($F297+N$4),Raw_Fund!$A:$A,0),
_xlpm.colNo,
MATCH(N$3,Raw_Fund!$E$1:$AZ$1,0),
_xlpm.val,
INDEX(Raw_Fund!$E:$AZ,_xlpm.rowNo,_xlpm.colNo),
IF(ISNUMBER(_xlpm.val),_xlpm.val*$H297,""))</f>
        <v/>
      </c>
      <c r="O297" s="6" t="str">
        <f>_xlfn.LET(
_xlpm.rowNo, MATCH($C297&amp;"|"&amp;
($F297+O$4),Raw_Fund!$A:$A,0),
_xlpm.colNo,
MATCH(O$3,Raw_Fund!$E$1:$AZ$1,0),
_xlpm.val,
INDEX(Raw_Fund!$E:$AZ,_xlpm.rowNo,_xlpm.colNo),
IF(ISNUMBER(_xlpm.val),_xlpm.val*$H297,""))</f>
        <v/>
      </c>
      <c r="P297" s="6" t="str">
        <f>_xlfn.LET(
_xlpm.rowNo, MATCH($C297&amp;"|"&amp;
($F297+P$4),Raw_Fund!$A:$A,0),
_xlpm.colNo,
MATCH(P$3,Raw_Fund!$E$1:$AZ$1,0),
_xlpm.val,
INDEX(Raw_Fund!$E:$AZ,_xlpm.rowNo,_xlpm.colNo),
IF(ISNUMBER(_xlpm.val),_xlpm.val*$H297,""))</f>
        <v/>
      </c>
      <c r="Q297" s="6" t="str">
        <f>_xlfn.LET(
_xlpm.rowNo, MATCH($C297&amp;"|"&amp;
($F297+Q$4),Raw_Fund!$A:$A,0),
_xlpm.colNo,
MATCH(Q$3,Raw_Fund!$E$1:$AZ$1,0),
_xlpm.val,
INDEX(Raw_Fund!$E:$AZ,_xlpm.rowNo,_xlpm.colNo),
IF(ISNUMBER(_xlpm.val),_xlpm.val*$H297,""))</f>
        <v/>
      </c>
      <c r="R297" s="6" t="str">
        <f>_xlfn.LET(
_xlpm.rowNo, MATCH($C297&amp;"|"&amp;
($F297+R$4),Raw_Fund!$A:$A,0),
_xlpm.colNo,
MATCH(R$3,Raw_Fund!$E$1:$AZ$1,0),
_xlpm.val,
INDEX(Raw_Fund!$E:$AZ,_xlpm.rowNo,_xlpm.colNo),
IF(ISNUMBER(_xlpm.val),_xlpm.val*$H297,""))</f>
        <v/>
      </c>
      <c r="S297" s="6" t="str">
        <f>_xlfn.LET(
_xlpm.rowNo, MATCH($C297&amp;"|"&amp;
($F297+S$4),Raw_Fund!$A:$A,0),
_xlpm.colNo,
MATCH(S$3,Raw_Fund!$E$1:$AZ$1,0),
_xlpm.val,
INDEX(Raw_Fund!$E:$AZ,_xlpm.rowNo,_xlpm.colNo),
IF(ISNUMBER(_xlpm.val),_xlpm.val*$H297,""))</f>
        <v/>
      </c>
      <c r="T297" s="6" t="str">
        <f>_xlfn.LET(
_xlpm.rowNo, MATCH($C297&amp;"|"&amp;
($F297+T$4),Raw_Fund!$A:$A,0),
_xlpm.colNo,
MATCH(T$3,Raw_Fund!$E$1:$AZ$1,0),
_xlpm.val,
INDEX(Raw_Fund!$E:$AZ,_xlpm.rowNo,_xlpm.colNo),
IF(ISNUMBER(_xlpm.val),_xlpm.val*$H297,""))</f>
        <v/>
      </c>
      <c r="U297" s="6" t="str">
        <f>_xlfn.LET(
_xlpm.rowNo, MATCH($C297&amp;"|"&amp;
($F297+U$4),Raw_Fund!$A:$A,0),
_xlpm.colNo,
MATCH(U$3,Raw_Fund!$E$1:$AZ$1,0),
_xlpm.val,
INDEX(Raw_Fund!$E:$AZ,_xlpm.rowNo,_xlpm.colNo),
IF(ISNUMBER(_xlpm.val),_xlpm.val*$H297,""))</f>
        <v/>
      </c>
      <c r="V297" s="6" t="str">
        <f>_xlfn.LET(
_xlpm.rowNo, MATCH($C297&amp;"|"&amp;
($F297+V$4),Raw_Fund!$A:$A,0),
_xlpm.colNo,
MATCH(V$3,Raw_Fund!$E$1:$AZ$1,0),
_xlpm.val,
INDEX(Raw_Fund!$E:$AZ,_xlpm.rowNo,_xlpm.colNo),
IF(ISNUMBER(_xlpm.val),_xlpm.val*$H297,""))</f>
        <v/>
      </c>
      <c r="W297" s="6" t="str">
        <f>_xlfn.LET(
_xlpm.rowNo, MATCH($C297&amp;"|"&amp;
($F297+W$4),Raw_Fund!$A:$A,0),
_xlpm.colNo,
MATCH(W$3,Raw_Fund!$E$1:$AZ$1,0),
_xlpm.val,
INDEX(Raw_Fund!$E:$AZ,_xlpm.rowNo,_xlpm.colNo),
IF(ISNUMBER(_xlpm.val),_xlpm.val*$H297,""))</f>
        <v/>
      </c>
      <c r="X297" s="6" t="str">
        <f>_xlfn.LET(
_xlpm.rowNo, MATCH($C297&amp;"|"&amp;
($F297+X$4),Raw_Fund!$A:$A,0),
_xlpm.colNo,
MATCH(X$3,Raw_Fund!$E$1:$AZ$1,0),
_xlpm.val,
INDEX(Raw_Fund!$E:$AZ,_xlpm.rowNo,_xlpm.colNo),
IF(ISNUMBER(_xlpm.val),_xlpm.val*$H297,""))</f>
        <v/>
      </c>
      <c r="Y297" s="6" t="str">
        <f>_xlfn.LET(
_xlpm.rowNo, MATCH($C297&amp;"|"&amp;
($F297+Y$4),Raw_Fund!$A:$A,0),
_xlpm.colNo,
MATCH(Y$3,Raw_Fund!$E$1:$AZ$1,0),
_xlpm.val,
INDEX(Raw_Fund!$E:$AZ,_xlpm.rowNo,_xlpm.colNo),
IF(ISNUMBER(_xlpm.val),_xlpm.val*$H297,""))</f>
        <v/>
      </c>
      <c r="Z297" s="6" t="str">
        <f>IF($E297&lt;&gt;"Include","",_xlfn.XLOOKUP($C297,Raw_Mkt!$A:$A,Raw_Mkt!$B:$B))</f>
        <v/>
      </c>
    </row>
    <row r="298" spans="1:26" x14ac:dyDescent="0.4">
      <c r="A298" t="str">
        <f>IF(Universe!A298&lt;&gt;"",Universe!A298,"")</f>
        <v/>
      </c>
      <c r="B298" t="str">
        <f>IF(Universe!B298&lt;&gt;"",Universe!B298,"")</f>
        <v/>
      </c>
      <c r="C298" t="str">
        <f>IF(Universe!C298&lt;&gt;"",Universe!C298,"")</f>
        <v/>
      </c>
      <c r="D298" t="str">
        <f>IF(Universe!D298&lt;&gt;"",Universe!D298,"")</f>
        <v/>
      </c>
      <c r="E298" t="str">
        <f>Universe!G298</f>
        <v/>
      </c>
      <c r="F298" t="str">
        <f>IF($E298&lt;&gt;"Include","",_xlfn.LET(_xlpm.latest,_xlfn.MAXIFS(Raw_Fund!$C:$C,Raw_Fund!$B:$B,Data!$C298),IF(_xlpm.latest=0,"",_xlpm.latest)))</f>
        <v/>
      </c>
      <c r="G298" t="str">
        <f>IF($F298="","",INDEX(Raw_Fund!$E:$AZ,MATCH($C298&amp;"|"&amp;$F298,Raw_Fund!$A:$A,0),MATCH(G$3,Raw_Fund!$E$1:$AZ$1,0)))</f>
        <v/>
      </c>
      <c r="H298" t="str">
        <f t="shared" si="4"/>
        <v/>
      </c>
      <c r="I298" s="6" t="str">
        <f>_xlfn.LET(
_xlpm.rowNo, MATCH($C298&amp;"|"&amp;
($F298+I$4),Raw_Fund!$A:$A,0),
_xlpm.colNo,
MATCH(I$3,Raw_Fund!$E$1:$AZ$1,0),
_xlpm.val,
INDEX(Raw_Fund!$E:$AZ,_xlpm.rowNo,_xlpm.colNo),
IF(ISNUMBER(_xlpm.val),_xlpm.val*$H298,""))</f>
        <v/>
      </c>
      <c r="J298" s="6" t="str">
        <f>_xlfn.LET(
_xlpm.rowNo, MATCH($C298&amp;"|"&amp;
($F298+J$4),Raw_Fund!$A:$A,0),
_xlpm.colNo,
MATCH(J$3,Raw_Fund!$E$1:$AZ$1,0),
_xlpm.val,
INDEX(Raw_Fund!$E:$AZ,_xlpm.rowNo,_xlpm.colNo),
IF(ISNUMBER(_xlpm.val),_xlpm.val*$H298,""))</f>
        <v/>
      </c>
      <c r="K298" s="6" t="str">
        <f>_xlfn.LET(
_xlpm.rowNo, MATCH($C298&amp;"|"&amp;
($F298+K$4),Raw_Fund!$A:$A,0),
_xlpm.colNo,
MATCH(K$3,Raw_Fund!$E$1:$AZ$1,0),
_xlpm.val,
INDEX(Raw_Fund!$E:$AZ,_xlpm.rowNo,_xlpm.colNo),
IF(ISNUMBER(_xlpm.val),_xlpm.val*$H298,""))</f>
        <v/>
      </c>
      <c r="L298" s="6" t="str">
        <f>_xlfn.LET(
_xlpm.rowNo, MATCH($C298&amp;"|"&amp;
($F298+L$4),Raw_Fund!$A:$A,0),
_xlpm.colNo,
MATCH(L$3,Raw_Fund!$E$1:$AZ$1,0),
_xlpm.val,
INDEX(Raw_Fund!$E:$AZ,_xlpm.rowNo,_xlpm.colNo),
IF(ISNUMBER(_xlpm.val),_xlpm.val*$H298,""))</f>
        <v/>
      </c>
      <c r="M298" s="6" t="str">
        <f>_xlfn.LET(
_xlpm.rowNo, MATCH($C298&amp;"|"&amp;
($F298+M$4),Raw_Fund!$A:$A,0),
_xlpm.colNo,
MATCH(M$3,Raw_Fund!$E$1:$AZ$1,0),
_xlpm.val,
INDEX(Raw_Fund!$E:$AZ,_xlpm.rowNo,_xlpm.colNo),
IF(ISNUMBER(_xlpm.val),_xlpm.val*$H298,""))</f>
        <v/>
      </c>
      <c r="N298" s="6" t="str">
        <f>_xlfn.LET(
_xlpm.rowNo, MATCH($C298&amp;"|"&amp;
($F298+N$4),Raw_Fund!$A:$A,0),
_xlpm.colNo,
MATCH(N$3,Raw_Fund!$E$1:$AZ$1,0),
_xlpm.val,
INDEX(Raw_Fund!$E:$AZ,_xlpm.rowNo,_xlpm.colNo),
IF(ISNUMBER(_xlpm.val),_xlpm.val*$H298,""))</f>
        <v/>
      </c>
      <c r="O298" s="6" t="str">
        <f>_xlfn.LET(
_xlpm.rowNo, MATCH($C298&amp;"|"&amp;
($F298+O$4),Raw_Fund!$A:$A,0),
_xlpm.colNo,
MATCH(O$3,Raw_Fund!$E$1:$AZ$1,0),
_xlpm.val,
INDEX(Raw_Fund!$E:$AZ,_xlpm.rowNo,_xlpm.colNo),
IF(ISNUMBER(_xlpm.val),_xlpm.val*$H298,""))</f>
        <v/>
      </c>
      <c r="P298" s="6" t="str">
        <f>_xlfn.LET(
_xlpm.rowNo, MATCH($C298&amp;"|"&amp;
($F298+P$4),Raw_Fund!$A:$A,0),
_xlpm.colNo,
MATCH(P$3,Raw_Fund!$E$1:$AZ$1,0),
_xlpm.val,
INDEX(Raw_Fund!$E:$AZ,_xlpm.rowNo,_xlpm.colNo),
IF(ISNUMBER(_xlpm.val),_xlpm.val*$H298,""))</f>
        <v/>
      </c>
      <c r="Q298" s="6" t="str">
        <f>_xlfn.LET(
_xlpm.rowNo, MATCH($C298&amp;"|"&amp;
($F298+Q$4),Raw_Fund!$A:$A,0),
_xlpm.colNo,
MATCH(Q$3,Raw_Fund!$E$1:$AZ$1,0),
_xlpm.val,
INDEX(Raw_Fund!$E:$AZ,_xlpm.rowNo,_xlpm.colNo),
IF(ISNUMBER(_xlpm.val),_xlpm.val*$H298,""))</f>
        <v/>
      </c>
      <c r="R298" s="6" t="str">
        <f>_xlfn.LET(
_xlpm.rowNo, MATCH($C298&amp;"|"&amp;
($F298+R$4),Raw_Fund!$A:$A,0),
_xlpm.colNo,
MATCH(R$3,Raw_Fund!$E$1:$AZ$1,0),
_xlpm.val,
INDEX(Raw_Fund!$E:$AZ,_xlpm.rowNo,_xlpm.colNo),
IF(ISNUMBER(_xlpm.val),_xlpm.val*$H298,""))</f>
        <v/>
      </c>
      <c r="S298" s="6" t="str">
        <f>_xlfn.LET(
_xlpm.rowNo, MATCH($C298&amp;"|"&amp;
($F298+S$4),Raw_Fund!$A:$A,0),
_xlpm.colNo,
MATCH(S$3,Raw_Fund!$E$1:$AZ$1,0),
_xlpm.val,
INDEX(Raw_Fund!$E:$AZ,_xlpm.rowNo,_xlpm.colNo),
IF(ISNUMBER(_xlpm.val),_xlpm.val*$H298,""))</f>
        <v/>
      </c>
      <c r="T298" s="6" t="str">
        <f>_xlfn.LET(
_xlpm.rowNo, MATCH($C298&amp;"|"&amp;
($F298+T$4),Raw_Fund!$A:$A,0),
_xlpm.colNo,
MATCH(T$3,Raw_Fund!$E$1:$AZ$1,0),
_xlpm.val,
INDEX(Raw_Fund!$E:$AZ,_xlpm.rowNo,_xlpm.colNo),
IF(ISNUMBER(_xlpm.val),_xlpm.val*$H298,""))</f>
        <v/>
      </c>
      <c r="U298" s="6" t="str">
        <f>_xlfn.LET(
_xlpm.rowNo, MATCH($C298&amp;"|"&amp;
($F298+U$4),Raw_Fund!$A:$A,0),
_xlpm.colNo,
MATCH(U$3,Raw_Fund!$E$1:$AZ$1,0),
_xlpm.val,
INDEX(Raw_Fund!$E:$AZ,_xlpm.rowNo,_xlpm.colNo),
IF(ISNUMBER(_xlpm.val),_xlpm.val*$H298,""))</f>
        <v/>
      </c>
      <c r="V298" s="6" t="str">
        <f>_xlfn.LET(
_xlpm.rowNo, MATCH($C298&amp;"|"&amp;
($F298+V$4),Raw_Fund!$A:$A,0),
_xlpm.colNo,
MATCH(V$3,Raw_Fund!$E$1:$AZ$1,0),
_xlpm.val,
INDEX(Raw_Fund!$E:$AZ,_xlpm.rowNo,_xlpm.colNo),
IF(ISNUMBER(_xlpm.val),_xlpm.val*$H298,""))</f>
        <v/>
      </c>
      <c r="W298" s="6" t="str">
        <f>_xlfn.LET(
_xlpm.rowNo, MATCH($C298&amp;"|"&amp;
($F298+W$4),Raw_Fund!$A:$A,0),
_xlpm.colNo,
MATCH(W$3,Raw_Fund!$E$1:$AZ$1,0),
_xlpm.val,
INDEX(Raw_Fund!$E:$AZ,_xlpm.rowNo,_xlpm.colNo),
IF(ISNUMBER(_xlpm.val),_xlpm.val*$H298,""))</f>
        <v/>
      </c>
      <c r="X298" s="6" t="str">
        <f>_xlfn.LET(
_xlpm.rowNo, MATCH($C298&amp;"|"&amp;
($F298+X$4),Raw_Fund!$A:$A,0),
_xlpm.colNo,
MATCH(X$3,Raw_Fund!$E$1:$AZ$1,0),
_xlpm.val,
INDEX(Raw_Fund!$E:$AZ,_xlpm.rowNo,_xlpm.colNo),
IF(ISNUMBER(_xlpm.val),_xlpm.val*$H298,""))</f>
        <v/>
      </c>
      <c r="Y298" s="6" t="str">
        <f>_xlfn.LET(
_xlpm.rowNo, MATCH($C298&amp;"|"&amp;
($F298+Y$4),Raw_Fund!$A:$A,0),
_xlpm.colNo,
MATCH(Y$3,Raw_Fund!$E$1:$AZ$1,0),
_xlpm.val,
INDEX(Raw_Fund!$E:$AZ,_xlpm.rowNo,_xlpm.colNo),
IF(ISNUMBER(_xlpm.val),_xlpm.val*$H298,""))</f>
        <v/>
      </c>
      <c r="Z298" s="6" t="str">
        <f>IF($E298&lt;&gt;"Include","",_xlfn.XLOOKUP($C298,Raw_Mkt!$A:$A,Raw_Mkt!$B:$B))</f>
        <v/>
      </c>
    </row>
    <row r="299" spans="1:26" x14ac:dyDescent="0.4">
      <c r="A299" t="str">
        <f>IF(Universe!A299&lt;&gt;"",Universe!A299,"")</f>
        <v/>
      </c>
      <c r="B299" t="str">
        <f>IF(Universe!B299&lt;&gt;"",Universe!B299,"")</f>
        <v/>
      </c>
      <c r="C299" t="str">
        <f>IF(Universe!C299&lt;&gt;"",Universe!C299,"")</f>
        <v/>
      </c>
      <c r="D299" t="str">
        <f>IF(Universe!D299&lt;&gt;"",Universe!D299,"")</f>
        <v/>
      </c>
      <c r="E299" t="str">
        <f>Universe!G299</f>
        <v/>
      </c>
      <c r="F299" t="str">
        <f>IF($E299&lt;&gt;"Include","",_xlfn.LET(_xlpm.latest,_xlfn.MAXIFS(Raw_Fund!$C:$C,Raw_Fund!$B:$B,Data!$C299),IF(_xlpm.latest=0,"",_xlpm.latest)))</f>
        <v/>
      </c>
      <c r="G299" t="str">
        <f>IF($F299="","",INDEX(Raw_Fund!$E:$AZ,MATCH($C299&amp;"|"&amp;$F299,Raw_Fund!$A:$A,0),MATCH(G$3,Raw_Fund!$E$1:$AZ$1,0)))</f>
        <v/>
      </c>
      <c r="H299" t="str">
        <f t="shared" si="4"/>
        <v/>
      </c>
      <c r="I299" s="6" t="str">
        <f>_xlfn.LET(
_xlpm.rowNo, MATCH($C299&amp;"|"&amp;
($F299+I$4),Raw_Fund!$A:$A,0),
_xlpm.colNo,
MATCH(I$3,Raw_Fund!$E$1:$AZ$1,0),
_xlpm.val,
INDEX(Raw_Fund!$E:$AZ,_xlpm.rowNo,_xlpm.colNo),
IF(ISNUMBER(_xlpm.val),_xlpm.val*$H299,""))</f>
        <v/>
      </c>
      <c r="J299" s="6" t="str">
        <f>_xlfn.LET(
_xlpm.rowNo, MATCH($C299&amp;"|"&amp;
($F299+J$4),Raw_Fund!$A:$A,0),
_xlpm.colNo,
MATCH(J$3,Raw_Fund!$E$1:$AZ$1,0),
_xlpm.val,
INDEX(Raw_Fund!$E:$AZ,_xlpm.rowNo,_xlpm.colNo),
IF(ISNUMBER(_xlpm.val),_xlpm.val*$H299,""))</f>
        <v/>
      </c>
      <c r="K299" s="6" t="str">
        <f>_xlfn.LET(
_xlpm.rowNo, MATCH($C299&amp;"|"&amp;
($F299+K$4),Raw_Fund!$A:$A,0),
_xlpm.colNo,
MATCH(K$3,Raw_Fund!$E$1:$AZ$1,0),
_xlpm.val,
INDEX(Raw_Fund!$E:$AZ,_xlpm.rowNo,_xlpm.colNo),
IF(ISNUMBER(_xlpm.val),_xlpm.val*$H299,""))</f>
        <v/>
      </c>
      <c r="L299" s="6" t="str">
        <f>_xlfn.LET(
_xlpm.rowNo, MATCH($C299&amp;"|"&amp;
($F299+L$4),Raw_Fund!$A:$A,0),
_xlpm.colNo,
MATCH(L$3,Raw_Fund!$E$1:$AZ$1,0),
_xlpm.val,
INDEX(Raw_Fund!$E:$AZ,_xlpm.rowNo,_xlpm.colNo),
IF(ISNUMBER(_xlpm.val),_xlpm.val*$H299,""))</f>
        <v/>
      </c>
      <c r="M299" s="6" t="str">
        <f>_xlfn.LET(
_xlpm.rowNo, MATCH($C299&amp;"|"&amp;
($F299+M$4),Raw_Fund!$A:$A,0),
_xlpm.colNo,
MATCH(M$3,Raw_Fund!$E$1:$AZ$1,0),
_xlpm.val,
INDEX(Raw_Fund!$E:$AZ,_xlpm.rowNo,_xlpm.colNo),
IF(ISNUMBER(_xlpm.val),_xlpm.val*$H299,""))</f>
        <v/>
      </c>
      <c r="N299" s="6" t="str">
        <f>_xlfn.LET(
_xlpm.rowNo, MATCH($C299&amp;"|"&amp;
($F299+N$4),Raw_Fund!$A:$A,0),
_xlpm.colNo,
MATCH(N$3,Raw_Fund!$E$1:$AZ$1,0),
_xlpm.val,
INDEX(Raw_Fund!$E:$AZ,_xlpm.rowNo,_xlpm.colNo),
IF(ISNUMBER(_xlpm.val),_xlpm.val*$H299,""))</f>
        <v/>
      </c>
      <c r="O299" s="6" t="str">
        <f>_xlfn.LET(
_xlpm.rowNo, MATCH($C299&amp;"|"&amp;
($F299+O$4),Raw_Fund!$A:$A,0),
_xlpm.colNo,
MATCH(O$3,Raw_Fund!$E$1:$AZ$1,0),
_xlpm.val,
INDEX(Raw_Fund!$E:$AZ,_xlpm.rowNo,_xlpm.colNo),
IF(ISNUMBER(_xlpm.val),_xlpm.val*$H299,""))</f>
        <v/>
      </c>
      <c r="P299" s="6" t="str">
        <f>_xlfn.LET(
_xlpm.rowNo, MATCH($C299&amp;"|"&amp;
($F299+P$4),Raw_Fund!$A:$A,0),
_xlpm.colNo,
MATCH(P$3,Raw_Fund!$E$1:$AZ$1,0),
_xlpm.val,
INDEX(Raw_Fund!$E:$AZ,_xlpm.rowNo,_xlpm.colNo),
IF(ISNUMBER(_xlpm.val),_xlpm.val*$H299,""))</f>
        <v/>
      </c>
      <c r="Q299" s="6" t="str">
        <f>_xlfn.LET(
_xlpm.rowNo, MATCH($C299&amp;"|"&amp;
($F299+Q$4),Raw_Fund!$A:$A,0),
_xlpm.colNo,
MATCH(Q$3,Raw_Fund!$E$1:$AZ$1,0),
_xlpm.val,
INDEX(Raw_Fund!$E:$AZ,_xlpm.rowNo,_xlpm.colNo),
IF(ISNUMBER(_xlpm.val),_xlpm.val*$H299,""))</f>
        <v/>
      </c>
      <c r="R299" s="6" t="str">
        <f>_xlfn.LET(
_xlpm.rowNo, MATCH($C299&amp;"|"&amp;
($F299+R$4),Raw_Fund!$A:$A,0),
_xlpm.colNo,
MATCH(R$3,Raw_Fund!$E$1:$AZ$1,0),
_xlpm.val,
INDEX(Raw_Fund!$E:$AZ,_xlpm.rowNo,_xlpm.colNo),
IF(ISNUMBER(_xlpm.val),_xlpm.val*$H299,""))</f>
        <v/>
      </c>
      <c r="S299" s="6" t="str">
        <f>_xlfn.LET(
_xlpm.rowNo, MATCH($C299&amp;"|"&amp;
($F299+S$4),Raw_Fund!$A:$A,0),
_xlpm.colNo,
MATCH(S$3,Raw_Fund!$E$1:$AZ$1,0),
_xlpm.val,
INDEX(Raw_Fund!$E:$AZ,_xlpm.rowNo,_xlpm.colNo),
IF(ISNUMBER(_xlpm.val),_xlpm.val*$H299,""))</f>
        <v/>
      </c>
      <c r="T299" s="6" t="str">
        <f>_xlfn.LET(
_xlpm.rowNo, MATCH($C299&amp;"|"&amp;
($F299+T$4),Raw_Fund!$A:$A,0),
_xlpm.colNo,
MATCH(T$3,Raw_Fund!$E$1:$AZ$1,0),
_xlpm.val,
INDEX(Raw_Fund!$E:$AZ,_xlpm.rowNo,_xlpm.colNo),
IF(ISNUMBER(_xlpm.val),_xlpm.val*$H299,""))</f>
        <v/>
      </c>
      <c r="U299" s="6" t="str">
        <f>_xlfn.LET(
_xlpm.rowNo, MATCH($C299&amp;"|"&amp;
($F299+U$4),Raw_Fund!$A:$A,0),
_xlpm.colNo,
MATCH(U$3,Raw_Fund!$E$1:$AZ$1,0),
_xlpm.val,
INDEX(Raw_Fund!$E:$AZ,_xlpm.rowNo,_xlpm.colNo),
IF(ISNUMBER(_xlpm.val),_xlpm.val*$H299,""))</f>
        <v/>
      </c>
      <c r="V299" s="6" t="str">
        <f>_xlfn.LET(
_xlpm.rowNo, MATCH($C299&amp;"|"&amp;
($F299+V$4),Raw_Fund!$A:$A,0),
_xlpm.colNo,
MATCH(V$3,Raw_Fund!$E$1:$AZ$1,0),
_xlpm.val,
INDEX(Raw_Fund!$E:$AZ,_xlpm.rowNo,_xlpm.colNo),
IF(ISNUMBER(_xlpm.val),_xlpm.val*$H299,""))</f>
        <v/>
      </c>
      <c r="W299" s="6" t="str">
        <f>_xlfn.LET(
_xlpm.rowNo, MATCH($C299&amp;"|"&amp;
($F299+W$4),Raw_Fund!$A:$A,0),
_xlpm.colNo,
MATCH(W$3,Raw_Fund!$E$1:$AZ$1,0),
_xlpm.val,
INDEX(Raw_Fund!$E:$AZ,_xlpm.rowNo,_xlpm.colNo),
IF(ISNUMBER(_xlpm.val),_xlpm.val*$H299,""))</f>
        <v/>
      </c>
      <c r="X299" s="6" t="str">
        <f>_xlfn.LET(
_xlpm.rowNo, MATCH($C299&amp;"|"&amp;
($F299+X$4),Raw_Fund!$A:$A,0),
_xlpm.colNo,
MATCH(X$3,Raw_Fund!$E$1:$AZ$1,0),
_xlpm.val,
INDEX(Raw_Fund!$E:$AZ,_xlpm.rowNo,_xlpm.colNo),
IF(ISNUMBER(_xlpm.val),_xlpm.val*$H299,""))</f>
        <v/>
      </c>
      <c r="Y299" s="6" t="str">
        <f>_xlfn.LET(
_xlpm.rowNo, MATCH($C299&amp;"|"&amp;
($F299+Y$4),Raw_Fund!$A:$A,0),
_xlpm.colNo,
MATCH(Y$3,Raw_Fund!$E$1:$AZ$1,0),
_xlpm.val,
INDEX(Raw_Fund!$E:$AZ,_xlpm.rowNo,_xlpm.colNo),
IF(ISNUMBER(_xlpm.val),_xlpm.val*$H299,""))</f>
        <v/>
      </c>
      <c r="Z299" s="6" t="str">
        <f>IF($E299&lt;&gt;"Include","",_xlfn.XLOOKUP($C299,Raw_Mkt!$A:$A,Raw_Mkt!$B:$B))</f>
        <v/>
      </c>
    </row>
    <row r="300" spans="1:26" x14ac:dyDescent="0.4">
      <c r="A300" t="str">
        <f>IF(Universe!A300&lt;&gt;"",Universe!A300,"")</f>
        <v/>
      </c>
      <c r="B300" t="str">
        <f>IF(Universe!B300&lt;&gt;"",Universe!B300,"")</f>
        <v/>
      </c>
      <c r="C300" t="str">
        <f>IF(Universe!C300&lt;&gt;"",Universe!C300,"")</f>
        <v/>
      </c>
      <c r="D300" t="str">
        <f>IF(Universe!D300&lt;&gt;"",Universe!D300,"")</f>
        <v/>
      </c>
      <c r="E300" t="str">
        <f>Universe!G300</f>
        <v/>
      </c>
      <c r="F300" t="str">
        <f>IF($E300&lt;&gt;"Include","",_xlfn.LET(_xlpm.latest,_xlfn.MAXIFS(Raw_Fund!$C:$C,Raw_Fund!$B:$B,Data!$C300),IF(_xlpm.latest=0,"",_xlpm.latest)))</f>
        <v/>
      </c>
      <c r="G300" t="str">
        <f>IF($F300="","",INDEX(Raw_Fund!$E:$AZ,MATCH($C300&amp;"|"&amp;$F300,Raw_Fund!$A:$A,0),MATCH(G$3,Raw_Fund!$E$1:$AZ$1,0)))</f>
        <v/>
      </c>
      <c r="H300" t="str">
        <f t="shared" si="4"/>
        <v/>
      </c>
      <c r="I300" s="6" t="str">
        <f>_xlfn.LET(
_xlpm.rowNo, MATCH($C300&amp;"|"&amp;
($F300+I$4),Raw_Fund!$A:$A,0),
_xlpm.colNo,
MATCH(I$3,Raw_Fund!$E$1:$AZ$1,0),
_xlpm.val,
INDEX(Raw_Fund!$E:$AZ,_xlpm.rowNo,_xlpm.colNo),
IF(ISNUMBER(_xlpm.val),_xlpm.val*$H300,""))</f>
        <v/>
      </c>
      <c r="J300" s="6" t="str">
        <f>_xlfn.LET(
_xlpm.rowNo, MATCH($C300&amp;"|"&amp;
($F300+J$4),Raw_Fund!$A:$A,0),
_xlpm.colNo,
MATCH(J$3,Raw_Fund!$E$1:$AZ$1,0),
_xlpm.val,
INDEX(Raw_Fund!$E:$AZ,_xlpm.rowNo,_xlpm.colNo),
IF(ISNUMBER(_xlpm.val),_xlpm.val*$H300,""))</f>
        <v/>
      </c>
      <c r="K300" s="6" t="str">
        <f>_xlfn.LET(
_xlpm.rowNo, MATCH($C300&amp;"|"&amp;
($F300+K$4),Raw_Fund!$A:$A,0),
_xlpm.colNo,
MATCH(K$3,Raw_Fund!$E$1:$AZ$1,0),
_xlpm.val,
INDEX(Raw_Fund!$E:$AZ,_xlpm.rowNo,_xlpm.colNo),
IF(ISNUMBER(_xlpm.val),_xlpm.val*$H300,""))</f>
        <v/>
      </c>
      <c r="L300" s="6" t="str">
        <f>_xlfn.LET(
_xlpm.rowNo, MATCH($C300&amp;"|"&amp;
($F300+L$4),Raw_Fund!$A:$A,0),
_xlpm.colNo,
MATCH(L$3,Raw_Fund!$E$1:$AZ$1,0),
_xlpm.val,
INDEX(Raw_Fund!$E:$AZ,_xlpm.rowNo,_xlpm.colNo),
IF(ISNUMBER(_xlpm.val),_xlpm.val*$H300,""))</f>
        <v/>
      </c>
      <c r="M300" s="6" t="str">
        <f>_xlfn.LET(
_xlpm.rowNo, MATCH($C300&amp;"|"&amp;
($F300+M$4),Raw_Fund!$A:$A,0),
_xlpm.colNo,
MATCH(M$3,Raw_Fund!$E$1:$AZ$1,0),
_xlpm.val,
INDEX(Raw_Fund!$E:$AZ,_xlpm.rowNo,_xlpm.colNo),
IF(ISNUMBER(_xlpm.val),_xlpm.val*$H300,""))</f>
        <v/>
      </c>
      <c r="N300" s="6" t="str">
        <f>_xlfn.LET(
_xlpm.rowNo, MATCH($C300&amp;"|"&amp;
($F300+N$4),Raw_Fund!$A:$A,0),
_xlpm.colNo,
MATCH(N$3,Raw_Fund!$E$1:$AZ$1,0),
_xlpm.val,
INDEX(Raw_Fund!$E:$AZ,_xlpm.rowNo,_xlpm.colNo),
IF(ISNUMBER(_xlpm.val),_xlpm.val*$H300,""))</f>
        <v/>
      </c>
      <c r="O300" s="6" t="str">
        <f>_xlfn.LET(
_xlpm.rowNo, MATCH($C300&amp;"|"&amp;
($F300+O$4),Raw_Fund!$A:$A,0),
_xlpm.colNo,
MATCH(O$3,Raw_Fund!$E$1:$AZ$1,0),
_xlpm.val,
INDEX(Raw_Fund!$E:$AZ,_xlpm.rowNo,_xlpm.colNo),
IF(ISNUMBER(_xlpm.val),_xlpm.val*$H300,""))</f>
        <v/>
      </c>
      <c r="P300" s="6" t="str">
        <f>_xlfn.LET(
_xlpm.rowNo, MATCH($C300&amp;"|"&amp;
($F300+P$4),Raw_Fund!$A:$A,0),
_xlpm.colNo,
MATCH(P$3,Raw_Fund!$E$1:$AZ$1,0),
_xlpm.val,
INDEX(Raw_Fund!$E:$AZ,_xlpm.rowNo,_xlpm.colNo),
IF(ISNUMBER(_xlpm.val),_xlpm.val*$H300,""))</f>
        <v/>
      </c>
      <c r="Q300" s="6" t="str">
        <f>_xlfn.LET(
_xlpm.rowNo, MATCH($C300&amp;"|"&amp;
($F300+Q$4),Raw_Fund!$A:$A,0),
_xlpm.colNo,
MATCH(Q$3,Raw_Fund!$E$1:$AZ$1,0),
_xlpm.val,
INDEX(Raw_Fund!$E:$AZ,_xlpm.rowNo,_xlpm.colNo),
IF(ISNUMBER(_xlpm.val),_xlpm.val*$H300,""))</f>
        <v/>
      </c>
      <c r="R300" s="6" t="str">
        <f>_xlfn.LET(
_xlpm.rowNo, MATCH($C300&amp;"|"&amp;
($F300+R$4),Raw_Fund!$A:$A,0),
_xlpm.colNo,
MATCH(R$3,Raw_Fund!$E$1:$AZ$1,0),
_xlpm.val,
INDEX(Raw_Fund!$E:$AZ,_xlpm.rowNo,_xlpm.colNo),
IF(ISNUMBER(_xlpm.val),_xlpm.val*$H300,""))</f>
        <v/>
      </c>
      <c r="S300" s="6" t="str">
        <f>_xlfn.LET(
_xlpm.rowNo, MATCH($C300&amp;"|"&amp;
($F300+S$4),Raw_Fund!$A:$A,0),
_xlpm.colNo,
MATCH(S$3,Raw_Fund!$E$1:$AZ$1,0),
_xlpm.val,
INDEX(Raw_Fund!$E:$AZ,_xlpm.rowNo,_xlpm.colNo),
IF(ISNUMBER(_xlpm.val),_xlpm.val*$H300,""))</f>
        <v/>
      </c>
      <c r="T300" s="6" t="str">
        <f>_xlfn.LET(
_xlpm.rowNo, MATCH($C300&amp;"|"&amp;
($F300+T$4),Raw_Fund!$A:$A,0),
_xlpm.colNo,
MATCH(T$3,Raw_Fund!$E$1:$AZ$1,0),
_xlpm.val,
INDEX(Raw_Fund!$E:$AZ,_xlpm.rowNo,_xlpm.colNo),
IF(ISNUMBER(_xlpm.val),_xlpm.val*$H300,""))</f>
        <v/>
      </c>
      <c r="U300" s="6" t="str">
        <f>_xlfn.LET(
_xlpm.rowNo, MATCH($C300&amp;"|"&amp;
($F300+U$4),Raw_Fund!$A:$A,0),
_xlpm.colNo,
MATCH(U$3,Raw_Fund!$E$1:$AZ$1,0),
_xlpm.val,
INDEX(Raw_Fund!$E:$AZ,_xlpm.rowNo,_xlpm.colNo),
IF(ISNUMBER(_xlpm.val),_xlpm.val*$H300,""))</f>
        <v/>
      </c>
      <c r="V300" s="6" t="str">
        <f>_xlfn.LET(
_xlpm.rowNo, MATCH($C300&amp;"|"&amp;
($F300+V$4),Raw_Fund!$A:$A,0),
_xlpm.colNo,
MATCH(V$3,Raw_Fund!$E$1:$AZ$1,0),
_xlpm.val,
INDEX(Raw_Fund!$E:$AZ,_xlpm.rowNo,_xlpm.colNo),
IF(ISNUMBER(_xlpm.val),_xlpm.val*$H300,""))</f>
        <v/>
      </c>
      <c r="W300" s="6" t="str">
        <f>_xlfn.LET(
_xlpm.rowNo, MATCH($C300&amp;"|"&amp;
($F300+W$4),Raw_Fund!$A:$A,0),
_xlpm.colNo,
MATCH(W$3,Raw_Fund!$E$1:$AZ$1,0),
_xlpm.val,
INDEX(Raw_Fund!$E:$AZ,_xlpm.rowNo,_xlpm.colNo),
IF(ISNUMBER(_xlpm.val),_xlpm.val*$H300,""))</f>
        <v/>
      </c>
      <c r="X300" s="6" t="str">
        <f>_xlfn.LET(
_xlpm.rowNo, MATCH($C300&amp;"|"&amp;
($F300+X$4),Raw_Fund!$A:$A,0),
_xlpm.colNo,
MATCH(X$3,Raw_Fund!$E$1:$AZ$1,0),
_xlpm.val,
INDEX(Raw_Fund!$E:$AZ,_xlpm.rowNo,_xlpm.colNo),
IF(ISNUMBER(_xlpm.val),_xlpm.val*$H300,""))</f>
        <v/>
      </c>
      <c r="Y300" s="6" t="str">
        <f>_xlfn.LET(
_xlpm.rowNo, MATCH($C300&amp;"|"&amp;
($F300+Y$4),Raw_Fund!$A:$A,0),
_xlpm.colNo,
MATCH(Y$3,Raw_Fund!$E$1:$AZ$1,0),
_xlpm.val,
INDEX(Raw_Fund!$E:$AZ,_xlpm.rowNo,_xlpm.colNo),
IF(ISNUMBER(_xlpm.val),_xlpm.val*$H300,""))</f>
        <v/>
      </c>
      <c r="Z300" s="6" t="str">
        <f>IF($E300&lt;&gt;"Include","",_xlfn.XLOOKUP($C300,Raw_Mkt!$A:$A,Raw_Mkt!$B:$B))</f>
        <v/>
      </c>
    </row>
    <row r="301" spans="1:26" x14ac:dyDescent="0.4">
      <c r="A301" t="str">
        <f>IF(Universe!A301&lt;&gt;"",Universe!A301,"")</f>
        <v/>
      </c>
      <c r="B301" t="str">
        <f>IF(Universe!B301&lt;&gt;"",Universe!B301,"")</f>
        <v/>
      </c>
      <c r="C301" t="str">
        <f>IF(Universe!C301&lt;&gt;"",Universe!C301,"")</f>
        <v/>
      </c>
      <c r="D301" t="str">
        <f>IF(Universe!D301&lt;&gt;"",Universe!D301,"")</f>
        <v/>
      </c>
      <c r="E301" t="str">
        <f>Universe!G301</f>
        <v/>
      </c>
      <c r="F301" t="str">
        <f>IF($E301&lt;&gt;"Include","",_xlfn.LET(_xlpm.latest,_xlfn.MAXIFS(Raw_Fund!$C:$C,Raw_Fund!$B:$B,Data!$C301),IF(_xlpm.latest=0,"",_xlpm.latest)))</f>
        <v/>
      </c>
      <c r="G301" t="str">
        <f>IF($F301="","",INDEX(Raw_Fund!$E:$AZ,MATCH($C301&amp;"|"&amp;$F301,Raw_Fund!$A:$A,0),MATCH(G$3,Raw_Fund!$E$1:$AZ$1,0)))</f>
        <v/>
      </c>
      <c r="H301" t="str">
        <f t="shared" si="4"/>
        <v/>
      </c>
      <c r="I301" s="6" t="str">
        <f>_xlfn.LET(
_xlpm.rowNo, MATCH($C301&amp;"|"&amp;
($F301+I$4),Raw_Fund!$A:$A,0),
_xlpm.colNo,
MATCH(I$3,Raw_Fund!$E$1:$AZ$1,0),
_xlpm.val,
INDEX(Raw_Fund!$E:$AZ,_xlpm.rowNo,_xlpm.colNo),
IF(ISNUMBER(_xlpm.val),_xlpm.val*$H301,""))</f>
        <v/>
      </c>
      <c r="J301" s="6" t="str">
        <f>_xlfn.LET(
_xlpm.rowNo, MATCH($C301&amp;"|"&amp;
($F301+J$4),Raw_Fund!$A:$A,0),
_xlpm.colNo,
MATCH(J$3,Raw_Fund!$E$1:$AZ$1,0),
_xlpm.val,
INDEX(Raw_Fund!$E:$AZ,_xlpm.rowNo,_xlpm.colNo),
IF(ISNUMBER(_xlpm.val),_xlpm.val*$H301,""))</f>
        <v/>
      </c>
      <c r="K301" s="6" t="str">
        <f>_xlfn.LET(
_xlpm.rowNo, MATCH($C301&amp;"|"&amp;
($F301+K$4),Raw_Fund!$A:$A,0),
_xlpm.colNo,
MATCH(K$3,Raw_Fund!$E$1:$AZ$1,0),
_xlpm.val,
INDEX(Raw_Fund!$E:$AZ,_xlpm.rowNo,_xlpm.colNo),
IF(ISNUMBER(_xlpm.val),_xlpm.val*$H301,""))</f>
        <v/>
      </c>
      <c r="L301" s="6" t="str">
        <f>_xlfn.LET(
_xlpm.rowNo, MATCH($C301&amp;"|"&amp;
($F301+L$4),Raw_Fund!$A:$A,0),
_xlpm.colNo,
MATCH(L$3,Raw_Fund!$E$1:$AZ$1,0),
_xlpm.val,
INDEX(Raw_Fund!$E:$AZ,_xlpm.rowNo,_xlpm.colNo),
IF(ISNUMBER(_xlpm.val),_xlpm.val*$H301,""))</f>
        <v/>
      </c>
      <c r="M301" s="6" t="str">
        <f>_xlfn.LET(
_xlpm.rowNo, MATCH($C301&amp;"|"&amp;
($F301+M$4),Raw_Fund!$A:$A,0),
_xlpm.colNo,
MATCH(M$3,Raw_Fund!$E$1:$AZ$1,0),
_xlpm.val,
INDEX(Raw_Fund!$E:$AZ,_xlpm.rowNo,_xlpm.colNo),
IF(ISNUMBER(_xlpm.val),_xlpm.val*$H301,""))</f>
        <v/>
      </c>
      <c r="N301" s="6" t="str">
        <f>_xlfn.LET(
_xlpm.rowNo, MATCH($C301&amp;"|"&amp;
($F301+N$4),Raw_Fund!$A:$A,0),
_xlpm.colNo,
MATCH(N$3,Raw_Fund!$E$1:$AZ$1,0),
_xlpm.val,
INDEX(Raw_Fund!$E:$AZ,_xlpm.rowNo,_xlpm.colNo),
IF(ISNUMBER(_xlpm.val),_xlpm.val*$H301,""))</f>
        <v/>
      </c>
      <c r="O301" s="6" t="str">
        <f>_xlfn.LET(
_xlpm.rowNo, MATCH($C301&amp;"|"&amp;
($F301+O$4),Raw_Fund!$A:$A,0),
_xlpm.colNo,
MATCH(O$3,Raw_Fund!$E$1:$AZ$1,0),
_xlpm.val,
INDEX(Raw_Fund!$E:$AZ,_xlpm.rowNo,_xlpm.colNo),
IF(ISNUMBER(_xlpm.val),_xlpm.val*$H301,""))</f>
        <v/>
      </c>
      <c r="P301" s="6" t="str">
        <f>_xlfn.LET(
_xlpm.rowNo, MATCH($C301&amp;"|"&amp;
($F301+P$4),Raw_Fund!$A:$A,0),
_xlpm.colNo,
MATCH(P$3,Raw_Fund!$E$1:$AZ$1,0),
_xlpm.val,
INDEX(Raw_Fund!$E:$AZ,_xlpm.rowNo,_xlpm.colNo),
IF(ISNUMBER(_xlpm.val),_xlpm.val*$H301,""))</f>
        <v/>
      </c>
      <c r="Q301" s="6" t="str">
        <f>_xlfn.LET(
_xlpm.rowNo, MATCH($C301&amp;"|"&amp;
($F301+Q$4),Raw_Fund!$A:$A,0),
_xlpm.colNo,
MATCH(Q$3,Raw_Fund!$E$1:$AZ$1,0),
_xlpm.val,
INDEX(Raw_Fund!$E:$AZ,_xlpm.rowNo,_xlpm.colNo),
IF(ISNUMBER(_xlpm.val),_xlpm.val*$H301,""))</f>
        <v/>
      </c>
      <c r="R301" s="6" t="str">
        <f>_xlfn.LET(
_xlpm.rowNo, MATCH($C301&amp;"|"&amp;
($F301+R$4),Raw_Fund!$A:$A,0),
_xlpm.colNo,
MATCH(R$3,Raw_Fund!$E$1:$AZ$1,0),
_xlpm.val,
INDEX(Raw_Fund!$E:$AZ,_xlpm.rowNo,_xlpm.colNo),
IF(ISNUMBER(_xlpm.val),_xlpm.val*$H301,""))</f>
        <v/>
      </c>
      <c r="S301" s="6" t="str">
        <f>_xlfn.LET(
_xlpm.rowNo, MATCH($C301&amp;"|"&amp;
($F301+S$4),Raw_Fund!$A:$A,0),
_xlpm.colNo,
MATCH(S$3,Raw_Fund!$E$1:$AZ$1,0),
_xlpm.val,
INDEX(Raw_Fund!$E:$AZ,_xlpm.rowNo,_xlpm.colNo),
IF(ISNUMBER(_xlpm.val),_xlpm.val*$H301,""))</f>
        <v/>
      </c>
      <c r="T301" s="6" t="str">
        <f>_xlfn.LET(
_xlpm.rowNo, MATCH($C301&amp;"|"&amp;
($F301+T$4),Raw_Fund!$A:$A,0),
_xlpm.colNo,
MATCH(T$3,Raw_Fund!$E$1:$AZ$1,0),
_xlpm.val,
INDEX(Raw_Fund!$E:$AZ,_xlpm.rowNo,_xlpm.colNo),
IF(ISNUMBER(_xlpm.val),_xlpm.val*$H301,""))</f>
        <v/>
      </c>
      <c r="U301" s="6" t="str">
        <f>_xlfn.LET(
_xlpm.rowNo, MATCH($C301&amp;"|"&amp;
($F301+U$4),Raw_Fund!$A:$A,0),
_xlpm.colNo,
MATCH(U$3,Raw_Fund!$E$1:$AZ$1,0),
_xlpm.val,
INDEX(Raw_Fund!$E:$AZ,_xlpm.rowNo,_xlpm.colNo),
IF(ISNUMBER(_xlpm.val),_xlpm.val*$H301,""))</f>
        <v/>
      </c>
      <c r="V301" s="6" t="str">
        <f>_xlfn.LET(
_xlpm.rowNo, MATCH($C301&amp;"|"&amp;
($F301+V$4),Raw_Fund!$A:$A,0),
_xlpm.colNo,
MATCH(V$3,Raw_Fund!$E$1:$AZ$1,0),
_xlpm.val,
INDEX(Raw_Fund!$E:$AZ,_xlpm.rowNo,_xlpm.colNo),
IF(ISNUMBER(_xlpm.val),_xlpm.val*$H301,""))</f>
        <v/>
      </c>
      <c r="W301" s="6" t="str">
        <f>_xlfn.LET(
_xlpm.rowNo, MATCH($C301&amp;"|"&amp;
($F301+W$4),Raw_Fund!$A:$A,0),
_xlpm.colNo,
MATCH(W$3,Raw_Fund!$E$1:$AZ$1,0),
_xlpm.val,
INDEX(Raw_Fund!$E:$AZ,_xlpm.rowNo,_xlpm.colNo),
IF(ISNUMBER(_xlpm.val),_xlpm.val*$H301,""))</f>
        <v/>
      </c>
      <c r="X301" s="6" t="str">
        <f>_xlfn.LET(
_xlpm.rowNo, MATCH($C301&amp;"|"&amp;
($F301+X$4),Raw_Fund!$A:$A,0),
_xlpm.colNo,
MATCH(X$3,Raw_Fund!$E$1:$AZ$1,0),
_xlpm.val,
INDEX(Raw_Fund!$E:$AZ,_xlpm.rowNo,_xlpm.colNo),
IF(ISNUMBER(_xlpm.val),_xlpm.val*$H301,""))</f>
        <v/>
      </c>
      <c r="Y301" s="6" t="str">
        <f>_xlfn.LET(
_xlpm.rowNo, MATCH($C301&amp;"|"&amp;
($F301+Y$4),Raw_Fund!$A:$A,0),
_xlpm.colNo,
MATCH(Y$3,Raw_Fund!$E$1:$AZ$1,0),
_xlpm.val,
INDEX(Raw_Fund!$E:$AZ,_xlpm.rowNo,_xlpm.colNo),
IF(ISNUMBER(_xlpm.val),_xlpm.val*$H301,""))</f>
        <v/>
      </c>
      <c r="Z301" s="6" t="str">
        <f>IF($E301&lt;&gt;"Include","",_xlfn.XLOOKUP($C301,Raw_Mkt!$A:$A,Raw_Mkt!$B:$B))</f>
        <v/>
      </c>
    </row>
    <row r="302" spans="1:26" x14ac:dyDescent="0.4">
      <c r="A302" t="str">
        <f>IF(Universe!A302&lt;&gt;"",Universe!A302,"")</f>
        <v/>
      </c>
      <c r="B302" t="str">
        <f>IF(Universe!B302&lt;&gt;"",Universe!B302,"")</f>
        <v/>
      </c>
      <c r="C302" t="str">
        <f>IF(Universe!C302&lt;&gt;"",Universe!C302,"")</f>
        <v/>
      </c>
      <c r="D302" t="str">
        <f>IF(Universe!D302&lt;&gt;"",Universe!D302,"")</f>
        <v/>
      </c>
      <c r="E302" t="str">
        <f>Universe!G302</f>
        <v/>
      </c>
      <c r="F302" t="str">
        <f>IF($E302&lt;&gt;"Include","",_xlfn.LET(_xlpm.latest,_xlfn.MAXIFS(Raw_Fund!$C:$C,Raw_Fund!$B:$B,Data!$C302),IF(_xlpm.latest=0,"",_xlpm.latest)))</f>
        <v/>
      </c>
      <c r="G302" t="str">
        <f>IF($F302="","",INDEX(Raw_Fund!$E:$AZ,MATCH($C302&amp;"|"&amp;$F302,Raw_Fund!$A:$A,0),MATCH(G$3,Raw_Fund!$E$1:$AZ$1,0)))</f>
        <v/>
      </c>
      <c r="H302" t="str">
        <f t="shared" si="4"/>
        <v/>
      </c>
      <c r="I302" s="6" t="str">
        <f>_xlfn.LET(
_xlpm.rowNo, MATCH($C302&amp;"|"&amp;
($F302+I$4),Raw_Fund!$A:$A,0),
_xlpm.colNo,
MATCH(I$3,Raw_Fund!$E$1:$AZ$1,0),
_xlpm.val,
INDEX(Raw_Fund!$E:$AZ,_xlpm.rowNo,_xlpm.colNo),
IF(ISNUMBER(_xlpm.val),_xlpm.val*$H302,""))</f>
        <v/>
      </c>
      <c r="J302" s="6" t="str">
        <f>_xlfn.LET(
_xlpm.rowNo, MATCH($C302&amp;"|"&amp;
($F302+J$4),Raw_Fund!$A:$A,0),
_xlpm.colNo,
MATCH(J$3,Raw_Fund!$E$1:$AZ$1,0),
_xlpm.val,
INDEX(Raw_Fund!$E:$AZ,_xlpm.rowNo,_xlpm.colNo),
IF(ISNUMBER(_xlpm.val),_xlpm.val*$H302,""))</f>
        <v/>
      </c>
      <c r="K302" s="6" t="str">
        <f>_xlfn.LET(
_xlpm.rowNo, MATCH($C302&amp;"|"&amp;
($F302+K$4),Raw_Fund!$A:$A,0),
_xlpm.colNo,
MATCH(K$3,Raw_Fund!$E$1:$AZ$1,0),
_xlpm.val,
INDEX(Raw_Fund!$E:$AZ,_xlpm.rowNo,_xlpm.colNo),
IF(ISNUMBER(_xlpm.val),_xlpm.val*$H302,""))</f>
        <v/>
      </c>
      <c r="L302" s="6" t="str">
        <f>_xlfn.LET(
_xlpm.rowNo, MATCH($C302&amp;"|"&amp;
($F302+L$4),Raw_Fund!$A:$A,0),
_xlpm.colNo,
MATCH(L$3,Raw_Fund!$E$1:$AZ$1,0),
_xlpm.val,
INDEX(Raw_Fund!$E:$AZ,_xlpm.rowNo,_xlpm.colNo),
IF(ISNUMBER(_xlpm.val),_xlpm.val*$H302,""))</f>
        <v/>
      </c>
      <c r="M302" s="6" t="str">
        <f>_xlfn.LET(
_xlpm.rowNo, MATCH($C302&amp;"|"&amp;
($F302+M$4),Raw_Fund!$A:$A,0),
_xlpm.colNo,
MATCH(M$3,Raw_Fund!$E$1:$AZ$1,0),
_xlpm.val,
INDEX(Raw_Fund!$E:$AZ,_xlpm.rowNo,_xlpm.colNo),
IF(ISNUMBER(_xlpm.val),_xlpm.val*$H302,""))</f>
        <v/>
      </c>
      <c r="N302" s="6" t="str">
        <f>_xlfn.LET(
_xlpm.rowNo, MATCH($C302&amp;"|"&amp;
($F302+N$4),Raw_Fund!$A:$A,0),
_xlpm.colNo,
MATCH(N$3,Raw_Fund!$E$1:$AZ$1,0),
_xlpm.val,
INDEX(Raw_Fund!$E:$AZ,_xlpm.rowNo,_xlpm.colNo),
IF(ISNUMBER(_xlpm.val),_xlpm.val*$H302,""))</f>
        <v/>
      </c>
      <c r="O302" s="6" t="str">
        <f>_xlfn.LET(
_xlpm.rowNo, MATCH($C302&amp;"|"&amp;
($F302+O$4),Raw_Fund!$A:$A,0),
_xlpm.colNo,
MATCH(O$3,Raw_Fund!$E$1:$AZ$1,0),
_xlpm.val,
INDEX(Raw_Fund!$E:$AZ,_xlpm.rowNo,_xlpm.colNo),
IF(ISNUMBER(_xlpm.val),_xlpm.val*$H302,""))</f>
        <v/>
      </c>
      <c r="P302" s="6" t="str">
        <f>_xlfn.LET(
_xlpm.rowNo, MATCH($C302&amp;"|"&amp;
($F302+P$4),Raw_Fund!$A:$A,0),
_xlpm.colNo,
MATCH(P$3,Raw_Fund!$E$1:$AZ$1,0),
_xlpm.val,
INDEX(Raw_Fund!$E:$AZ,_xlpm.rowNo,_xlpm.colNo),
IF(ISNUMBER(_xlpm.val),_xlpm.val*$H302,""))</f>
        <v/>
      </c>
      <c r="Q302" s="6" t="str">
        <f>_xlfn.LET(
_xlpm.rowNo, MATCH($C302&amp;"|"&amp;
($F302+Q$4),Raw_Fund!$A:$A,0),
_xlpm.colNo,
MATCH(Q$3,Raw_Fund!$E$1:$AZ$1,0),
_xlpm.val,
INDEX(Raw_Fund!$E:$AZ,_xlpm.rowNo,_xlpm.colNo),
IF(ISNUMBER(_xlpm.val),_xlpm.val*$H302,""))</f>
        <v/>
      </c>
      <c r="R302" s="6" t="str">
        <f>_xlfn.LET(
_xlpm.rowNo, MATCH($C302&amp;"|"&amp;
($F302+R$4),Raw_Fund!$A:$A,0),
_xlpm.colNo,
MATCH(R$3,Raw_Fund!$E$1:$AZ$1,0),
_xlpm.val,
INDEX(Raw_Fund!$E:$AZ,_xlpm.rowNo,_xlpm.colNo),
IF(ISNUMBER(_xlpm.val),_xlpm.val*$H302,""))</f>
        <v/>
      </c>
      <c r="S302" s="6" t="str">
        <f>_xlfn.LET(
_xlpm.rowNo, MATCH($C302&amp;"|"&amp;
($F302+S$4),Raw_Fund!$A:$A,0),
_xlpm.colNo,
MATCH(S$3,Raw_Fund!$E$1:$AZ$1,0),
_xlpm.val,
INDEX(Raw_Fund!$E:$AZ,_xlpm.rowNo,_xlpm.colNo),
IF(ISNUMBER(_xlpm.val),_xlpm.val*$H302,""))</f>
        <v/>
      </c>
      <c r="T302" s="6" t="str">
        <f>_xlfn.LET(
_xlpm.rowNo, MATCH($C302&amp;"|"&amp;
($F302+T$4),Raw_Fund!$A:$A,0),
_xlpm.colNo,
MATCH(T$3,Raw_Fund!$E$1:$AZ$1,0),
_xlpm.val,
INDEX(Raw_Fund!$E:$AZ,_xlpm.rowNo,_xlpm.colNo),
IF(ISNUMBER(_xlpm.val),_xlpm.val*$H302,""))</f>
        <v/>
      </c>
      <c r="U302" s="6" t="str">
        <f>_xlfn.LET(
_xlpm.rowNo, MATCH($C302&amp;"|"&amp;
($F302+U$4),Raw_Fund!$A:$A,0),
_xlpm.colNo,
MATCH(U$3,Raw_Fund!$E$1:$AZ$1,0),
_xlpm.val,
INDEX(Raw_Fund!$E:$AZ,_xlpm.rowNo,_xlpm.colNo),
IF(ISNUMBER(_xlpm.val),_xlpm.val*$H302,""))</f>
        <v/>
      </c>
      <c r="V302" s="6" t="str">
        <f>_xlfn.LET(
_xlpm.rowNo, MATCH($C302&amp;"|"&amp;
($F302+V$4),Raw_Fund!$A:$A,0),
_xlpm.colNo,
MATCH(V$3,Raw_Fund!$E$1:$AZ$1,0),
_xlpm.val,
INDEX(Raw_Fund!$E:$AZ,_xlpm.rowNo,_xlpm.colNo),
IF(ISNUMBER(_xlpm.val),_xlpm.val*$H302,""))</f>
        <v/>
      </c>
      <c r="W302" s="6" t="str">
        <f>_xlfn.LET(
_xlpm.rowNo, MATCH($C302&amp;"|"&amp;
($F302+W$4),Raw_Fund!$A:$A,0),
_xlpm.colNo,
MATCH(W$3,Raw_Fund!$E$1:$AZ$1,0),
_xlpm.val,
INDEX(Raw_Fund!$E:$AZ,_xlpm.rowNo,_xlpm.colNo),
IF(ISNUMBER(_xlpm.val),_xlpm.val*$H302,""))</f>
        <v/>
      </c>
      <c r="X302" s="6" t="str">
        <f>_xlfn.LET(
_xlpm.rowNo, MATCH($C302&amp;"|"&amp;
($F302+X$4),Raw_Fund!$A:$A,0),
_xlpm.colNo,
MATCH(X$3,Raw_Fund!$E$1:$AZ$1,0),
_xlpm.val,
INDEX(Raw_Fund!$E:$AZ,_xlpm.rowNo,_xlpm.colNo),
IF(ISNUMBER(_xlpm.val),_xlpm.val*$H302,""))</f>
        <v/>
      </c>
      <c r="Y302" s="6" t="str">
        <f>_xlfn.LET(
_xlpm.rowNo, MATCH($C302&amp;"|"&amp;
($F302+Y$4),Raw_Fund!$A:$A,0),
_xlpm.colNo,
MATCH(Y$3,Raw_Fund!$E$1:$AZ$1,0),
_xlpm.val,
INDEX(Raw_Fund!$E:$AZ,_xlpm.rowNo,_xlpm.colNo),
IF(ISNUMBER(_xlpm.val),_xlpm.val*$H302,""))</f>
        <v/>
      </c>
      <c r="Z302" s="6" t="str">
        <f>IF($E302&lt;&gt;"Include","",_xlfn.XLOOKUP($C302,Raw_Mkt!$A:$A,Raw_Mkt!$B:$B))</f>
        <v/>
      </c>
    </row>
    <row r="303" spans="1:26" x14ac:dyDescent="0.4">
      <c r="A303" t="str">
        <f>IF(Universe!A303&lt;&gt;"",Universe!A303,"")</f>
        <v/>
      </c>
      <c r="B303" t="str">
        <f>IF(Universe!B303&lt;&gt;"",Universe!B303,"")</f>
        <v/>
      </c>
      <c r="C303" t="str">
        <f>IF(Universe!C303&lt;&gt;"",Universe!C303,"")</f>
        <v/>
      </c>
      <c r="D303" t="str">
        <f>IF(Universe!D303&lt;&gt;"",Universe!D303,"")</f>
        <v/>
      </c>
      <c r="E303" t="str">
        <f>Universe!G303</f>
        <v/>
      </c>
      <c r="F303" t="str">
        <f>IF($E303&lt;&gt;"Include","",_xlfn.LET(_xlpm.latest,_xlfn.MAXIFS(Raw_Fund!$C:$C,Raw_Fund!$B:$B,Data!$C303),IF(_xlpm.latest=0,"",_xlpm.latest)))</f>
        <v/>
      </c>
      <c r="G303" t="str">
        <f>IF($F303="","",INDEX(Raw_Fund!$E:$AZ,MATCH($C303&amp;"|"&amp;$F303,Raw_Fund!$A:$A,0),MATCH(G$3,Raw_Fund!$E$1:$AZ$1,0)))</f>
        <v/>
      </c>
      <c r="H303" t="str">
        <f t="shared" si="4"/>
        <v/>
      </c>
      <c r="I303" s="6" t="str">
        <f>_xlfn.LET(
_xlpm.rowNo, MATCH($C303&amp;"|"&amp;
($F303+I$4),Raw_Fund!$A:$A,0),
_xlpm.colNo,
MATCH(I$3,Raw_Fund!$E$1:$AZ$1,0),
_xlpm.val,
INDEX(Raw_Fund!$E:$AZ,_xlpm.rowNo,_xlpm.colNo),
IF(ISNUMBER(_xlpm.val),_xlpm.val*$H303,""))</f>
        <v/>
      </c>
      <c r="J303" s="6" t="str">
        <f>_xlfn.LET(
_xlpm.rowNo, MATCH($C303&amp;"|"&amp;
($F303+J$4),Raw_Fund!$A:$A,0),
_xlpm.colNo,
MATCH(J$3,Raw_Fund!$E$1:$AZ$1,0),
_xlpm.val,
INDEX(Raw_Fund!$E:$AZ,_xlpm.rowNo,_xlpm.colNo),
IF(ISNUMBER(_xlpm.val),_xlpm.val*$H303,""))</f>
        <v/>
      </c>
      <c r="K303" s="6" t="str">
        <f>_xlfn.LET(
_xlpm.rowNo, MATCH($C303&amp;"|"&amp;
($F303+K$4),Raw_Fund!$A:$A,0),
_xlpm.colNo,
MATCH(K$3,Raw_Fund!$E$1:$AZ$1,0),
_xlpm.val,
INDEX(Raw_Fund!$E:$AZ,_xlpm.rowNo,_xlpm.colNo),
IF(ISNUMBER(_xlpm.val),_xlpm.val*$H303,""))</f>
        <v/>
      </c>
      <c r="L303" s="6" t="str">
        <f>_xlfn.LET(
_xlpm.rowNo, MATCH($C303&amp;"|"&amp;
($F303+L$4),Raw_Fund!$A:$A,0),
_xlpm.colNo,
MATCH(L$3,Raw_Fund!$E$1:$AZ$1,0),
_xlpm.val,
INDEX(Raw_Fund!$E:$AZ,_xlpm.rowNo,_xlpm.colNo),
IF(ISNUMBER(_xlpm.val),_xlpm.val*$H303,""))</f>
        <v/>
      </c>
      <c r="M303" s="6" t="str">
        <f>_xlfn.LET(
_xlpm.rowNo, MATCH($C303&amp;"|"&amp;
($F303+M$4),Raw_Fund!$A:$A,0),
_xlpm.colNo,
MATCH(M$3,Raw_Fund!$E$1:$AZ$1,0),
_xlpm.val,
INDEX(Raw_Fund!$E:$AZ,_xlpm.rowNo,_xlpm.colNo),
IF(ISNUMBER(_xlpm.val),_xlpm.val*$H303,""))</f>
        <v/>
      </c>
      <c r="N303" s="6" t="str">
        <f>_xlfn.LET(
_xlpm.rowNo, MATCH($C303&amp;"|"&amp;
($F303+N$4),Raw_Fund!$A:$A,0),
_xlpm.colNo,
MATCH(N$3,Raw_Fund!$E$1:$AZ$1,0),
_xlpm.val,
INDEX(Raw_Fund!$E:$AZ,_xlpm.rowNo,_xlpm.colNo),
IF(ISNUMBER(_xlpm.val),_xlpm.val*$H303,""))</f>
        <v/>
      </c>
      <c r="O303" s="6" t="str">
        <f>_xlfn.LET(
_xlpm.rowNo, MATCH($C303&amp;"|"&amp;
($F303+O$4),Raw_Fund!$A:$A,0),
_xlpm.colNo,
MATCH(O$3,Raw_Fund!$E$1:$AZ$1,0),
_xlpm.val,
INDEX(Raw_Fund!$E:$AZ,_xlpm.rowNo,_xlpm.colNo),
IF(ISNUMBER(_xlpm.val),_xlpm.val*$H303,""))</f>
        <v/>
      </c>
      <c r="P303" s="6" t="str">
        <f>_xlfn.LET(
_xlpm.rowNo, MATCH($C303&amp;"|"&amp;
($F303+P$4),Raw_Fund!$A:$A,0),
_xlpm.colNo,
MATCH(P$3,Raw_Fund!$E$1:$AZ$1,0),
_xlpm.val,
INDEX(Raw_Fund!$E:$AZ,_xlpm.rowNo,_xlpm.colNo),
IF(ISNUMBER(_xlpm.val),_xlpm.val*$H303,""))</f>
        <v/>
      </c>
      <c r="Q303" s="6" t="str">
        <f>_xlfn.LET(
_xlpm.rowNo, MATCH($C303&amp;"|"&amp;
($F303+Q$4),Raw_Fund!$A:$A,0),
_xlpm.colNo,
MATCH(Q$3,Raw_Fund!$E$1:$AZ$1,0),
_xlpm.val,
INDEX(Raw_Fund!$E:$AZ,_xlpm.rowNo,_xlpm.colNo),
IF(ISNUMBER(_xlpm.val),_xlpm.val*$H303,""))</f>
        <v/>
      </c>
      <c r="R303" s="6" t="str">
        <f>_xlfn.LET(
_xlpm.rowNo, MATCH($C303&amp;"|"&amp;
($F303+R$4),Raw_Fund!$A:$A,0),
_xlpm.colNo,
MATCH(R$3,Raw_Fund!$E$1:$AZ$1,0),
_xlpm.val,
INDEX(Raw_Fund!$E:$AZ,_xlpm.rowNo,_xlpm.colNo),
IF(ISNUMBER(_xlpm.val),_xlpm.val*$H303,""))</f>
        <v/>
      </c>
      <c r="S303" s="6" t="str">
        <f>_xlfn.LET(
_xlpm.rowNo, MATCH($C303&amp;"|"&amp;
($F303+S$4),Raw_Fund!$A:$A,0),
_xlpm.colNo,
MATCH(S$3,Raw_Fund!$E$1:$AZ$1,0),
_xlpm.val,
INDEX(Raw_Fund!$E:$AZ,_xlpm.rowNo,_xlpm.colNo),
IF(ISNUMBER(_xlpm.val),_xlpm.val*$H303,""))</f>
        <v/>
      </c>
      <c r="T303" s="6" t="str">
        <f>_xlfn.LET(
_xlpm.rowNo, MATCH($C303&amp;"|"&amp;
($F303+T$4),Raw_Fund!$A:$A,0),
_xlpm.colNo,
MATCH(T$3,Raw_Fund!$E$1:$AZ$1,0),
_xlpm.val,
INDEX(Raw_Fund!$E:$AZ,_xlpm.rowNo,_xlpm.colNo),
IF(ISNUMBER(_xlpm.val),_xlpm.val*$H303,""))</f>
        <v/>
      </c>
      <c r="U303" s="6" t="str">
        <f>_xlfn.LET(
_xlpm.rowNo, MATCH($C303&amp;"|"&amp;
($F303+U$4),Raw_Fund!$A:$A,0),
_xlpm.colNo,
MATCH(U$3,Raw_Fund!$E$1:$AZ$1,0),
_xlpm.val,
INDEX(Raw_Fund!$E:$AZ,_xlpm.rowNo,_xlpm.colNo),
IF(ISNUMBER(_xlpm.val),_xlpm.val*$H303,""))</f>
        <v/>
      </c>
      <c r="V303" s="6" t="str">
        <f>_xlfn.LET(
_xlpm.rowNo, MATCH($C303&amp;"|"&amp;
($F303+V$4),Raw_Fund!$A:$A,0),
_xlpm.colNo,
MATCH(V$3,Raw_Fund!$E$1:$AZ$1,0),
_xlpm.val,
INDEX(Raw_Fund!$E:$AZ,_xlpm.rowNo,_xlpm.colNo),
IF(ISNUMBER(_xlpm.val),_xlpm.val*$H303,""))</f>
        <v/>
      </c>
      <c r="W303" s="6" t="str">
        <f>_xlfn.LET(
_xlpm.rowNo, MATCH($C303&amp;"|"&amp;
($F303+W$4),Raw_Fund!$A:$A,0),
_xlpm.colNo,
MATCH(W$3,Raw_Fund!$E$1:$AZ$1,0),
_xlpm.val,
INDEX(Raw_Fund!$E:$AZ,_xlpm.rowNo,_xlpm.colNo),
IF(ISNUMBER(_xlpm.val),_xlpm.val*$H303,""))</f>
        <v/>
      </c>
      <c r="X303" s="6" t="str">
        <f>_xlfn.LET(
_xlpm.rowNo, MATCH($C303&amp;"|"&amp;
($F303+X$4),Raw_Fund!$A:$A,0),
_xlpm.colNo,
MATCH(X$3,Raw_Fund!$E$1:$AZ$1,0),
_xlpm.val,
INDEX(Raw_Fund!$E:$AZ,_xlpm.rowNo,_xlpm.colNo),
IF(ISNUMBER(_xlpm.val),_xlpm.val*$H303,""))</f>
        <v/>
      </c>
      <c r="Y303" s="6" t="str">
        <f>_xlfn.LET(
_xlpm.rowNo, MATCH($C303&amp;"|"&amp;
($F303+Y$4),Raw_Fund!$A:$A,0),
_xlpm.colNo,
MATCH(Y$3,Raw_Fund!$E$1:$AZ$1,0),
_xlpm.val,
INDEX(Raw_Fund!$E:$AZ,_xlpm.rowNo,_xlpm.colNo),
IF(ISNUMBER(_xlpm.val),_xlpm.val*$H303,""))</f>
        <v/>
      </c>
      <c r="Z303" s="6" t="str">
        <f>IF($E303&lt;&gt;"Include","",_xlfn.XLOOKUP($C303,Raw_Mkt!$A:$A,Raw_Mkt!$B:$B))</f>
        <v/>
      </c>
    </row>
    <row r="304" spans="1:26" x14ac:dyDescent="0.4">
      <c r="A304" t="str">
        <f>IF(Universe!A304&lt;&gt;"",Universe!A304,"")</f>
        <v/>
      </c>
      <c r="B304" t="str">
        <f>IF(Universe!B304&lt;&gt;"",Universe!B304,"")</f>
        <v/>
      </c>
      <c r="C304" t="str">
        <f>IF(Universe!C304&lt;&gt;"",Universe!C304,"")</f>
        <v/>
      </c>
      <c r="D304" t="str">
        <f>IF(Universe!D304&lt;&gt;"",Universe!D304,"")</f>
        <v/>
      </c>
      <c r="E304" t="str">
        <f>Universe!G304</f>
        <v/>
      </c>
      <c r="F304" t="str">
        <f>IF($E304&lt;&gt;"Include","",_xlfn.LET(_xlpm.latest,_xlfn.MAXIFS(Raw_Fund!$C:$C,Raw_Fund!$B:$B,Data!$C304),IF(_xlpm.latest=0,"",_xlpm.latest)))</f>
        <v/>
      </c>
      <c r="G304" t="str">
        <f>IF($F304="","",INDEX(Raw_Fund!$E:$AZ,MATCH($C304&amp;"|"&amp;$F304,Raw_Fund!$A:$A,0),MATCH(G$3,Raw_Fund!$E$1:$AZ$1,0)))</f>
        <v/>
      </c>
      <c r="H304" t="str">
        <f t="shared" si="4"/>
        <v/>
      </c>
      <c r="I304" s="6" t="str">
        <f>_xlfn.LET(
_xlpm.rowNo, MATCH($C304&amp;"|"&amp;
($F304+I$4),Raw_Fund!$A:$A,0),
_xlpm.colNo,
MATCH(I$3,Raw_Fund!$E$1:$AZ$1,0),
_xlpm.val,
INDEX(Raw_Fund!$E:$AZ,_xlpm.rowNo,_xlpm.colNo),
IF(ISNUMBER(_xlpm.val),_xlpm.val*$H304,""))</f>
        <v/>
      </c>
      <c r="J304" s="6" t="str">
        <f>_xlfn.LET(
_xlpm.rowNo, MATCH($C304&amp;"|"&amp;
($F304+J$4),Raw_Fund!$A:$A,0),
_xlpm.colNo,
MATCH(J$3,Raw_Fund!$E$1:$AZ$1,0),
_xlpm.val,
INDEX(Raw_Fund!$E:$AZ,_xlpm.rowNo,_xlpm.colNo),
IF(ISNUMBER(_xlpm.val),_xlpm.val*$H304,""))</f>
        <v/>
      </c>
      <c r="K304" s="6" t="str">
        <f>_xlfn.LET(
_xlpm.rowNo, MATCH($C304&amp;"|"&amp;
($F304+K$4),Raw_Fund!$A:$A,0),
_xlpm.colNo,
MATCH(K$3,Raw_Fund!$E$1:$AZ$1,0),
_xlpm.val,
INDEX(Raw_Fund!$E:$AZ,_xlpm.rowNo,_xlpm.colNo),
IF(ISNUMBER(_xlpm.val),_xlpm.val*$H304,""))</f>
        <v/>
      </c>
      <c r="L304" s="6" t="str">
        <f>_xlfn.LET(
_xlpm.rowNo, MATCH($C304&amp;"|"&amp;
($F304+L$4),Raw_Fund!$A:$A,0),
_xlpm.colNo,
MATCH(L$3,Raw_Fund!$E$1:$AZ$1,0),
_xlpm.val,
INDEX(Raw_Fund!$E:$AZ,_xlpm.rowNo,_xlpm.colNo),
IF(ISNUMBER(_xlpm.val),_xlpm.val*$H304,""))</f>
        <v/>
      </c>
      <c r="M304" s="6" t="str">
        <f>_xlfn.LET(
_xlpm.rowNo, MATCH($C304&amp;"|"&amp;
($F304+M$4),Raw_Fund!$A:$A,0),
_xlpm.colNo,
MATCH(M$3,Raw_Fund!$E$1:$AZ$1,0),
_xlpm.val,
INDEX(Raw_Fund!$E:$AZ,_xlpm.rowNo,_xlpm.colNo),
IF(ISNUMBER(_xlpm.val),_xlpm.val*$H304,""))</f>
        <v/>
      </c>
      <c r="N304" s="6" t="str">
        <f>_xlfn.LET(
_xlpm.rowNo, MATCH($C304&amp;"|"&amp;
($F304+N$4),Raw_Fund!$A:$A,0),
_xlpm.colNo,
MATCH(N$3,Raw_Fund!$E$1:$AZ$1,0),
_xlpm.val,
INDEX(Raw_Fund!$E:$AZ,_xlpm.rowNo,_xlpm.colNo),
IF(ISNUMBER(_xlpm.val),_xlpm.val*$H304,""))</f>
        <v/>
      </c>
      <c r="O304" s="6" t="str">
        <f>_xlfn.LET(
_xlpm.rowNo, MATCH($C304&amp;"|"&amp;
($F304+O$4),Raw_Fund!$A:$A,0),
_xlpm.colNo,
MATCH(O$3,Raw_Fund!$E$1:$AZ$1,0),
_xlpm.val,
INDEX(Raw_Fund!$E:$AZ,_xlpm.rowNo,_xlpm.colNo),
IF(ISNUMBER(_xlpm.val),_xlpm.val*$H304,""))</f>
        <v/>
      </c>
      <c r="P304" s="6" t="str">
        <f>_xlfn.LET(
_xlpm.rowNo, MATCH($C304&amp;"|"&amp;
($F304+P$4),Raw_Fund!$A:$A,0),
_xlpm.colNo,
MATCH(P$3,Raw_Fund!$E$1:$AZ$1,0),
_xlpm.val,
INDEX(Raw_Fund!$E:$AZ,_xlpm.rowNo,_xlpm.colNo),
IF(ISNUMBER(_xlpm.val),_xlpm.val*$H304,""))</f>
        <v/>
      </c>
      <c r="Q304" s="6" t="str">
        <f>_xlfn.LET(
_xlpm.rowNo, MATCH($C304&amp;"|"&amp;
($F304+Q$4),Raw_Fund!$A:$A,0),
_xlpm.colNo,
MATCH(Q$3,Raw_Fund!$E$1:$AZ$1,0),
_xlpm.val,
INDEX(Raw_Fund!$E:$AZ,_xlpm.rowNo,_xlpm.colNo),
IF(ISNUMBER(_xlpm.val),_xlpm.val*$H304,""))</f>
        <v/>
      </c>
      <c r="R304" s="6" t="str">
        <f>_xlfn.LET(
_xlpm.rowNo, MATCH($C304&amp;"|"&amp;
($F304+R$4),Raw_Fund!$A:$A,0),
_xlpm.colNo,
MATCH(R$3,Raw_Fund!$E$1:$AZ$1,0),
_xlpm.val,
INDEX(Raw_Fund!$E:$AZ,_xlpm.rowNo,_xlpm.colNo),
IF(ISNUMBER(_xlpm.val),_xlpm.val*$H304,""))</f>
        <v/>
      </c>
      <c r="S304" s="6" t="str">
        <f>_xlfn.LET(
_xlpm.rowNo, MATCH($C304&amp;"|"&amp;
($F304+S$4),Raw_Fund!$A:$A,0),
_xlpm.colNo,
MATCH(S$3,Raw_Fund!$E$1:$AZ$1,0),
_xlpm.val,
INDEX(Raw_Fund!$E:$AZ,_xlpm.rowNo,_xlpm.colNo),
IF(ISNUMBER(_xlpm.val),_xlpm.val*$H304,""))</f>
        <v/>
      </c>
      <c r="T304" s="6" t="str">
        <f>_xlfn.LET(
_xlpm.rowNo, MATCH($C304&amp;"|"&amp;
($F304+T$4),Raw_Fund!$A:$A,0),
_xlpm.colNo,
MATCH(T$3,Raw_Fund!$E$1:$AZ$1,0),
_xlpm.val,
INDEX(Raw_Fund!$E:$AZ,_xlpm.rowNo,_xlpm.colNo),
IF(ISNUMBER(_xlpm.val),_xlpm.val*$H304,""))</f>
        <v/>
      </c>
      <c r="U304" s="6" t="str">
        <f>_xlfn.LET(
_xlpm.rowNo, MATCH($C304&amp;"|"&amp;
($F304+U$4),Raw_Fund!$A:$A,0),
_xlpm.colNo,
MATCH(U$3,Raw_Fund!$E$1:$AZ$1,0),
_xlpm.val,
INDEX(Raw_Fund!$E:$AZ,_xlpm.rowNo,_xlpm.colNo),
IF(ISNUMBER(_xlpm.val),_xlpm.val*$H304,""))</f>
        <v/>
      </c>
      <c r="V304" s="6" t="str">
        <f>_xlfn.LET(
_xlpm.rowNo, MATCH($C304&amp;"|"&amp;
($F304+V$4),Raw_Fund!$A:$A,0),
_xlpm.colNo,
MATCH(V$3,Raw_Fund!$E$1:$AZ$1,0),
_xlpm.val,
INDEX(Raw_Fund!$E:$AZ,_xlpm.rowNo,_xlpm.colNo),
IF(ISNUMBER(_xlpm.val),_xlpm.val*$H304,""))</f>
        <v/>
      </c>
      <c r="W304" s="6" t="str">
        <f>_xlfn.LET(
_xlpm.rowNo, MATCH($C304&amp;"|"&amp;
($F304+W$4),Raw_Fund!$A:$A,0),
_xlpm.colNo,
MATCH(W$3,Raw_Fund!$E$1:$AZ$1,0),
_xlpm.val,
INDEX(Raw_Fund!$E:$AZ,_xlpm.rowNo,_xlpm.colNo),
IF(ISNUMBER(_xlpm.val),_xlpm.val*$H304,""))</f>
        <v/>
      </c>
      <c r="X304" s="6" t="str">
        <f>_xlfn.LET(
_xlpm.rowNo, MATCH($C304&amp;"|"&amp;
($F304+X$4),Raw_Fund!$A:$A,0),
_xlpm.colNo,
MATCH(X$3,Raw_Fund!$E$1:$AZ$1,0),
_xlpm.val,
INDEX(Raw_Fund!$E:$AZ,_xlpm.rowNo,_xlpm.colNo),
IF(ISNUMBER(_xlpm.val),_xlpm.val*$H304,""))</f>
        <v/>
      </c>
      <c r="Y304" s="6" t="str">
        <f>_xlfn.LET(
_xlpm.rowNo, MATCH($C304&amp;"|"&amp;
($F304+Y$4),Raw_Fund!$A:$A,0),
_xlpm.colNo,
MATCH(Y$3,Raw_Fund!$E$1:$AZ$1,0),
_xlpm.val,
INDEX(Raw_Fund!$E:$AZ,_xlpm.rowNo,_xlpm.colNo),
IF(ISNUMBER(_xlpm.val),_xlpm.val*$H304,""))</f>
        <v/>
      </c>
      <c r="Z304" s="6" t="str">
        <f>IF($E304&lt;&gt;"Include","",_xlfn.XLOOKUP($C304,Raw_Mkt!$A:$A,Raw_Mkt!$B:$B))</f>
        <v/>
      </c>
    </row>
    <row r="305" spans="1:26" x14ac:dyDescent="0.4">
      <c r="A305" t="str">
        <f>IF(Universe!A305&lt;&gt;"",Universe!A305,"")</f>
        <v/>
      </c>
      <c r="B305" t="str">
        <f>IF(Universe!B305&lt;&gt;"",Universe!B305,"")</f>
        <v/>
      </c>
      <c r="C305" t="str">
        <f>IF(Universe!C305&lt;&gt;"",Universe!C305,"")</f>
        <v/>
      </c>
      <c r="D305" t="str">
        <f>IF(Universe!D305&lt;&gt;"",Universe!D305,"")</f>
        <v/>
      </c>
      <c r="E305" t="str">
        <f>Universe!G305</f>
        <v/>
      </c>
      <c r="F305" t="str">
        <f>IF($E305&lt;&gt;"Include","",_xlfn.LET(_xlpm.latest,_xlfn.MAXIFS(Raw_Fund!$C:$C,Raw_Fund!$B:$B,Data!$C305),IF(_xlpm.latest=0,"",_xlpm.latest)))</f>
        <v/>
      </c>
      <c r="G305" t="str">
        <f>IF($F305="","",INDEX(Raw_Fund!$E:$AZ,MATCH($C305&amp;"|"&amp;$F305,Raw_Fund!$A:$A,0),MATCH(G$3,Raw_Fund!$E$1:$AZ$1,0)))</f>
        <v/>
      </c>
      <c r="H305" t="str">
        <f t="shared" si="4"/>
        <v/>
      </c>
      <c r="I305" s="6" t="str">
        <f>_xlfn.LET(
_xlpm.rowNo, MATCH($C305&amp;"|"&amp;
($F305+I$4),Raw_Fund!$A:$A,0),
_xlpm.colNo,
MATCH(I$3,Raw_Fund!$E$1:$AZ$1,0),
_xlpm.val,
INDEX(Raw_Fund!$E:$AZ,_xlpm.rowNo,_xlpm.colNo),
IF(ISNUMBER(_xlpm.val),_xlpm.val*$H305,""))</f>
        <v/>
      </c>
      <c r="J305" s="6" t="str">
        <f>_xlfn.LET(
_xlpm.rowNo, MATCH($C305&amp;"|"&amp;
($F305+J$4),Raw_Fund!$A:$A,0),
_xlpm.colNo,
MATCH(J$3,Raw_Fund!$E$1:$AZ$1,0),
_xlpm.val,
INDEX(Raw_Fund!$E:$AZ,_xlpm.rowNo,_xlpm.colNo),
IF(ISNUMBER(_xlpm.val),_xlpm.val*$H305,""))</f>
        <v/>
      </c>
      <c r="K305" s="6" t="str">
        <f>_xlfn.LET(
_xlpm.rowNo, MATCH($C305&amp;"|"&amp;
($F305+K$4),Raw_Fund!$A:$A,0),
_xlpm.colNo,
MATCH(K$3,Raw_Fund!$E$1:$AZ$1,0),
_xlpm.val,
INDEX(Raw_Fund!$E:$AZ,_xlpm.rowNo,_xlpm.colNo),
IF(ISNUMBER(_xlpm.val),_xlpm.val*$H305,""))</f>
        <v/>
      </c>
      <c r="L305" s="6" t="str">
        <f>_xlfn.LET(
_xlpm.rowNo, MATCH($C305&amp;"|"&amp;
($F305+L$4),Raw_Fund!$A:$A,0),
_xlpm.colNo,
MATCH(L$3,Raw_Fund!$E$1:$AZ$1,0),
_xlpm.val,
INDEX(Raw_Fund!$E:$AZ,_xlpm.rowNo,_xlpm.colNo),
IF(ISNUMBER(_xlpm.val),_xlpm.val*$H305,""))</f>
        <v/>
      </c>
      <c r="M305" s="6" t="str">
        <f>_xlfn.LET(
_xlpm.rowNo, MATCH($C305&amp;"|"&amp;
($F305+M$4),Raw_Fund!$A:$A,0),
_xlpm.colNo,
MATCH(M$3,Raw_Fund!$E$1:$AZ$1,0),
_xlpm.val,
INDEX(Raw_Fund!$E:$AZ,_xlpm.rowNo,_xlpm.colNo),
IF(ISNUMBER(_xlpm.val),_xlpm.val*$H305,""))</f>
        <v/>
      </c>
      <c r="N305" s="6" t="str">
        <f>_xlfn.LET(
_xlpm.rowNo, MATCH($C305&amp;"|"&amp;
($F305+N$4),Raw_Fund!$A:$A,0),
_xlpm.colNo,
MATCH(N$3,Raw_Fund!$E$1:$AZ$1,0),
_xlpm.val,
INDEX(Raw_Fund!$E:$AZ,_xlpm.rowNo,_xlpm.colNo),
IF(ISNUMBER(_xlpm.val),_xlpm.val*$H305,""))</f>
        <v/>
      </c>
      <c r="O305" s="6" t="str">
        <f>_xlfn.LET(
_xlpm.rowNo, MATCH($C305&amp;"|"&amp;
($F305+O$4),Raw_Fund!$A:$A,0),
_xlpm.colNo,
MATCH(O$3,Raw_Fund!$E$1:$AZ$1,0),
_xlpm.val,
INDEX(Raw_Fund!$E:$AZ,_xlpm.rowNo,_xlpm.colNo),
IF(ISNUMBER(_xlpm.val),_xlpm.val*$H305,""))</f>
        <v/>
      </c>
      <c r="P305" s="6" t="str">
        <f>_xlfn.LET(
_xlpm.rowNo, MATCH($C305&amp;"|"&amp;
($F305+P$4),Raw_Fund!$A:$A,0),
_xlpm.colNo,
MATCH(P$3,Raw_Fund!$E$1:$AZ$1,0),
_xlpm.val,
INDEX(Raw_Fund!$E:$AZ,_xlpm.rowNo,_xlpm.colNo),
IF(ISNUMBER(_xlpm.val),_xlpm.val*$H305,""))</f>
        <v/>
      </c>
      <c r="Q305" s="6" t="str">
        <f>_xlfn.LET(
_xlpm.rowNo, MATCH($C305&amp;"|"&amp;
($F305+Q$4),Raw_Fund!$A:$A,0),
_xlpm.colNo,
MATCH(Q$3,Raw_Fund!$E$1:$AZ$1,0),
_xlpm.val,
INDEX(Raw_Fund!$E:$AZ,_xlpm.rowNo,_xlpm.colNo),
IF(ISNUMBER(_xlpm.val),_xlpm.val*$H305,""))</f>
        <v/>
      </c>
      <c r="R305" s="6" t="str">
        <f>_xlfn.LET(
_xlpm.rowNo, MATCH($C305&amp;"|"&amp;
($F305+R$4),Raw_Fund!$A:$A,0),
_xlpm.colNo,
MATCH(R$3,Raw_Fund!$E$1:$AZ$1,0),
_xlpm.val,
INDEX(Raw_Fund!$E:$AZ,_xlpm.rowNo,_xlpm.colNo),
IF(ISNUMBER(_xlpm.val),_xlpm.val*$H305,""))</f>
        <v/>
      </c>
      <c r="S305" s="6" t="str">
        <f>_xlfn.LET(
_xlpm.rowNo, MATCH($C305&amp;"|"&amp;
($F305+S$4),Raw_Fund!$A:$A,0),
_xlpm.colNo,
MATCH(S$3,Raw_Fund!$E$1:$AZ$1,0),
_xlpm.val,
INDEX(Raw_Fund!$E:$AZ,_xlpm.rowNo,_xlpm.colNo),
IF(ISNUMBER(_xlpm.val),_xlpm.val*$H305,""))</f>
        <v/>
      </c>
      <c r="T305" s="6" t="str">
        <f>_xlfn.LET(
_xlpm.rowNo, MATCH($C305&amp;"|"&amp;
($F305+T$4),Raw_Fund!$A:$A,0),
_xlpm.colNo,
MATCH(T$3,Raw_Fund!$E$1:$AZ$1,0),
_xlpm.val,
INDEX(Raw_Fund!$E:$AZ,_xlpm.rowNo,_xlpm.colNo),
IF(ISNUMBER(_xlpm.val),_xlpm.val*$H305,""))</f>
        <v/>
      </c>
      <c r="U305" s="6" t="str">
        <f>_xlfn.LET(
_xlpm.rowNo, MATCH($C305&amp;"|"&amp;
($F305+U$4),Raw_Fund!$A:$A,0),
_xlpm.colNo,
MATCH(U$3,Raw_Fund!$E$1:$AZ$1,0),
_xlpm.val,
INDEX(Raw_Fund!$E:$AZ,_xlpm.rowNo,_xlpm.colNo),
IF(ISNUMBER(_xlpm.val),_xlpm.val*$H305,""))</f>
        <v/>
      </c>
      <c r="V305" s="6" t="str">
        <f>_xlfn.LET(
_xlpm.rowNo, MATCH($C305&amp;"|"&amp;
($F305+V$4),Raw_Fund!$A:$A,0),
_xlpm.colNo,
MATCH(V$3,Raw_Fund!$E$1:$AZ$1,0),
_xlpm.val,
INDEX(Raw_Fund!$E:$AZ,_xlpm.rowNo,_xlpm.colNo),
IF(ISNUMBER(_xlpm.val),_xlpm.val*$H305,""))</f>
        <v/>
      </c>
      <c r="W305" s="6" t="str">
        <f>_xlfn.LET(
_xlpm.rowNo, MATCH($C305&amp;"|"&amp;
($F305+W$4),Raw_Fund!$A:$A,0),
_xlpm.colNo,
MATCH(W$3,Raw_Fund!$E$1:$AZ$1,0),
_xlpm.val,
INDEX(Raw_Fund!$E:$AZ,_xlpm.rowNo,_xlpm.colNo),
IF(ISNUMBER(_xlpm.val),_xlpm.val*$H305,""))</f>
        <v/>
      </c>
      <c r="X305" s="6" t="str">
        <f>_xlfn.LET(
_xlpm.rowNo, MATCH($C305&amp;"|"&amp;
($F305+X$4),Raw_Fund!$A:$A,0),
_xlpm.colNo,
MATCH(X$3,Raw_Fund!$E$1:$AZ$1,0),
_xlpm.val,
INDEX(Raw_Fund!$E:$AZ,_xlpm.rowNo,_xlpm.colNo),
IF(ISNUMBER(_xlpm.val),_xlpm.val*$H305,""))</f>
        <v/>
      </c>
      <c r="Y305" s="6" t="str">
        <f>_xlfn.LET(
_xlpm.rowNo, MATCH($C305&amp;"|"&amp;
($F305+Y$4),Raw_Fund!$A:$A,0),
_xlpm.colNo,
MATCH(Y$3,Raw_Fund!$E$1:$AZ$1,0),
_xlpm.val,
INDEX(Raw_Fund!$E:$AZ,_xlpm.rowNo,_xlpm.colNo),
IF(ISNUMBER(_xlpm.val),_xlpm.val*$H305,""))</f>
        <v/>
      </c>
      <c r="Z305" s="6" t="str">
        <f>IF($E305&lt;&gt;"Include","",_xlfn.XLOOKUP($C305,Raw_Mkt!$A:$A,Raw_Mkt!$B:$B))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86F5-06D2-408A-9D6F-5BA88A2D729A}">
  <dimension ref="A3:U30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4.6" x14ac:dyDescent="0.4"/>
  <cols>
    <col min="10" max="10" width="9.23046875" style="7"/>
    <col min="11" max="12" width="9.23046875" style="9"/>
    <col min="13" max="13" width="9.23046875" style="7"/>
    <col min="14" max="14" width="9.23046875" style="9"/>
    <col min="20" max="20" width="9.23046875" style="10"/>
  </cols>
  <sheetData>
    <row r="3" spans="1:21" x14ac:dyDescent="0.4">
      <c r="E3" t="s">
        <v>85</v>
      </c>
      <c r="F3" t="s">
        <v>86</v>
      </c>
      <c r="G3" t="s">
        <v>87</v>
      </c>
      <c r="O3" s="1">
        <f>Inputs!C4</f>
        <v>0.3</v>
      </c>
      <c r="P3" s="1">
        <f>Inputs!C5</f>
        <v>0.25</v>
      </c>
      <c r="Q3" s="1">
        <f>Inputs!C6</f>
        <v>0.2</v>
      </c>
      <c r="R3" s="1">
        <f>Inputs!C7</f>
        <v>0.15</v>
      </c>
      <c r="S3" s="1">
        <f>Inputs!C8</f>
        <v>0.1</v>
      </c>
    </row>
    <row r="4" spans="1:21" x14ac:dyDescent="0.4">
      <c r="O4" s="1">
        <f>IF(Inputs!D4="Lower",1,0)</f>
        <v>1</v>
      </c>
      <c r="P4" s="1">
        <f>IF(Inputs!D5="Lower",1,0)</f>
        <v>0</v>
      </c>
      <c r="Q4" s="1">
        <f>IF(Inputs!D6="Lower",1,0)</f>
        <v>0</v>
      </c>
      <c r="R4" s="1">
        <f>IF(Inputs!D7="Lower",1,0)</f>
        <v>1</v>
      </c>
      <c r="S4" s="1">
        <f>IF(Inputs!D8="Lower",1,0)</f>
        <v>0</v>
      </c>
    </row>
    <row r="5" spans="1:21" x14ac:dyDescent="0.4">
      <c r="A5" t="s">
        <v>22</v>
      </c>
      <c r="B5" t="s">
        <v>23</v>
      </c>
      <c r="C5" t="s">
        <v>25</v>
      </c>
      <c r="D5" t="s">
        <v>59</v>
      </c>
      <c r="E5" t="s">
        <v>82</v>
      </c>
      <c r="F5" t="s">
        <v>83</v>
      </c>
      <c r="G5" t="s">
        <v>84</v>
      </c>
      <c r="H5" t="s">
        <v>88</v>
      </c>
      <c r="I5" t="s">
        <v>89</v>
      </c>
      <c r="J5" s="7" t="s">
        <v>4</v>
      </c>
      <c r="K5" s="9" t="s">
        <v>90</v>
      </c>
      <c r="L5" s="9" t="s">
        <v>91</v>
      </c>
      <c r="M5" s="7" t="s">
        <v>92</v>
      </c>
      <c r="N5" s="9" t="s">
        <v>7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s="10" t="s">
        <v>98</v>
      </c>
      <c r="U5" t="s">
        <v>99</v>
      </c>
    </row>
    <row r="6" spans="1:21" x14ac:dyDescent="0.4">
      <c r="A6" t="str">
        <f>Data!A6</f>
        <v>3IN</v>
      </c>
      <c r="B6" t="str">
        <f>Data!B6</f>
        <v>3i Infrastructure</v>
      </c>
      <c r="C6" t="str">
        <f>Data!D6</f>
        <v>Financials</v>
      </c>
      <c r="D6" t="str">
        <f>Data!E6</f>
        <v>Exclude</v>
      </c>
      <c r="E6" t="str">
        <f>IF($D6&lt;&gt;"Include","",SUM(Data!V6:W6)-SUM(Data!X6))</f>
        <v/>
      </c>
      <c r="F6" t="str">
        <f>IF($D6&lt;&gt;"Include","",SUM(Data!Z6,Data!Y6,Metrics!E6))</f>
        <v/>
      </c>
      <c r="G6" t="str">
        <f>IF($D6&lt;&gt;"Include","",IFERROR(Data!P6-Data!S6,""))</f>
        <v/>
      </c>
      <c r="H6" t="str">
        <f>IF($D6&lt;&gt;"Include","",IFERROR(SUM(Data!P6:R6)-SUM(Data!S6:U6),""))</f>
        <v/>
      </c>
      <c r="I6" t="str">
        <f>IF($D6&lt;&gt;"Include","",SUM(Data!M6:O6))</f>
        <v/>
      </c>
      <c r="J6" s="7" t="str">
        <f>IF($D6&lt;&gt;"Include","",IFERROR(IF(OR(Data!K6&lt;=0,F6&lt;=0),"n/m",($F6/Data!K6)),""))</f>
        <v/>
      </c>
      <c r="K6" s="9" t="str">
        <f>IF($D6&lt;&gt;"Include","",IFERROR(G6/Data!Z6,""))</f>
        <v/>
      </c>
      <c r="L6" s="9" t="str">
        <f>IF($D6&lt;&gt;"Include","",IFERROR(IF(I6&lt;=0,"n/m",H6/I6),""))</f>
        <v/>
      </c>
      <c r="M6" s="7" t="str">
        <f>IF($D6&lt;&gt;"Include","",IFERROR(IF(Data!L6&lt;=0,"n,m",E6/Data!L6),""))</f>
        <v/>
      </c>
      <c r="N6" s="9" t="str">
        <f>IF($D6&lt;&gt;"Include","",IFERROR(IF(OR(Data!I6&lt;=0,Data!J6&lt;=0),"n/m",(Data!I6/Data!J6)^(1/3)-1),""))</f>
        <v/>
      </c>
      <c r="O6" t="str">
        <f t="shared" ref="O6:O69" si="0">IF($D6&lt;&gt;"Include","",IF(ISNUMBER(J6),_xlfn.RANK.EQ(J6,J$6:J$305,O$4),N_Co))</f>
        <v/>
      </c>
      <c r="P6" t="str">
        <f t="shared" ref="P6:P69" si="1">IF($D6&lt;&gt;"Include","",IF(ISNUMBER(K6),_xlfn.RANK.EQ(K6,K$6:K$305,P$4),N_Co))</f>
        <v/>
      </c>
      <c r="Q6" t="str">
        <f t="shared" ref="Q6:Q69" si="2">IF($D6&lt;&gt;"Include","",IF(ISNUMBER(L6),_xlfn.RANK.EQ(L6,L$6:L$305,Q$4),N_Co))</f>
        <v/>
      </c>
      <c r="R6" t="str">
        <f t="shared" ref="R6:R69" si="3">IF($D6&lt;&gt;"Include","",IF(ISNUMBER(M6),_xlfn.RANK.EQ(M6,M$6:M$305,R$4),N_Co))</f>
        <v/>
      </c>
      <c r="S6" t="str">
        <f t="shared" ref="S6:S69" si="4">IF($D6&lt;&gt;"Include","",IF(ISNUMBER(N6),_xlfn.RANK.EQ(N6,N$6:N$305,S$4),N_Co))</f>
        <v/>
      </c>
      <c r="T6" s="10" t="str">
        <f>IF($D6&lt;&gt;"Include","",ROUND(SUMPRODUCT(O6:S6,$O$3:$S$3),6))</f>
        <v/>
      </c>
      <c r="U6" t="str">
        <f>IF($D6&lt;&gt;"Include","",_xlfn.RANK.EQ(T6,T$6:T$305,1)+COUNTIFS(T$6:T6,T6)-1)</f>
        <v/>
      </c>
    </row>
    <row r="7" spans="1:21" x14ac:dyDescent="0.4">
      <c r="A7" t="str">
        <f>Data!A7</f>
        <v>FOUR</v>
      </c>
      <c r="B7" t="str">
        <f>Data!B7</f>
        <v>4imprint</v>
      </c>
      <c r="C7" t="str">
        <f>Data!D7</f>
        <v>Consumer Discretionary</v>
      </c>
      <c r="D7" t="str">
        <f>Data!E7</f>
        <v>Include</v>
      </c>
      <c r="E7">
        <f>IF($D7&lt;&gt;"Include","",SUM(Data!V7:W7)-SUM(Data!X7))</f>
        <v>0</v>
      </c>
      <c r="F7" t="e">
        <f>IF($D7&lt;&gt;"Include","",SUM(Data!Z7,Data!Y7,Metrics!E7))</f>
        <v>#N/A</v>
      </c>
      <c r="G7" t="str">
        <f>IF($D7&lt;&gt;"Include","",IFERROR(Data!P7-Data!S7,""))</f>
        <v/>
      </c>
      <c r="H7">
        <f>IF($D7&lt;&gt;"Include","",IFERROR(SUM(Data!P7:R7)-SUM(Data!S7:U7),""))</f>
        <v>0</v>
      </c>
      <c r="I7">
        <f>IF($D7&lt;&gt;"Include","",SUM(Data!M7:O7))</f>
        <v>0</v>
      </c>
      <c r="J7" s="7" t="str">
        <f>IF($D7&lt;&gt;"Include","",IFERROR(IF(OR(Data!K7&lt;=0,F7&lt;=0),"n/m",($F7/Data!K7)),""))</f>
        <v/>
      </c>
      <c r="K7" s="9" t="str">
        <f>IF($D7&lt;&gt;"Include","",IFERROR(G7/Data!Z7,""))</f>
        <v/>
      </c>
      <c r="L7" s="9" t="str">
        <f t="shared" ref="L7:L70" si="5">IF($D7&lt;&gt;"Include","",IFERROR(IF(I7&lt;=0,"n/m",H7/I7),""))</f>
        <v>n/m</v>
      </c>
      <c r="M7" s="7" t="str">
        <f>IF($D7&lt;&gt;"Include","",IFERROR(IF(Data!L7&lt;=0,"n,m",E7/Data!L7),""))</f>
        <v/>
      </c>
      <c r="N7" s="9" t="str">
        <f>IF($D7&lt;&gt;"Include","",IFERROR(IF(OR(Data!I7&lt;=0,Data!J7&lt;=0),"n/m",(Data!I7/Data!J7)^(1/3)-1),""))</f>
        <v/>
      </c>
      <c r="O7">
        <f t="shared" si="0"/>
        <v>119</v>
      </c>
      <c r="P7">
        <f t="shared" si="1"/>
        <v>119</v>
      </c>
      <c r="Q7">
        <f t="shared" si="2"/>
        <v>119</v>
      </c>
      <c r="R7">
        <f t="shared" si="3"/>
        <v>119</v>
      </c>
      <c r="S7">
        <f t="shared" si="4"/>
        <v>119</v>
      </c>
      <c r="T7" s="10">
        <f t="shared" ref="T7:T70" si="6">IF($D7&lt;&gt;"Include","",ROUND(SUMPRODUCT(O7:S7,$O$3:$S$3),6))</f>
        <v>119</v>
      </c>
      <c r="U7">
        <f>IF($D7&lt;&gt;"Include","",_xlfn.RANK.EQ(T7,T$6:T$305,1)+COUNTIFS(T$6:T7,T7)-1)</f>
        <v>1</v>
      </c>
    </row>
    <row r="8" spans="1:21" x14ac:dyDescent="0.4">
      <c r="A8" t="str">
        <f>Data!A8</f>
        <v>AAS</v>
      </c>
      <c r="B8" t="str">
        <f>Data!B8</f>
        <v>Aberdeen Asia Focus</v>
      </c>
      <c r="C8" t="str">
        <f>Data!D8</f>
        <v>Financials</v>
      </c>
      <c r="D8" t="str">
        <f>Data!E8</f>
        <v>Exclude</v>
      </c>
      <c r="E8" t="str">
        <f>IF($D8&lt;&gt;"Include","",SUM(Data!V8:W8)-SUM(Data!X8))</f>
        <v/>
      </c>
      <c r="F8" t="str">
        <f>IF($D8&lt;&gt;"Include","",SUM(Data!Z8,Data!Y8,Metrics!E8))</f>
        <v/>
      </c>
      <c r="G8" t="str">
        <f>IF($D8&lt;&gt;"Include","",IFERROR(Data!P8-Data!S8,""))</f>
        <v/>
      </c>
      <c r="H8" t="str">
        <f>IF($D8&lt;&gt;"Include","",IFERROR(SUM(Data!P8:R8)-SUM(Data!S8:U8),""))</f>
        <v/>
      </c>
      <c r="I8" t="str">
        <f>IF($D8&lt;&gt;"Include","",SUM(Data!M8:O8))</f>
        <v/>
      </c>
      <c r="J8" s="7" t="str">
        <f>IF($D8&lt;&gt;"Include","",IFERROR(IF(OR(Data!K8&lt;=0,F8&lt;=0),"n/m",($F8/Data!K8)),""))</f>
        <v/>
      </c>
      <c r="K8" s="9" t="str">
        <f>IF($D8&lt;&gt;"Include","",IFERROR(G8/Data!Z8,""))</f>
        <v/>
      </c>
      <c r="L8" s="9" t="str">
        <f t="shared" si="5"/>
        <v/>
      </c>
      <c r="M8" s="7" t="str">
        <f>IF($D8&lt;&gt;"Include","",IFERROR(IF(Data!L8&lt;=0,"n,m",E8/Data!L8),""))</f>
        <v/>
      </c>
      <c r="N8" s="9" t="str">
        <f>IF($D8&lt;&gt;"Include","",IFERROR(IF(OR(Data!I8&lt;=0,Data!J8&lt;=0),"n/m",(Data!I8/Data!J8)^(1/3)-1),""))</f>
        <v/>
      </c>
      <c r="O8" t="str">
        <f t="shared" si="0"/>
        <v/>
      </c>
      <c r="P8" t="str">
        <f t="shared" si="1"/>
        <v/>
      </c>
      <c r="Q8" t="str">
        <f t="shared" si="2"/>
        <v/>
      </c>
      <c r="R8" t="str">
        <f t="shared" si="3"/>
        <v/>
      </c>
      <c r="S8" t="str">
        <f t="shared" si="4"/>
        <v/>
      </c>
      <c r="T8" s="10" t="str">
        <f t="shared" si="6"/>
        <v/>
      </c>
      <c r="U8" t="str">
        <f>IF($D8&lt;&gt;"Include","",_xlfn.RANK.EQ(T8,T$6:T$305,1)+COUNTIFS(T$6:T8,T8)-1)</f>
        <v/>
      </c>
    </row>
    <row r="9" spans="1:21" x14ac:dyDescent="0.4">
      <c r="A9" t="str">
        <f>Data!A9</f>
        <v>ASL</v>
      </c>
      <c r="B9" t="str">
        <f>Data!B9</f>
        <v>Aberforth Smaller Companies Trust</v>
      </c>
      <c r="C9" t="str">
        <f>Data!D9</f>
        <v>Financials</v>
      </c>
      <c r="D9" t="str">
        <f>Data!E9</f>
        <v>Exclude</v>
      </c>
      <c r="E9" t="str">
        <f>IF($D9&lt;&gt;"Include","",SUM(Data!V9:W9)-SUM(Data!X9))</f>
        <v/>
      </c>
      <c r="F9" t="str">
        <f>IF($D9&lt;&gt;"Include","",SUM(Data!Z9,Data!Y9,Metrics!E9))</f>
        <v/>
      </c>
      <c r="G9" t="str">
        <f>IF($D9&lt;&gt;"Include","",IFERROR(Data!P9-Data!S9,""))</f>
        <v/>
      </c>
      <c r="H9" t="str">
        <f>IF($D9&lt;&gt;"Include","",IFERROR(SUM(Data!P9:R9)-SUM(Data!S9:U9),""))</f>
        <v/>
      </c>
      <c r="I9" t="str">
        <f>IF($D9&lt;&gt;"Include","",SUM(Data!M9:O9))</f>
        <v/>
      </c>
      <c r="J9" s="7" t="str">
        <f>IF($D9&lt;&gt;"Include","",IFERROR(IF(OR(Data!K9&lt;=0,F9&lt;=0),"n/m",($F9/Data!K9)),""))</f>
        <v/>
      </c>
      <c r="K9" s="9" t="str">
        <f>IF($D9&lt;&gt;"Include","",IFERROR(G9/Data!Z9,""))</f>
        <v/>
      </c>
      <c r="L9" s="9" t="str">
        <f t="shared" si="5"/>
        <v/>
      </c>
      <c r="M9" s="7" t="str">
        <f>IF($D9&lt;&gt;"Include","",IFERROR(IF(Data!L9&lt;=0,"n,m",E9/Data!L9),""))</f>
        <v/>
      </c>
      <c r="N9" s="9" t="str">
        <f>IF($D9&lt;&gt;"Include","",IFERROR(IF(OR(Data!I9&lt;=0,Data!J9&lt;=0),"n/m",(Data!I9/Data!J9)^(1/3)-1),""))</f>
        <v/>
      </c>
      <c r="O9" t="str">
        <f t="shared" si="0"/>
        <v/>
      </c>
      <c r="P9" t="str">
        <f t="shared" si="1"/>
        <v/>
      </c>
      <c r="Q9" t="str">
        <f t="shared" si="2"/>
        <v/>
      </c>
      <c r="R9" t="str">
        <f t="shared" si="3"/>
        <v/>
      </c>
      <c r="S9" t="str">
        <f t="shared" si="4"/>
        <v/>
      </c>
      <c r="T9" s="10" t="str">
        <f t="shared" si="6"/>
        <v/>
      </c>
      <c r="U9" t="str">
        <f>IF($D9&lt;&gt;"Include","",_xlfn.RANK.EQ(T9,T$6:T$305,1)+COUNTIFS(T$6:T9,T9)-1)</f>
        <v/>
      </c>
    </row>
    <row r="10" spans="1:21" x14ac:dyDescent="0.4">
      <c r="A10" t="str">
        <f>Data!A10</f>
        <v>AEP</v>
      </c>
      <c r="B10" t="str">
        <f>Data!B10</f>
        <v>AEP Plantations</v>
      </c>
      <c r="C10" t="str">
        <f>Data!D10</f>
        <v>Consumer Staples</v>
      </c>
      <c r="D10" t="str">
        <f>Data!E10</f>
        <v>Include</v>
      </c>
      <c r="E10">
        <f>IF($D10&lt;&gt;"Include","",SUM(Data!V10:W10)-SUM(Data!X10))</f>
        <v>0</v>
      </c>
      <c r="F10" t="e">
        <f>IF($D10&lt;&gt;"Include","",SUM(Data!Z10,Data!Y10,Metrics!E10))</f>
        <v>#N/A</v>
      </c>
      <c r="G10" t="str">
        <f>IF($D10&lt;&gt;"Include","",IFERROR(Data!P10-Data!S10,""))</f>
        <v/>
      </c>
      <c r="H10">
        <f>IF($D10&lt;&gt;"Include","",IFERROR(SUM(Data!P10:R10)-SUM(Data!S10:U10),""))</f>
        <v>0</v>
      </c>
      <c r="I10">
        <f>IF($D10&lt;&gt;"Include","",SUM(Data!M10:O10))</f>
        <v>0</v>
      </c>
      <c r="J10" s="7" t="str">
        <f>IF($D10&lt;&gt;"Include","",IFERROR(IF(OR(Data!K10&lt;=0,F10&lt;=0),"n/m",($F10/Data!K10)),""))</f>
        <v/>
      </c>
      <c r="K10" s="9" t="str">
        <f>IF($D10&lt;&gt;"Include","",IFERROR(G10/Data!Z10,""))</f>
        <v/>
      </c>
      <c r="L10" s="9" t="str">
        <f t="shared" si="5"/>
        <v>n/m</v>
      </c>
      <c r="M10" s="7" t="str">
        <f>IF($D10&lt;&gt;"Include","",IFERROR(IF(Data!L10&lt;=0,"n,m",E10/Data!L10),""))</f>
        <v/>
      </c>
      <c r="N10" s="9" t="str">
        <f>IF($D10&lt;&gt;"Include","",IFERROR(IF(OR(Data!I10&lt;=0,Data!J10&lt;=0),"n/m",(Data!I10/Data!J10)^(1/3)-1),""))</f>
        <v/>
      </c>
      <c r="O10">
        <f t="shared" si="0"/>
        <v>119</v>
      </c>
      <c r="P10">
        <f t="shared" si="1"/>
        <v>119</v>
      </c>
      <c r="Q10">
        <f t="shared" si="2"/>
        <v>119</v>
      </c>
      <c r="R10">
        <f t="shared" si="3"/>
        <v>119</v>
      </c>
      <c r="S10">
        <f t="shared" si="4"/>
        <v>119</v>
      </c>
      <c r="T10" s="10">
        <f t="shared" si="6"/>
        <v>119</v>
      </c>
      <c r="U10">
        <f>IF($D10&lt;&gt;"Include","",_xlfn.RANK.EQ(T10,T$6:T$305,1)+COUNTIFS(T$6:T10,T10)-1)</f>
        <v>2</v>
      </c>
    </row>
    <row r="11" spans="1:21" x14ac:dyDescent="0.4">
      <c r="A11" t="str">
        <f>Data!A11</f>
        <v>ALFA</v>
      </c>
      <c r="B11" t="str">
        <f>Data!B11</f>
        <v>Alfa Financial Software</v>
      </c>
      <c r="C11" t="str">
        <f>Data!D11</f>
        <v>Technology</v>
      </c>
      <c r="D11" t="str">
        <f>Data!E11</f>
        <v>Include</v>
      </c>
      <c r="E11">
        <f>IF($D11&lt;&gt;"Include","",SUM(Data!V11:W11)-SUM(Data!X11))</f>
        <v>0</v>
      </c>
      <c r="F11" t="e">
        <f>IF($D11&lt;&gt;"Include","",SUM(Data!Z11,Data!Y11,Metrics!E11))</f>
        <v>#N/A</v>
      </c>
      <c r="G11" t="str">
        <f>IF($D11&lt;&gt;"Include","",IFERROR(Data!P11-Data!S11,""))</f>
        <v/>
      </c>
      <c r="H11">
        <f>IF($D11&lt;&gt;"Include","",IFERROR(SUM(Data!P11:R11)-SUM(Data!S11:U11),""))</f>
        <v>0</v>
      </c>
      <c r="I11">
        <f>IF($D11&lt;&gt;"Include","",SUM(Data!M11:O11))</f>
        <v>0</v>
      </c>
      <c r="J11" s="7" t="str">
        <f>IF($D11&lt;&gt;"Include","",IFERROR(IF(OR(Data!K11&lt;=0,F11&lt;=0),"n/m",($F11/Data!K11)),""))</f>
        <v/>
      </c>
      <c r="K11" s="9" t="str">
        <f>IF($D11&lt;&gt;"Include","",IFERROR(G11/Data!Z11,""))</f>
        <v/>
      </c>
      <c r="L11" s="9" t="str">
        <f t="shared" si="5"/>
        <v>n/m</v>
      </c>
      <c r="M11" s="7" t="str">
        <f>IF($D11&lt;&gt;"Include","",IFERROR(IF(Data!L11&lt;=0,"n,m",E11/Data!L11),""))</f>
        <v/>
      </c>
      <c r="N11" s="9" t="str">
        <f>IF($D11&lt;&gt;"Include","",IFERROR(IF(OR(Data!I11&lt;=0,Data!J11&lt;=0),"n/m",(Data!I11/Data!J11)^(1/3)-1),""))</f>
        <v/>
      </c>
      <c r="O11">
        <f t="shared" si="0"/>
        <v>119</v>
      </c>
      <c r="P11">
        <f t="shared" si="1"/>
        <v>119</v>
      </c>
      <c r="Q11">
        <f t="shared" si="2"/>
        <v>119</v>
      </c>
      <c r="R11">
        <f t="shared" si="3"/>
        <v>119</v>
      </c>
      <c r="S11">
        <f t="shared" si="4"/>
        <v>119</v>
      </c>
      <c r="T11" s="10">
        <f t="shared" si="6"/>
        <v>119</v>
      </c>
      <c r="U11">
        <f>IF($D11&lt;&gt;"Include","",_xlfn.RANK.EQ(T11,T$6:T$305,1)+COUNTIFS(T$6:T11,T11)-1)</f>
        <v>3</v>
      </c>
    </row>
    <row r="12" spans="1:21" x14ac:dyDescent="0.4">
      <c r="A12" t="str">
        <f>Data!A12</f>
        <v>ATT</v>
      </c>
      <c r="B12" t="str">
        <f>Data!B12</f>
        <v>Allianz Technology Trust</v>
      </c>
      <c r="C12" t="str">
        <f>Data!D12</f>
        <v>Financials</v>
      </c>
      <c r="D12" t="str">
        <f>Data!E12</f>
        <v>Exclude</v>
      </c>
      <c r="E12" t="str">
        <f>IF($D12&lt;&gt;"Include","",SUM(Data!V12:W12)-SUM(Data!X12))</f>
        <v/>
      </c>
      <c r="F12" t="str">
        <f>IF($D12&lt;&gt;"Include","",SUM(Data!Z12,Data!Y12,Metrics!E12))</f>
        <v/>
      </c>
      <c r="G12" t="str">
        <f>IF($D12&lt;&gt;"Include","",IFERROR(Data!P12-Data!S12,""))</f>
        <v/>
      </c>
      <c r="H12" t="str">
        <f>IF($D12&lt;&gt;"Include","",IFERROR(SUM(Data!P12:R12)-SUM(Data!S12:U12),""))</f>
        <v/>
      </c>
      <c r="I12" t="str">
        <f>IF($D12&lt;&gt;"Include","",SUM(Data!M12:O12))</f>
        <v/>
      </c>
      <c r="J12" s="7" t="str">
        <f>IF($D12&lt;&gt;"Include","",IFERROR(IF(OR(Data!K12&lt;=0,F12&lt;=0),"n/m",($F12/Data!K12)),""))</f>
        <v/>
      </c>
      <c r="K12" s="9" t="str">
        <f>IF($D12&lt;&gt;"Include","",IFERROR(G12/Data!Z12,""))</f>
        <v/>
      </c>
      <c r="L12" s="9" t="str">
        <f t="shared" si="5"/>
        <v/>
      </c>
      <c r="M12" s="7" t="str">
        <f>IF($D12&lt;&gt;"Include","",IFERROR(IF(Data!L12&lt;=0,"n,m",E12/Data!L12),""))</f>
        <v/>
      </c>
      <c r="N12" s="9" t="str">
        <f>IF($D12&lt;&gt;"Include","",IFERROR(IF(OR(Data!I12&lt;=0,Data!J12&lt;=0),"n/m",(Data!I12/Data!J12)^(1/3)-1),""))</f>
        <v/>
      </c>
      <c r="O12" t="str">
        <f t="shared" si="0"/>
        <v/>
      </c>
      <c r="P12" t="str">
        <f t="shared" si="1"/>
        <v/>
      </c>
      <c r="Q12" t="str">
        <f t="shared" si="2"/>
        <v/>
      </c>
      <c r="R12" t="str">
        <f t="shared" si="3"/>
        <v/>
      </c>
      <c r="S12" t="str">
        <f t="shared" si="4"/>
        <v/>
      </c>
      <c r="T12" s="10" t="str">
        <f t="shared" si="6"/>
        <v/>
      </c>
      <c r="U12" t="str">
        <f>IF($D12&lt;&gt;"Include","",_xlfn.RANK.EQ(T12,T$6:T$305,1)+COUNTIFS(T$6:T12,T12)-1)</f>
        <v/>
      </c>
    </row>
    <row r="13" spans="1:21" x14ac:dyDescent="0.4">
      <c r="A13" t="str">
        <f>Data!A13</f>
        <v>AMRQ</v>
      </c>
      <c r="B13" t="str">
        <f>Data!B13</f>
        <v>Amaroq</v>
      </c>
      <c r="C13" t="str">
        <f>Data!D13</f>
        <v>Basic Materials</v>
      </c>
      <c r="D13" t="str">
        <f>Data!E13</f>
        <v>Exclude</v>
      </c>
      <c r="E13" t="str">
        <f>IF($D13&lt;&gt;"Include","",SUM(Data!V13:W13)-SUM(Data!X13))</f>
        <v/>
      </c>
      <c r="F13" t="str">
        <f>IF($D13&lt;&gt;"Include","",SUM(Data!Z13,Data!Y13,Metrics!E13))</f>
        <v/>
      </c>
      <c r="G13" t="str">
        <f>IF($D13&lt;&gt;"Include","",IFERROR(Data!P13-Data!S13,""))</f>
        <v/>
      </c>
      <c r="H13" t="str">
        <f>IF($D13&lt;&gt;"Include","",IFERROR(SUM(Data!P13:R13)-SUM(Data!S13:U13),""))</f>
        <v/>
      </c>
      <c r="I13" t="str">
        <f>IF($D13&lt;&gt;"Include","",SUM(Data!M13:O13))</f>
        <v/>
      </c>
      <c r="J13" s="7" t="str">
        <f>IF($D13&lt;&gt;"Include","",IFERROR(IF(OR(Data!K13&lt;=0,F13&lt;=0),"n/m",($F13/Data!K13)),""))</f>
        <v/>
      </c>
      <c r="K13" s="9" t="str">
        <f>IF($D13&lt;&gt;"Include","",IFERROR(G13/Data!Z13,""))</f>
        <v/>
      </c>
      <c r="L13" s="9" t="str">
        <f t="shared" si="5"/>
        <v/>
      </c>
      <c r="M13" s="7" t="str">
        <f>IF($D13&lt;&gt;"Include","",IFERROR(IF(Data!L13&lt;=0,"n,m",E13/Data!L13),""))</f>
        <v/>
      </c>
      <c r="N13" s="9" t="str">
        <f>IF($D13&lt;&gt;"Include","",IFERROR(IF(OR(Data!I13&lt;=0,Data!J13&lt;=0),"n/m",(Data!I13/Data!J13)^(1/3)-1),""))</f>
        <v/>
      </c>
      <c r="O13" t="str">
        <f t="shared" si="0"/>
        <v/>
      </c>
      <c r="P13" t="str">
        <f t="shared" si="1"/>
        <v/>
      </c>
      <c r="Q13" t="str">
        <f t="shared" si="2"/>
        <v/>
      </c>
      <c r="R13" t="str">
        <f t="shared" si="3"/>
        <v/>
      </c>
      <c r="S13" t="str">
        <f t="shared" si="4"/>
        <v/>
      </c>
      <c r="T13" s="10" t="str">
        <f t="shared" si="6"/>
        <v/>
      </c>
      <c r="U13" t="str">
        <f>IF($D13&lt;&gt;"Include","",_xlfn.RANK.EQ(T13,T$6:T$305,1)+COUNTIFS(T$6:T13,T13)-1)</f>
        <v/>
      </c>
    </row>
    <row r="14" spans="1:21" x14ac:dyDescent="0.4">
      <c r="A14" t="str">
        <f>Data!A14</f>
        <v>AO</v>
      </c>
      <c r="B14" t="str">
        <f>Data!B14</f>
        <v>AO World</v>
      </c>
      <c r="C14" t="str">
        <f>Data!D14</f>
        <v>Consumer Discretionary</v>
      </c>
      <c r="D14" t="str">
        <f>Data!E14</f>
        <v>Include</v>
      </c>
      <c r="E14">
        <f>IF($D14&lt;&gt;"Include","",SUM(Data!V14:W14)-SUM(Data!X14))</f>
        <v>0</v>
      </c>
      <c r="F14" t="e">
        <f>IF($D14&lt;&gt;"Include","",SUM(Data!Z14,Data!Y14,Metrics!E14))</f>
        <v>#N/A</v>
      </c>
      <c r="G14" t="str">
        <f>IF($D14&lt;&gt;"Include","",IFERROR(Data!P14-Data!S14,""))</f>
        <v/>
      </c>
      <c r="H14">
        <f>IF($D14&lt;&gt;"Include","",IFERROR(SUM(Data!P14:R14)-SUM(Data!S14:U14),""))</f>
        <v>0</v>
      </c>
      <c r="I14">
        <f>IF($D14&lt;&gt;"Include","",SUM(Data!M14:O14))</f>
        <v>0</v>
      </c>
      <c r="J14" s="7" t="str">
        <f>IF($D14&lt;&gt;"Include","",IFERROR(IF(OR(Data!K14&lt;=0,F14&lt;=0),"n/m",($F14/Data!K14)),""))</f>
        <v/>
      </c>
      <c r="K14" s="9" t="str">
        <f>IF($D14&lt;&gt;"Include","",IFERROR(G14/Data!Z14,""))</f>
        <v/>
      </c>
      <c r="L14" s="9" t="str">
        <f t="shared" si="5"/>
        <v>n/m</v>
      </c>
      <c r="M14" s="7" t="str">
        <f>IF($D14&lt;&gt;"Include","",IFERROR(IF(Data!L14&lt;=0,"n,m",E14/Data!L14),""))</f>
        <v/>
      </c>
      <c r="N14" s="9" t="str">
        <f>IF($D14&lt;&gt;"Include","",IFERROR(IF(OR(Data!I14&lt;=0,Data!J14&lt;=0),"n/m",(Data!I14/Data!J14)^(1/3)-1),""))</f>
        <v/>
      </c>
      <c r="O14">
        <f t="shared" si="0"/>
        <v>119</v>
      </c>
      <c r="P14">
        <f t="shared" si="1"/>
        <v>119</v>
      </c>
      <c r="Q14">
        <f t="shared" si="2"/>
        <v>119</v>
      </c>
      <c r="R14">
        <f t="shared" si="3"/>
        <v>119</v>
      </c>
      <c r="S14">
        <f t="shared" si="4"/>
        <v>119</v>
      </c>
      <c r="T14" s="10">
        <f t="shared" si="6"/>
        <v>119</v>
      </c>
      <c r="U14">
        <f>IF($D14&lt;&gt;"Include","",_xlfn.RANK.EQ(T14,T$6:T$305,1)+COUNTIFS(T$6:T14,T14)-1)</f>
        <v>4</v>
      </c>
    </row>
    <row r="15" spans="1:21" x14ac:dyDescent="0.4">
      <c r="A15" t="str">
        <f>Data!A15</f>
        <v>APN</v>
      </c>
      <c r="B15" t="str">
        <f>Data!B15</f>
        <v>Applied Nutrition</v>
      </c>
      <c r="C15" t="str">
        <f>Data!D15</f>
        <v>Consumer Staples</v>
      </c>
      <c r="D15" t="str">
        <f>Data!E15</f>
        <v>Include</v>
      </c>
      <c r="E15">
        <f>IF($D15&lt;&gt;"Include","",SUM(Data!V15:W15)-SUM(Data!X15))</f>
        <v>0</v>
      </c>
      <c r="F15" t="e">
        <f>IF($D15&lt;&gt;"Include","",SUM(Data!Z15,Data!Y15,Metrics!E15))</f>
        <v>#N/A</v>
      </c>
      <c r="G15" t="str">
        <f>IF($D15&lt;&gt;"Include","",IFERROR(Data!P15-Data!S15,""))</f>
        <v/>
      </c>
      <c r="H15">
        <f>IF($D15&lt;&gt;"Include","",IFERROR(SUM(Data!P15:R15)-SUM(Data!S15:U15),""))</f>
        <v>0</v>
      </c>
      <c r="I15">
        <f>IF($D15&lt;&gt;"Include","",SUM(Data!M15:O15))</f>
        <v>0</v>
      </c>
      <c r="J15" s="7" t="str">
        <f>IF($D15&lt;&gt;"Include","",IFERROR(IF(OR(Data!K15&lt;=0,F15&lt;=0),"n/m",($F15/Data!K15)),""))</f>
        <v/>
      </c>
      <c r="K15" s="9" t="str">
        <f>IF($D15&lt;&gt;"Include","",IFERROR(G15/Data!Z15,""))</f>
        <v/>
      </c>
      <c r="L15" s="9" t="str">
        <f t="shared" si="5"/>
        <v>n/m</v>
      </c>
      <c r="M15" s="7" t="str">
        <f>IF($D15&lt;&gt;"Include","",IFERROR(IF(Data!L15&lt;=0,"n,m",E15/Data!L15),""))</f>
        <v/>
      </c>
      <c r="N15" s="9" t="str">
        <f>IF($D15&lt;&gt;"Include","",IFERROR(IF(OR(Data!I15&lt;=0,Data!J15&lt;=0),"n/m",(Data!I15/Data!J15)^(1/3)-1),""))</f>
        <v/>
      </c>
      <c r="O15">
        <f t="shared" si="0"/>
        <v>119</v>
      </c>
      <c r="P15">
        <f t="shared" si="1"/>
        <v>119</v>
      </c>
      <c r="Q15">
        <f t="shared" si="2"/>
        <v>119</v>
      </c>
      <c r="R15">
        <f t="shared" si="3"/>
        <v>119</v>
      </c>
      <c r="S15">
        <f t="shared" si="4"/>
        <v>119</v>
      </c>
      <c r="T15" s="10">
        <f t="shared" si="6"/>
        <v>119</v>
      </c>
      <c r="U15">
        <f>IF($D15&lt;&gt;"Include","",_xlfn.RANK.EQ(T15,T$6:T$305,1)+COUNTIFS(T$6:T15,T15)-1)</f>
        <v>5</v>
      </c>
    </row>
    <row r="16" spans="1:21" x14ac:dyDescent="0.4">
      <c r="A16" t="str">
        <f>Data!A16</f>
        <v>ASHM</v>
      </c>
      <c r="B16" t="str">
        <f>Data!B16</f>
        <v>Ashmore Group</v>
      </c>
      <c r="C16" t="str">
        <f>Data!D16</f>
        <v>Financials</v>
      </c>
      <c r="D16" t="str">
        <f>Data!E16</f>
        <v>Exclude</v>
      </c>
      <c r="E16" t="str">
        <f>IF($D16&lt;&gt;"Include","",SUM(Data!V16:W16)-SUM(Data!X16))</f>
        <v/>
      </c>
      <c r="F16" t="str">
        <f>IF($D16&lt;&gt;"Include","",SUM(Data!Z16,Data!Y16,Metrics!E16))</f>
        <v/>
      </c>
      <c r="G16" t="str">
        <f>IF($D16&lt;&gt;"Include","",IFERROR(Data!P16-Data!S16,""))</f>
        <v/>
      </c>
      <c r="H16" t="str">
        <f>IF($D16&lt;&gt;"Include","",IFERROR(SUM(Data!P16:R16)-SUM(Data!S16:U16),""))</f>
        <v/>
      </c>
      <c r="I16" t="str">
        <f>IF($D16&lt;&gt;"Include","",SUM(Data!M16:O16))</f>
        <v/>
      </c>
      <c r="J16" s="7" t="str">
        <f>IF($D16&lt;&gt;"Include","",IFERROR(IF(OR(Data!K16&lt;=0,F16&lt;=0),"n/m",($F16/Data!K16)),""))</f>
        <v/>
      </c>
      <c r="K16" s="9" t="str">
        <f>IF($D16&lt;&gt;"Include","",IFERROR(G16/Data!Z16,""))</f>
        <v/>
      </c>
      <c r="L16" s="9" t="str">
        <f t="shared" si="5"/>
        <v/>
      </c>
      <c r="M16" s="7" t="str">
        <f>IF($D16&lt;&gt;"Include","",IFERROR(IF(Data!L16&lt;=0,"n,m",E16/Data!L16),""))</f>
        <v/>
      </c>
      <c r="N16" s="9" t="str">
        <f>IF($D16&lt;&gt;"Include","",IFERROR(IF(OR(Data!I16&lt;=0,Data!J16&lt;=0),"n/m",(Data!I16/Data!J16)^(1/3)-1),""))</f>
        <v/>
      </c>
      <c r="O16" t="str">
        <f t="shared" si="0"/>
        <v/>
      </c>
      <c r="P16" t="str">
        <f t="shared" si="1"/>
        <v/>
      </c>
      <c r="Q16" t="str">
        <f t="shared" si="2"/>
        <v/>
      </c>
      <c r="R16" t="str">
        <f t="shared" si="3"/>
        <v/>
      </c>
      <c r="S16" t="str">
        <f t="shared" si="4"/>
        <v/>
      </c>
      <c r="T16" s="10" t="str">
        <f t="shared" si="6"/>
        <v/>
      </c>
      <c r="U16" t="str">
        <f>IF($D16&lt;&gt;"Include","",_xlfn.RANK.EQ(T16,T$6:T$305,1)+COUNTIFS(T$6:T16,T16)-1)</f>
        <v/>
      </c>
    </row>
    <row r="17" spans="1:21" x14ac:dyDescent="0.4">
      <c r="A17" t="str">
        <f>Data!A17</f>
        <v>AIE</v>
      </c>
      <c r="B17" t="str">
        <f>Data!B17</f>
        <v>Ashoka India Equity Investment Trust</v>
      </c>
      <c r="C17" t="str">
        <f>Data!D17</f>
        <v>Financials</v>
      </c>
      <c r="D17" t="str">
        <f>Data!E17</f>
        <v>Exclude</v>
      </c>
      <c r="E17" t="str">
        <f>IF($D17&lt;&gt;"Include","",SUM(Data!V17:W17)-SUM(Data!X17))</f>
        <v/>
      </c>
      <c r="F17" t="str">
        <f>IF($D17&lt;&gt;"Include","",SUM(Data!Z17,Data!Y17,Metrics!E17))</f>
        <v/>
      </c>
      <c r="G17" t="str">
        <f>IF($D17&lt;&gt;"Include","",IFERROR(Data!P17-Data!S17,""))</f>
        <v/>
      </c>
      <c r="H17" t="str">
        <f>IF($D17&lt;&gt;"Include","",IFERROR(SUM(Data!P17:R17)-SUM(Data!S17:U17),""))</f>
        <v/>
      </c>
      <c r="I17" t="str">
        <f>IF($D17&lt;&gt;"Include","",SUM(Data!M17:O17))</f>
        <v/>
      </c>
      <c r="J17" s="7" t="str">
        <f>IF($D17&lt;&gt;"Include","",IFERROR(IF(OR(Data!K17&lt;=0,F17&lt;=0),"n/m",($F17/Data!K17)),""))</f>
        <v/>
      </c>
      <c r="K17" s="9" t="str">
        <f>IF($D17&lt;&gt;"Include","",IFERROR(G17/Data!Z17,""))</f>
        <v/>
      </c>
      <c r="L17" s="9" t="str">
        <f t="shared" si="5"/>
        <v/>
      </c>
      <c r="M17" s="7" t="str">
        <f>IF($D17&lt;&gt;"Include","",IFERROR(IF(Data!L17&lt;=0,"n,m",E17/Data!L17),""))</f>
        <v/>
      </c>
      <c r="N17" s="9" t="str">
        <f>IF($D17&lt;&gt;"Include","",IFERROR(IF(OR(Data!I17&lt;=0,Data!J17&lt;=0),"n/m",(Data!I17/Data!J17)^(1/3)-1),""))</f>
        <v/>
      </c>
      <c r="O17" t="str">
        <f t="shared" si="0"/>
        <v/>
      </c>
      <c r="P17" t="str">
        <f t="shared" si="1"/>
        <v/>
      </c>
      <c r="Q17" t="str">
        <f t="shared" si="2"/>
        <v/>
      </c>
      <c r="R17" t="str">
        <f t="shared" si="3"/>
        <v/>
      </c>
      <c r="S17" t="str">
        <f t="shared" si="4"/>
        <v/>
      </c>
      <c r="T17" s="10" t="str">
        <f t="shared" si="6"/>
        <v/>
      </c>
      <c r="U17" t="str">
        <f>IF($D17&lt;&gt;"Include","",_xlfn.RANK.EQ(T17,T$6:T$305,1)+COUNTIFS(T$6:T17,T17)-1)</f>
        <v/>
      </c>
    </row>
    <row r="18" spans="1:21" x14ac:dyDescent="0.4">
      <c r="A18" t="str">
        <f>Data!A18</f>
        <v>ASC</v>
      </c>
      <c r="B18" t="str">
        <f>Data!B18</f>
        <v>ASOS</v>
      </c>
      <c r="C18" t="str">
        <f>Data!D18</f>
        <v>Consumer Discretionary</v>
      </c>
      <c r="D18" t="str">
        <f>Data!E18</f>
        <v>Include</v>
      </c>
      <c r="E18">
        <f>IF($D18&lt;&gt;"Include","",SUM(Data!V18:W18)-SUM(Data!X18))</f>
        <v>0</v>
      </c>
      <c r="F18" t="e">
        <f>IF($D18&lt;&gt;"Include","",SUM(Data!Z18,Data!Y18,Metrics!E18))</f>
        <v>#N/A</v>
      </c>
      <c r="G18" t="str">
        <f>IF($D18&lt;&gt;"Include","",IFERROR(Data!P18-Data!S18,""))</f>
        <v/>
      </c>
      <c r="H18">
        <f>IF($D18&lt;&gt;"Include","",IFERROR(SUM(Data!P18:R18)-SUM(Data!S18:U18),""))</f>
        <v>0</v>
      </c>
      <c r="I18">
        <f>IF($D18&lt;&gt;"Include","",SUM(Data!M18:O18))</f>
        <v>0</v>
      </c>
      <c r="J18" s="7" t="str">
        <f>IF($D18&lt;&gt;"Include","",IFERROR(IF(OR(Data!K18&lt;=0,F18&lt;=0),"n/m",($F18/Data!K18)),""))</f>
        <v/>
      </c>
      <c r="K18" s="9" t="str">
        <f>IF($D18&lt;&gt;"Include","",IFERROR(G18/Data!Z18,""))</f>
        <v/>
      </c>
      <c r="L18" s="9" t="str">
        <f t="shared" si="5"/>
        <v>n/m</v>
      </c>
      <c r="M18" s="7" t="str">
        <f>IF($D18&lt;&gt;"Include","",IFERROR(IF(Data!L18&lt;=0,"n,m",E18/Data!L18),""))</f>
        <v/>
      </c>
      <c r="N18" s="9" t="str">
        <f>IF($D18&lt;&gt;"Include","",IFERROR(IF(OR(Data!I18&lt;=0,Data!J18&lt;=0),"n/m",(Data!I18/Data!J18)^(1/3)-1),""))</f>
        <v/>
      </c>
      <c r="O18">
        <f t="shared" si="0"/>
        <v>119</v>
      </c>
      <c r="P18">
        <f t="shared" si="1"/>
        <v>119</v>
      </c>
      <c r="Q18">
        <f t="shared" si="2"/>
        <v>119</v>
      </c>
      <c r="R18">
        <f t="shared" si="3"/>
        <v>119</v>
      </c>
      <c r="S18">
        <f t="shared" si="4"/>
        <v>119</v>
      </c>
      <c r="T18" s="10">
        <f t="shared" si="6"/>
        <v>119</v>
      </c>
      <c r="U18">
        <f>IF($D18&lt;&gt;"Include","",_xlfn.RANK.EQ(T18,T$6:T$305,1)+COUNTIFS(T$6:T18,T18)-1)</f>
        <v>6</v>
      </c>
    </row>
    <row r="19" spans="1:21" x14ac:dyDescent="0.4">
      <c r="A19" t="str">
        <f>Data!A19</f>
        <v>ATYM</v>
      </c>
      <c r="B19" t="str">
        <f>Data!B19</f>
        <v>Atalaya Mining</v>
      </c>
      <c r="C19" t="str">
        <f>Data!D19</f>
        <v>Basic Materials</v>
      </c>
      <c r="D19" t="str">
        <f>Data!E19</f>
        <v>Include</v>
      </c>
      <c r="E19">
        <f>IF($D19&lt;&gt;"Include","",SUM(Data!V19:W19)-SUM(Data!X19))</f>
        <v>0</v>
      </c>
      <c r="F19" t="e">
        <f>IF($D19&lt;&gt;"Include","",SUM(Data!Z19,Data!Y19,Metrics!E19))</f>
        <v>#N/A</v>
      </c>
      <c r="G19" t="str">
        <f>IF($D19&lt;&gt;"Include","",IFERROR(Data!P19-Data!S19,""))</f>
        <v/>
      </c>
      <c r="H19">
        <f>IF($D19&lt;&gt;"Include","",IFERROR(SUM(Data!P19:R19)-SUM(Data!S19:U19),""))</f>
        <v>0</v>
      </c>
      <c r="I19">
        <f>IF($D19&lt;&gt;"Include","",SUM(Data!M19:O19))</f>
        <v>0</v>
      </c>
      <c r="J19" s="7" t="str">
        <f>IF($D19&lt;&gt;"Include","",IFERROR(IF(OR(Data!K19&lt;=0,F19&lt;=0),"n/m",($F19/Data!K19)),""))</f>
        <v/>
      </c>
      <c r="K19" s="9" t="str">
        <f>IF($D19&lt;&gt;"Include","",IFERROR(G19/Data!Z19,""))</f>
        <v/>
      </c>
      <c r="L19" s="9" t="str">
        <f t="shared" si="5"/>
        <v>n/m</v>
      </c>
      <c r="M19" s="7" t="str">
        <f>IF($D19&lt;&gt;"Include","",IFERROR(IF(Data!L19&lt;=0,"n,m",E19/Data!L19),""))</f>
        <v/>
      </c>
      <c r="N19" s="9" t="str">
        <f>IF($D19&lt;&gt;"Include","",IFERROR(IF(OR(Data!I19&lt;=0,Data!J19&lt;=0),"n/m",(Data!I19/Data!J19)^(1/3)-1),""))</f>
        <v/>
      </c>
      <c r="O19">
        <f t="shared" si="0"/>
        <v>119</v>
      </c>
      <c r="P19">
        <f t="shared" si="1"/>
        <v>119</v>
      </c>
      <c r="Q19">
        <f t="shared" si="2"/>
        <v>119</v>
      </c>
      <c r="R19">
        <f t="shared" si="3"/>
        <v>119</v>
      </c>
      <c r="S19">
        <f t="shared" si="4"/>
        <v>119</v>
      </c>
      <c r="T19" s="10">
        <f t="shared" si="6"/>
        <v>119</v>
      </c>
      <c r="U19">
        <f>IF($D19&lt;&gt;"Include","",_xlfn.RANK.EQ(T19,T$6:T$305,1)+COUNTIFS(T$6:T19,T19)-1)</f>
        <v>7</v>
      </c>
    </row>
    <row r="20" spans="1:21" x14ac:dyDescent="0.4">
      <c r="A20" t="str">
        <f>Data!A20</f>
        <v>ATG</v>
      </c>
      <c r="B20" t="str">
        <f>Data!B20</f>
        <v>Auction Technology Group</v>
      </c>
      <c r="C20" t="str">
        <f>Data!D20</f>
        <v>Technology</v>
      </c>
      <c r="D20" t="str">
        <f>Data!E20</f>
        <v>Include</v>
      </c>
      <c r="E20">
        <f>IF($D20&lt;&gt;"Include","",SUM(Data!V20:W20)-SUM(Data!X20))</f>
        <v>0</v>
      </c>
      <c r="F20" t="e">
        <f>IF($D20&lt;&gt;"Include","",SUM(Data!Z20,Data!Y20,Metrics!E20))</f>
        <v>#N/A</v>
      </c>
      <c r="G20" t="str">
        <f>IF($D20&lt;&gt;"Include","",IFERROR(Data!P20-Data!S20,""))</f>
        <v/>
      </c>
      <c r="H20">
        <f>IF($D20&lt;&gt;"Include","",IFERROR(SUM(Data!P20:R20)-SUM(Data!S20:U20),""))</f>
        <v>0</v>
      </c>
      <c r="I20">
        <f>IF($D20&lt;&gt;"Include","",SUM(Data!M20:O20))</f>
        <v>0</v>
      </c>
      <c r="J20" s="7" t="str">
        <f>IF($D20&lt;&gt;"Include","",IFERROR(IF(OR(Data!K20&lt;=0,F20&lt;=0),"n/m",($F20/Data!K20)),""))</f>
        <v/>
      </c>
      <c r="K20" s="9" t="str">
        <f>IF($D20&lt;&gt;"Include","",IFERROR(G20/Data!Z20,""))</f>
        <v/>
      </c>
      <c r="L20" s="9" t="str">
        <f t="shared" si="5"/>
        <v>n/m</v>
      </c>
      <c r="M20" s="7" t="str">
        <f>IF($D20&lt;&gt;"Include","",IFERROR(IF(Data!L20&lt;=0,"n,m",E20/Data!L20),""))</f>
        <v/>
      </c>
      <c r="N20" s="9" t="str">
        <f>IF($D20&lt;&gt;"Include","",IFERROR(IF(OR(Data!I20&lt;=0,Data!J20&lt;=0),"n/m",(Data!I20/Data!J20)^(1/3)-1),""))</f>
        <v/>
      </c>
      <c r="O20">
        <f t="shared" si="0"/>
        <v>119</v>
      </c>
      <c r="P20">
        <f t="shared" si="1"/>
        <v>119</v>
      </c>
      <c r="Q20">
        <f t="shared" si="2"/>
        <v>119</v>
      </c>
      <c r="R20">
        <f t="shared" si="3"/>
        <v>119</v>
      </c>
      <c r="S20">
        <f t="shared" si="4"/>
        <v>119</v>
      </c>
      <c r="T20" s="10">
        <f t="shared" si="6"/>
        <v>119</v>
      </c>
      <c r="U20">
        <f>IF($D20&lt;&gt;"Include","",_xlfn.RANK.EQ(T20,T$6:T$305,1)+COUNTIFS(T$6:T20,T20)-1)</f>
        <v>8</v>
      </c>
    </row>
    <row r="21" spans="1:21" x14ac:dyDescent="0.4">
      <c r="A21" t="str">
        <f>Data!A21</f>
        <v>AGT</v>
      </c>
      <c r="B21" t="str">
        <f>Data!B21</f>
        <v>AVI Global Trust</v>
      </c>
      <c r="C21" t="str">
        <f>Data!D21</f>
        <v>Financials</v>
      </c>
      <c r="D21" t="str">
        <f>Data!E21</f>
        <v>Exclude</v>
      </c>
      <c r="E21" t="str">
        <f>IF($D21&lt;&gt;"Include","",SUM(Data!V21:W21)-SUM(Data!X21))</f>
        <v/>
      </c>
      <c r="F21" t="str">
        <f>IF($D21&lt;&gt;"Include","",SUM(Data!Z21,Data!Y21,Metrics!E21))</f>
        <v/>
      </c>
      <c r="G21" t="str">
        <f>IF($D21&lt;&gt;"Include","",IFERROR(Data!P21-Data!S21,""))</f>
        <v/>
      </c>
      <c r="H21" t="str">
        <f>IF($D21&lt;&gt;"Include","",IFERROR(SUM(Data!P21:R21)-SUM(Data!S21:U21),""))</f>
        <v/>
      </c>
      <c r="I21" t="str">
        <f>IF($D21&lt;&gt;"Include","",SUM(Data!M21:O21))</f>
        <v/>
      </c>
      <c r="J21" s="7" t="str">
        <f>IF($D21&lt;&gt;"Include","",IFERROR(IF(OR(Data!K21&lt;=0,F21&lt;=0),"n/m",($F21/Data!K21)),""))</f>
        <v/>
      </c>
      <c r="K21" s="9" t="str">
        <f>IF($D21&lt;&gt;"Include","",IFERROR(G21/Data!Z21,""))</f>
        <v/>
      </c>
      <c r="L21" s="9" t="str">
        <f t="shared" si="5"/>
        <v/>
      </c>
      <c r="M21" s="7" t="str">
        <f>IF($D21&lt;&gt;"Include","",IFERROR(IF(Data!L21&lt;=0,"n,m",E21/Data!L21),""))</f>
        <v/>
      </c>
      <c r="N21" s="9" t="str">
        <f>IF($D21&lt;&gt;"Include","",IFERROR(IF(OR(Data!I21&lt;=0,Data!J21&lt;=0),"n/m",(Data!I21/Data!J21)^(1/3)-1),""))</f>
        <v/>
      </c>
      <c r="O21" t="str">
        <f t="shared" si="0"/>
        <v/>
      </c>
      <c r="P21" t="str">
        <f t="shared" si="1"/>
        <v/>
      </c>
      <c r="Q21" t="str">
        <f t="shared" si="2"/>
        <v/>
      </c>
      <c r="R21" t="str">
        <f t="shared" si="3"/>
        <v/>
      </c>
      <c r="S21" t="str">
        <f t="shared" si="4"/>
        <v/>
      </c>
      <c r="T21" s="10" t="str">
        <f t="shared" si="6"/>
        <v/>
      </c>
      <c r="U21" t="str">
        <f>IF($D21&lt;&gt;"Include","",_xlfn.RANK.EQ(T21,T$6:T$305,1)+COUNTIFS(T$6:T21,T21)-1)</f>
        <v/>
      </c>
    </row>
    <row r="22" spans="1:21" x14ac:dyDescent="0.4">
      <c r="A22" t="str">
        <f>Data!A22</f>
        <v>AVON</v>
      </c>
      <c r="B22" t="str">
        <f>Data!B22</f>
        <v>Avon Technologies</v>
      </c>
      <c r="C22" t="str">
        <f>Data!D22</f>
        <v>Industrials</v>
      </c>
      <c r="D22" t="str">
        <f>Data!E22</f>
        <v>Include</v>
      </c>
      <c r="E22">
        <f>IF($D22&lt;&gt;"Include","",SUM(Data!V22:W22)-SUM(Data!X22))</f>
        <v>0</v>
      </c>
      <c r="F22" t="e">
        <f>IF($D22&lt;&gt;"Include","",SUM(Data!Z22,Data!Y22,Metrics!E22))</f>
        <v>#N/A</v>
      </c>
      <c r="G22" t="str">
        <f>IF($D22&lt;&gt;"Include","",IFERROR(Data!P22-Data!S22,""))</f>
        <v/>
      </c>
      <c r="H22">
        <f>IF($D22&lt;&gt;"Include","",IFERROR(SUM(Data!P22:R22)-SUM(Data!S22:U22),""))</f>
        <v>0</v>
      </c>
      <c r="I22">
        <f>IF($D22&lt;&gt;"Include","",SUM(Data!M22:O22))</f>
        <v>0</v>
      </c>
      <c r="J22" s="7" t="str">
        <f>IF($D22&lt;&gt;"Include","",IFERROR(IF(OR(Data!K22&lt;=0,F22&lt;=0),"n/m",($F22/Data!K22)),""))</f>
        <v/>
      </c>
      <c r="K22" s="9" t="str">
        <f>IF($D22&lt;&gt;"Include","",IFERROR(G22/Data!Z22,""))</f>
        <v/>
      </c>
      <c r="L22" s="9" t="str">
        <f t="shared" si="5"/>
        <v>n/m</v>
      </c>
      <c r="M22" s="7" t="str">
        <f>IF($D22&lt;&gt;"Include","",IFERROR(IF(Data!L22&lt;=0,"n,m",E22/Data!L22),""))</f>
        <v/>
      </c>
      <c r="N22" s="9" t="str">
        <f>IF($D22&lt;&gt;"Include","",IFERROR(IF(OR(Data!I22&lt;=0,Data!J22&lt;=0),"n/m",(Data!I22/Data!J22)^(1/3)-1),""))</f>
        <v/>
      </c>
      <c r="O22">
        <f t="shared" si="0"/>
        <v>119</v>
      </c>
      <c r="P22">
        <f t="shared" si="1"/>
        <v>119</v>
      </c>
      <c r="Q22">
        <f t="shared" si="2"/>
        <v>119</v>
      </c>
      <c r="R22">
        <f t="shared" si="3"/>
        <v>119</v>
      </c>
      <c r="S22">
        <f t="shared" si="4"/>
        <v>119</v>
      </c>
      <c r="T22" s="10">
        <f t="shared" si="6"/>
        <v>119</v>
      </c>
      <c r="U22">
        <f>IF($D22&lt;&gt;"Include","",_xlfn.RANK.EQ(T22,T$6:T$305,1)+COUNTIFS(T$6:T22,T22)-1)</f>
        <v>9</v>
      </c>
    </row>
    <row r="23" spans="1:21" x14ac:dyDescent="0.4">
      <c r="A23" t="str">
        <f>Data!A23</f>
        <v>BME</v>
      </c>
      <c r="B23" t="str">
        <f>Data!B23</f>
        <v>B&amp;M</v>
      </c>
      <c r="C23" t="str">
        <f>Data!D23</f>
        <v>Consumer Discretionary</v>
      </c>
      <c r="D23" t="str">
        <f>Data!E23</f>
        <v>Include</v>
      </c>
      <c r="E23">
        <f>IF($D23&lt;&gt;"Include","",SUM(Data!V23:W23)-SUM(Data!X23))</f>
        <v>0</v>
      </c>
      <c r="F23" t="e">
        <f>IF($D23&lt;&gt;"Include","",SUM(Data!Z23,Data!Y23,Metrics!E23))</f>
        <v>#N/A</v>
      </c>
      <c r="G23" t="str">
        <f>IF($D23&lt;&gt;"Include","",IFERROR(Data!P23-Data!S23,""))</f>
        <v/>
      </c>
      <c r="H23">
        <f>IF($D23&lt;&gt;"Include","",IFERROR(SUM(Data!P23:R23)-SUM(Data!S23:U23),""))</f>
        <v>0</v>
      </c>
      <c r="I23">
        <f>IF($D23&lt;&gt;"Include","",SUM(Data!M23:O23))</f>
        <v>0</v>
      </c>
      <c r="J23" s="7" t="str">
        <f>IF($D23&lt;&gt;"Include","",IFERROR(IF(OR(Data!K23&lt;=0,F23&lt;=0),"n/m",($F23/Data!K23)),""))</f>
        <v/>
      </c>
      <c r="K23" s="9" t="str">
        <f>IF($D23&lt;&gt;"Include","",IFERROR(G23/Data!Z23,""))</f>
        <v/>
      </c>
      <c r="L23" s="9" t="str">
        <f t="shared" si="5"/>
        <v>n/m</v>
      </c>
      <c r="M23" s="7" t="str">
        <f>IF($D23&lt;&gt;"Include","",IFERROR(IF(Data!L23&lt;=0,"n,m",E23/Data!L23),""))</f>
        <v/>
      </c>
      <c r="N23" s="9" t="str">
        <f>IF($D23&lt;&gt;"Include","",IFERROR(IF(OR(Data!I23&lt;=0,Data!J23&lt;=0),"n/m",(Data!I23/Data!J23)^(1/3)-1),""))</f>
        <v/>
      </c>
      <c r="O23">
        <f t="shared" si="0"/>
        <v>119</v>
      </c>
      <c r="P23">
        <f t="shared" si="1"/>
        <v>119</v>
      </c>
      <c r="Q23">
        <f t="shared" si="2"/>
        <v>119</v>
      </c>
      <c r="R23">
        <f t="shared" si="3"/>
        <v>119</v>
      </c>
      <c r="S23">
        <f t="shared" si="4"/>
        <v>119</v>
      </c>
      <c r="T23" s="10">
        <f t="shared" si="6"/>
        <v>119</v>
      </c>
      <c r="U23">
        <f>IF($D23&lt;&gt;"Include","",_xlfn.RANK.EQ(T23,T$6:T$305,1)+COUNTIFS(T$6:T23,T23)-1)</f>
        <v>10</v>
      </c>
    </row>
    <row r="24" spans="1:21" x14ac:dyDescent="0.4">
      <c r="A24" t="str">
        <f>Data!A24</f>
        <v>BGFD</v>
      </c>
      <c r="B24" t="str">
        <f>Data!B24</f>
        <v>Baillie Gifford Japan Trust</v>
      </c>
      <c r="C24" t="str">
        <f>Data!D24</f>
        <v>Financials</v>
      </c>
      <c r="D24" t="str">
        <f>Data!E24</f>
        <v>Exclude</v>
      </c>
      <c r="E24" t="str">
        <f>IF($D24&lt;&gt;"Include","",SUM(Data!V24:W24)-SUM(Data!X24))</f>
        <v/>
      </c>
      <c r="F24" t="str">
        <f>IF($D24&lt;&gt;"Include","",SUM(Data!Z24,Data!Y24,Metrics!E24))</f>
        <v/>
      </c>
      <c r="G24" t="str">
        <f>IF($D24&lt;&gt;"Include","",IFERROR(Data!P24-Data!S24,""))</f>
        <v/>
      </c>
      <c r="H24" t="str">
        <f>IF($D24&lt;&gt;"Include","",IFERROR(SUM(Data!P24:R24)-SUM(Data!S24:U24),""))</f>
        <v/>
      </c>
      <c r="I24" t="str">
        <f>IF($D24&lt;&gt;"Include","",SUM(Data!M24:O24))</f>
        <v/>
      </c>
      <c r="J24" s="7" t="str">
        <f>IF($D24&lt;&gt;"Include","",IFERROR(IF(OR(Data!K24&lt;=0,F24&lt;=0),"n/m",($F24/Data!K24)),""))</f>
        <v/>
      </c>
      <c r="K24" s="9" t="str">
        <f>IF($D24&lt;&gt;"Include","",IFERROR(G24/Data!Z24,""))</f>
        <v/>
      </c>
      <c r="L24" s="9" t="str">
        <f t="shared" si="5"/>
        <v/>
      </c>
      <c r="M24" s="7" t="str">
        <f>IF($D24&lt;&gt;"Include","",IFERROR(IF(Data!L24&lt;=0,"n,m",E24/Data!L24),""))</f>
        <v/>
      </c>
      <c r="N24" s="9" t="str">
        <f>IF($D24&lt;&gt;"Include","",IFERROR(IF(OR(Data!I24&lt;=0,Data!J24&lt;=0),"n/m",(Data!I24/Data!J24)^(1/3)-1),""))</f>
        <v/>
      </c>
      <c r="O24" t="str">
        <f t="shared" si="0"/>
        <v/>
      </c>
      <c r="P24" t="str">
        <f t="shared" si="1"/>
        <v/>
      </c>
      <c r="Q24" t="str">
        <f t="shared" si="2"/>
        <v/>
      </c>
      <c r="R24" t="str">
        <f t="shared" si="3"/>
        <v/>
      </c>
      <c r="S24" t="str">
        <f t="shared" si="4"/>
        <v/>
      </c>
      <c r="T24" s="10" t="str">
        <f t="shared" si="6"/>
        <v/>
      </c>
      <c r="U24" t="str">
        <f>IF($D24&lt;&gt;"Include","",_xlfn.RANK.EQ(T24,T$6:T$305,1)+COUNTIFS(T$6:T24,T24)-1)</f>
        <v/>
      </c>
    </row>
    <row r="25" spans="1:21" x14ac:dyDescent="0.4">
      <c r="A25" t="str">
        <f>Data!A25</f>
        <v>USA</v>
      </c>
      <c r="B25" t="str">
        <f>Data!B25</f>
        <v>Baillie Gifford US Growth Trust</v>
      </c>
      <c r="C25" t="str">
        <f>Data!D25</f>
        <v>Financials</v>
      </c>
      <c r="D25" t="str">
        <f>Data!E25</f>
        <v>Exclude</v>
      </c>
      <c r="E25" t="str">
        <f>IF($D25&lt;&gt;"Include","",SUM(Data!V25:W25)-SUM(Data!X25))</f>
        <v/>
      </c>
      <c r="F25" t="str">
        <f>IF($D25&lt;&gt;"Include","",SUM(Data!Z25,Data!Y25,Metrics!E25))</f>
        <v/>
      </c>
      <c r="G25" t="str">
        <f>IF($D25&lt;&gt;"Include","",IFERROR(Data!P25-Data!S25,""))</f>
        <v/>
      </c>
      <c r="H25" t="str">
        <f>IF($D25&lt;&gt;"Include","",IFERROR(SUM(Data!P25:R25)-SUM(Data!S25:U25),""))</f>
        <v/>
      </c>
      <c r="I25" t="str">
        <f>IF($D25&lt;&gt;"Include","",SUM(Data!M25:O25))</f>
        <v/>
      </c>
      <c r="J25" s="7" t="str">
        <f>IF($D25&lt;&gt;"Include","",IFERROR(IF(OR(Data!K25&lt;=0,F25&lt;=0),"n/m",($F25/Data!K25)),""))</f>
        <v/>
      </c>
      <c r="K25" s="9" t="str">
        <f>IF($D25&lt;&gt;"Include","",IFERROR(G25/Data!Z25,""))</f>
        <v/>
      </c>
      <c r="L25" s="9" t="str">
        <f t="shared" si="5"/>
        <v/>
      </c>
      <c r="M25" s="7" t="str">
        <f>IF($D25&lt;&gt;"Include","",IFERROR(IF(Data!L25&lt;=0,"n,m",E25/Data!L25),""))</f>
        <v/>
      </c>
      <c r="N25" s="9" t="str">
        <f>IF($D25&lt;&gt;"Include","",IFERROR(IF(OR(Data!I25&lt;=0,Data!J25&lt;=0),"n/m",(Data!I25/Data!J25)^(1/3)-1),""))</f>
        <v/>
      </c>
      <c r="O25" t="str">
        <f t="shared" si="0"/>
        <v/>
      </c>
      <c r="P25" t="str">
        <f t="shared" si="1"/>
        <v/>
      </c>
      <c r="Q25" t="str">
        <f t="shared" si="2"/>
        <v/>
      </c>
      <c r="R25" t="str">
        <f t="shared" si="3"/>
        <v/>
      </c>
      <c r="S25" t="str">
        <f t="shared" si="4"/>
        <v/>
      </c>
      <c r="T25" s="10" t="str">
        <f t="shared" si="6"/>
        <v/>
      </c>
      <c r="U25" t="str">
        <f>IF($D25&lt;&gt;"Include","",_xlfn.RANK.EQ(T25,T$6:T$305,1)+COUNTIFS(T$6:T25,T25)-1)</f>
        <v/>
      </c>
    </row>
    <row r="26" spans="1:21" x14ac:dyDescent="0.4">
      <c r="A26" t="str">
        <f>Data!A26</f>
        <v>BCG</v>
      </c>
      <c r="B26" t="str">
        <f>Data!B26</f>
        <v>Baltic Classifieds</v>
      </c>
      <c r="C26" t="str">
        <f>Data!D26</f>
        <v>Consumer Discretionary</v>
      </c>
      <c r="D26" t="str">
        <f>Data!E26</f>
        <v>Include</v>
      </c>
      <c r="E26">
        <f>IF($D26&lt;&gt;"Include","",SUM(Data!V26:W26)-SUM(Data!X26))</f>
        <v>0</v>
      </c>
      <c r="F26" t="e">
        <f>IF($D26&lt;&gt;"Include","",SUM(Data!Z26,Data!Y26,Metrics!E26))</f>
        <v>#N/A</v>
      </c>
      <c r="G26" t="str">
        <f>IF($D26&lt;&gt;"Include","",IFERROR(Data!P26-Data!S26,""))</f>
        <v/>
      </c>
      <c r="H26">
        <f>IF($D26&lt;&gt;"Include","",IFERROR(SUM(Data!P26:R26)-SUM(Data!S26:U26),""))</f>
        <v>0</v>
      </c>
      <c r="I26">
        <f>IF($D26&lt;&gt;"Include","",SUM(Data!M26:O26))</f>
        <v>0</v>
      </c>
      <c r="J26" s="7" t="str">
        <f>IF($D26&lt;&gt;"Include","",IFERROR(IF(OR(Data!K26&lt;=0,F26&lt;=0),"n/m",($F26/Data!K26)),""))</f>
        <v/>
      </c>
      <c r="K26" s="9" t="str">
        <f>IF($D26&lt;&gt;"Include","",IFERROR(G26/Data!Z26,""))</f>
        <v/>
      </c>
      <c r="L26" s="9" t="str">
        <f t="shared" si="5"/>
        <v>n/m</v>
      </c>
      <c r="M26" s="7" t="str">
        <f>IF($D26&lt;&gt;"Include","",IFERROR(IF(Data!L26&lt;=0,"n,m",E26/Data!L26),""))</f>
        <v/>
      </c>
      <c r="N26" s="9" t="str">
        <f>IF($D26&lt;&gt;"Include","",IFERROR(IF(OR(Data!I26&lt;=0,Data!J26&lt;=0),"n/m",(Data!I26/Data!J26)^(1/3)-1),""))</f>
        <v/>
      </c>
      <c r="O26">
        <f t="shared" si="0"/>
        <v>119</v>
      </c>
      <c r="P26">
        <f t="shared" si="1"/>
        <v>119</v>
      </c>
      <c r="Q26">
        <f t="shared" si="2"/>
        <v>119</v>
      </c>
      <c r="R26">
        <f t="shared" si="3"/>
        <v>119</v>
      </c>
      <c r="S26">
        <f t="shared" si="4"/>
        <v>119</v>
      </c>
      <c r="T26" s="10">
        <f t="shared" si="6"/>
        <v>119</v>
      </c>
      <c r="U26">
        <f>IF($D26&lt;&gt;"Include","",_xlfn.RANK.EQ(T26,T$6:T$305,1)+COUNTIFS(T$6:T26,T26)-1)</f>
        <v>11</v>
      </c>
    </row>
    <row r="27" spans="1:21" x14ac:dyDescent="0.4">
      <c r="A27" t="str">
        <f>Data!A27</f>
        <v>BNKR</v>
      </c>
      <c r="B27" t="str">
        <f>Data!B27</f>
        <v>Bankers Investment Trust</v>
      </c>
      <c r="C27" t="str">
        <f>Data!D27</f>
        <v>Financials</v>
      </c>
      <c r="D27" t="str">
        <f>Data!E27</f>
        <v>Exclude</v>
      </c>
      <c r="E27" t="str">
        <f>IF($D27&lt;&gt;"Include","",SUM(Data!V27:W27)-SUM(Data!X27))</f>
        <v/>
      </c>
      <c r="F27" t="str">
        <f>IF($D27&lt;&gt;"Include","",SUM(Data!Z27,Data!Y27,Metrics!E27))</f>
        <v/>
      </c>
      <c r="G27" t="str">
        <f>IF($D27&lt;&gt;"Include","",IFERROR(Data!P27-Data!S27,""))</f>
        <v/>
      </c>
      <c r="H27" t="str">
        <f>IF($D27&lt;&gt;"Include","",IFERROR(SUM(Data!P27:R27)-SUM(Data!S27:U27),""))</f>
        <v/>
      </c>
      <c r="I27" t="str">
        <f>IF($D27&lt;&gt;"Include","",SUM(Data!M27:O27))</f>
        <v/>
      </c>
      <c r="J27" s="7" t="str">
        <f>IF($D27&lt;&gt;"Include","",IFERROR(IF(OR(Data!K27&lt;=0,F27&lt;=0),"n/m",($F27/Data!K27)),""))</f>
        <v/>
      </c>
      <c r="K27" s="9" t="str">
        <f>IF($D27&lt;&gt;"Include","",IFERROR(G27/Data!Z27,""))</f>
        <v/>
      </c>
      <c r="L27" s="9" t="str">
        <f t="shared" si="5"/>
        <v/>
      </c>
      <c r="M27" s="7" t="str">
        <f>IF($D27&lt;&gt;"Include","",IFERROR(IF(Data!L27&lt;=0,"n,m",E27/Data!L27),""))</f>
        <v/>
      </c>
      <c r="N27" s="9" t="str">
        <f>IF($D27&lt;&gt;"Include","",IFERROR(IF(OR(Data!I27&lt;=0,Data!J27&lt;=0),"n/m",(Data!I27/Data!J27)^(1/3)-1),""))</f>
        <v/>
      </c>
      <c r="O27" t="str">
        <f t="shared" si="0"/>
        <v/>
      </c>
      <c r="P27" t="str">
        <f t="shared" si="1"/>
        <v/>
      </c>
      <c r="Q27" t="str">
        <f t="shared" si="2"/>
        <v/>
      </c>
      <c r="R27" t="str">
        <f t="shared" si="3"/>
        <v/>
      </c>
      <c r="S27" t="str">
        <f t="shared" si="4"/>
        <v/>
      </c>
      <c r="T27" s="10" t="str">
        <f t="shared" si="6"/>
        <v/>
      </c>
      <c r="U27" t="str">
        <f>IF($D27&lt;&gt;"Include","",_xlfn.RANK.EQ(T27,T$6:T$305,1)+COUNTIFS(T$6:T27,T27)-1)</f>
        <v/>
      </c>
    </row>
    <row r="28" spans="1:21" x14ac:dyDescent="0.4">
      <c r="A28" t="str">
        <f>Data!A28</f>
        <v>BAG</v>
      </c>
      <c r="B28" t="str">
        <f>Data!B28</f>
        <v>A.G. Barr</v>
      </c>
      <c r="C28" t="str">
        <f>Data!D28</f>
        <v>Consumer Staples</v>
      </c>
      <c r="D28" t="str">
        <f>Data!E28</f>
        <v>Include</v>
      </c>
      <c r="E28">
        <f>IF($D28&lt;&gt;"Include","",SUM(Data!V28:W28)-SUM(Data!X28))</f>
        <v>0</v>
      </c>
      <c r="F28" t="e">
        <f>IF($D28&lt;&gt;"Include","",SUM(Data!Z28,Data!Y28,Metrics!E28))</f>
        <v>#N/A</v>
      </c>
      <c r="G28" t="str">
        <f>IF($D28&lt;&gt;"Include","",IFERROR(Data!P28-Data!S28,""))</f>
        <v/>
      </c>
      <c r="H28">
        <f>IF($D28&lt;&gt;"Include","",IFERROR(SUM(Data!P28:R28)-SUM(Data!S28:U28),""))</f>
        <v>0</v>
      </c>
      <c r="I28">
        <f>IF($D28&lt;&gt;"Include","",SUM(Data!M28:O28))</f>
        <v>0</v>
      </c>
      <c r="J28" s="7" t="str">
        <f>IF($D28&lt;&gt;"Include","",IFERROR(IF(OR(Data!K28&lt;=0,F28&lt;=0),"n/m",($F28/Data!K28)),""))</f>
        <v/>
      </c>
      <c r="K28" s="9" t="str">
        <f>IF($D28&lt;&gt;"Include","",IFERROR(G28/Data!Z28,""))</f>
        <v/>
      </c>
      <c r="L28" s="9" t="str">
        <f t="shared" si="5"/>
        <v>n/m</v>
      </c>
      <c r="M28" s="7" t="str">
        <f>IF($D28&lt;&gt;"Include","",IFERROR(IF(Data!L28&lt;=0,"n,m",E28/Data!L28),""))</f>
        <v/>
      </c>
      <c r="N28" s="9" t="str">
        <f>IF($D28&lt;&gt;"Include","",IFERROR(IF(OR(Data!I28&lt;=0,Data!J28&lt;=0),"n/m",(Data!I28/Data!J28)^(1/3)-1),""))</f>
        <v/>
      </c>
      <c r="O28">
        <f t="shared" si="0"/>
        <v>119</v>
      </c>
      <c r="P28">
        <f t="shared" si="1"/>
        <v>119</v>
      </c>
      <c r="Q28">
        <f t="shared" si="2"/>
        <v>119</v>
      </c>
      <c r="R28">
        <f t="shared" si="3"/>
        <v>119</v>
      </c>
      <c r="S28">
        <f t="shared" si="4"/>
        <v>119</v>
      </c>
      <c r="T28" s="10">
        <f t="shared" si="6"/>
        <v>119</v>
      </c>
      <c r="U28">
        <f>IF($D28&lt;&gt;"Include","",_xlfn.RANK.EQ(T28,T$6:T$305,1)+COUNTIFS(T$6:T28,T28)-1)</f>
        <v>12</v>
      </c>
    </row>
    <row r="29" spans="1:21" x14ac:dyDescent="0.4">
      <c r="A29" t="str">
        <f>Data!A29</f>
        <v>AJB</v>
      </c>
      <c r="B29" t="str">
        <f>Data!B29</f>
        <v>AJ Bell</v>
      </c>
      <c r="C29" t="str">
        <f>Data!D29</f>
        <v>Financials</v>
      </c>
      <c r="D29" t="str">
        <f>Data!E29</f>
        <v>Exclude</v>
      </c>
      <c r="E29" t="str">
        <f>IF($D29&lt;&gt;"Include","",SUM(Data!V29:W29)-SUM(Data!X29))</f>
        <v/>
      </c>
      <c r="F29" t="str">
        <f>IF($D29&lt;&gt;"Include","",SUM(Data!Z29,Data!Y29,Metrics!E29))</f>
        <v/>
      </c>
      <c r="G29" t="str">
        <f>IF($D29&lt;&gt;"Include","",IFERROR(Data!P29-Data!S29,""))</f>
        <v/>
      </c>
      <c r="H29" t="str">
        <f>IF($D29&lt;&gt;"Include","",IFERROR(SUM(Data!P29:R29)-SUM(Data!S29:U29),""))</f>
        <v/>
      </c>
      <c r="I29" t="str">
        <f>IF($D29&lt;&gt;"Include","",SUM(Data!M29:O29))</f>
        <v/>
      </c>
      <c r="J29" s="7" t="str">
        <f>IF($D29&lt;&gt;"Include","",IFERROR(IF(OR(Data!K29&lt;=0,F29&lt;=0),"n/m",($F29/Data!K29)),""))</f>
        <v/>
      </c>
      <c r="K29" s="9" t="str">
        <f>IF($D29&lt;&gt;"Include","",IFERROR(G29/Data!Z29,""))</f>
        <v/>
      </c>
      <c r="L29" s="9" t="str">
        <f t="shared" si="5"/>
        <v/>
      </c>
      <c r="M29" s="7" t="str">
        <f>IF($D29&lt;&gt;"Include","",IFERROR(IF(Data!L29&lt;=0,"n,m",E29/Data!L29),""))</f>
        <v/>
      </c>
      <c r="N29" s="9" t="str">
        <f>IF($D29&lt;&gt;"Include","",IFERROR(IF(OR(Data!I29&lt;=0,Data!J29&lt;=0),"n/m",(Data!I29/Data!J29)^(1/3)-1),""))</f>
        <v/>
      </c>
      <c r="O29" t="str">
        <f t="shared" si="0"/>
        <v/>
      </c>
      <c r="P29" t="str">
        <f t="shared" si="1"/>
        <v/>
      </c>
      <c r="Q29" t="str">
        <f t="shared" si="2"/>
        <v/>
      </c>
      <c r="R29" t="str">
        <f t="shared" si="3"/>
        <v/>
      </c>
      <c r="S29" t="str">
        <f t="shared" si="4"/>
        <v/>
      </c>
      <c r="T29" s="10" t="str">
        <f t="shared" si="6"/>
        <v/>
      </c>
      <c r="U29" t="str">
        <f>IF($D29&lt;&gt;"Include","",_xlfn.RANK.EQ(T29,T$6:T$305,1)+COUNTIFS(T$6:T29,T29)-1)</f>
        <v/>
      </c>
    </row>
    <row r="30" spans="1:21" x14ac:dyDescent="0.4">
      <c r="A30" t="str">
        <f>Data!A30</f>
        <v>BWY</v>
      </c>
      <c r="B30" t="str">
        <f>Data!B30</f>
        <v>Bellway</v>
      </c>
      <c r="C30" t="str">
        <f>Data!D30</f>
        <v>Consumer Discretionary</v>
      </c>
      <c r="D30" t="str">
        <f>Data!E30</f>
        <v>Include</v>
      </c>
      <c r="E30">
        <f>IF($D30&lt;&gt;"Include","",SUM(Data!V30:W30)-SUM(Data!X30))</f>
        <v>0</v>
      </c>
      <c r="F30" t="e">
        <f>IF($D30&lt;&gt;"Include","",SUM(Data!Z30,Data!Y30,Metrics!E30))</f>
        <v>#N/A</v>
      </c>
      <c r="G30" t="str">
        <f>IF($D30&lt;&gt;"Include","",IFERROR(Data!P30-Data!S30,""))</f>
        <v/>
      </c>
      <c r="H30">
        <f>IF($D30&lt;&gt;"Include","",IFERROR(SUM(Data!P30:R30)-SUM(Data!S30:U30),""))</f>
        <v>0</v>
      </c>
      <c r="I30">
        <f>IF($D30&lt;&gt;"Include","",SUM(Data!M30:O30))</f>
        <v>0</v>
      </c>
      <c r="J30" s="7" t="str">
        <f>IF($D30&lt;&gt;"Include","",IFERROR(IF(OR(Data!K30&lt;=0,F30&lt;=0),"n/m",($F30/Data!K30)),""))</f>
        <v/>
      </c>
      <c r="K30" s="9" t="str">
        <f>IF($D30&lt;&gt;"Include","",IFERROR(G30/Data!Z30,""))</f>
        <v/>
      </c>
      <c r="L30" s="9" t="str">
        <f t="shared" si="5"/>
        <v>n/m</v>
      </c>
      <c r="M30" s="7" t="str">
        <f>IF($D30&lt;&gt;"Include","",IFERROR(IF(Data!L30&lt;=0,"n,m",E30/Data!L30),""))</f>
        <v/>
      </c>
      <c r="N30" s="9" t="str">
        <f>IF($D30&lt;&gt;"Include","",IFERROR(IF(OR(Data!I30&lt;=0,Data!J30&lt;=0),"n/m",(Data!I30/Data!J30)^(1/3)-1),""))</f>
        <v/>
      </c>
      <c r="O30">
        <f t="shared" si="0"/>
        <v>119</v>
      </c>
      <c r="P30">
        <f t="shared" si="1"/>
        <v>119</v>
      </c>
      <c r="Q30">
        <f t="shared" si="2"/>
        <v>119</v>
      </c>
      <c r="R30">
        <f t="shared" si="3"/>
        <v>119</v>
      </c>
      <c r="S30">
        <f t="shared" si="4"/>
        <v>119</v>
      </c>
      <c r="T30" s="10">
        <f t="shared" si="6"/>
        <v>119</v>
      </c>
      <c r="U30">
        <f>IF($D30&lt;&gt;"Include","",_xlfn.RANK.EQ(T30,T$6:T$305,1)+COUNTIFS(T$6:T30,T30)-1)</f>
        <v>13</v>
      </c>
    </row>
    <row r="31" spans="1:21" x14ac:dyDescent="0.4">
      <c r="A31" t="str">
        <f>Data!A31</f>
        <v>BKG</v>
      </c>
      <c r="B31" t="str">
        <f>Data!B31</f>
        <v>Berkeley Group Holdings</v>
      </c>
      <c r="C31" t="str">
        <f>Data!D31</f>
        <v>Consumer Discretionary</v>
      </c>
      <c r="D31" t="str">
        <f>Data!E31</f>
        <v>Include</v>
      </c>
      <c r="E31">
        <f>IF($D31&lt;&gt;"Include","",SUM(Data!V31:W31)-SUM(Data!X31))</f>
        <v>0</v>
      </c>
      <c r="F31" t="e">
        <f>IF($D31&lt;&gt;"Include","",SUM(Data!Z31,Data!Y31,Metrics!E31))</f>
        <v>#N/A</v>
      </c>
      <c r="G31" t="str">
        <f>IF($D31&lt;&gt;"Include","",IFERROR(Data!P31-Data!S31,""))</f>
        <v/>
      </c>
      <c r="H31">
        <f>IF($D31&lt;&gt;"Include","",IFERROR(SUM(Data!P31:R31)-SUM(Data!S31:U31),""))</f>
        <v>0</v>
      </c>
      <c r="I31">
        <f>IF($D31&lt;&gt;"Include","",SUM(Data!M31:O31))</f>
        <v>0</v>
      </c>
      <c r="J31" s="7" t="str">
        <f>IF($D31&lt;&gt;"Include","",IFERROR(IF(OR(Data!K31&lt;=0,F31&lt;=0),"n/m",($F31/Data!K31)),""))</f>
        <v/>
      </c>
      <c r="K31" s="9" t="str">
        <f>IF($D31&lt;&gt;"Include","",IFERROR(G31/Data!Z31,""))</f>
        <v/>
      </c>
      <c r="L31" s="9" t="str">
        <f t="shared" si="5"/>
        <v>n/m</v>
      </c>
      <c r="M31" s="7" t="str">
        <f>IF($D31&lt;&gt;"Include","",IFERROR(IF(Data!L31&lt;=0,"n,m",E31/Data!L31),""))</f>
        <v/>
      </c>
      <c r="N31" s="9" t="str">
        <f>IF($D31&lt;&gt;"Include","",IFERROR(IF(OR(Data!I31&lt;=0,Data!J31&lt;=0),"n/m",(Data!I31/Data!J31)^(1/3)-1),""))</f>
        <v/>
      </c>
      <c r="O31">
        <f t="shared" si="0"/>
        <v>119</v>
      </c>
      <c r="P31">
        <f t="shared" si="1"/>
        <v>119</v>
      </c>
      <c r="Q31">
        <f t="shared" si="2"/>
        <v>119</v>
      </c>
      <c r="R31">
        <f t="shared" si="3"/>
        <v>119</v>
      </c>
      <c r="S31">
        <f t="shared" si="4"/>
        <v>119</v>
      </c>
      <c r="T31" s="10">
        <f t="shared" si="6"/>
        <v>119</v>
      </c>
      <c r="U31">
        <f>IF($D31&lt;&gt;"Include","",_xlfn.RANK.EQ(T31,T$6:T$305,1)+COUNTIFS(T$6:T31,T31)-1)</f>
        <v>14</v>
      </c>
    </row>
    <row r="32" spans="1:21" x14ac:dyDescent="0.4">
      <c r="A32" t="str">
        <f>Data!A32</f>
        <v>BHMG</v>
      </c>
      <c r="B32" t="str">
        <f>Data!B32</f>
        <v>BH Macro</v>
      </c>
      <c r="C32" t="str">
        <f>Data!D32</f>
        <v>Financials</v>
      </c>
      <c r="D32" t="str">
        <f>Data!E32</f>
        <v>Exclude</v>
      </c>
      <c r="E32" t="str">
        <f>IF($D32&lt;&gt;"Include","",SUM(Data!V32:W32)-SUM(Data!X32))</f>
        <v/>
      </c>
      <c r="F32" t="str">
        <f>IF($D32&lt;&gt;"Include","",SUM(Data!Z32,Data!Y32,Metrics!E32))</f>
        <v/>
      </c>
      <c r="G32" t="str">
        <f>IF($D32&lt;&gt;"Include","",IFERROR(Data!P32-Data!S32,""))</f>
        <v/>
      </c>
      <c r="H32" t="str">
        <f>IF($D32&lt;&gt;"Include","",IFERROR(SUM(Data!P32:R32)-SUM(Data!S32:U32),""))</f>
        <v/>
      </c>
      <c r="I32" t="str">
        <f>IF($D32&lt;&gt;"Include","",SUM(Data!M32:O32))</f>
        <v/>
      </c>
      <c r="J32" s="7" t="str">
        <f>IF($D32&lt;&gt;"Include","",IFERROR(IF(OR(Data!K32&lt;=0,F32&lt;=0),"n/m",($F32/Data!K32)),""))</f>
        <v/>
      </c>
      <c r="K32" s="9" t="str">
        <f>IF($D32&lt;&gt;"Include","",IFERROR(G32/Data!Z32,""))</f>
        <v/>
      </c>
      <c r="L32" s="9" t="str">
        <f t="shared" si="5"/>
        <v/>
      </c>
      <c r="M32" s="7" t="str">
        <f>IF($D32&lt;&gt;"Include","",IFERROR(IF(Data!L32&lt;=0,"n,m",E32/Data!L32),""))</f>
        <v/>
      </c>
      <c r="N32" s="9" t="str">
        <f>IF($D32&lt;&gt;"Include","",IFERROR(IF(OR(Data!I32&lt;=0,Data!J32&lt;=0),"n/m",(Data!I32/Data!J32)^(1/3)-1),""))</f>
        <v/>
      </c>
      <c r="O32" t="str">
        <f t="shared" si="0"/>
        <v/>
      </c>
      <c r="P32" t="str">
        <f t="shared" si="1"/>
        <v/>
      </c>
      <c r="Q32" t="str">
        <f t="shared" si="2"/>
        <v/>
      </c>
      <c r="R32" t="str">
        <f t="shared" si="3"/>
        <v/>
      </c>
      <c r="S32" t="str">
        <f t="shared" si="4"/>
        <v/>
      </c>
      <c r="T32" s="10" t="str">
        <f t="shared" si="6"/>
        <v/>
      </c>
      <c r="U32" t="str">
        <f>IF($D32&lt;&gt;"Include","",_xlfn.RANK.EQ(T32,T$6:T$305,1)+COUNTIFS(T$6:T32,T32)-1)</f>
        <v/>
      </c>
    </row>
    <row r="33" spans="1:21" x14ac:dyDescent="0.4">
      <c r="A33" t="str">
        <f>Data!A33</f>
        <v>BYG</v>
      </c>
      <c r="B33" t="str">
        <f>Data!B33</f>
        <v>Big Yellow Group</v>
      </c>
      <c r="C33" t="str">
        <f>Data!D33</f>
        <v>Real Estate</v>
      </c>
      <c r="D33" t="str">
        <f>Data!E33</f>
        <v>Exclude</v>
      </c>
      <c r="E33" t="str">
        <f>IF($D33&lt;&gt;"Include","",SUM(Data!V33:W33)-SUM(Data!X33))</f>
        <v/>
      </c>
      <c r="F33" t="str">
        <f>IF($D33&lt;&gt;"Include","",SUM(Data!Z33,Data!Y33,Metrics!E33))</f>
        <v/>
      </c>
      <c r="G33" t="str">
        <f>IF($D33&lt;&gt;"Include","",IFERROR(Data!P33-Data!S33,""))</f>
        <v/>
      </c>
      <c r="H33" t="str">
        <f>IF($D33&lt;&gt;"Include","",IFERROR(SUM(Data!P33:R33)-SUM(Data!S33:U33),""))</f>
        <v/>
      </c>
      <c r="I33" t="str">
        <f>IF($D33&lt;&gt;"Include","",SUM(Data!M33:O33))</f>
        <v/>
      </c>
      <c r="J33" s="7" t="str">
        <f>IF($D33&lt;&gt;"Include","",IFERROR(IF(OR(Data!K33&lt;=0,F33&lt;=0),"n/m",($F33/Data!K33)),""))</f>
        <v/>
      </c>
      <c r="K33" s="9" t="str">
        <f>IF($D33&lt;&gt;"Include","",IFERROR(G33/Data!Z33,""))</f>
        <v/>
      </c>
      <c r="L33" s="9" t="str">
        <f t="shared" si="5"/>
        <v/>
      </c>
      <c r="M33" s="7" t="str">
        <f>IF($D33&lt;&gt;"Include","",IFERROR(IF(Data!L33&lt;=0,"n,m",E33/Data!L33),""))</f>
        <v/>
      </c>
      <c r="N33" s="9" t="str">
        <f>IF($D33&lt;&gt;"Include","",IFERROR(IF(OR(Data!I33&lt;=0,Data!J33&lt;=0),"n/m",(Data!I33/Data!J33)^(1/3)-1),""))</f>
        <v/>
      </c>
      <c r="O33" t="str">
        <f t="shared" si="0"/>
        <v/>
      </c>
      <c r="P33" t="str">
        <f t="shared" si="1"/>
        <v/>
      </c>
      <c r="Q33" t="str">
        <f t="shared" si="2"/>
        <v/>
      </c>
      <c r="R33" t="str">
        <f t="shared" si="3"/>
        <v/>
      </c>
      <c r="S33" t="str">
        <f t="shared" si="4"/>
        <v/>
      </c>
      <c r="T33" s="10" t="str">
        <f t="shared" si="6"/>
        <v/>
      </c>
      <c r="U33" t="str">
        <f>IF($D33&lt;&gt;"Include","",_xlfn.RANK.EQ(T33,T$6:T$305,1)+COUNTIFS(T$6:T33,T33)-1)</f>
        <v/>
      </c>
    </row>
    <row r="34" spans="1:21" x14ac:dyDescent="0.4">
      <c r="A34" t="str">
        <f>Data!A34</f>
        <v>BPCR</v>
      </c>
      <c r="B34" t="str">
        <f>Data!B34</f>
        <v>Biopharma Credit</v>
      </c>
      <c r="C34" t="str">
        <f>Data!D34</f>
        <v>Financials</v>
      </c>
      <c r="D34" t="str">
        <f>Data!E34</f>
        <v>Exclude</v>
      </c>
      <c r="E34" t="str">
        <f>IF($D34&lt;&gt;"Include","",SUM(Data!V34:W34)-SUM(Data!X34))</f>
        <v/>
      </c>
      <c r="F34" t="str">
        <f>IF($D34&lt;&gt;"Include","",SUM(Data!Z34,Data!Y34,Metrics!E34))</f>
        <v/>
      </c>
      <c r="G34" t="str">
        <f>IF($D34&lt;&gt;"Include","",IFERROR(Data!P34-Data!S34,""))</f>
        <v/>
      </c>
      <c r="H34" t="str">
        <f>IF($D34&lt;&gt;"Include","",IFERROR(SUM(Data!P34:R34)-SUM(Data!S34:U34),""))</f>
        <v/>
      </c>
      <c r="I34" t="str">
        <f>IF($D34&lt;&gt;"Include","",SUM(Data!M34:O34))</f>
        <v/>
      </c>
      <c r="J34" s="7" t="str">
        <f>IF($D34&lt;&gt;"Include","",IFERROR(IF(OR(Data!K34&lt;=0,F34&lt;=0),"n/m",($F34/Data!K34)),""))</f>
        <v/>
      </c>
      <c r="K34" s="9" t="str">
        <f>IF($D34&lt;&gt;"Include","",IFERROR(G34/Data!Z34,""))</f>
        <v/>
      </c>
      <c r="L34" s="9" t="str">
        <f t="shared" si="5"/>
        <v/>
      </c>
      <c r="M34" s="7" t="str">
        <f>IF($D34&lt;&gt;"Include","",IFERROR(IF(Data!L34&lt;=0,"n,m",E34/Data!L34),""))</f>
        <v/>
      </c>
      <c r="N34" s="9" t="str">
        <f>IF($D34&lt;&gt;"Include","",IFERROR(IF(OR(Data!I34&lt;=0,Data!J34&lt;=0),"n/m",(Data!I34/Data!J34)^(1/3)-1),""))</f>
        <v/>
      </c>
      <c r="O34" t="str">
        <f t="shared" si="0"/>
        <v/>
      </c>
      <c r="P34" t="str">
        <f t="shared" si="1"/>
        <v/>
      </c>
      <c r="Q34" t="str">
        <f t="shared" si="2"/>
        <v/>
      </c>
      <c r="R34" t="str">
        <f t="shared" si="3"/>
        <v/>
      </c>
      <c r="S34" t="str">
        <f t="shared" si="4"/>
        <v/>
      </c>
      <c r="T34" s="10" t="str">
        <f t="shared" si="6"/>
        <v/>
      </c>
      <c r="U34" t="str">
        <f>IF($D34&lt;&gt;"Include","",_xlfn.RANK.EQ(T34,T$6:T$305,1)+COUNTIFS(T$6:T34,T34)-1)</f>
        <v/>
      </c>
    </row>
    <row r="35" spans="1:21" x14ac:dyDescent="0.4">
      <c r="A35" t="str">
        <f>Data!A35</f>
        <v>BRGE</v>
      </c>
      <c r="B35" t="str">
        <f>Data!B35</f>
        <v>BlackRock Greater Europe Investment Trust</v>
      </c>
      <c r="C35" t="str">
        <f>Data!D35</f>
        <v>Financials</v>
      </c>
      <c r="D35" t="str">
        <f>Data!E35</f>
        <v>Exclude</v>
      </c>
      <c r="E35" t="str">
        <f>IF($D35&lt;&gt;"Include","",SUM(Data!V35:W35)-SUM(Data!X35))</f>
        <v/>
      </c>
      <c r="F35" t="str">
        <f>IF($D35&lt;&gt;"Include","",SUM(Data!Z35,Data!Y35,Metrics!E35))</f>
        <v/>
      </c>
      <c r="G35" t="str">
        <f>IF($D35&lt;&gt;"Include","",IFERROR(Data!P35-Data!S35,""))</f>
        <v/>
      </c>
      <c r="H35" t="str">
        <f>IF($D35&lt;&gt;"Include","",IFERROR(SUM(Data!P35:R35)-SUM(Data!S35:U35),""))</f>
        <v/>
      </c>
      <c r="I35" t="str">
        <f>IF($D35&lt;&gt;"Include","",SUM(Data!M35:O35))</f>
        <v/>
      </c>
      <c r="J35" s="7" t="str">
        <f>IF($D35&lt;&gt;"Include","",IFERROR(IF(OR(Data!K35&lt;=0,F35&lt;=0),"n/m",($F35/Data!K35)),""))</f>
        <v/>
      </c>
      <c r="K35" s="9" t="str">
        <f>IF($D35&lt;&gt;"Include","",IFERROR(G35/Data!Z35,""))</f>
        <v/>
      </c>
      <c r="L35" s="9" t="str">
        <f t="shared" si="5"/>
        <v/>
      </c>
      <c r="M35" s="7" t="str">
        <f>IF($D35&lt;&gt;"Include","",IFERROR(IF(Data!L35&lt;=0,"n,m",E35/Data!L35),""))</f>
        <v/>
      </c>
      <c r="N35" s="9" t="str">
        <f>IF($D35&lt;&gt;"Include","",IFERROR(IF(OR(Data!I35&lt;=0,Data!J35&lt;=0),"n/m",(Data!I35/Data!J35)^(1/3)-1),""))</f>
        <v/>
      </c>
      <c r="O35" t="str">
        <f t="shared" si="0"/>
        <v/>
      </c>
      <c r="P35" t="str">
        <f t="shared" si="1"/>
        <v/>
      </c>
      <c r="Q35" t="str">
        <f t="shared" si="2"/>
        <v/>
      </c>
      <c r="R35" t="str">
        <f t="shared" si="3"/>
        <v/>
      </c>
      <c r="S35" t="str">
        <f t="shared" si="4"/>
        <v/>
      </c>
      <c r="T35" s="10" t="str">
        <f t="shared" si="6"/>
        <v/>
      </c>
      <c r="U35" t="str">
        <f>IF($D35&lt;&gt;"Include","",_xlfn.RANK.EQ(T35,T$6:T$305,1)+COUNTIFS(T$6:T35,T35)-1)</f>
        <v/>
      </c>
    </row>
    <row r="36" spans="1:21" x14ac:dyDescent="0.4">
      <c r="A36" t="str">
        <f>Data!A36</f>
        <v>BRSC</v>
      </c>
      <c r="B36" t="str">
        <f>Data!B36</f>
        <v>BlackRock Smaller Companies Trust</v>
      </c>
      <c r="C36" t="str">
        <f>Data!D36</f>
        <v>Financials</v>
      </c>
      <c r="D36" t="str">
        <f>Data!E36</f>
        <v>Exclude</v>
      </c>
      <c r="E36" t="str">
        <f>IF($D36&lt;&gt;"Include","",SUM(Data!V36:W36)-SUM(Data!X36))</f>
        <v/>
      </c>
      <c r="F36" t="str">
        <f>IF($D36&lt;&gt;"Include","",SUM(Data!Z36,Data!Y36,Metrics!E36))</f>
        <v/>
      </c>
      <c r="G36" t="str">
        <f>IF($D36&lt;&gt;"Include","",IFERROR(Data!P36-Data!S36,""))</f>
        <v/>
      </c>
      <c r="H36" t="str">
        <f>IF($D36&lt;&gt;"Include","",IFERROR(SUM(Data!P36:R36)-SUM(Data!S36:U36),""))</f>
        <v/>
      </c>
      <c r="I36" t="str">
        <f>IF($D36&lt;&gt;"Include","",SUM(Data!M36:O36))</f>
        <v/>
      </c>
      <c r="J36" s="7" t="str">
        <f>IF($D36&lt;&gt;"Include","",IFERROR(IF(OR(Data!K36&lt;=0,F36&lt;=0),"n/m",($F36/Data!K36)),""))</f>
        <v/>
      </c>
      <c r="K36" s="9" t="str">
        <f>IF($D36&lt;&gt;"Include","",IFERROR(G36/Data!Z36,""))</f>
        <v/>
      </c>
      <c r="L36" s="9" t="str">
        <f t="shared" si="5"/>
        <v/>
      </c>
      <c r="M36" s="7" t="str">
        <f>IF($D36&lt;&gt;"Include","",IFERROR(IF(Data!L36&lt;=0,"n,m",E36/Data!L36),""))</f>
        <v/>
      </c>
      <c r="N36" s="9" t="str">
        <f>IF($D36&lt;&gt;"Include","",IFERROR(IF(OR(Data!I36&lt;=0,Data!J36&lt;=0),"n/m",(Data!I36/Data!J36)^(1/3)-1),""))</f>
        <v/>
      </c>
      <c r="O36" t="str">
        <f t="shared" si="0"/>
        <v/>
      </c>
      <c r="P36" t="str">
        <f t="shared" si="1"/>
        <v/>
      </c>
      <c r="Q36" t="str">
        <f t="shared" si="2"/>
        <v/>
      </c>
      <c r="R36" t="str">
        <f t="shared" si="3"/>
        <v/>
      </c>
      <c r="S36" t="str">
        <f t="shared" si="4"/>
        <v/>
      </c>
      <c r="T36" s="10" t="str">
        <f t="shared" si="6"/>
        <v/>
      </c>
      <c r="U36" t="str">
        <f>IF($D36&lt;&gt;"Include","",_xlfn.RANK.EQ(T36,T$6:T$305,1)+COUNTIFS(T$6:T36,T36)-1)</f>
        <v/>
      </c>
    </row>
    <row r="37" spans="1:21" x14ac:dyDescent="0.4">
      <c r="A37" t="str">
        <f>Data!A37</f>
        <v>BRWM</v>
      </c>
      <c r="B37" t="str">
        <f>Data!B37</f>
        <v>BlackRock World Mining Trust</v>
      </c>
      <c r="C37" t="str">
        <f>Data!D37</f>
        <v>Financials</v>
      </c>
      <c r="D37" t="str">
        <f>Data!E37</f>
        <v>Exclude</v>
      </c>
      <c r="E37" t="str">
        <f>IF($D37&lt;&gt;"Include","",SUM(Data!V37:W37)-SUM(Data!X37))</f>
        <v/>
      </c>
      <c r="F37" t="str">
        <f>IF($D37&lt;&gt;"Include","",SUM(Data!Z37,Data!Y37,Metrics!E37))</f>
        <v/>
      </c>
      <c r="G37" t="str">
        <f>IF($D37&lt;&gt;"Include","",IFERROR(Data!P37-Data!S37,""))</f>
        <v/>
      </c>
      <c r="H37" t="str">
        <f>IF($D37&lt;&gt;"Include","",IFERROR(SUM(Data!P37:R37)-SUM(Data!S37:U37),""))</f>
        <v/>
      </c>
      <c r="I37" t="str">
        <f>IF($D37&lt;&gt;"Include","",SUM(Data!M37:O37))</f>
        <v/>
      </c>
      <c r="J37" s="7" t="str">
        <f>IF($D37&lt;&gt;"Include","",IFERROR(IF(OR(Data!K37&lt;=0,F37&lt;=0),"n/m",($F37/Data!K37)),""))</f>
        <v/>
      </c>
      <c r="K37" s="9" t="str">
        <f>IF($D37&lt;&gt;"Include","",IFERROR(G37/Data!Z37,""))</f>
        <v/>
      </c>
      <c r="L37" s="9" t="str">
        <f t="shared" si="5"/>
        <v/>
      </c>
      <c r="M37" s="7" t="str">
        <f>IF($D37&lt;&gt;"Include","",IFERROR(IF(Data!L37&lt;=0,"n,m",E37/Data!L37),""))</f>
        <v/>
      </c>
      <c r="N37" s="9" t="str">
        <f>IF($D37&lt;&gt;"Include","",IFERROR(IF(OR(Data!I37&lt;=0,Data!J37&lt;=0),"n/m",(Data!I37/Data!J37)^(1/3)-1),""))</f>
        <v/>
      </c>
      <c r="O37" t="str">
        <f t="shared" si="0"/>
        <v/>
      </c>
      <c r="P37" t="str">
        <f t="shared" si="1"/>
        <v/>
      </c>
      <c r="Q37" t="str">
        <f t="shared" si="2"/>
        <v/>
      </c>
      <c r="R37" t="str">
        <f t="shared" si="3"/>
        <v/>
      </c>
      <c r="S37" t="str">
        <f t="shared" si="4"/>
        <v/>
      </c>
      <c r="T37" s="10" t="str">
        <f t="shared" si="6"/>
        <v/>
      </c>
      <c r="U37" t="str">
        <f>IF($D37&lt;&gt;"Include","",_xlfn.RANK.EQ(T37,T$6:T$305,1)+COUNTIFS(T$6:T37,T37)-1)</f>
        <v/>
      </c>
    </row>
    <row r="38" spans="1:21" x14ac:dyDescent="0.4">
      <c r="A38" t="str">
        <f>Data!A38</f>
        <v>BMY</v>
      </c>
      <c r="B38" t="str">
        <f>Data!B38</f>
        <v>Bloomsbury Publishing</v>
      </c>
      <c r="C38" t="str">
        <f>Data!D38</f>
        <v>Consumer Discretionary</v>
      </c>
      <c r="D38" t="str">
        <f>Data!E38</f>
        <v>Include</v>
      </c>
      <c r="E38">
        <f>IF($D38&lt;&gt;"Include","",SUM(Data!V38:W38)-SUM(Data!X38))</f>
        <v>0</v>
      </c>
      <c r="F38" t="e">
        <f>IF($D38&lt;&gt;"Include","",SUM(Data!Z38,Data!Y38,Metrics!E38))</f>
        <v>#N/A</v>
      </c>
      <c r="G38" t="str">
        <f>IF($D38&lt;&gt;"Include","",IFERROR(Data!P38-Data!S38,""))</f>
        <v/>
      </c>
      <c r="H38">
        <f>IF($D38&lt;&gt;"Include","",IFERROR(SUM(Data!P38:R38)-SUM(Data!S38:U38),""))</f>
        <v>0</v>
      </c>
      <c r="I38">
        <f>IF($D38&lt;&gt;"Include","",SUM(Data!M38:O38))</f>
        <v>0</v>
      </c>
      <c r="J38" s="7" t="str">
        <f>IF($D38&lt;&gt;"Include","",IFERROR(IF(OR(Data!K38&lt;=0,F38&lt;=0),"n/m",($F38/Data!K38)),""))</f>
        <v/>
      </c>
      <c r="K38" s="9" t="str">
        <f>IF($D38&lt;&gt;"Include","",IFERROR(G38/Data!Z38,""))</f>
        <v/>
      </c>
      <c r="L38" s="9" t="str">
        <f t="shared" si="5"/>
        <v>n/m</v>
      </c>
      <c r="M38" s="7" t="str">
        <f>IF($D38&lt;&gt;"Include","",IFERROR(IF(Data!L38&lt;=0,"n,m",E38/Data!L38),""))</f>
        <v/>
      </c>
      <c r="N38" s="9" t="str">
        <f>IF($D38&lt;&gt;"Include","",IFERROR(IF(OR(Data!I38&lt;=0,Data!J38&lt;=0),"n/m",(Data!I38/Data!J38)^(1/3)-1),""))</f>
        <v/>
      </c>
      <c r="O38">
        <f t="shared" si="0"/>
        <v>119</v>
      </c>
      <c r="P38">
        <f t="shared" si="1"/>
        <v>119</v>
      </c>
      <c r="Q38">
        <f t="shared" si="2"/>
        <v>119</v>
      </c>
      <c r="R38">
        <f t="shared" si="3"/>
        <v>119</v>
      </c>
      <c r="S38">
        <f t="shared" si="4"/>
        <v>119</v>
      </c>
      <c r="T38" s="10">
        <f t="shared" si="6"/>
        <v>119</v>
      </c>
      <c r="U38">
        <f>IF($D38&lt;&gt;"Include","",_xlfn.RANK.EQ(T38,T$6:T$305,1)+COUNTIFS(T$6:T38,T38)-1)</f>
        <v>15</v>
      </c>
    </row>
    <row r="39" spans="1:21" x14ac:dyDescent="0.4">
      <c r="A39" t="str">
        <f>Data!A39</f>
        <v>BOY</v>
      </c>
      <c r="B39" t="str">
        <f>Data!B39</f>
        <v>Bodycote</v>
      </c>
      <c r="C39" t="str">
        <f>Data!D39</f>
        <v>Industrials</v>
      </c>
      <c r="D39" t="str">
        <f>Data!E39</f>
        <v>Include</v>
      </c>
      <c r="E39">
        <f>IF($D39&lt;&gt;"Include","",SUM(Data!V39:W39)-SUM(Data!X39))</f>
        <v>0</v>
      </c>
      <c r="F39" t="e">
        <f>IF($D39&lt;&gt;"Include","",SUM(Data!Z39,Data!Y39,Metrics!E39))</f>
        <v>#N/A</v>
      </c>
      <c r="G39" t="str">
        <f>IF($D39&lt;&gt;"Include","",IFERROR(Data!P39-Data!S39,""))</f>
        <v/>
      </c>
      <c r="H39">
        <f>IF($D39&lt;&gt;"Include","",IFERROR(SUM(Data!P39:R39)-SUM(Data!S39:U39),""))</f>
        <v>0</v>
      </c>
      <c r="I39">
        <f>IF($D39&lt;&gt;"Include","",SUM(Data!M39:O39))</f>
        <v>0</v>
      </c>
      <c r="J39" s="7" t="str">
        <f>IF($D39&lt;&gt;"Include","",IFERROR(IF(OR(Data!K39&lt;=0,F39&lt;=0),"n/m",($F39/Data!K39)),""))</f>
        <v/>
      </c>
      <c r="K39" s="9" t="str">
        <f>IF($D39&lt;&gt;"Include","",IFERROR(G39/Data!Z39,""))</f>
        <v/>
      </c>
      <c r="L39" s="9" t="str">
        <f t="shared" si="5"/>
        <v>n/m</v>
      </c>
      <c r="M39" s="7" t="str">
        <f>IF($D39&lt;&gt;"Include","",IFERROR(IF(Data!L39&lt;=0,"n,m",E39/Data!L39),""))</f>
        <v/>
      </c>
      <c r="N39" s="9" t="str">
        <f>IF($D39&lt;&gt;"Include","",IFERROR(IF(OR(Data!I39&lt;=0,Data!J39&lt;=0),"n/m",(Data!I39/Data!J39)^(1/3)-1),""))</f>
        <v/>
      </c>
      <c r="O39">
        <f t="shared" si="0"/>
        <v>119</v>
      </c>
      <c r="P39">
        <f t="shared" si="1"/>
        <v>119</v>
      </c>
      <c r="Q39">
        <f t="shared" si="2"/>
        <v>119</v>
      </c>
      <c r="R39">
        <f t="shared" si="3"/>
        <v>119</v>
      </c>
      <c r="S39">
        <f t="shared" si="4"/>
        <v>119</v>
      </c>
      <c r="T39" s="10">
        <f t="shared" si="6"/>
        <v>119</v>
      </c>
      <c r="U39">
        <f>IF($D39&lt;&gt;"Include","",_xlfn.RANK.EQ(T39,T$6:T$305,1)+COUNTIFS(T$6:T39,T39)-1)</f>
        <v>16</v>
      </c>
    </row>
    <row r="40" spans="1:21" x14ac:dyDescent="0.4">
      <c r="A40" t="str">
        <f>Data!A40</f>
        <v>BREE</v>
      </c>
      <c r="B40" t="str">
        <f>Data!B40</f>
        <v>Breedon Group</v>
      </c>
      <c r="C40" t="str">
        <f>Data!D40</f>
        <v>Industrials</v>
      </c>
      <c r="D40" t="str">
        <f>Data!E40</f>
        <v>Include</v>
      </c>
      <c r="E40">
        <f>IF($D40&lt;&gt;"Include","",SUM(Data!V40:W40)-SUM(Data!X40))</f>
        <v>0</v>
      </c>
      <c r="F40" t="e">
        <f>IF($D40&lt;&gt;"Include","",SUM(Data!Z40,Data!Y40,Metrics!E40))</f>
        <v>#N/A</v>
      </c>
      <c r="G40" t="str">
        <f>IF($D40&lt;&gt;"Include","",IFERROR(Data!P40-Data!S40,""))</f>
        <v/>
      </c>
      <c r="H40">
        <f>IF($D40&lt;&gt;"Include","",IFERROR(SUM(Data!P40:R40)-SUM(Data!S40:U40),""))</f>
        <v>0</v>
      </c>
      <c r="I40">
        <f>IF($D40&lt;&gt;"Include","",SUM(Data!M40:O40))</f>
        <v>0</v>
      </c>
      <c r="J40" s="7" t="str">
        <f>IF($D40&lt;&gt;"Include","",IFERROR(IF(OR(Data!K40&lt;=0,F40&lt;=0),"n/m",($F40/Data!K40)),""))</f>
        <v/>
      </c>
      <c r="K40" s="9" t="str">
        <f>IF($D40&lt;&gt;"Include","",IFERROR(G40/Data!Z40,""))</f>
        <v/>
      </c>
      <c r="L40" s="9" t="str">
        <f t="shared" si="5"/>
        <v>n/m</v>
      </c>
      <c r="M40" s="7" t="str">
        <f>IF($D40&lt;&gt;"Include","",IFERROR(IF(Data!L40&lt;=0,"n,m",E40/Data!L40),""))</f>
        <v/>
      </c>
      <c r="N40" s="9" t="str">
        <f>IF($D40&lt;&gt;"Include","",IFERROR(IF(OR(Data!I40&lt;=0,Data!J40&lt;=0),"n/m",(Data!I40/Data!J40)^(1/3)-1),""))</f>
        <v/>
      </c>
      <c r="O40">
        <f t="shared" si="0"/>
        <v>119</v>
      </c>
      <c r="P40">
        <f t="shared" si="1"/>
        <v>119</v>
      </c>
      <c r="Q40">
        <f t="shared" si="2"/>
        <v>119</v>
      </c>
      <c r="R40">
        <f t="shared" si="3"/>
        <v>119</v>
      </c>
      <c r="S40">
        <f t="shared" si="4"/>
        <v>119</v>
      </c>
      <c r="T40" s="10">
        <f t="shared" si="6"/>
        <v>119</v>
      </c>
      <c r="U40">
        <f>IF($D40&lt;&gt;"Include","",_xlfn.RANK.EQ(T40,T$6:T$305,1)+COUNTIFS(T$6:T40,T40)-1)</f>
        <v>17</v>
      </c>
    </row>
    <row r="41" spans="1:21" x14ac:dyDescent="0.4">
      <c r="A41" t="str">
        <f>Data!A41</f>
        <v>BPT</v>
      </c>
      <c r="B41" t="str">
        <f>Data!B41</f>
        <v>Bridgepoint Group</v>
      </c>
      <c r="C41" t="str">
        <f>Data!D41</f>
        <v>Financials</v>
      </c>
      <c r="D41" t="str">
        <f>Data!E41</f>
        <v>Exclude</v>
      </c>
      <c r="E41" t="str">
        <f>IF($D41&lt;&gt;"Include","",SUM(Data!V41:W41)-SUM(Data!X41))</f>
        <v/>
      </c>
      <c r="F41" t="str">
        <f>IF($D41&lt;&gt;"Include","",SUM(Data!Z41,Data!Y41,Metrics!E41))</f>
        <v/>
      </c>
      <c r="G41" t="str">
        <f>IF($D41&lt;&gt;"Include","",IFERROR(Data!P41-Data!S41,""))</f>
        <v/>
      </c>
      <c r="H41" t="str">
        <f>IF($D41&lt;&gt;"Include","",IFERROR(SUM(Data!P41:R41)-SUM(Data!S41:U41),""))</f>
        <v/>
      </c>
      <c r="I41" t="str">
        <f>IF($D41&lt;&gt;"Include","",SUM(Data!M41:O41))</f>
        <v/>
      </c>
      <c r="J41" s="7" t="str">
        <f>IF($D41&lt;&gt;"Include","",IFERROR(IF(OR(Data!K41&lt;=0,F41&lt;=0),"n/m",($F41/Data!K41)),""))</f>
        <v/>
      </c>
      <c r="K41" s="9" t="str">
        <f>IF($D41&lt;&gt;"Include","",IFERROR(G41/Data!Z41,""))</f>
        <v/>
      </c>
      <c r="L41" s="9" t="str">
        <f t="shared" si="5"/>
        <v/>
      </c>
      <c r="M41" s="7" t="str">
        <f>IF($D41&lt;&gt;"Include","",IFERROR(IF(Data!L41&lt;=0,"n,m",E41/Data!L41),""))</f>
        <v/>
      </c>
      <c r="N41" s="9" t="str">
        <f>IF($D41&lt;&gt;"Include","",IFERROR(IF(OR(Data!I41&lt;=0,Data!J41&lt;=0),"n/m",(Data!I41/Data!J41)^(1/3)-1),""))</f>
        <v/>
      </c>
      <c r="O41" t="str">
        <f t="shared" si="0"/>
        <v/>
      </c>
      <c r="P41" t="str">
        <f t="shared" si="1"/>
        <v/>
      </c>
      <c r="Q41" t="str">
        <f t="shared" si="2"/>
        <v/>
      </c>
      <c r="R41" t="str">
        <f t="shared" si="3"/>
        <v/>
      </c>
      <c r="S41" t="str">
        <f t="shared" si="4"/>
        <v/>
      </c>
      <c r="T41" s="10" t="str">
        <f t="shared" si="6"/>
        <v/>
      </c>
      <c r="U41" t="str">
        <f>IF($D41&lt;&gt;"Include","",_xlfn.RANK.EQ(T41,T$6:T$305,1)+COUNTIFS(T$6:T41,T41)-1)</f>
        <v/>
      </c>
    </row>
    <row r="42" spans="1:21" x14ac:dyDescent="0.4">
      <c r="A42" t="str">
        <f>Data!A42</f>
        <v>BUT</v>
      </c>
      <c r="B42" t="str">
        <f>Data!B42</f>
        <v>Brunner Investment Trust</v>
      </c>
      <c r="C42" t="str">
        <f>Data!D42</f>
        <v>Financials</v>
      </c>
      <c r="D42" t="str">
        <f>Data!E42</f>
        <v>Exclude</v>
      </c>
      <c r="E42" t="str">
        <f>IF($D42&lt;&gt;"Include","",SUM(Data!V42:W42)-SUM(Data!X42))</f>
        <v/>
      </c>
      <c r="F42" t="str">
        <f>IF($D42&lt;&gt;"Include","",SUM(Data!Z42,Data!Y42,Metrics!E42))</f>
        <v/>
      </c>
      <c r="G42" t="str">
        <f>IF($D42&lt;&gt;"Include","",IFERROR(Data!P42-Data!S42,""))</f>
        <v/>
      </c>
      <c r="H42" t="str">
        <f>IF($D42&lt;&gt;"Include","",IFERROR(SUM(Data!P42:R42)-SUM(Data!S42:U42),""))</f>
        <v/>
      </c>
      <c r="I42" t="str">
        <f>IF($D42&lt;&gt;"Include","",SUM(Data!M42:O42))</f>
        <v/>
      </c>
      <c r="J42" s="7" t="str">
        <f>IF($D42&lt;&gt;"Include","",IFERROR(IF(OR(Data!K42&lt;=0,F42&lt;=0),"n/m",($F42/Data!K42)),""))</f>
        <v/>
      </c>
      <c r="K42" s="9" t="str">
        <f>IF($D42&lt;&gt;"Include","",IFERROR(G42/Data!Z42,""))</f>
        <v/>
      </c>
      <c r="L42" s="9" t="str">
        <f t="shared" si="5"/>
        <v/>
      </c>
      <c r="M42" s="7" t="str">
        <f>IF($D42&lt;&gt;"Include","",IFERROR(IF(Data!L42&lt;=0,"n,m",E42/Data!L42),""))</f>
        <v/>
      </c>
      <c r="N42" s="9" t="str">
        <f>IF($D42&lt;&gt;"Include","",IFERROR(IF(OR(Data!I42&lt;=0,Data!J42&lt;=0),"n/m",(Data!I42/Data!J42)^(1/3)-1),""))</f>
        <v/>
      </c>
      <c r="O42" t="str">
        <f t="shared" si="0"/>
        <v/>
      </c>
      <c r="P42" t="str">
        <f t="shared" si="1"/>
        <v/>
      </c>
      <c r="Q42" t="str">
        <f t="shared" si="2"/>
        <v/>
      </c>
      <c r="R42" t="str">
        <f t="shared" si="3"/>
        <v/>
      </c>
      <c r="S42" t="str">
        <f t="shared" si="4"/>
        <v/>
      </c>
      <c r="T42" s="10" t="str">
        <f t="shared" si="6"/>
        <v/>
      </c>
      <c r="U42" t="str">
        <f>IF($D42&lt;&gt;"Include","",_xlfn.RANK.EQ(T42,T$6:T$305,1)+COUNTIFS(T$6:T42,T42)-1)</f>
        <v/>
      </c>
    </row>
    <row r="43" spans="1:21" x14ac:dyDescent="0.4">
      <c r="A43" t="str">
        <f>Data!A43</f>
        <v>BYIT</v>
      </c>
      <c r="B43" t="str">
        <f>Data!B43</f>
        <v>Bytes Technology Group</v>
      </c>
      <c r="C43" t="str">
        <f>Data!D43</f>
        <v>Technology</v>
      </c>
      <c r="D43" t="str">
        <f>Data!E43</f>
        <v>Include</v>
      </c>
      <c r="E43">
        <f>IF($D43&lt;&gt;"Include","",SUM(Data!V43:W43)-SUM(Data!X43))</f>
        <v>0</v>
      </c>
      <c r="F43" t="e">
        <f>IF($D43&lt;&gt;"Include","",SUM(Data!Z43,Data!Y43,Metrics!E43))</f>
        <v>#N/A</v>
      </c>
      <c r="G43" t="str">
        <f>IF($D43&lt;&gt;"Include","",IFERROR(Data!P43-Data!S43,""))</f>
        <v/>
      </c>
      <c r="H43">
        <f>IF($D43&lt;&gt;"Include","",IFERROR(SUM(Data!P43:R43)-SUM(Data!S43:U43),""))</f>
        <v>0</v>
      </c>
      <c r="I43">
        <f>IF($D43&lt;&gt;"Include","",SUM(Data!M43:O43))</f>
        <v>0</v>
      </c>
      <c r="J43" s="7" t="str">
        <f>IF($D43&lt;&gt;"Include","",IFERROR(IF(OR(Data!K43&lt;=0,F43&lt;=0),"n/m",($F43/Data!K43)),""))</f>
        <v/>
      </c>
      <c r="K43" s="9" t="str">
        <f>IF($D43&lt;&gt;"Include","",IFERROR(G43/Data!Z43,""))</f>
        <v/>
      </c>
      <c r="L43" s="9" t="str">
        <f t="shared" si="5"/>
        <v>n/m</v>
      </c>
      <c r="M43" s="7" t="str">
        <f>IF($D43&lt;&gt;"Include","",IFERROR(IF(Data!L43&lt;=0,"n,m",E43/Data!L43),""))</f>
        <v/>
      </c>
      <c r="N43" s="9" t="str">
        <f>IF($D43&lt;&gt;"Include","",IFERROR(IF(OR(Data!I43&lt;=0,Data!J43&lt;=0),"n/m",(Data!I43/Data!J43)^(1/3)-1),""))</f>
        <v/>
      </c>
      <c r="O43">
        <f t="shared" si="0"/>
        <v>119</v>
      </c>
      <c r="P43">
        <f t="shared" si="1"/>
        <v>119</v>
      </c>
      <c r="Q43">
        <f t="shared" si="2"/>
        <v>119</v>
      </c>
      <c r="R43">
        <f t="shared" si="3"/>
        <v>119</v>
      </c>
      <c r="S43">
        <f t="shared" si="4"/>
        <v>119</v>
      </c>
      <c r="T43" s="10">
        <f t="shared" si="6"/>
        <v>119</v>
      </c>
      <c r="U43">
        <f>IF($D43&lt;&gt;"Include","",_xlfn.RANK.EQ(T43,T$6:T$305,1)+COUNTIFS(T$6:T43,T43)-1)</f>
        <v>18</v>
      </c>
    </row>
    <row r="44" spans="1:21" x14ac:dyDescent="0.4">
      <c r="A44" t="str">
        <f>Data!A44</f>
        <v>CLDN</v>
      </c>
      <c r="B44" t="str">
        <f>Data!B44</f>
        <v>Caledonia Investments</v>
      </c>
      <c r="C44" t="str">
        <f>Data!D44</f>
        <v>Financials</v>
      </c>
      <c r="D44" t="str">
        <f>Data!E44</f>
        <v>Exclude</v>
      </c>
      <c r="E44" t="str">
        <f>IF($D44&lt;&gt;"Include","",SUM(Data!V44:W44)-SUM(Data!X44))</f>
        <v/>
      </c>
      <c r="F44" t="str">
        <f>IF($D44&lt;&gt;"Include","",SUM(Data!Z44,Data!Y44,Metrics!E44))</f>
        <v/>
      </c>
      <c r="G44" t="str">
        <f>IF($D44&lt;&gt;"Include","",IFERROR(Data!P44-Data!S44,""))</f>
        <v/>
      </c>
      <c r="H44" t="str">
        <f>IF($D44&lt;&gt;"Include","",IFERROR(SUM(Data!P44:R44)-SUM(Data!S44:U44),""))</f>
        <v/>
      </c>
      <c r="I44" t="str">
        <f>IF($D44&lt;&gt;"Include","",SUM(Data!M44:O44))</f>
        <v/>
      </c>
      <c r="J44" s="7" t="str">
        <f>IF($D44&lt;&gt;"Include","",IFERROR(IF(OR(Data!K44&lt;=0,F44&lt;=0),"n/m",($F44/Data!K44)),""))</f>
        <v/>
      </c>
      <c r="K44" s="9" t="str">
        <f>IF($D44&lt;&gt;"Include","",IFERROR(G44/Data!Z44,""))</f>
        <v/>
      </c>
      <c r="L44" s="9" t="str">
        <f t="shared" si="5"/>
        <v/>
      </c>
      <c r="M44" s="7" t="str">
        <f>IF($D44&lt;&gt;"Include","",IFERROR(IF(Data!L44&lt;=0,"n,m",E44/Data!L44),""))</f>
        <v/>
      </c>
      <c r="N44" s="9" t="str">
        <f>IF($D44&lt;&gt;"Include","",IFERROR(IF(OR(Data!I44&lt;=0,Data!J44&lt;=0),"n/m",(Data!I44/Data!J44)^(1/3)-1),""))</f>
        <v/>
      </c>
      <c r="O44" t="str">
        <f t="shared" si="0"/>
        <v/>
      </c>
      <c r="P44" t="str">
        <f t="shared" si="1"/>
        <v/>
      </c>
      <c r="Q44" t="str">
        <f t="shared" si="2"/>
        <v/>
      </c>
      <c r="R44" t="str">
        <f t="shared" si="3"/>
        <v/>
      </c>
      <c r="S44" t="str">
        <f t="shared" si="4"/>
        <v/>
      </c>
      <c r="T44" s="10" t="str">
        <f t="shared" si="6"/>
        <v/>
      </c>
      <c r="U44" t="str">
        <f>IF($D44&lt;&gt;"Include","",_xlfn.RANK.EQ(T44,T$6:T$305,1)+COUNTIFS(T$6:T44,T44)-1)</f>
        <v/>
      </c>
    </row>
    <row r="45" spans="1:21" x14ac:dyDescent="0.4">
      <c r="A45" t="str">
        <f>Data!A45</f>
        <v>CGT</v>
      </c>
      <c r="B45" t="str">
        <f>Data!B45</f>
        <v>Capital Gearing Trust</v>
      </c>
      <c r="C45" t="str">
        <f>Data!D45</f>
        <v>Financials</v>
      </c>
      <c r="D45" t="str">
        <f>Data!E45</f>
        <v>Exclude</v>
      </c>
      <c r="E45" t="str">
        <f>IF($D45&lt;&gt;"Include","",SUM(Data!V45:W45)-SUM(Data!X45))</f>
        <v/>
      </c>
      <c r="F45" t="str">
        <f>IF($D45&lt;&gt;"Include","",SUM(Data!Z45,Data!Y45,Metrics!E45))</f>
        <v/>
      </c>
      <c r="G45" t="str">
        <f>IF($D45&lt;&gt;"Include","",IFERROR(Data!P45-Data!S45,""))</f>
        <v/>
      </c>
      <c r="H45" t="str">
        <f>IF($D45&lt;&gt;"Include","",IFERROR(SUM(Data!P45:R45)-SUM(Data!S45:U45),""))</f>
        <v/>
      </c>
      <c r="I45" t="str">
        <f>IF($D45&lt;&gt;"Include","",SUM(Data!M45:O45))</f>
        <v/>
      </c>
      <c r="J45" s="7" t="str">
        <f>IF($D45&lt;&gt;"Include","",IFERROR(IF(OR(Data!K45&lt;=0,F45&lt;=0),"n/m",($F45/Data!K45)),""))</f>
        <v/>
      </c>
      <c r="K45" s="9" t="str">
        <f>IF($D45&lt;&gt;"Include","",IFERROR(G45/Data!Z45,""))</f>
        <v/>
      </c>
      <c r="L45" s="9" t="str">
        <f t="shared" si="5"/>
        <v/>
      </c>
      <c r="M45" s="7" t="str">
        <f>IF($D45&lt;&gt;"Include","",IFERROR(IF(Data!L45&lt;=0,"n,m",E45/Data!L45),""))</f>
        <v/>
      </c>
      <c r="N45" s="9" t="str">
        <f>IF($D45&lt;&gt;"Include","",IFERROR(IF(OR(Data!I45&lt;=0,Data!J45&lt;=0),"n/m",(Data!I45/Data!J45)^(1/3)-1),""))</f>
        <v/>
      </c>
      <c r="O45" t="str">
        <f t="shared" si="0"/>
        <v/>
      </c>
      <c r="P45" t="str">
        <f t="shared" si="1"/>
        <v/>
      </c>
      <c r="Q45" t="str">
        <f t="shared" si="2"/>
        <v/>
      </c>
      <c r="R45" t="str">
        <f t="shared" si="3"/>
        <v/>
      </c>
      <c r="S45" t="str">
        <f t="shared" si="4"/>
        <v/>
      </c>
      <c r="T45" s="10" t="str">
        <f t="shared" si="6"/>
        <v/>
      </c>
      <c r="U45" t="str">
        <f>IF($D45&lt;&gt;"Include","",_xlfn.RANK.EQ(T45,T$6:T$305,1)+COUNTIFS(T$6:T45,T45)-1)</f>
        <v/>
      </c>
    </row>
    <row r="46" spans="1:21" x14ac:dyDescent="0.4">
      <c r="A46" t="str">
        <f>Data!A46</f>
        <v>CWR</v>
      </c>
      <c r="B46" t="str">
        <f>Data!B46</f>
        <v>Ceres Power</v>
      </c>
      <c r="C46" t="str">
        <f>Data!D46</f>
        <v>Energy</v>
      </c>
      <c r="D46" t="str">
        <f>Data!E46</f>
        <v>Include</v>
      </c>
      <c r="E46">
        <f>IF($D46&lt;&gt;"Include","",SUM(Data!V46:W46)-SUM(Data!X46))</f>
        <v>0</v>
      </c>
      <c r="F46" t="e">
        <f>IF($D46&lt;&gt;"Include","",SUM(Data!Z46,Data!Y46,Metrics!E46))</f>
        <v>#N/A</v>
      </c>
      <c r="G46" t="str">
        <f>IF($D46&lt;&gt;"Include","",IFERROR(Data!P46-Data!S46,""))</f>
        <v/>
      </c>
      <c r="H46">
        <f>IF($D46&lt;&gt;"Include","",IFERROR(SUM(Data!P46:R46)-SUM(Data!S46:U46),""))</f>
        <v>0</v>
      </c>
      <c r="I46">
        <f>IF($D46&lt;&gt;"Include","",SUM(Data!M46:O46))</f>
        <v>0</v>
      </c>
      <c r="J46" s="7" t="str">
        <f>IF($D46&lt;&gt;"Include","",IFERROR(IF(OR(Data!K46&lt;=0,F46&lt;=0),"n/m",($F46/Data!K46)),""))</f>
        <v/>
      </c>
      <c r="K46" s="9" t="str">
        <f>IF($D46&lt;&gt;"Include","",IFERROR(G46/Data!Z46,""))</f>
        <v/>
      </c>
      <c r="L46" s="9" t="str">
        <f t="shared" si="5"/>
        <v>n/m</v>
      </c>
      <c r="M46" s="7" t="str">
        <f>IF($D46&lt;&gt;"Include","",IFERROR(IF(Data!L46&lt;=0,"n,m",E46/Data!L46),""))</f>
        <v/>
      </c>
      <c r="N46" s="9" t="str">
        <f>IF($D46&lt;&gt;"Include","",IFERROR(IF(OR(Data!I46&lt;=0,Data!J46&lt;=0),"n/m",(Data!I46/Data!J46)^(1/3)-1),""))</f>
        <v/>
      </c>
      <c r="O46">
        <f t="shared" si="0"/>
        <v>119</v>
      </c>
      <c r="P46">
        <f t="shared" si="1"/>
        <v>119</v>
      </c>
      <c r="Q46">
        <f t="shared" si="2"/>
        <v>119</v>
      </c>
      <c r="R46">
        <f t="shared" si="3"/>
        <v>119</v>
      </c>
      <c r="S46">
        <f t="shared" si="4"/>
        <v>119</v>
      </c>
      <c r="T46" s="10">
        <f t="shared" si="6"/>
        <v>119</v>
      </c>
      <c r="U46">
        <f>IF($D46&lt;&gt;"Include","",_xlfn.RANK.EQ(T46,T$6:T$305,1)+COUNTIFS(T$6:T46,T46)-1)</f>
        <v>19</v>
      </c>
    </row>
    <row r="47" spans="1:21" x14ac:dyDescent="0.4">
      <c r="A47" t="str">
        <f>Data!A47</f>
        <v>CHG</v>
      </c>
      <c r="B47" t="str">
        <f>Data!B47</f>
        <v>Chemring Group</v>
      </c>
      <c r="C47" t="str">
        <f>Data!D47</f>
        <v>Industrials</v>
      </c>
      <c r="D47" t="str">
        <f>Data!E47</f>
        <v>Include</v>
      </c>
      <c r="E47">
        <f>IF($D47&lt;&gt;"Include","",SUM(Data!V47:W47)-SUM(Data!X47))</f>
        <v>0</v>
      </c>
      <c r="F47" t="e">
        <f>IF($D47&lt;&gt;"Include","",SUM(Data!Z47,Data!Y47,Metrics!E47))</f>
        <v>#N/A</v>
      </c>
      <c r="G47" t="str">
        <f>IF($D47&lt;&gt;"Include","",IFERROR(Data!P47-Data!S47,""))</f>
        <v/>
      </c>
      <c r="H47">
        <f>IF($D47&lt;&gt;"Include","",IFERROR(SUM(Data!P47:R47)-SUM(Data!S47:U47),""))</f>
        <v>0</v>
      </c>
      <c r="I47">
        <f>IF($D47&lt;&gt;"Include","",SUM(Data!M47:O47))</f>
        <v>0</v>
      </c>
      <c r="J47" s="7" t="str">
        <f>IF($D47&lt;&gt;"Include","",IFERROR(IF(OR(Data!K47&lt;=0,F47&lt;=0),"n/m",($F47/Data!K47)),""))</f>
        <v/>
      </c>
      <c r="K47" s="9" t="str">
        <f>IF($D47&lt;&gt;"Include","",IFERROR(G47/Data!Z47,""))</f>
        <v/>
      </c>
      <c r="L47" s="9" t="str">
        <f t="shared" si="5"/>
        <v>n/m</v>
      </c>
      <c r="M47" s="7" t="str">
        <f>IF($D47&lt;&gt;"Include","",IFERROR(IF(Data!L47&lt;=0,"n,m",E47/Data!L47),""))</f>
        <v/>
      </c>
      <c r="N47" s="9" t="str">
        <f>IF($D47&lt;&gt;"Include","",IFERROR(IF(OR(Data!I47&lt;=0,Data!J47&lt;=0),"n/m",(Data!I47/Data!J47)^(1/3)-1),""))</f>
        <v/>
      </c>
      <c r="O47">
        <f t="shared" si="0"/>
        <v>119</v>
      </c>
      <c r="P47">
        <f t="shared" si="1"/>
        <v>119</v>
      </c>
      <c r="Q47">
        <f t="shared" si="2"/>
        <v>119</v>
      </c>
      <c r="R47">
        <f t="shared" si="3"/>
        <v>119</v>
      </c>
      <c r="S47">
        <f t="shared" si="4"/>
        <v>119</v>
      </c>
      <c r="T47" s="10">
        <f t="shared" si="6"/>
        <v>119</v>
      </c>
      <c r="U47">
        <f>IF($D47&lt;&gt;"Include","",_xlfn.RANK.EQ(T47,T$6:T$305,1)+COUNTIFS(T$6:T47,T47)-1)</f>
        <v>20</v>
      </c>
    </row>
    <row r="48" spans="1:21" x14ac:dyDescent="0.4">
      <c r="A48" t="str">
        <f>Data!A48</f>
        <v>CSN</v>
      </c>
      <c r="B48" t="str">
        <f>Data!B48</f>
        <v>Chesnara</v>
      </c>
      <c r="C48" t="str">
        <f>Data!D48</f>
        <v>Financials</v>
      </c>
      <c r="D48" t="str">
        <f>Data!E48</f>
        <v>Exclude</v>
      </c>
      <c r="E48" t="str">
        <f>IF($D48&lt;&gt;"Include","",SUM(Data!V48:W48)-SUM(Data!X48))</f>
        <v/>
      </c>
      <c r="F48" t="str">
        <f>IF($D48&lt;&gt;"Include","",SUM(Data!Z48,Data!Y48,Metrics!E48))</f>
        <v/>
      </c>
      <c r="G48" t="str">
        <f>IF($D48&lt;&gt;"Include","",IFERROR(Data!P48-Data!S48,""))</f>
        <v/>
      </c>
      <c r="H48" t="str">
        <f>IF($D48&lt;&gt;"Include","",IFERROR(SUM(Data!P48:R48)-SUM(Data!S48:U48),""))</f>
        <v/>
      </c>
      <c r="I48" t="str">
        <f>IF($D48&lt;&gt;"Include","",SUM(Data!M48:O48))</f>
        <v/>
      </c>
      <c r="J48" s="7" t="str">
        <f>IF($D48&lt;&gt;"Include","",IFERROR(IF(OR(Data!K48&lt;=0,F48&lt;=0),"n/m",($F48/Data!K48)),""))</f>
        <v/>
      </c>
      <c r="K48" s="9" t="str">
        <f>IF($D48&lt;&gt;"Include","",IFERROR(G48/Data!Z48,""))</f>
        <v/>
      </c>
      <c r="L48" s="9" t="str">
        <f t="shared" si="5"/>
        <v/>
      </c>
      <c r="M48" s="7" t="str">
        <f>IF($D48&lt;&gt;"Include","",IFERROR(IF(Data!L48&lt;=0,"n,m",E48/Data!L48),""))</f>
        <v/>
      </c>
      <c r="N48" s="9" t="str">
        <f>IF($D48&lt;&gt;"Include","",IFERROR(IF(OR(Data!I48&lt;=0,Data!J48&lt;=0),"n/m",(Data!I48/Data!J48)^(1/3)-1),""))</f>
        <v/>
      </c>
      <c r="O48" t="str">
        <f t="shared" si="0"/>
        <v/>
      </c>
      <c r="P48" t="str">
        <f t="shared" si="1"/>
        <v/>
      </c>
      <c r="Q48" t="str">
        <f t="shared" si="2"/>
        <v/>
      </c>
      <c r="R48" t="str">
        <f t="shared" si="3"/>
        <v/>
      </c>
      <c r="S48" t="str">
        <f t="shared" si="4"/>
        <v/>
      </c>
      <c r="T48" s="10" t="str">
        <f t="shared" si="6"/>
        <v/>
      </c>
      <c r="U48" t="str">
        <f>IF($D48&lt;&gt;"Include","",_xlfn.RANK.EQ(T48,T$6:T$305,1)+COUNTIFS(T$6:T48,T48)-1)</f>
        <v/>
      </c>
    </row>
    <row r="49" spans="1:21" x14ac:dyDescent="0.4">
      <c r="A49" t="str">
        <f>Data!A49</f>
        <v>CTY</v>
      </c>
      <c r="B49" t="str">
        <f>Data!B49</f>
        <v>City of London Investment Trust</v>
      </c>
      <c r="C49" t="str">
        <f>Data!D49</f>
        <v>Financials</v>
      </c>
      <c r="D49" t="str">
        <f>Data!E49</f>
        <v>Exclude</v>
      </c>
      <c r="E49" t="str">
        <f>IF($D49&lt;&gt;"Include","",SUM(Data!V49:W49)-SUM(Data!X49))</f>
        <v/>
      </c>
      <c r="F49" t="str">
        <f>IF($D49&lt;&gt;"Include","",SUM(Data!Z49,Data!Y49,Metrics!E49))</f>
        <v/>
      </c>
      <c r="G49" t="str">
        <f>IF($D49&lt;&gt;"Include","",IFERROR(Data!P49-Data!S49,""))</f>
        <v/>
      </c>
      <c r="H49" t="str">
        <f>IF($D49&lt;&gt;"Include","",IFERROR(SUM(Data!P49:R49)-SUM(Data!S49:U49),""))</f>
        <v/>
      </c>
      <c r="I49" t="str">
        <f>IF($D49&lt;&gt;"Include","",SUM(Data!M49:O49))</f>
        <v/>
      </c>
      <c r="J49" s="7" t="str">
        <f>IF($D49&lt;&gt;"Include","",IFERROR(IF(OR(Data!K49&lt;=0,F49&lt;=0),"n/m",($F49/Data!K49)),""))</f>
        <v/>
      </c>
      <c r="K49" s="9" t="str">
        <f>IF($D49&lt;&gt;"Include","",IFERROR(G49/Data!Z49,""))</f>
        <v/>
      </c>
      <c r="L49" s="9" t="str">
        <f t="shared" si="5"/>
        <v/>
      </c>
      <c r="M49" s="7" t="str">
        <f>IF($D49&lt;&gt;"Include","",IFERROR(IF(Data!L49&lt;=0,"n,m",E49/Data!L49),""))</f>
        <v/>
      </c>
      <c r="N49" s="9" t="str">
        <f>IF($D49&lt;&gt;"Include","",IFERROR(IF(OR(Data!I49&lt;=0,Data!J49&lt;=0),"n/m",(Data!I49/Data!J49)^(1/3)-1),""))</f>
        <v/>
      </c>
      <c r="O49" t="str">
        <f t="shared" si="0"/>
        <v/>
      </c>
      <c r="P49" t="str">
        <f t="shared" si="1"/>
        <v/>
      </c>
      <c r="Q49" t="str">
        <f t="shared" si="2"/>
        <v/>
      </c>
      <c r="R49" t="str">
        <f t="shared" si="3"/>
        <v/>
      </c>
      <c r="S49" t="str">
        <f t="shared" si="4"/>
        <v/>
      </c>
      <c r="T49" s="10" t="str">
        <f t="shared" si="6"/>
        <v/>
      </c>
      <c r="U49" t="str">
        <f>IF($D49&lt;&gt;"Include","",_xlfn.RANK.EQ(T49,T$6:T$305,1)+COUNTIFS(T$6:T49,T49)-1)</f>
        <v/>
      </c>
    </row>
    <row r="50" spans="1:21" x14ac:dyDescent="0.4">
      <c r="A50" t="str">
        <f>Data!A50</f>
        <v>CKN</v>
      </c>
      <c r="B50" t="str">
        <f>Data!B50</f>
        <v>Clarkson</v>
      </c>
      <c r="C50" t="str">
        <f>Data!D50</f>
        <v>Industrials</v>
      </c>
      <c r="D50" t="str">
        <f>Data!E50</f>
        <v>Include</v>
      </c>
      <c r="E50">
        <f>IF($D50&lt;&gt;"Include","",SUM(Data!V50:W50)-SUM(Data!X50))</f>
        <v>0</v>
      </c>
      <c r="F50" t="e">
        <f>IF($D50&lt;&gt;"Include","",SUM(Data!Z50,Data!Y50,Metrics!E50))</f>
        <v>#N/A</v>
      </c>
      <c r="G50" t="str">
        <f>IF($D50&lt;&gt;"Include","",IFERROR(Data!P50-Data!S50,""))</f>
        <v/>
      </c>
      <c r="H50">
        <f>IF($D50&lt;&gt;"Include","",IFERROR(SUM(Data!P50:R50)-SUM(Data!S50:U50),""))</f>
        <v>0</v>
      </c>
      <c r="I50">
        <f>IF($D50&lt;&gt;"Include","",SUM(Data!M50:O50))</f>
        <v>0</v>
      </c>
      <c r="J50" s="7" t="str">
        <f>IF($D50&lt;&gt;"Include","",IFERROR(IF(OR(Data!K50&lt;=0,F50&lt;=0),"n/m",($F50/Data!K50)),""))</f>
        <v/>
      </c>
      <c r="K50" s="9" t="str">
        <f>IF($D50&lt;&gt;"Include","",IFERROR(G50/Data!Z50,""))</f>
        <v/>
      </c>
      <c r="L50" s="9" t="str">
        <f t="shared" si="5"/>
        <v>n/m</v>
      </c>
      <c r="M50" s="7" t="str">
        <f>IF($D50&lt;&gt;"Include","",IFERROR(IF(Data!L50&lt;=0,"n,m",E50/Data!L50),""))</f>
        <v/>
      </c>
      <c r="N50" s="9" t="str">
        <f>IF($D50&lt;&gt;"Include","",IFERROR(IF(OR(Data!I50&lt;=0,Data!J50&lt;=0),"n/m",(Data!I50/Data!J50)^(1/3)-1),""))</f>
        <v/>
      </c>
      <c r="O50">
        <f t="shared" si="0"/>
        <v>119</v>
      </c>
      <c r="P50">
        <f t="shared" si="1"/>
        <v>119</v>
      </c>
      <c r="Q50">
        <f t="shared" si="2"/>
        <v>119</v>
      </c>
      <c r="R50">
        <f t="shared" si="3"/>
        <v>119</v>
      </c>
      <c r="S50">
        <f t="shared" si="4"/>
        <v>119</v>
      </c>
      <c r="T50" s="10">
        <f t="shared" si="6"/>
        <v>119</v>
      </c>
      <c r="U50">
        <f>IF($D50&lt;&gt;"Include","",_xlfn.RANK.EQ(T50,T$6:T$305,1)+COUNTIFS(T$6:T50,T50)-1)</f>
        <v>21</v>
      </c>
    </row>
    <row r="51" spans="1:21" x14ac:dyDescent="0.4">
      <c r="A51" t="str">
        <f>Data!A51</f>
        <v>CBG</v>
      </c>
      <c r="B51" t="str">
        <f>Data!B51</f>
        <v>Close Brothers Group</v>
      </c>
      <c r="C51" t="str">
        <f>Data!D51</f>
        <v>Financials</v>
      </c>
      <c r="D51" t="str">
        <f>Data!E51</f>
        <v>Exclude</v>
      </c>
      <c r="E51" t="str">
        <f>IF($D51&lt;&gt;"Include","",SUM(Data!V51:W51)-SUM(Data!X51))</f>
        <v/>
      </c>
      <c r="F51" t="str">
        <f>IF($D51&lt;&gt;"Include","",SUM(Data!Z51,Data!Y51,Metrics!E51))</f>
        <v/>
      </c>
      <c r="G51" t="str">
        <f>IF($D51&lt;&gt;"Include","",IFERROR(Data!P51-Data!S51,""))</f>
        <v/>
      </c>
      <c r="H51" t="str">
        <f>IF($D51&lt;&gt;"Include","",IFERROR(SUM(Data!P51:R51)-SUM(Data!S51:U51),""))</f>
        <v/>
      </c>
      <c r="I51" t="str">
        <f>IF($D51&lt;&gt;"Include","",SUM(Data!M51:O51))</f>
        <v/>
      </c>
      <c r="J51" s="7" t="str">
        <f>IF($D51&lt;&gt;"Include","",IFERROR(IF(OR(Data!K51&lt;=0,F51&lt;=0),"n/m",($F51/Data!K51)),""))</f>
        <v/>
      </c>
      <c r="K51" s="9" t="str">
        <f>IF($D51&lt;&gt;"Include","",IFERROR(G51/Data!Z51,""))</f>
        <v/>
      </c>
      <c r="L51" s="9" t="str">
        <f t="shared" si="5"/>
        <v/>
      </c>
      <c r="M51" s="7" t="str">
        <f>IF($D51&lt;&gt;"Include","",IFERROR(IF(Data!L51&lt;=0,"n,m",E51/Data!L51),""))</f>
        <v/>
      </c>
      <c r="N51" s="9" t="str">
        <f>IF($D51&lt;&gt;"Include","",IFERROR(IF(OR(Data!I51&lt;=0,Data!J51&lt;=0),"n/m",(Data!I51/Data!J51)^(1/3)-1),""))</f>
        <v/>
      </c>
      <c r="O51" t="str">
        <f t="shared" si="0"/>
        <v/>
      </c>
      <c r="P51" t="str">
        <f t="shared" si="1"/>
        <v/>
      </c>
      <c r="Q51" t="str">
        <f t="shared" si="2"/>
        <v/>
      </c>
      <c r="R51" t="str">
        <f t="shared" si="3"/>
        <v/>
      </c>
      <c r="S51" t="str">
        <f t="shared" si="4"/>
        <v/>
      </c>
      <c r="T51" s="10" t="str">
        <f t="shared" si="6"/>
        <v/>
      </c>
      <c r="U51" t="str">
        <f>IF($D51&lt;&gt;"Include","",_xlfn.RANK.EQ(T51,T$6:T$305,1)+COUNTIFS(T$6:T51,T51)-1)</f>
        <v/>
      </c>
    </row>
    <row r="52" spans="1:21" x14ac:dyDescent="0.4">
      <c r="A52" t="str">
        <f>Data!A52</f>
        <v>CMCX</v>
      </c>
      <c r="B52" t="str">
        <f>Data!B52</f>
        <v>CMC Markets</v>
      </c>
      <c r="C52" t="str">
        <f>Data!D52</f>
        <v>Financials</v>
      </c>
      <c r="D52" t="str">
        <f>Data!E52</f>
        <v>Exclude</v>
      </c>
      <c r="E52" t="str">
        <f>IF($D52&lt;&gt;"Include","",SUM(Data!V52:W52)-SUM(Data!X52))</f>
        <v/>
      </c>
      <c r="F52" t="str">
        <f>IF($D52&lt;&gt;"Include","",SUM(Data!Z52,Data!Y52,Metrics!E52))</f>
        <v/>
      </c>
      <c r="G52" t="str">
        <f>IF($D52&lt;&gt;"Include","",IFERROR(Data!P52-Data!S52,""))</f>
        <v/>
      </c>
      <c r="H52" t="str">
        <f>IF($D52&lt;&gt;"Include","",IFERROR(SUM(Data!P52:R52)-SUM(Data!S52:U52),""))</f>
        <v/>
      </c>
      <c r="I52" t="str">
        <f>IF($D52&lt;&gt;"Include","",SUM(Data!M52:O52))</f>
        <v/>
      </c>
      <c r="J52" s="7" t="str">
        <f>IF($D52&lt;&gt;"Include","",IFERROR(IF(OR(Data!K52&lt;=0,F52&lt;=0),"n/m",($F52/Data!K52)),""))</f>
        <v/>
      </c>
      <c r="K52" s="9" t="str">
        <f>IF($D52&lt;&gt;"Include","",IFERROR(G52/Data!Z52,""))</f>
        <v/>
      </c>
      <c r="L52" s="9" t="str">
        <f t="shared" si="5"/>
        <v/>
      </c>
      <c r="M52" s="7" t="str">
        <f>IF($D52&lt;&gt;"Include","",IFERROR(IF(Data!L52&lt;=0,"n,m",E52/Data!L52),""))</f>
        <v/>
      </c>
      <c r="N52" s="9" t="str">
        <f>IF($D52&lt;&gt;"Include","",IFERROR(IF(OR(Data!I52&lt;=0,Data!J52&lt;=0),"n/m",(Data!I52/Data!J52)^(1/3)-1),""))</f>
        <v/>
      </c>
      <c r="O52" t="str">
        <f t="shared" si="0"/>
        <v/>
      </c>
      <c r="P52" t="str">
        <f t="shared" si="1"/>
        <v/>
      </c>
      <c r="Q52" t="str">
        <f t="shared" si="2"/>
        <v/>
      </c>
      <c r="R52" t="str">
        <f t="shared" si="3"/>
        <v/>
      </c>
      <c r="S52" t="str">
        <f t="shared" si="4"/>
        <v/>
      </c>
      <c r="T52" s="10" t="str">
        <f t="shared" si="6"/>
        <v/>
      </c>
      <c r="U52" t="str">
        <f>IF($D52&lt;&gt;"Include","",_xlfn.RANK.EQ(T52,T$6:T$305,1)+COUNTIFS(T$6:T52,T52)-1)</f>
        <v/>
      </c>
    </row>
    <row r="53" spans="1:21" x14ac:dyDescent="0.4">
      <c r="A53" t="str">
        <f>Data!A53</f>
        <v>COA</v>
      </c>
      <c r="B53" t="str">
        <f>Data!B53</f>
        <v>Coats Group</v>
      </c>
      <c r="C53" t="str">
        <f>Data!D53</f>
        <v>Industrials</v>
      </c>
      <c r="D53" t="str">
        <f>Data!E53</f>
        <v>Include</v>
      </c>
      <c r="E53">
        <f>IF($D53&lt;&gt;"Include","",SUM(Data!V53:W53)-SUM(Data!X53))</f>
        <v>0</v>
      </c>
      <c r="F53" t="e">
        <f>IF($D53&lt;&gt;"Include","",SUM(Data!Z53,Data!Y53,Metrics!E53))</f>
        <v>#N/A</v>
      </c>
      <c r="G53" t="str">
        <f>IF($D53&lt;&gt;"Include","",IFERROR(Data!P53-Data!S53,""))</f>
        <v/>
      </c>
      <c r="H53">
        <f>IF($D53&lt;&gt;"Include","",IFERROR(SUM(Data!P53:R53)-SUM(Data!S53:U53),""))</f>
        <v>0</v>
      </c>
      <c r="I53">
        <f>IF($D53&lt;&gt;"Include","",SUM(Data!M53:O53))</f>
        <v>0</v>
      </c>
      <c r="J53" s="7" t="str">
        <f>IF($D53&lt;&gt;"Include","",IFERROR(IF(OR(Data!K53&lt;=0,F53&lt;=0),"n/m",($F53/Data!K53)),""))</f>
        <v/>
      </c>
      <c r="K53" s="9" t="str">
        <f>IF($D53&lt;&gt;"Include","",IFERROR(G53/Data!Z53,""))</f>
        <v/>
      </c>
      <c r="L53" s="9" t="str">
        <f t="shared" si="5"/>
        <v>n/m</v>
      </c>
      <c r="M53" s="7" t="str">
        <f>IF($D53&lt;&gt;"Include","",IFERROR(IF(Data!L53&lt;=0,"n,m",E53/Data!L53),""))</f>
        <v/>
      </c>
      <c r="N53" s="9" t="str">
        <f>IF($D53&lt;&gt;"Include","",IFERROR(IF(OR(Data!I53&lt;=0,Data!J53&lt;=0),"n/m",(Data!I53/Data!J53)^(1/3)-1),""))</f>
        <v/>
      </c>
      <c r="O53">
        <f t="shared" si="0"/>
        <v>119</v>
      </c>
      <c r="P53">
        <f t="shared" si="1"/>
        <v>119</v>
      </c>
      <c r="Q53">
        <f t="shared" si="2"/>
        <v>119</v>
      </c>
      <c r="R53">
        <f t="shared" si="3"/>
        <v>119</v>
      </c>
      <c r="S53">
        <f t="shared" si="4"/>
        <v>119</v>
      </c>
      <c r="T53" s="10">
        <f t="shared" si="6"/>
        <v>119</v>
      </c>
      <c r="U53">
        <f>IF($D53&lt;&gt;"Include","",_xlfn.RANK.EQ(T53,T$6:T$305,1)+COUNTIFS(T$6:T53,T53)-1)</f>
        <v>22</v>
      </c>
    </row>
    <row r="54" spans="1:21" x14ac:dyDescent="0.4">
      <c r="A54" t="str">
        <f>Data!A54</f>
        <v>CORD</v>
      </c>
      <c r="B54" t="str">
        <f>Data!B54</f>
        <v>Cordiant Digital Infrastructure</v>
      </c>
      <c r="C54" t="str">
        <f>Data!D54</f>
        <v>Financials</v>
      </c>
      <c r="D54" t="str">
        <f>Data!E54</f>
        <v>Exclude</v>
      </c>
      <c r="E54" t="str">
        <f>IF($D54&lt;&gt;"Include","",SUM(Data!V54:W54)-SUM(Data!X54))</f>
        <v/>
      </c>
      <c r="F54" t="str">
        <f>IF($D54&lt;&gt;"Include","",SUM(Data!Z54,Data!Y54,Metrics!E54))</f>
        <v/>
      </c>
      <c r="G54" t="str">
        <f>IF($D54&lt;&gt;"Include","",IFERROR(Data!P54-Data!S54,""))</f>
        <v/>
      </c>
      <c r="H54" t="str">
        <f>IF($D54&lt;&gt;"Include","",IFERROR(SUM(Data!P54:R54)-SUM(Data!S54:U54),""))</f>
        <v/>
      </c>
      <c r="I54" t="str">
        <f>IF($D54&lt;&gt;"Include","",SUM(Data!M54:O54))</f>
        <v/>
      </c>
      <c r="J54" s="7" t="str">
        <f>IF($D54&lt;&gt;"Include","",IFERROR(IF(OR(Data!K54&lt;=0,F54&lt;=0),"n/m",($F54/Data!K54)),""))</f>
        <v/>
      </c>
      <c r="K54" s="9" t="str">
        <f>IF($D54&lt;&gt;"Include","",IFERROR(G54/Data!Z54,""))</f>
        <v/>
      </c>
      <c r="L54" s="9" t="str">
        <f t="shared" si="5"/>
        <v/>
      </c>
      <c r="M54" s="7" t="str">
        <f>IF($D54&lt;&gt;"Include","",IFERROR(IF(Data!L54&lt;=0,"n,m",E54/Data!L54),""))</f>
        <v/>
      </c>
      <c r="N54" s="9" t="str">
        <f>IF($D54&lt;&gt;"Include","",IFERROR(IF(OR(Data!I54&lt;=0,Data!J54&lt;=0),"n/m",(Data!I54/Data!J54)^(1/3)-1),""))</f>
        <v/>
      </c>
      <c r="O54" t="str">
        <f t="shared" si="0"/>
        <v/>
      </c>
      <c r="P54" t="str">
        <f t="shared" si="1"/>
        <v/>
      </c>
      <c r="Q54" t="str">
        <f t="shared" si="2"/>
        <v/>
      </c>
      <c r="R54" t="str">
        <f t="shared" si="3"/>
        <v/>
      </c>
      <c r="S54" t="str">
        <f t="shared" si="4"/>
        <v/>
      </c>
      <c r="T54" s="10" t="str">
        <f t="shared" si="6"/>
        <v/>
      </c>
      <c r="U54" t="str">
        <f>IF($D54&lt;&gt;"Include","",_xlfn.RANK.EQ(T54,T$6:T$305,1)+COUNTIFS(T$6:T54,T54)-1)</f>
        <v/>
      </c>
    </row>
    <row r="55" spans="1:21" x14ac:dyDescent="0.4">
      <c r="A55" t="str">
        <f>Data!A55</f>
        <v>COST</v>
      </c>
      <c r="B55" t="str">
        <f>Data!B55</f>
        <v>Costain Group</v>
      </c>
      <c r="C55" t="str">
        <f>Data!D55</f>
        <v>Industrials</v>
      </c>
      <c r="D55" t="str">
        <f>Data!E55</f>
        <v>Include</v>
      </c>
      <c r="E55">
        <f>IF($D55&lt;&gt;"Include","",SUM(Data!V55:W55)-SUM(Data!X55))</f>
        <v>0</v>
      </c>
      <c r="F55" t="e">
        <f>IF($D55&lt;&gt;"Include","",SUM(Data!Z55,Data!Y55,Metrics!E55))</f>
        <v>#N/A</v>
      </c>
      <c r="G55" t="str">
        <f>IF($D55&lt;&gt;"Include","",IFERROR(Data!P55-Data!S55,""))</f>
        <v/>
      </c>
      <c r="H55">
        <f>IF($D55&lt;&gt;"Include","",IFERROR(SUM(Data!P55:R55)-SUM(Data!S55:U55),""))</f>
        <v>0</v>
      </c>
      <c r="I55">
        <f>IF($D55&lt;&gt;"Include","",SUM(Data!M55:O55))</f>
        <v>0</v>
      </c>
      <c r="J55" s="7" t="str">
        <f>IF($D55&lt;&gt;"Include","",IFERROR(IF(OR(Data!K55&lt;=0,F55&lt;=0),"n/m",($F55/Data!K55)),""))</f>
        <v/>
      </c>
      <c r="K55" s="9" t="str">
        <f>IF($D55&lt;&gt;"Include","",IFERROR(G55/Data!Z55,""))</f>
        <v/>
      </c>
      <c r="L55" s="9" t="str">
        <f t="shared" si="5"/>
        <v>n/m</v>
      </c>
      <c r="M55" s="7" t="str">
        <f>IF($D55&lt;&gt;"Include","",IFERROR(IF(Data!L55&lt;=0,"n,m",E55/Data!L55),""))</f>
        <v/>
      </c>
      <c r="N55" s="9" t="str">
        <f>IF($D55&lt;&gt;"Include","",IFERROR(IF(OR(Data!I55&lt;=0,Data!J55&lt;=0),"n/m",(Data!I55/Data!J55)^(1/3)-1),""))</f>
        <v/>
      </c>
      <c r="O55">
        <f t="shared" si="0"/>
        <v>119</v>
      </c>
      <c r="P55">
        <f t="shared" si="1"/>
        <v>119</v>
      </c>
      <c r="Q55">
        <f t="shared" si="2"/>
        <v>119</v>
      </c>
      <c r="R55">
        <f t="shared" si="3"/>
        <v>119</v>
      </c>
      <c r="S55">
        <f t="shared" si="4"/>
        <v>119</v>
      </c>
      <c r="T55" s="10">
        <f t="shared" si="6"/>
        <v>119</v>
      </c>
      <c r="U55">
        <f>IF($D55&lt;&gt;"Include","",_xlfn.RANK.EQ(T55,T$6:T$305,1)+COUNTIFS(T$6:T55,T55)-1)</f>
        <v>23</v>
      </c>
    </row>
    <row r="56" spans="1:21" x14ac:dyDescent="0.4">
      <c r="A56" t="str">
        <f>Data!A56</f>
        <v>CWK</v>
      </c>
      <c r="B56" t="str">
        <f>Data!B56</f>
        <v>Cranswick</v>
      </c>
      <c r="C56" t="str">
        <f>Data!D56</f>
        <v>Consumer Staples</v>
      </c>
      <c r="D56" t="str">
        <f>Data!E56</f>
        <v>Include</v>
      </c>
      <c r="E56">
        <f>IF($D56&lt;&gt;"Include","",SUM(Data!V56:W56)-SUM(Data!X56))</f>
        <v>0</v>
      </c>
      <c r="F56" t="e">
        <f>IF($D56&lt;&gt;"Include","",SUM(Data!Z56,Data!Y56,Metrics!E56))</f>
        <v>#N/A</v>
      </c>
      <c r="G56" t="str">
        <f>IF($D56&lt;&gt;"Include","",IFERROR(Data!P56-Data!S56,""))</f>
        <v/>
      </c>
      <c r="H56">
        <f>IF($D56&lt;&gt;"Include","",IFERROR(SUM(Data!P56:R56)-SUM(Data!S56:U56),""))</f>
        <v>0</v>
      </c>
      <c r="I56">
        <f>IF($D56&lt;&gt;"Include","",SUM(Data!M56:O56))</f>
        <v>0</v>
      </c>
      <c r="J56" s="7" t="str">
        <f>IF($D56&lt;&gt;"Include","",IFERROR(IF(OR(Data!K56&lt;=0,F56&lt;=0),"n/m",($F56/Data!K56)),""))</f>
        <v/>
      </c>
      <c r="K56" s="9" t="str">
        <f>IF($D56&lt;&gt;"Include","",IFERROR(G56/Data!Z56,""))</f>
        <v/>
      </c>
      <c r="L56" s="9" t="str">
        <f t="shared" si="5"/>
        <v>n/m</v>
      </c>
      <c r="M56" s="7" t="str">
        <f>IF($D56&lt;&gt;"Include","",IFERROR(IF(Data!L56&lt;=0,"n,m",E56/Data!L56),""))</f>
        <v/>
      </c>
      <c r="N56" s="9" t="str">
        <f>IF($D56&lt;&gt;"Include","",IFERROR(IF(OR(Data!I56&lt;=0,Data!J56&lt;=0),"n/m",(Data!I56/Data!J56)^(1/3)-1),""))</f>
        <v/>
      </c>
      <c r="O56">
        <f t="shared" si="0"/>
        <v>119</v>
      </c>
      <c r="P56">
        <f t="shared" si="1"/>
        <v>119</v>
      </c>
      <c r="Q56">
        <f t="shared" si="2"/>
        <v>119</v>
      </c>
      <c r="R56">
        <f t="shared" si="3"/>
        <v>119</v>
      </c>
      <c r="S56">
        <f t="shared" si="4"/>
        <v>119</v>
      </c>
      <c r="T56" s="10">
        <f t="shared" si="6"/>
        <v>119</v>
      </c>
      <c r="U56">
        <f>IF($D56&lt;&gt;"Include","",_xlfn.RANK.EQ(T56,T$6:T$305,1)+COUNTIFS(T$6:T56,T56)-1)</f>
        <v>24</v>
      </c>
    </row>
    <row r="57" spans="1:21" x14ac:dyDescent="0.4">
      <c r="A57" t="str">
        <f>Data!A57</f>
        <v>CURY</v>
      </c>
      <c r="B57" t="str">
        <f>Data!B57</f>
        <v>Currys</v>
      </c>
      <c r="C57" t="str">
        <f>Data!D57</f>
        <v>Consumer Discretionary</v>
      </c>
      <c r="D57" t="str">
        <f>Data!E57</f>
        <v>Include</v>
      </c>
      <c r="E57">
        <f>IF($D57&lt;&gt;"Include","",SUM(Data!V57:W57)-SUM(Data!X57))</f>
        <v>0</v>
      </c>
      <c r="F57" t="e">
        <f>IF($D57&lt;&gt;"Include","",SUM(Data!Z57,Data!Y57,Metrics!E57))</f>
        <v>#N/A</v>
      </c>
      <c r="G57" t="str">
        <f>IF($D57&lt;&gt;"Include","",IFERROR(Data!P57-Data!S57,""))</f>
        <v/>
      </c>
      <c r="H57">
        <f>IF($D57&lt;&gt;"Include","",IFERROR(SUM(Data!P57:R57)-SUM(Data!S57:U57),""))</f>
        <v>0</v>
      </c>
      <c r="I57">
        <f>IF($D57&lt;&gt;"Include","",SUM(Data!M57:O57))</f>
        <v>0</v>
      </c>
      <c r="J57" s="7" t="str">
        <f>IF($D57&lt;&gt;"Include","",IFERROR(IF(OR(Data!K57&lt;=0,F57&lt;=0),"n/m",($F57/Data!K57)),""))</f>
        <v/>
      </c>
      <c r="K57" s="9" t="str">
        <f>IF($D57&lt;&gt;"Include","",IFERROR(G57/Data!Z57,""))</f>
        <v/>
      </c>
      <c r="L57" s="9" t="str">
        <f t="shared" si="5"/>
        <v>n/m</v>
      </c>
      <c r="M57" s="7" t="str">
        <f>IF($D57&lt;&gt;"Include","",IFERROR(IF(Data!L57&lt;=0,"n,m",E57/Data!L57),""))</f>
        <v/>
      </c>
      <c r="N57" s="9" t="str">
        <f>IF($D57&lt;&gt;"Include","",IFERROR(IF(OR(Data!I57&lt;=0,Data!J57&lt;=0),"n/m",(Data!I57/Data!J57)^(1/3)-1),""))</f>
        <v/>
      </c>
      <c r="O57">
        <f t="shared" si="0"/>
        <v>119</v>
      </c>
      <c r="P57">
        <f t="shared" si="1"/>
        <v>119</v>
      </c>
      <c r="Q57">
        <f t="shared" si="2"/>
        <v>119</v>
      </c>
      <c r="R57">
        <f t="shared" si="3"/>
        <v>119</v>
      </c>
      <c r="S57">
        <f t="shared" si="4"/>
        <v>119</v>
      </c>
      <c r="T57" s="10">
        <f t="shared" si="6"/>
        <v>119</v>
      </c>
      <c r="U57">
        <f>IF($D57&lt;&gt;"Include","",_xlfn.RANK.EQ(T57,T$6:T$305,1)+COUNTIFS(T$6:T57,T57)-1)</f>
        <v>25</v>
      </c>
    </row>
    <row r="58" spans="1:21" x14ac:dyDescent="0.4">
      <c r="A58" t="str">
        <f>Data!A58</f>
        <v>CVSG</v>
      </c>
      <c r="B58" t="str">
        <f>Data!B58</f>
        <v>CVS Group</v>
      </c>
      <c r="C58" t="str">
        <f>Data!D58</f>
        <v>Health Care</v>
      </c>
      <c r="D58" t="str">
        <f>Data!E58</f>
        <v>Include</v>
      </c>
      <c r="E58">
        <f>IF($D58&lt;&gt;"Include","",SUM(Data!V58:W58)-SUM(Data!X58))</f>
        <v>0</v>
      </c>
      <c r="F58" t="e">
        <f>IF($D58&lt;&gt;"Include","",SUM(Data!Z58,Data!Y58,Metrics!E58))</f>
        <v>#N/A</v>
      </c>
      <c r="G58" t="str">
        <f>IF($D58&lt;&gt;"Include","",IFERROR(Data!P58-Data!S58,""))</f>
        <v/>
      </c>
      <c r="H58">
        <f>IF($D58&lt;&gt;"Include","",IFERROR(SUM(Data!P58:R58)-SUM(Data!S58:U58),""))</f>
        <v>0</v>
      </c>
      <c r="I58">
        <f>IF($D58&lt;&gt;"Include","",SUM(Data!M58:O58))</f>
        <v>0</v>
      </c>
      <c r="J58" s="7" t="str">
        <f>IF($D58&lt;&gt;"Include","",IFERROR(IF(OR(Data!K58&lt;=0,F58&lt;=0),"n/m",($F58/Data!K58)),""))</f>
        <v/>
      </c>
      <c r="K58" s="9" t="str">
        <f>IF($D58&lt;&gt;"Include","",IFERROR(G58/Data!Z58,""))</f>
        <v/>
      </c>
      <c r="L58" s="9" t="str">
        <f t="shared" si="5"/>
        <v>n/m</v>
      </c>
      <c r="M58" s="7" t="str">
        <f>IF($D58&lt;&gt;"Include","",IFERROR(IF(Data!L58&lt;=0,"n,m",E58/Data!L58),""))</f>
        <v/>
      </c>
      <c r="N58" s="9" t="str">
        <f>IF($D58&lt;&gt;"Include","",IFERROR(IF(OR(Data!I58&lt;=0,Data!J58&lt;=0),"n/m",(Data!I58/Data!J58)^(1/3)-1),""))</f>
        <v/>
      </c>
      <c r="O58">
        <f t="shared" si="0"/>
        <v>119</v>
      </c>
      <c r="P58">
        <f t="shared" si="1"/>
        <v>119</v>
      </c>
      <c r="Q58">
        <f t="shared" si="2"/>
        <v>119</v>
      </c>
      <c r="R58">
        <f t="shared" si="3"/>
        <v>119</v>
      </c>
      <c r="S58">
        <f t="shared" si="4"/>
        <v>119</v>
      </c>
      <c r="T58" s="10">
        <f t="shared" si="6"/>
        <v>119</v>
      </c>
      <c r="U58">
        <f>IF($D58&lt;&gt;"Include","",_xlfn.RANK.EQ(T58,T$6:T$305,1)+COUNTIFS(T$6:T58,T58)-1)</f>
        <v>26</v>
      </c>
    </row>
    <row r="59" spans="1:21" x14ac:dyDescent="0.4">
      <c r="A59" t="str">
        <f>Data!A59</f>
        <v>DLN</v>
      </c>
      <c r="B59" t="str">
        <f>Data!B59</f>
        <v>Derwent London</v>
      </c>
      <c r="C59" t="str">
        <f>Data!D59</f>
        <v>Real Estate</v>
      </c>
      <c r="D59" t="str">
        <f>Data!E59</f>
        <v>Exclude</v>
      </c>
      <c r="E59" t="str">
        <f>IF($D59&lt;&gt;"Include","",SUM(Data!V59:W59)-SUM(Data!X59))</f>
        <v/>
      </c>
      <c r="F59" t="str">
        <f>IF($D59&lt;&gt;"Include","",SUM(Data!Z59,Data!Y59,Metrics!E59))</f>
        <v/>
      </c>
      <c r="G59" t="str">
        <f>IF($D59&lt;&gt;"Include","",IFERROR(Data!P59-Data!S59,""))</f>
        <v/>
      </c>
      <c r="H59" t="str">
        <f>IF($D59&lt;&gt;"Include","",IFERROR(SUM(Data!P59:R59)-SUM(Data!S59:U59),""))</f>
        <v/>
      </c>
      <c r="I59" t="str">
        <f>IF($D59&lt;&gt;"Include","",SUM(Data!M59:O59))</f>
        <v/>
      </c>
      <c r="J59" s="7" t="str">
        <f>IF($D59&lt;&gt;"Include","",IFERROR(IF(OR(Data!K59&lt;=0,F59&lt;=0),"n/m",($F59/Data!K59)),""))</f>
        <v/>
      </c>
      <c r="K59" s="9" t="str">
        <f>IF($D59&lt;&gt;"Include","",IFERROR(G59/Data!Z59,""))</f>
        <v/>
      </c>
      <c r="L59" s="9" t="str">
        <f t="shared" si="5"/>
        <v/>
      </c>
      <c r="M59" s="7" t="str">
        <f>IF($D59&lt;&gt;"Include","",IFERROR(IF(Data!L59&lt;=0,"n,m",E59/Data!L59),""))</f>
        <v/>
      </c>
      <c r="N59" s="9" t="str">
        <f>IF($D59&lt;&gt;"Include","",IFERROR(IF(OR(Data!I59&lt;=0,Data!J59&lt;=0),"n/m",(Data!I59/Data!J59)^(1/3)-1),""))</f>
        <v/>
      </c>
      <c r="O59" t="str">
        <f t="shared" si="0"/>
        <v/>
      </c>
      <c r="P59" t="str">
        <f t="shared" si="1"/>
        <v/>
      </c>
      <c r="Q59" t="str">
        <f t="shared" si="2"/>
        <v/>
      </c>
      <c r="R59" t="str">
        <f t="shared" si="3"/>
        <v/>
      </c>
      <c r="S59" t="str">
        <f t="shared" si="4"/>
        <v/>
      </c>
      <c r="T59" s="10" t="str">
        <f t="shared" si="6"/>
        <v/>
      </c>
      <c r="U59" t="str">
        <f>IF($D59&lt;&gt;"Include","",_xlfn.RANK.EQ(T59,T$6:T$305,1)+COUNTIFS(T$6:T59,T59)-1)</f>
        <v/>
      </c>
    </row>
    <row r="60" spans="1:21" x14ac:dyDescent="0.4">
      <c r="A60" t="str">
        <f>Data!A60</f>
        <v>DSCV</v>
      </c>
      <c r="B60" t="str">
        <f>Data!B60</f>
        <v>discoverIE</v>
      </c>
      <c r="C60" t="str">
        <f>Data!D60</f>
        <v>Industrials</v>
      </c>
      <c r="D60" t="str">
        <f>Data!E60</f>
        <v>Include</v>
      </c>
      <c r="E60">
        <f>IF($D60&lt;&gt;"Include","",SUM(Data!V60:W60)-SUM(Data!X60))</f>
        <v>0</v>
      </c>
      <c r="F60" t="e">
        <f>IF($D60&lt;&gt;"Include","",SUM(Data!Z60,Data!Y60,Metrics!E60))</f>
        <v>#N/A</v>
      </c>
      <c r="G60" t="str">
        <f>IF($D60&lt;&gt;"Include","",IFERROR(Data!P60-Data!S60,""))</f>
        <v/>
      </c>
      <c r="H60">
        <f>IF($D60&lt;&gt;"Include","",IFERROR(SUM(Data!P60:R60)-SUM(Data!S60:U60),""))</f>
        <v>0</v>
      </c>
      <c r="I60">
        <f>IF($D60&lt;&gt;"Include","",SUM(Data!M60:O60))</f>
        <v>0</v>
      </c>
      <c r="J60" s="7" t="str">
        <f>IF($D60&lt;&gt;"Include","",IFERROR(IF(OR(Data!K60&lt;=0,F60&lt;=0),"n/m",($F60/Data!K60)),""))</f>
        <v/>
      </c>
      <c r="K60" s="9" t="str">
        <f>IF($D60&lt;&gt;"Include","",IFERROR(G60/Data!Z60,""))</f>
        <v/>
      </c>
      <c r="L60" s="9" t="str">
        <f t="shared" si="5"/>
        <v>n/m</v>
      </c>
      <c r="M60" s="7" t="str">
        <f>IF($D60&lt;&gt;"Include","",IFERROR(IF(Data!L60&lt;=0,"n,m",E60/Data!L60),""))</f>
        <v/>
      </c>
      <c r="N60" s="9" t="str">
        <f>IF($D60&lt;&gt;"Include","",IFERROR(IF(OR(Data!I60&lt;=0,Data!J60&lt;=0),"n/m",(Data!I60/Data!J60)^(1/3)-1),""))</f>
        <v/>
      </c>
      <c r="O60">
        <f t="shared" si="0"/>
        <v>119</v>
      </c>
      <c r="P60">
        <f t="shared" si="1"/>
        <v>119</v>
      </c>
      <c r="Q60">
        <f t="shared" si="2"/>
        <v>119</v>
      </c>
      <c r="R60">
        <f t="shared" si="3"/>
        <v>119</v>
      </c>
      <c r="S60">
        <f t="shared" si="4"/>
        <v>119</v>
      </c>
      <c r="T60" s="10">
        <f t="shared" si="6"/>
        <v>119</v>
      </c>
      <c r="U60">
        <f>IF($D60&lt;&gt;"Include","",_xlfn.RANK.EQ(T60,T$6:T$305,1)+COUNTIFS(T$6:T60,T60)-1)</f>
        <v>27</v>
      </c>
    </row>
    <row r="61" spans="1:21" x14ac:dyDescent="0.4">
      <c r="A61" t="str">
        <f>Data!A61</f>
        <v>DOM</v>
      </c>
      <c r="B61" t="str">
        <f>Data!B61</f>
        <v>Domino's Pizza</v>
      </c>
      <c r="C61" t="str">
        <f>Data!D61</f>
        <v>Consumer Discretionary</v>
      </c>
      <c r="D61" t="str">
        <f>Data!E61</f>
        <v>Include</v>
      </c>
      <c r="E61">
        <f>IF($D61&lt;&gt;"Include","",SUM(Data!V61:W61)-SUM(Data!X61))</f>
        <v>0</v>
      </c>
      <c r="F61" t="e">
        <f>IF($D61&lt;&gt;"Include","",SUM(Data!Z61,Data!Y61,Metrics!E61))</f>
        <v>#N/A</v>
      </c>
      <c r="G61" t="str">
        <f>IF($D61&lt;&gt;"Include","",IFERROR(Data!P61-Data!S61,""))</f>
        <v/>
      </c>
      <c r="H61">
        <f>IF($D61&lt;&gt;"Include","",IFERROR(SUM(Data!P61:R61)-SUM(Data!S61:U61),""))</f>
        <v>0</v>
      </c>
      <c r="I61">
        <f>IF($D61&lt;&gt;"Include","",SUM(Data!M61:O61))</f>
        <v>0</v>
      </c>
      <c r="J61" s="7" t="str">
        <f>IF($D61&lt;&gt;"Include","",IFERROR(IF(OR(Data!K61&lt;=0,F61&lt;=0),"n/m",($F61/Data!K61)),""))</f>
        <v/>
      </c>
      <c r="K61" s="9" t="str">
        <f>IF($D61&lt;&gt;"Include","",IFERROR(G61/Data!Z61,""))</f>
        <v/>
      </c>
      <c r="L61" s="9" t="str">
        <f t="shared" si="5"/>
        <v>n/m</v>
      </c>
      <c r="M61" s="7" t="str">
        <f>IF($D61&lt;&gt;"Include","",IFERROR(IF(Data!L61&lt;=0,"n,m",E61/Data!L61),""))</f>
        <v/>
      </c>
      <c r="N61" s="9" t="str">
        <f>IF($D61&lt;&gt;"Include","",IFERROR(IF(OR(Data!I61&lt;=0,Data!J61&lt;=0),"n/m",(Data!I61/Data!J61)^(1/3)-1),""))</f>
        <v/>
      </c>
      <c r="O61">
        <f t="shared" si="0"/>
        <v>119</v>
      </c>
      <c r="P61">
        <f t="shared" si="1"/>
        <v>119</v>
      </c>
      <c r="Q61">
        <f t="shared" si="2"/>
        <v>119</v>
      </c>
      <c r="R61">
        <f t="shared" si="3"/>
        <v>119</v>
      </c>
      <c r="S61">
        <f t="shared" si="4"/>
        <v>119</v>
      </c>
      <c r="T61" s="10">
        <f t="shared" si="6"/>
        <v>119</v>
      </c>
      <c r="U61">
        <f>IF($D61&lt;&gt;"Include","",_xlfn.RANK.EQ(T61,T$6:T$305,1)+COUNTIFS(T$6:T61,T61)-1)</f>
        <v>28</v>
      </c>
    </row>
    <row r="62" spans="1:21" x14ac:dyDescent="0.4">
      <c r="A62" t="str">
        <f>Data!A62</f>
        <v>DRX</v>
      </c>
      <c r="B62" t="str">
        <f>Data!B62</f>
        <v>Drax Group</v>
      </c>
      <c r="C62" t="str">
        <f>Data!D62</f>
        <v>Utilities</v>
      </c>
      <c r="D62" t="str">
        <f>Data!E62</f>
        <v>Include</v>
      </c>
      <c r="E62">
        <f>IF($D62&lt;&gt;"Include","",SUM(Data!V62:W62)-SUM(Data!X62))</f>
        <v>0</v>
      </c>
      <c r="F62" t="e">
        <f>IF($D62&lt;&gt;"Include","",SUM(Data!Z62,Data!Y62,Metrics!E62))</f>
        <v>#N/A</v>
      </c>
      <c r="G62" t="str">
        <f>IF($D62&lt;&gt;"Include","",IFERROR(Data!P62-Data!S62,""))</f>
        <v/>
      </c>
      <c r="H62">
        <f>IF($D62&lt;&gt;"Include","",IFERROR(SUM(Data!P62:R62)-SUM(Data!S62:U62),""))</f>
        <v>0</v>
      </c>
      <c r="I62">
        <f>IF($D62&lt;&gt;"Include","",SUM(Data!M62:O62))</f>
        <v>0</v>
      </c>
      <c r="J62" s="7" t="str">
        <f>IF($D62&lt;&gt;"Include","",IFERROR(IF(OR(Data!K62&lt;=0,F62&lt;=0),"n/m",($F62/Data!K62)),""))</f>
        <v/>
      </c>
      <c r="K62" s="9" t="str">
        <f>IF($D62&lt;&gt;"Include","",IFERROR(G62/Data!Z62,""))</f>
        <v/>
      </c>
      <c r="L62" s="9" t="str">
        <f t="shared" si="5"/>
        <v>n/m</v>
      </c>
      <c r="M62" s="7" t="str">
        <f>IF($D62&lt;&gt;"Include","",IFERROR(IF(Data!L62&lt;=0,"n,m",E62/Data!L62),""))</f>
        <v/>
      </c>
      <c r="N62" s="9" t="str">
        <f>IF($D62&lt;&gt;"Include","",IFERROR(IF(OR(Data!I62&lt;=0,Data!J62&lt;=0),"n/m",(Data!I62/Data!J62)^(1/3)-1),""))</f>
        <v/>
      </c>
      <c r="O62">
        <f t="shared" si="0"/>
        <v>119</v>
      </c>
      <c r="P62">
        <f t="shared" si="1"/>
        <v>119</v>
      </c>
      <c r="Q62">
        <f t="shared" si="2"/>
        <v>119</v>
      </c>
      <c r="R62">
        <f t="shared" si="3"/>
        <v>119</v>
      </c>
      <c r="S62">
        <f t="shared" si="4"/>
        <v>119</v>
      </c>
      <c r="T62" s="10">
        <f t="shared" si="6"/>
        <v>119</v>
      </c>
      <c r="U62">
        <f>IF($D62&lt;&gt;"Include","",_xlfn.RANK.EQ(T62,T$6:T$305,1)+COUNTIFS(T$6:T62,T62)-1)</f>
        <v>29</v>
      </c>
    </row>
    <row r="63" spans="1:21" x14ac:dyDescent="0.4">
      <c r="A63" t="str">
        <f>Data!A63</f>
        <v>DOCS</v>
      </c>
      <c r="B63" t="str">
        <f>Data!B63</f>
        <v>Dr. Martens</v>
      </c>
      <c r="C63" t="str">
        <f>Data!D63</f>
        <v>Consumer Discretionary</v>
      </c>
      <c r="D63" t="str">
        <f>Data!E63</f>
        <v>Include</v>
      </c>
      <c r="E63">
        <f>IF($D63&lt;&gt;"Include","",SUM(Data!V63:W63)-SUM(Data!X63))</f>
        <v>0</v>
      </c>
      <c r="F63" t="e">
        <f>IF($D63&lt;&gt;"Include","",SUM(Data!Z63,Data!Y63,Metrics!E63))</f>
        <v>#N/A</v>
      </c>
      <c r="G63" t="str">
        <f>IF($D63&lt;&gt;"Include","",IFERROR(Data!P63-Data!S63,""))</f>
        <v/>
      </c>
      <c r="H63">
        <f>IF($D63&lt;&gt;"Include","",IFERROR(SUM(Data!P63:R63)-SUM(Data!S63:U63),""))</f>
        <v>0</v>
      </c>
      <c r="I63">
        <f>IF($D63&lt;&gt;"Include","",SUM(Data!M63:O63))</f>
        <v>0</v>
      </c>
      <c r="J63" s="7" t="str">
        <f>IF($D63&lt;&gt;"Include","",IFERROR(IF(OR(Data!K63&lt;=0,F63&lt;=0),"n/m",($F63/Data!K63)),""))</f>
        <v/>
      </c>
      <c r="K63" s="9" t="str">
        <f>IF($D63&lt;&gt;"Include","",IFERROR(G63/Data!Z63,""))</f>
        <v/>
      </c>
      <c r="L63" s="9" t="str">
        <f t="shared" si="5"/>
        <v>n/m</v>
      </c>
      <c r="M63" s="7" t="str">
        <f>IF($D63&lt;&gt;"Include","",IFERROR(IF(Data!L63&lt;=0,"n,m",E63/Data!L63),""))</f>
        <v/>
      </c>
      <c r="N63" s="9" t="str">
        <f>IF($D63&lt;&gt;"Include","",IFERROR(IF(OR(Data!I63&lt;=0,Data!J63&lt;=0),"n/m",(Data!I63/Data!J63)^(1/3)-1),""))</f>
        <v/>
      </c>
      <c r="O63">
        <f t="shared" si="0"/>
        <v>119</v>
      </c>
      <c r="P63">
        <f t="shared" si="1"/>
        <v>119</v>
      </c>
      <c r="Q63">
        <f t="shared" si="2"/>
        <v>119</v>
      </c>
      <c r="R63">
        <f t="shared" si="3"/>
        <v>119</v>
      </c>
      <c r="S63">
        <f t="shared" si="4"/>
        <v>119</v>
      </c>
      <c r="T63" s="10">
        <f t="shared" si="6"/>
        <v>119</v>
      </c>
      <c r="U63">
        <f>IF($D63&lt;&gt;"Include","",_xlfn.RANK.EQ(T63,T$6:T$305,1)+COUNTIFS(T$6:T63,T63)-1)</f>
        <v>30</v>
      </c>
    </row>
    <row r="64" spans="1:21" x14ac:dyDescent="0.4">
      <c r="A64" t="str">
        <f>Data!A64</f>
        <v>DNLM</v>
      </c>
      <c r="B64" t="str">
        <f>Data!B64</f>
        <v>Dunelm Group</v>
      </c>
      <c r="C64" t="str">
        <f>Data!D64</f>
        <v>Consumer Discretionary</v>
      </c>
      <c r="D64" t="str">
        <f>Data!E64</f>
        <v>Include</v>
      </c>
      <c r="E64">
        <f>IF($D64&lt;&gt;"Include","",SUM(Data!V64:W64)-SUM(Data!X64))</f>
        <v>0</v>
      </c>
      <c r="F64" t="e">
        <f>IF($D64&lt;&gt;"Include","",SUM(Data!Z64,Data!Y64,Metrics!E64))</f>
        <v>#N/A</v>
      </c>
      <c r="G64" t="str">
        <f>IF($D64&lt;&gt;"Include","",IFERROR(Data!P64-Data!S64,""))</f>
        <v/>
      </c>
      <c r="H64">
        <f>IF($D64&lt;&gt;"Include","",IFERROR(SUM(Data!P64:R64)-SUM(Data!S64:U64),""))</f>
        <v>0</v>
      </c>
      <c r="I64">
        <f>IF($D64&lt;&gt;"Include","",SUM(Data!M64:O64))</f>
        <v>0</v>
      </c>
      <c r="J64" s="7" t="str">
        <f>IF($D64&lt;&gt;"Include","",IFERROR(IF(OR(Data!K64&lt;=0,F64&lt;=0),"n/m",($F64/Data!K64)),""))</f>
        <v/>
      </c>
      <c r="K64" s="9" t="str">
        <f>IF($D64&lt;&gt;"Include","",IFERROR(G64/Data!Z64,""))</f>
        <v/>
      </c>
      <c r="L64" s="9" t="str">
        <f t="shared" si="5"/>
        <v>n/m</v>
      </c>
      <c r="M64" s="7" t="str">
        <f>IF($D64&lt;&gt;"Include","",IFERROR(IF(Data!L64&lt;=0,"n,m",E64/Data!L64),""))</f>
        <v/>
      </c>
      <c r="N64" s="9" t="str">
        <f>IF($D64&lt;&gt;"Include","",IFERROR(IF(OR(Data!I64&lt;=0,Data!J64&lt;=0),"n/m",(Data!I64/Data!J64)^(1/3)-1),""))</f>
        <v/>
      </c>
      <c r="O64">
        <f t="shared" si="0"/>
        <v>119</v>
      </c>
      <c r="P64">
        <f t="shared" si="1"/>
        <v>119</v>
      </c>
      <c r="Q64">
        <f t="shared" si="2"/>
        <v>119</v>
      </c>
      <c r="R64">
        <f t="shared" si="3"/>
        <v>119</v>
      </c>
      <c r="S64">
        <f t="shared" si="4"/>
        <v>119</v>
      </c>
      <c r="T64" s="10">
        <f t="shared" si="6"/>
        <v>119</v>
      </c>
      <c r="U64">
        <f>IF($D64&lt;&gt;"Include","",_xlfn.RANK.EQ(T64,T$6:T$305,1)+COUNTIFS(T$6:T64,T64)-1)</f>
        <v>31</v>
      </c>
    </row>
    <row r="65" spans="1:21" x14ac:dyDescent="0.4">
      <c r="A65" t="str">
        <f>Data!A65</f>
        <v>EDIN</v>
      </c>
      <c r="B65" t="str">
        <f>Data!B65</f>
        <v>Edinburgh Investment Trust</v>
      </c>
      <c r="C65" t="str">
        <f>Data!D65</f>
        <v>Financials</v>
      </c>
      <c r="D65" t="str">
        <f>Data!E65</f>
        <v>Exclude</v>
      </c>
      <c r="E65" t="str">
        <f>IF($D65&lt;&gt;"Include","",SUM(Data!V65:W65)-SUM(Data!X65))</f>
        <v/>
      </c>
      <c r="F65" t="str">
        <f>IF($D65&lt;&gt;"Include","",SUM(Data!Z65,Data!Y65,Metrics!E65))</f>
        <v/>
      </c>
      <c r="G65" t="str">
        <f>IF($D65&lt;&gt;"Include","",IFERROR(Data!P65-Data!S65,""))</f>
        <v/>
      </c>
      <c r="H65" t="str">
        <f>IF($D65&lt;&gt;"Include","",IFERROR(SUM(Data!P65:R65)-SUM(Data!S65:U65),""))</f>
        <v/>
      </c>
      <c r="I65" t="str">
        <f>IF($D65&lt;&gt;"Include","",SUM(Data!M65:O65))</f>
        <v/>
      </c>
      <c r="J65" s="7" t="str">
        <f>IF($D65&lt;&gt;"Include","",IFERROR(IF(OR(Data!K65&lt;=0,F65&lt;=0),"n/m",($F65/Data!K65)),""))</f>
        <v/>
      </c>
      <c r="K65" s="9" t="str">
        <f>IF($D65&lt;&gt;"Include","",IFERROR(G65/Data!Z65,""))</f>
        <v/>
      </c>
      <c r="L65" s="9" t="str">
        <f t="shared" si="5"/>
        <v/>
      </c>
      <c r="M65" s="7" t="str">
        <f>IF($D65&lt;&gt;"Include","",IFERROR(IF(Data!L65&lt;=0,"n,m",E65/Data!L65),""))</f>
        <v/>
      </c>
      <c r="N65" s="9" t="str">
        <f>IF($D65&lt;&gt;"Include","",IFERROR(IF(OR(Data!I65&lt;=0,Data!J65&lt;=0),"n/m",(Data!I65/Data!J65)^(1/3)-1),""))</f>
        <v/>
      </c>
      <c r="O65" t="str">
        <f t="shared" si="0"/>
        <v/>
      </c>
      <c r="P65" t="str">
        <f t="shared" si="1"/>
        <v/>
      </c>
      <c r="Q65" t="str">
        <f t="shared" si="2"/>
        <v/>
      </c>
      <c r="R65" t="str">
        <f t="shared" si="3"/>
        <v/>
      </c>
      <c r="S65" t="str">
        <f t="shared" si="4"/>
        <v/>
      </c>
      <c r="T65" s="10" t="str">
        <f t="shared" si="6"/>
        <v/>
      </c>
      <c r="U65" t="str">
        <f>IF($D65&lt;&gt;"Include","",_xlfn.RANK.EQ(T65,T$6:T$305,1)+COUNTIFS(T$6:T65,T65)-1)</f>
        <v/>
      </c>
    </row>
    <row r="66" spans="1:21" x14ac:dyDescent="0.4">
      <c r="A66" t="str">
        <f>Data!A66</f>
        <v>EWI</v>
      </c>
      <c r="B66" t="str">
        <f>Data!B66</f>
        <v>Edinburgh Worldwide Investment Trust</v>
      </c>
      <c r="C66" t="str">
        <f>Data!D66</f>
        <v>Financials</v>
      </c>
      <c r="D66" t="str">
        <f>Data!E66</f>
        <v>Exclude</v>
      </c>
      <c r="E66" t="str">
        <f>IF($D66&lt;&gt;"Include","",SUM(Data!V66:W66)-SUM(Data!X66))</f>
        <v/>
      </c>
      <c r="F66" t="str">
        <f>IF($D66&lt;&gt;"Include","",SUM(Data!Z66,Data!Y66,Metrics!E66))</f>
        <v/>
      </c>
      <c r="G66" t="str">
        <f>IF($D66&lt;&gt;"Include","",IFERROR(Data!P66-Data!S66,""))</f>
        <v/>
      </c>
      <c r="H66" t="str">
        <f>IF($D66&lt;&gt;"Include","",IFERROR(SUM(Data!P66:R66)-SUM(Data!S66:U66),""))</f>
        <v/>
      </c>
      <c r="I66" t="str">
        <f>IF($D66&lt;&gt;"Include","",SUM(Data!M66:O66))</f>
        <v/>
      </c>
      <c r="J66" s="7" t="str">
        <f>IF($D66&lt;&gt;"Include","",IFERROR(IF(OR(Data!K66&lt;=0,F66&lt;=0),"n/m",($F66/Data!K66)),""))</f>
        <v/>
      </c>
      <c r="K66" s="9" t="str">
        <f>IF($D66&lt;&gt;"Include","",IFERROR(G66/Data!Z66,""))</f>
        <v/>
      </c>
      <c r="L66" s="9" t="str">
        <f t="shared" si="5"/>
        <v/>
      </c>
      <c r="M66" s="7" t="str">
        <f>IF($D66&lt;&gt;"Include","",IFERROR(IF(Data!L66&lt;=0,"n,m",E66/Data!L66),""))</f>
        <v/>
      </c>
      <c r="N66" s="9" t="str">
        <f>IF($D66&lt;&gt;"Include","",IFERROR(IF(OR(Data!I66&lt;=0,Data!J66&lt;=0),"n/m",(Data!I66/Data!J66)^(1/3)-1),""))</f>
        <v/>
      </c>
      <c r="O66" t="str">
        <f t="shared" si="0"/>
        <v/>
      </c>
      <c r="P66" t="str">
        <f t="shared" si="1"/>
        <v/>
      </c>
      <c r="Q66" t="str">
        <f t="shared" si="2"/>
        <v/>
      </c>
      <c r="R66" t="str">
        <f t="shared" si="3"/>
        <v/>
      </c>
      <c r="S66" t="str">
        <f t="shared" si="4"/>
        <v/>
      </c>
      <c r="T66" s="10" t="str">
        <f t="shared" si="6"/>
        <v/>
      </c>
      <c r="U66" t="str">
        <f>IF($D66&lt;&gt;"Include","",_xlfn.RANK.EQ(T66,T$6:T$305,1)+COUNTIFS(T$6:T66,T66)-1)</f>
        <v/>
      </c>
    </row>
    <row r="67" spans="1:21" x14ac:dyDescent="0.4">
      <c r="A67" t="str">
        <f>Data!A67</f>
        <v>ELM</v>
      </c>
      <c r="B67" t="str">
        <f>Data!B67</f>
        <v>Elementis</v>
      </c>
      <c r="C67" t="str">
        <f>Data!D67</f>
        <v>Basic Materials</v>
      </c>
      <c r="D67" t="str">
        <f>Data!E67</f>
        <v>Include</v>
      </c>
      <c r="E67">
        <f>IF($D67&lt;&gt;"Include","",SUM(Data!V67:W67)-SUM(Data!X67))</f>
        <v>0</v>
      </c>
      <c r="F67" t="e">
        <f>IF($D67&lt;&gt;"Include","",SUM(Data!Z67,Data!Y67,Metrics!E67))</f>
        <v>#N/A</v>
      </c>
      <c r="G67" t="str">
        <f>IF($D67&lt;&gt;"Include","",IFERROR(Data!P67-Data!S67,""))</f>
        <v/>
      </c>
      <c r="H67">
        <f>IF($D67&lt;&gt;"Include","",IFERROR(SUM(Data!P67:R67)-SUM(Data!S67:U67),""))</f>
        <v>0</v>
      </c>
      <c r="I67">
        <f>IF($D67&lt;&gt;"Include","",SUM(Data!M67:O67))</f>
        <v>0</v>
      </c>
      <c r="J67" s="7" t="str">
        <f>IF($D67&lt;&gt;"Include","",IFERROR(IF(OR(Data!K67&lt;=0,F67&lt;=0),"n/m",($F67/Data!K67)),""))</f>
        <v/>
      </c>
      <c r="K67" s="9" t="str">
        <f>IF($D67&lt;&gt;"Include","",IFERROR(G67/Data!Z67,""))</f>
        <v/>
      </c>
      <c r="L67" s="9" t="str">
        <f t="shared" si="5"/>
        <v>n/m</v>
      </c>
      <c r="M67" s="7" t="str">
        <f>IF($D67&lt;&gt;"Include","",IFERROR(IF(Data!L67&lt;=0,"n,m",E67/Data!L67),""))</f>
        <v/>
      </c>
      <c r="N67" s="9" t="str">
        <f>IF($D67&lt;&gt;"Include","",IFERROR(IF(OR(Data!I67&lt;=0,Data!J67&lt;=0),"n/m",(Data!I67/Data!J67)^(1/3)-1),""))</f>
        <v/>
      </c>
      <c r="O67">
        <f t="shared" si="0"/>
        <v>119</v>
      </c>
      <c r="P67">
        <f t="shared" si="1"/>
        <v>119</v>
      </c>
      <c r="Q67">
        <f t="shared" si="2"/>
        <v>119</v>
      </c>
      <c r="R67">
        <f t="shared" si="3"/>
        <v>119</v>
      </c>
      <c r="S67">
        <f t="shared" si="4"/>
        <v>119</v>
      </c>
      <c r="T67" s="10">
        <f t="shared" si="6"/>
        <v>119</v>
      </c>
      <c r="U67">
        <f>IF($D67&lt;&gt;"Include","",_xlfn.RANK.EQ(T67,T$6:T$305,1)+COUNTIFS(T$6:T67,T67)-1)</f>
        <v>32</v>
      </c>
    </row>
    <row r="68" spans="1:21" x14ac:dyDescent="0.4">
      <c r="A68" t="str">
        <f>Data!A68</f>
        <v>ENOG</v>
      </c>
      <c r="B68" t="str">
        <f>Data!B68</f>
        <v>Energean</v>
      </c>
      <c r="C68" t="str">
        <f>Data!D68</f>
        <v>Energy</v>
      </c>
      <c r="D68" t="str">
        <f>Data!E68</f>
        <v>Include</v>
      </c>
      <c r="E68">
        <f>IF($D68&lt;&gt;"Include","",SUM(Data!V68:W68)-SUM(Data!X68))</f>
        <v>0</v>
      </c>
      <c r="F68" t="e">
        <f>IF($D68&lt;&gt;"Include","",SUM(Data!Z68,Data!Y68,Metrics!E68))</f>
        <v>#N/A</v>
      </c>
      <c r="G68" t="str">
        <f>IF($D68&lt;&gt;"Include","",IFERROR(Data!P68-Data!S68,""))</f>
        <v/>
      </c>
      <c r="H68">
        <f>IF($D68&lt;&gt;"Include","",IFERROR(SUM(Data!P68:R68)-SUM(Data!S68:U68),""))</f>
        <v>0</v>
      </c>
      <c r="I68">
        <f>IF($D68&lt;&gt;"Include","",SUM(Data!M68:O68))</f>
        <v>0</v>
      </c>
      <c r="J68" s="7" t="str">
        <f>IF($D68&lt;&gt;"Include","",IFERROR(IF(OR(Data!K68&lt;=0,F68&lt;=0),"n/m",($F68/Data!K68)),""))</f>
        <v/>
      </c>
      <c r="K68" s="9" t="str">
        <f>IF($D68&lt;&gt;"Include","",IFERROR(G68/Data!Z68,""))</f>
        <v/>
      </c>
      <c r="L68" s="9" t="str">
        <f t="shared" si="5"/>
        <v>n/m</v>
      </c>
      <c r="M68" s="7" t="str">
        <f>IF($D68&lt;&gt;"Include","",IFERROR(IF(Data!L68&lt;=0,"n,m",E68/Data!L68),""))</f>
        <v/>
      </c>
      <c r="N68" s="9" t="str">
        <f>IF($D68&lt;&gt;"Include","",IFERROR(IF(OR(Data!I68&lt;=0,Data!J68&lt;=0),"n/m",(Data!I68/Data!J68)^(1/3)-1),""))</f>
        <v/>
      </c>
      <c r="O68">
        <f t="shared" si="0"/>
        <v>119</v>
      </c>
      <c r="P68">
        <f t="shared" si="1"/>
        <v>119</v>
      </c>
      <c r="Q68">
        <f t="shared" si="2"/>
        <v>119</v>
      </c>
      <c r="R68">
        <f t="shared" si="3"/>
        <v>119</v>
      </c>
      <c r="S68">
        <f t="shared" si="4"/>
        <v>119</v>
      </c>
      <c r="T68" s="10">
        <f t="shared" si="6"/>
        <v>119</v>
      </c>
      <c r="U68">
        <f>IF($D68&lt;&gt;"Include","",_xlfn.RANK.EQ(T68,T$6:T$305,1)+COUNTIFS(T$6:T68,T68)-1)</f>
        <v>33</v>
      </c>
    </row>
    <row r="69" spans="1:21" x14ac:dyDescent="0.4">
      <c r="A69" t="str">
        <f>Data!A69</f>
        <v>ENT</v>
      </c>
      <c r="B69" t="str">
        <f>Data!B69</f>
        <v>Entain</v>
      </c>
      <c r="C69" t="str">
        <f>Data!D69</f>
        <v>Consumer Discretionary</v>
      </c>
      <c r="D69" t="str">
        <f>Data!E69</f>
        <v>Include</v>
      </c>
      <c r="E69">
        <f>IF($D69&lt;&gt;"Include","",SUM(Data!V69:W69)-SUM(Data!X69))</f>
        <v>0</v>
      </c>
      <c r="F69" t="e">
        <f>IF($D69&lt;&gt;"Include","",SUM(Data!Z69,Data!Y69,Metrics!E69))</f>
        <v>#N/A</v>
      </c>
      <c r="G69" t="str">
        <f>IF($D69&lt;&gt;"Include","",IFERROR(Data!P69-Data!S69,""))</f>
        <v/>
      </c>
      <c r="H69">
        <f>IF($D69&lt;&gt;"Include","",IFERROR(SUM(Data!P69:R69)-SUM(Data!S69:U69),""))</f>
        <v>0</v>
      </c>
      <c r="I69">
        <f>IF($D69&lt;&gt;"Include","",SUM(Data!M69:O69))</f>
        <v>0</v>
      </c>
      <c r="J69" s="7" t="str">
        <f>IF($D69&lt;&gt;"Include","",IFERROR(IF(OR(Data!K69&lt;=0,F69&lt;=0),"n/m",($F69/Data!K69)),""))</f>
        <v/>
      </c>
      <c r="K69" s="9" t="str">
        <f>IF($D69&lt;&gt;"Include","",IFERROR(G69/Data!Z69,""))</f>
        <v/>
      </c>
      <c r="L69" s="9" t="str">
        <f t="shared" si="5"/>
        <v>n/m</v>
      </c>
      <c r="M69" s="7" t="str">
        <f>IF($D69&lt;&gt;"Include","",IFERROR(IF(Data!L69&lt;=0,"n,m",E69/Data!L69),""))</f>
        <v/>
      </c>
      <c r="N69" s="9" t="str">
        <f>IF($D69&lt;&gt;"Include","",IFERROR(IF(OR(Data!I69&lt;=0,Data!J69&lt;=0),"n/m",(Data!I69/Data!J69)^(1/3)-1),""))</f>
        <v/>
      </c>
      <c r="O69">
        <f t="shared" si="0"/>
        <v>119</v>
      </c>
      <c r="P69">
        <f t="shared" si="1"/>
        <v>119</v>
      </c>
      <c r="Q69">
        <f t="shared" si="2"/>
        <v>119</v>
      </c>
      <c r="R69">
        <f t="shared" si="3"/>
        <v>119</v>
      </c>
      <c r="S69">
        <f t="shared" si="4"/>
        <v>119</v>
      </c>
      <c r="T69" s="10">
        <f t="shared" si="6"/>
        <v>119</v>
      </c>
      <c r="U69">
        <f>IF($D69&lt;&gt;"Include","",_xlfn.RANK.EQ(T69,T$6:T$305,1)+COUNTIFS(T$6:T69,T69)-1)</f>
        <v>34</v>
      </c>
    </row>
    <row r="70" spans="1:21" x14ac:dyDescent="0.4">
      <c r="A70" t="str">
        <f>Data!A70</f>
        <v>ESCT</v>
      </c>
      <c r="B70" t="str">
        <f>Data!B70</f>
        <v>European Smaller Companies Trust</v>
      </c>
      <c r="C70" t="str">
        <f>Data!D70</f>
        <v>Financials</v>
      </c>
      <c r="D70" t="str">
        <f>Data!E70</f>
        <v>Exclude</v>
      </c>
      <c r="E70" t="str">
        <f>IF($D70&lt;&gt;"Include","",SUM(Data!V70:W70)-SUM(Data!X70))</f>
        <v/>
      </c>
      <c r="F70" t="str">
        <f>IF($D70&lt;&gt;"Include","",SUM(Data!Z70,Data!Y70,Metrics!E70))</f>
        <v/>
      </c>
      <c r="G70" t="str">
        <f>IF($D70&lt;&gt;"Include","",IFERROR(Data!P70-Data!S70,""))</f>
        <v/>
      </c>
      <c r="H70" t="str">
        <f>IF($D70&lt;&gt;"Include","",IFERROR(SUM(Data!P70:R70)-SUM(Data!S70:U70),""))</f>
        <v/>
      </c>
      <c r="I70" t="str">
        <f>IF($D70&lt;&gt;"Include","",SUM(Data!M70:O70))</f>
        <v/>
      </c>
      <c r="J70" s="7" t="str">
        <f>IF($D70&lt;&gt;"Include","",IFERROR(IF(OR(Data!K70&lt;=0,F70&lt;=0),"n/m",($F70/Data!K70)),""))</f>
        <v/>
      </c>
      <c r="K70" s="9" t="str">
        <f>IF($D70&lt;&gt;"Include","",IFERROR(G70/Data!Z70,""))</f>
        <v/>
      </c>
      <c r="L70" s="9" t="str">
        <f t="shared" si="5"/>
        <v/>
      </c>
      <c r="M70" s="7" t="str">
        <f>IF($D70&lt;&gt;"Include","",IFERROR(IF(Data!L70&lt;=0,"n,m",E70/Data!L70),""))</f>
        <v/>
      </c>
      <c r="N70" s="9" t="str">
        <f>IF($D70&lt;&gt;"Include","",IFERROR(IF(OR(Data!I70&lt;=0,Data!J70&lt;=0),"n/m",(Data!I70/Data!J70)^(1/3)-1),""))</f>
        <v/>
      </c>
      <c r="O70" t="str">
        <f t="shared" ref="O70:O133" si="7">IF($D70&lt;&gt;"Include","",IF(ISNUMBER(J70),_xlfn.RANK.EQ(J70,J$6:J$305,O$4),N_Co))</f>
        <v/>
      </c>
      <c r="P70" t="str">
        <f t="shared" ref="P70:P133" si="8">IF($D70&lt;&gt;"Include","",IF(ISNUMBER(K70),_xlfn.RANK.EQ(K70,K$6:K$305,P$4),N_Co))</f>
        <v/>
      </c>
      <c r="Q70" t="str">
        <f t="shared" ref="Q70:Q133" si="9">IF($D70&lt;&gt;"Include","",IF(ISNUMBER(L70),_xlfn.RANK.EQ(L70,L$6:L$305,Q$4),N_Co))</f>
        <v/>
      </c>
      <c r="R70" t="str">
        <f t="shared" ref="R70:R133" si="10">IF($D70&lt;&gt;"Include","",IF(ISNUMBER(M70),_xlfn.RANK.EQ(M70,M$6:M$305,R$4),N_Co))</f>
        <v/>
      </c>
      <c r="S70" t="str">
        <f t="shared" ref="S70:S133" si="11">IF($D70&lt;&gt;"Include","",IF(ISNUMBER(N70),_xlfn.RANK.EQ(N70,N$6:N$305,S$4),N_Co))</f>
        <v/>
      </c>
      <c r="T70" s="10" t="str">
        <f t="shared" si="6"/>
        <v/>
      </c>
      <c r="U70" t="str">
        <f>IF($D70&lt;&gt;"Include","",_xlfn.RANK.EQ(T70,T$6:T$305,1)+COUNTIFS(T$6:T70,T70)-1)</f>
        <v/>
      </c>
    </row>
    <row r="71" spans="1:21" x14ac:dyDescent="0.4">
      <c r="A71" t="str">
        <f>Data!A71</f>
        <v>EWG</v>
      </c>
      <c r="B71" t="str">
        <f>Data!B71</f>
        <v>Eurowag</v>
      </c>
      <c r="C71" t="str">
        <f>Data!D71</f>
        <v>Industrials</v>
      </c>
      <c r="D71" t="str">
        <f>Data!E71</f>
        <v>Include</v>
      </c>
      <c r="E71">
        <f>IF($D71&lt;&gt;"Include","",SUM(Data!V71:W71)-SUM(Data!X71))</f>
        <v>0</v>
      </c>
      <c r="F71" t="e">
        <f>IF($D71&lt;&gt;"Include","",SUM(Data!Z71,Data!Y71,Metrics!E71))</f>
        <v>#N/A</v>
      </c>
      <c r="G71" t="str">
        <f>IF($D71&lt;&gt;"Include","",IFERROR(Data!P71-Data!S71,""))</f>
        <v/>
      </c>
      <c r="H71">
        <f>IF($D71&lt;&gt;"Include","",IFERROR(SUM(Data!P71:R71)-SUM(Data!S71:U71),""))</f>
        <v>0</v>
      </c>
      <c r="I71">
        <f>IF($D71&lt;&gt;"Include","",SUM(Data!M71:O71))</f>
        <v>0</v>
      </c>
      <c r="J71" s="7" t="str">
        <f>IF($D71&lt;&gt;"Include","",IFERROR(IF(OR(Data!K71&lt;=0,F71&lt;=0),"n/m",($F71/Data!K71)),""))</f>
        <v/>
      </c>
      <c r="K71" s="9" t="str">
        <f>IF($D71&lt;&gt;"Include","",IFERROR(G71/Data!Z71,""))</f>
        <v/>
      </c>
      <c r="L71" s="9" t="str">
        <f t="shared" ref="L71:L134" si="12">IF($D71&lt;&gt;"Include","",IFERROR(IF(I71&lt;=0,"n/m",H71/I71),""))</f>
        <v>n/m</v>
      </c>
      <c r="M71" s="7" t="str">
        <f>IF($D71&lt;&gt;"Include","",IFERROR(IF(Data!L71&lt;=0,"n,m",E71/Data!L71),""))</f>
        <v/>
      </c>
      <c r="N71" s="9" t="str">
        <f>IF($D71&lt;&gt;"Include","",IFERROR(IF(OR(Data!I71&lt;=0,Data!J71&lt;=0),"n/m",(Data!I71/Data!J71)^(1/3)-1),""))</f>
        <v/>
      </c>
      <c r="O71">
        <f t="shared" si="7"/>
        <v>119</v>
      </c>
      <c r="P71">
        <f t="shared" si="8"/>
        <v>119</v>
      </c>
      <c r="Q71">
        <f t="shared" si="9"/>
        <v>119</v>
      </c>
      <c r="R71">
        <f t="shared" si="10"/>
        <v>119</v>
      </c>
      <c r="S71">
        <f t="shared" si="11"/>
        <v>119</v>
      </c>
      <c r="T71" s="10">
        <f t="shared" ref="T71:T134" si="13">IF($D71&lt;&gt;"Include","",ROUND(SUMPRODUCT(O71:S71,$O$3:$S$3),6))</f>
        <v>119</v>
      </c>
      <c r="U71">
        <f>IF($D71&lt;&gt;"Include","",_xlfn.RANK.EQ(T71,T$6:T$305,1)+COUNTIFS(T$6:T71,T71)-1)</f>
        <v>35</v>
      </c>
    </row>
    <row r="72" spans="1:21" x14ac:dyDescent="0.4">
      <c r="A72" t="str">
        <f>Data!A72</f>
        <v>FCSS</v>
      </c>
      <c r="B72" t="str">
        <f>Data!B72</f>
        <v>Fidelity China Special Situations</v>
      </c>
      <c r="C72" t="str">
        <f>Data!D72</f>
        <v>Financials</v>
      </c>
      <c r="D72" t="str">
        <f>Data!E72</f>
        <v>Exclude</v>
      </c>
      <c r="E72" t="str">
        <f>IF($D72&lt;&gt;"Include","",SUM(Data!V72:W72)-SUM(Data!X72))</f>
        <v/>
      </c>
      <c r="F72" t="str">
        <f>IF($D72&lt;&gt;"Include","",SUM(Data!Z72,Data!Y72,Metrics!E72))</f>
        <v/>
      </c>
      <c r="G72" t="str">
        <f>IF($D72&lt;&gt;"Include","",IFERROR(Data!P72-Data!S72,""))</f>
        <v/>
      </c>
      <c r="H72" t="str">
        <f>IF($D72&lt;&gt;"Include","",IFERROR(SUM(Data!P72:R72)-SUM(Data!S72:U72),""))</f>
        <v/>
      </c>
      <c r="I72" t="str">
        <f>IF($D72&lt;&gt;"Include","",SUM(Data!M72:O72))</f>
        <v/>
      </c>
      <c r="J72" s="7" t="str">
        <f>IF($D72&lt;&gt;"Include","",IFERROR(IF(OR(Data!K72&lt;=0,F72&lt;=0),"n/m",($F72/Data!K72)),""))</f>
        <v/>
      </c>
      <c r="K72" s="9" t="str">
        <f>IF($D72&lt;&gt;"Include","",IFERROR(G72/Data!Z72,""))</f>
        <v/>
      </c>
      <c r="L72" s="9" t="str">
        <f t="shared" si="12"/>
        <v/>
      </c>
      <c r="M72" s="7" t="str">
        <f>IF($D72&lt;&gt;"Include","",IFERROR(IF(Data!L72&lt;=0,"n,m",E72/Data!L72),""))</f>
        <v/>
      </c>
      <c r="N72" s="9" t="str">
        <f>IF($D72&lt;&gt;"Include","",IFERROR(IF(OR(Data!I72&lt;=0,Data!J72&lt;=0),"n/m",(Data!I72/Data!J72)^(1/3)-1),""))</f>
        <v/>
      </c>
      <c r="O72" t="str">
        <f t="shared" si="7"/>
        <v/>
      </c>
      <c r="P72" t="str">
        <f t="shared" si="8"/>
        <v/>
      </c>
      <c r="Q72" t="str">
        <f t="shared" si="9"/>
        <v/>
      </c>
      <c r="R72" t="str">
        <f t="shared" si="10"/>
        <v/>
      </c>
      <c r="S72" t="str">
        <f t="shared" si="11"/>
        <v/>
      </c>
      <c r="T72" s="10" t="str">
        <f t="shared" si="13"/>
        <v/>
      </c>
      <c r="U72" t="str">
        <f>IF($D72&lt;&gt;"Include","",_xlfn.RANK.EQ(T72,T$6:T$305,1)+COUNTIFS(T$6:T72,T72)-1)</f>
        <v/>
      </c>
    </row>
    <row r="73" spans="1:21" x14ac:dyDescent="0.4">
      <c r="A73" t="str">
        <f>Data!A73</f>
        <v>FEML</v>
      </c>
      <c r="B73" t="str">
        <f>Data!B73</f>
        <v>Fidelity Emerging Markets</v>
      </c>
      <c r="C73" t="str">
        <f>Data!D73</f>
        <v>Financials</v>
      </c>
      <c r="D73" t="str">
        <f>Data!E73</f>
        <v>Exclude</v>
      </c>
      <c r="E73" t="str">
        <f>IF($D73&lt;&gt;"Include","",SUM(Data!V73:W73)-SUM(Data!X73))</f>
        <v/>
      </c>
      <c r="F73" t="str">
        <f>IF($D73&lt;&gt;"Include","",SUM(Data!Z73,Data!Y73,Metrics!E73))</f>
        <v/>
      </c>
      <c r="G73" t="str">
        <f>IF($D73&lt;&gt;"Include","",IFERROR(Data!P73-Data!S73,""))</f>
        <v/>
      </c>
      <c r="H73" t="str">
        <f>IF($D73&lt;&gt;"Include","",IFERROR(SUM(Data!P73:R73)-SUM(Data!S73:U73),""))</f>
        <v/>
      </c>
      <c r="I73" t="str">
        <f>IF($D73&lt;&gt;"Include","",SUM(Data!M73:O73))</f>
        <v/>
      </c>
      <c r="J73" s="7" t="str">
        <f>IF($D73&lt;&gt;"Include","",IFERROR(IF(OR(Data!K73&lt;=0,F73&lt;=0),"n/m",($F73/Data!K73)),""))</f>
        <v/>
      </c>
      <c r="K73" s="9" t="str">
        <f>IF($D73&lt;&gt;"Include","",IFERROR(G73/Data!Z73,""))</f>
        <v/>
      </c>
      <c r="L73" s="9" t="str">
        <f t="shared" si="12"/>
        <v/>
      </c>
      <c r="M73" s="7" t="str">
        <f>IF($D73&lt;&gt;"Include","",IFERROR(IF(Data!L73&lt;=0,"n,m",E73/Data!L73),""))</f>
        <v/>
      </c>
      <c r="N73" s="9" t="str">
        <f>IF($D73&lt;&gt;"Include","",IFERROR(IF(OR(Data!I73&lt;=0,Data!J73&lt;=0),"n/m",(Data!I73/Data!J73)^(1/3)-1),""))</f>
        <v/>
      </c>
      <c r="O73" t="str">
        <f t="shared" si="7"/>
        <v/>
      </c>
      <c r="P73" t="str">
        <f t="shared" si="8"/>
        <v/>
      </c>
      <c r="Q73" t="str">
        <f t="shared" si="9"/>
        <v/>
      </c>
      <c r="R73" t="str">
        <f t="shared" si="10"/>
        <v/>
      </c>
      <c r="S73" t="str">
        <f t="shared" si="11"/>
        <v/>
      </c>
      <c r="T73" s="10" t="str">
        <f t="shared" si="13"/>
        <v/>
      </c>
      <c r="U73" t="str">
        <f>IF($D73&lt;&gt;"Include","",_xlfn.RANK.EQ(T73,T$6:T$305,1)+COUNTIFS(T$6:T73,T73)-1)</f>
        <v/>
      </c>
    </row>
    <row r="74" spans="1:21" x14ac:dyDescent="0.4">
      <c r="A74" t="str">
        <f>Data!A74</f>
        <v>FEV</v>
      </c>
      <c r="B74" t="str">
        <f>Data!B74</f>
        <v>Fidelity European Trust</v>
      </c>
      <c r="C74" t="str">
        <f>Data!D74</f>
        <v>Financials</v>
      </c>
      <c r="D74" t="str">
        <f>Data!E74</f>
        <v>Exclude</v>
      </c>
      <c r="E74" t="str">
        <f>IF($D74&lt;&gt;"Include","",SUM(Data!V74:W74)-SUM(Data!X74))</f>
        <v/>
      </c>
      <c r="F74" t="str">
        <f>IF($D74&lt;&gt;"Include","",SUM(Data!Z74,Data!Y74,Metrics!E74))</f>
        <v/>
      </c>
      <c r="G74" t="str">
        <f>IF($D74&lt;&gt;"Include","",IFERROR(Data!P74-Data!S74,""))</f>
        <v/>
      </c>
      <c r="H74" t="str">
        <f>IF($D74&lt;&gt;"Include","",IFERROR(SUM(Data!P74:R74)-SUM(Data!S74:U74),""))</f>
        <v/>
      </c>
      <c r="I74" t="str">
        <f>IF($D74&lt;&gt;"Include","",SUM(Data!M74:O74))</f>
        <v/>
      </c>
      <c r="J74" s="7" t="str">
        <f>IF($D74&lt;&gt;"Include","",IFERROR(IF(OR(Data!K74&lt;=0,F74&lt;=0),"n/m",($F74/Data!K74)),""))</f>
        <v/>
      </c>
      <c r="K74" s="9" t="str">
        <f>IF($D74&lt;&gt;"Include","",IFERROR(G74/Data!Z74,""))</f>
        <v/>
      </c>
      <c r="L74" s="9" t="str">
        <f t="shared" si="12"/>
        <v/>
      </c>
      <c r="M74" s="7" t="str">
        <f>IF($D74&lt;&gt;"Include","",IFERROR(IF(Data!L74&lt;=0,"n,m",E74/Data!L74),""))</f>
        <v/>
      </c>
      <c r="N74" s="9" t="str">
        <f>IF($D74&lt;&gt;"Include","",IFERROR(IF(OR(Data!I74&lt;=0,Data!J74&lt;=0),"n/m",(Data!I74/Data!J74)^(1/3)-1),""))</f>
        <v/>
      </c>
      <c r="O74" t="str">
        <f t="shared" si="7"/>
        <v/>
      </c>
      <c r="P74" t="str">
        <f t="shared" si="8"/>
        <v/>
      </c>
      <c r="Q74" t="str">
        <f t="shared" si="9"/>
        <v/>
      </c>
      <c r="R74" t="str">
        <f t="shared" si="10"/>
        <v/>
      </c>
      <c r="S74" t="str">
        <f t="shared" si="11"/>
        <v/>
      </c>
      <c r="T74" s="10" t="str">
        <f t="shared" si="13"/>
        <v/>
      </c>
      <c r="U74" t="str">
        <f>IF($D74&lt;&gt;"Include","",_xlfn.RANK.EQ(T74,T$6:T$305,1)+COUNTIFS(T$6:T74,T74)-1)</f>
        <v/>
      </c>
    </row>
    <row r="75" spans="1:21" x14ac:dyDescent="0.4">
      <c r="A75" t="str">
        <f>Data!A75</f>
        <v>FSV</v>
      </c>
      <c r="B75" t="str">
        <f>Data!B75</f>
        <v>Fidelity Special Values</v>
      </c>
      <c r="C75" t="str">
        <f>Data!D75</f>
        <v>Financials</v>
      </c>
      <c r="D75" t="str">
        <f>Data!E75</f>
        <v>Exclude</v>
      </c>
      <c r="E75" t="str">
        <f>IF($D75&lt;&gt;"Include","",SUM(Data!V75:W75)-SUM(Data!X75))</f>
        <v/>
      </c>
      <c r="F75" t="str">
        <f>IF($D75&lt;&gt;"Include","",SUM(Data!Z75,Data!Y75,Metrics!E75))</f>
        <v/>
      </c>
      <c r="G75" t="str">
        <f>IF($D75&lt;&gt;"Include","",IFERROR(Data!P75-Data!S75,""))</f>
        <v/>
      </c>
      <c r="H75" t="str">
        <f>IF($D75&lt;&gt;"Include","",IFERROR(SUM(Data!P75:R75)-SUM(Data!S75:U75),""))</f>
        <v/>
      </c>
      <c r="I75" t="str">
        <f>IF($D75&lt;&gt;"Include","",SUM(Data!M75:O75))</f>
        <v/>
      </c>
      <c r="J75" s="7" t="str">
        <f>IF($D75&lt;&gt;"Include","",IFERROR(IF(OR(Data!K75&lt;=0,F75&lt;=0),"n/m",($F75/Data!K75)),""))</f>
        <v/>
      </c>
      <c r="K75" s="9" t="str">
        <f>IF($D75&lt;&gt;"Include","",IFERROR(G75/Data!Z75,""))</f>
        <v/>
      </c>
      <c r="L75" s="9" t="str">
        <f t="shared" si="12"/>
        <v/>
      </c>
      <c r="M75" s="7" t="str">
        <f>IF($D75&lt;&gt;"Include","",IFERROR(IF(Data!L75&lt;=0,"n,m",E75/Data!L75),""))</f>
        <v/>
      </c>
      <c r="N75" s="9" t="str">
        <f>IF($D75&lt;&gt;"Include","",IFERROR(IF(OR(Data!I75&lt;=0,Data!J75&lt;=0),"n/m",(Data!I75/Data!J75)^(1/3)-1),""))</f>
        <v/>
      </c>
      <c r="O75" t="str">
        <f t="shared" si="7"/>
        <v/>
      </c>
      <c r="P75" t="str">
        <f t="shared" si="8"/>
        <v/>
      </c>
      <c r="Q75" t="str">
        <f t="shared" si="9"/>
        <v/>
      </c>
      <c r="R75" t="str">
        <f t="shared" si="10"/>
        <v/>
      </c>
      <c r="S75" t="str">
        <f t="shared" si="11"/>
        <v/>
      </c>
      <c r="T75" s="10" t="str">
        <f t="shared" si="13"/>
        <v/>
      </c>
      <c r="U75" t="str">
        <f>IF($D75&lt;&gt;"Include","",_xlfn.RANK.EQ(T75,T$6:T$305,1)+COUNTIFS(T$6:T75,T75)-1)</f>
        <v/>
      </c>
    </row>
    <row r="76" spans="1:21" x14ac:dyDescent="0.4">
      <c r="A76" t="str">
        <f>Data!A76</f>
        <v>FGT</v>
      </c>
      <c r="B76" t="str">
        <f>Data!B76</f>
        <v>Finsbury Growth &amp; Income Trust</v>
      </c>
      <c r="C76" t="str">
        <f>Data!D76</f>
        <v>Financials</v>
      </c>
      <c r="D76" t="str">
        <f>Data!E76</f>
        <v>Exclude</v>
      </c>
      <c r="E76" t="str">
        <f>IF($D76&lt;&gt;"Include","",SUM(Data!V76:W76)-SUM(Data!X76))</f>
        <v/>
      </c>
      <c r="F76" t="str">
        <f>IF($D76&lt;&gt;"Include","",SUM(Data!Z76,Data!Y76,Metrics!E76))</f>
        <v/>
      </c>
      <c r="G76" t="str">
        <f>IF($D76&lt;&gt;"Include","",IFERROR(Data!P76-Data!S76,""))</f>
        <v/>
      </c>
      <c r="H76" t="str">
        <f>IF($D76&lt;&gt;"Include","",IFERROR(SUM(Data!P76:R76)-SUM(Data!S76:U76),""))</f>
        <v/>
      </c>
      <c r="I76" t="str">
        <f>IF($D76&lt;&gt;"Include","",SUM(Data!M76:O76))</f>
        <v/>
      </c>
      <c r="J76" s="7" t="str">
        <f>IF($D76&lt;&gt;"Include","",IFERROR(IF(OR(Data!K76&lt;=0,F76&lt;=0),"n/m",($F76/Data!K76)),""))</f>
        <v/>
      </c>
      <c r="K76" s="9" t="str">
        <f>IF($D76&lt;&gt;"Include","",IFERROR(G76/Data!Z76,""))</f>
        <v/>
      </c>
      <c r="L76" s="9" t="str">
        <f t="shared" si="12"/>
        <v/>
      </c>
      <c r="M76" s="7" t="str">
        <f>IF($D76&lt;&gt;"Include","",IFERROR(IF(Data!L76&lt;=0,"n,m",E76/Data!L76),""))</f>
        <v/>
      </c>
      <c r="N76" s="9" t="str">
        <f>IF($D76&lt;&gt;"Include","",IFERROR(IF(OR(Data!I76&lt;=0,Data!J76&lt;=0),"n/m",(Data!I76/Data!J76)^(1/3)-1),""))</f>
        <v/>
      </c>
      <c r="O76" t="str">
        <f t="shared" si="7"/>
        <v/>
      </c>
      <c r="P76" t="str">
        <f t="shared" si="8"/>
        <v/>
      </c>
      <c r="Q76" t="str">
        <f t="shared" si="9"/>
        <v/>
      </c>
      <c r="R76" t="str">
        <f t="shared" si="10"/>
        <v/>
      </c>
      <c r="S76" t="str">
        <f t="shared" si="11"/>
        <v/>
      </c>
      <c r="T76" s="10" t="str">
        <f t="shared" si="13"/>
        <v/>
      </c>
      <c r="U76" t="str">
        <f>IF($D76&lt;&gt;"Include","",_xlfn.RANK.EQ(T76,T$6:T$305,1)+COUNTIFS(T$6:T76,T76)-1)</f>
        <v/>
      </c>
    </row>
    <row r="77" spans="1:21" x14ac:dyDescent="0.4">
      <c r="A77" t="str">
        <f>Data!A77</f>
        <v>FGP</v>
      </c>
      <c r="B77" t="str">
        <f>Data!B77</f>
        <v>FirstGroup</v>
      </c>
      <c r="C77" t="str">
        <f>Data!D77</f>
        <v>Consumer Discretionary</v>
      </c>
      <c r="D77" t="str">
        <f>Data!E77</f>
        <v>Include</v>
      </c>
      <c r="E77">
        <f>IF($D77&lt;&gt;"Include","",SUM(Data!V77:W77)-SUM(Data!X77))</f>
        <v>0</v>
      </c>
      <c r="F77" t="e">
        <f>IF($D77&lt;&gt;"Include","",SUM(Data!Z77,Data!Y77,Metrics!E77))</f>
        <v>#N/A</v>
      </c>
      <c r="G77" t="str">
        <f>IF($D77&lt;&gt;"Include","",IFERROR(Data!P77-Data!S77,""))</f>
        <v/>
      </c>
      <c r="H77">
        <f>IF($D77&lt;&gt;"Include","",IFERROR(SUM(Data!P77:R77)-SUM(Data!S77:U77),""))</f>
        <v>0</v>
      </c>
      <c r="I77">
        <f>IF($D77&lt;&gt;"Include","",SUM(Data!M77:O77))</f>
        <v>0</v>
      </c>
      <c r="J77" s="7" t="str">
        <f>IF($D77&lt;&gt;"Include","",IFERROR(IF(OR(Data!K77&lt;=0,F77&lt;=0),"n/m",($F77/Data!K77)),""))</f>
        <v/>
      </c>
      <c r="K77" s="9" t="str">
        <f>IF($D77&lt;&gt;"Include","",IFERROR(G77/Data!Z77,""))</f>
        <v/>
      </c>
      <c r="L77" s="9" t="str">
        <f t="shared" si="12"/>
        <v>n/m</v>
      </c>
      <c r="M77" s="7" t="str">
        <f>IF($D77&lt;&gt;"Include","",IFERROR(IF(Data!L77&lt;=0,"n,m",E77/Data!L77),""))</f>
        <v/>
      </c>
      <c r="N77" s="9" t="str">
        <f>IF($D77&lt;&gt;"Include","",IFERROR(IF(OR(Data!I77&lt;=0,Data!J77&lt;=0),"n/m",(Data!I77/Data!J77)^(1/3)-1),""))</f>
        <v/>
      </c>
      <c r="O77">
        <f t="shared" si="7"/>
        <v>119</v>
      </c>
      <c r="P77">
        <f t="shared" si="8"/>
        <v>119</v>
      </c>
      <c r="Q77">
        <f t="shared" si="9"/>
        <v>119</v>
      </c>
      <c r="R77">
        <f t="shared" si="10"/>
        <v>119</v>
      </c>
      <c r="S77">
        <f t="shared" si="11"/>
        <v>119</v>
      </c>
      <c r="T77" s="10">
        <f t="shared" si="13"/>
        <v>119</v>
      </c>
      <c r="U77">
        <f>IF($D77&lt;&gt;"Include","",_xlfn.RANK.EQ(T77,T$6:T$305,1)+COUNTIFS(T$6:T77,T77)-1)</f>
        <v>36</v>
      </c>
    </row>
    <row r="78" spans="1:21" x14ac:dyDescent="0.4">
      <c r="A78" t="str">
        <f>Data!A78</f>
        <v>FGEN</v>
      </c>
      <c r="B78" t="str">
        <f>Data!B78</f>
        <v>Foresight Environmental Infrastructure</v>
      </c>
      <c r="C78" t="str">
        <f>Data!D78</f>
        <v>Financials</v>
      </c>
      <c r="D78" t="str">
        <f>Data!E78</f>
        <v>Exclude</v>
      </c>
      <c r="E78" t="str">
        <f>IF($D78&lt;&gt;"Include","",SUM(Data!V78:W78)-SUM(Data!X78))</f>
        <v/>
      </c>
      <c r="F78" t="str">
        <f>IF($D78&lt;&gt;"Include","",SUM(Data!Z78,Data!Y78,Metrics!E78))</f>
        <v/>
      </c>
      <c r="G78" t="str">
        <f>IF($D78&lt;&gt;"Include","",IFERROR(Data!P78-Data!S78,""))</f>
        <v/>
      </c>
      <c r="H78" t="str">
        <f>IF($D78&lt;&gt;"Include","",IFERROR(SUM(Data!P78:R78)-SUM(Data!S78:U78),""))</f>
        <v/>
      </c>
      <c r="I78" t="str">
        <f>IF($D78&lt;&gt;"Include","",SUM(Data!M78:O78))</f>
        <v/>
      </c>
      <c r="J78" s="7" t="str">
        <f>IF($D78&lt;&gt;"Include","",IFERROR(IF(OR(Data!K78&lt;=0,F78&lt;=0),"n/m",($F78/Data!K78)),""))</f>
        <v/>
      </c>
      <c r="K78" s="9" t="str">
        <f>IF($D78&lt;&gt;"Include","",IFERROR(G78/Data!Z78,""))</f>
        <v/>
      </c>
      <c r="L78" s="9" t="str">
        <f t="shared" si="12"/>
        <v/>
      </c>
      <c r="M78" s="7" t="str">
        <f>IF($D78&lt;&gt;"Include","",IFERROR(IF(Data!L78&lt;=0,"n,m",E78/Data!L78),""))</f>
        <v/>
      </c>
      <c r="N78" s="9" t="str">
        <f>IF($D78&lt;&gt;"Include","",IFERROR(IF(OR(Data!I78&lt;=0,Data!J78&lt;=0),"n/m",(Data!I78/Data!J78)^(1/3)-1),""))</f>
        <v/>
      </c>
      <c r="O78" t="str">
        <f t="shared" si="7"/>
        <v/>
      </c>
      <c r="P78" t="str">
        <f t="shared" si="8"/>
        <v/>
      </c>
      <c r="Q78" t="str">
        <f t="shared" si="9"/>
        <v/>
      </c>
      <c r="R78" t="str">
        <f t="shared" si="10"/>
        <v/>
      </c>
      <c r="S78" t="str">
        <f t="shared" si="11"/>
        <v/>
      </c>
      <c r="T78" s="10" t="str">
        <f t="shared" si="13"/>
        <v/>
      </c>
      <c r="U78" t="str">
        <f>IF($D78&lt;&gt;"Include","",_xlfn.RANK.EQ(T78,T$6:T$305,1)+COUNTIFS(T$6:T78,T78)-1)</f>
        <v/>
      </c>
    </row>
    <row r="79" spans="1:21" x14ac:dyDescent="0.4">
      <c r="A79" t="str">
        <f>Data!A79</f>
        <v>FSG</v>
      </c>
      <c r="B79" t="str">
        <f>Data!B79</f>
        <v>Foresight Group</v>
      </c>
      <c r="C79" t="str">
        <f>Data!D79</f>
        <v>Financials</v>
      </c>
      <c r="D79" t="str">
        <f>Data!E79</f>
        <v>Exclude</v>
      </c>
      <c r="E79" t="str">
        <f>IF($D79&lt;&gt;"Include","",SUM(Data!V79:W79)-SUM(Data!X79))</f>
        <v/>
      </c>
      <c r="F79" t="str">
        <f>IF($D79&lt;&gt;"Include","",SUM(Data!Z79,Data!Y79,Metrics!E79))</f>
        <v/>
      </c>
      <c r="G79" t="str">
        <f>IF($D79&lt;&gt;"Include","",IFERROR(Data!P79-Data!S79,""))</f>
        <v/>
      </c>
      <c r="H79" t="str">
        <f>IF($D79&lt;&gt;"Include","",IFERROR(SUM(Data!P79:R79)-SUM(Data!S79:U79),""))</f>
        <v/>
      </c>
      <c r="I79" t="str">
        <f>IF($D79&lt;&gt;"Include","",SUM(Data!M79:O79))</f>
        <v/>
      </c>
      <c r="J79" s="7" t="str">
        <f>IF($D79&lt;&gt;"Include","",IFERROR(IF(OR(Data!K79&lt;=0,F79&lt;=0),"n/m",($F79/Data!K79)),""))</f>
        <v/>
      </c>
      <c r="K79" s="9" t="str">
        <f>IF($D79&lt;&gt;"Include","",IFERROR(G79/Data!Z79,""))</f>
        <v/>
      </c>
      <c r="L79" s="9" t="str">
        <f t="shared" si="12"/>
        <v/>
      </c>
      <c r="M79" s="7" t="str">
        <f>IF($D79&lt;&gt;"Include","",IFERROR(IF(Data!L79&lt;=0,"n,m",E79/Data!L79),""))</f>
        <v/>
      </c>
      <c r="N79" s="9" t="str">
        <f>IF($D79&lt;&gt;"Include","",IFERROR(IF(OR(Data!I79&lt;=0,Data!J79&lt;=0),"n/m",(Data!I79/Data!J79)^(1/3)-1),""))</f>
        <v/>
      </c>
      <c r="O79" t="str">
        <f t="shared" si="7"/>
        <v/>
      </c>
      <c r="P79" t="str">
        <f t="shared" si="8"/>
        <v/>
      </c>
      <c r="Q79" t="str">
        <f t="shared" si="9"/>
        <v/>
      </c>
      <c r="R79" t="str">
        <f t="shared" si="10"/>
        <v/>
      </c>
      <c r="S79" t="str">
        <f t="shared" si="11"/>
        <v/>
      </c>
      <c r="T79" s="10" t="str">
        <f t="shared" si="13"/>
        <v/>
      </c>
      <c r="U79" t="str">
        <f>IF($D79&lt;&gt;"Include","",_xlfn.RANK.EQ(T79,T$6:T$305,1)+COUNTIFS(T$6:T79,T79)-1)</f>
        <v/>
      </c>
    </row>
    <row r="80" spans="1:21" x14ac:dyDescent="0.4">
      <c r="A80" t="str">
        <f>Data!A80</f>
        <v>FRAS</v>
      </c>
      <c r="B80" t="str">
        <f>Data!B80</f>
        <v>Frasers Group</v>
      </c>
      <c r="C80" t="str">
        <f>Data!D80</f>
        <v>Consumer Discretionary</v>
      </c>
      <c r="D80" t="str">
        <f>Data!E80</f>
        <v>Include</v>
      </c>
      <c r="E80">
        <f>IF($D80&lt;&gt;"Include","",SUM(Data!V80:W80)-SUM(Data!X80))</f>
        <v>0</v>
      </c>
      <c r="F80" t="e">
        <f>IF($D80&lt;&gt;"Include","",SUM(Data!Z80,Data!Y80,Metrics!E80))</f>
        <v>#N/A</v>
      </c>
      <c r="G80" t="str">
        <f>IF($D80&lt;&gt;"Include","",IFERROR(Data!P80-Data!S80,""))</f>
        <v/>
      </c>
      <c r="H80">
        <f>IF($D80&lt;&gt;"Include","",IFERROR(SUM(Data!P80:R80)-SUM(Data!S80:U80),""))</f>
        <v>0</v>
      </c>
      <c r="I80">
        <f>IF($D80&lt;&gt;"Include","",SUM(Data!M80:O80))</f>
        <v>0</v>
      </c>
      <c r="J80" s="7" t="str">
        <f>IF($D80&lt;&gt;"Include","",IFERROR(IF(OR(Data!K80&lt;=0,F80&lt;=0),"n/m",($F80/Data!K80)),""))</f>
        <v/>
      </c>
      <c r="K80" s="9" t="str">
        <f>IF($D80&lt;&gt;"Include","",IFERROR(G80/Data!Z80,""))</f>
        <v/>
      </c>
      <c r="L80" s="9" t="str">
        <f t="shared" si="12"/>
        <v>n/m</v>
      </c>
      <c r="M80" s="7" t="str">
        <f>IF($D80&lt;&gt;"Include","",IFERROR(IF(Data!L80&lt;=0,"n,m",E80/Data!L80),""))</f>
        <v/>
      </c>
      <c r="N80" s="9" t="str">
        <f>IF($D80&lt;&gt;"Include","",IFERROR(IF(OR(Data!I80&lt;=0,Data!J80&lt;=0),"n/m",(Data!I80/Data!J80)^(1/3)-1),""))</f>
        <v/>
      </c>
      <c r="O80">
        <f t="shared" si="7"/>
        <v>119</v>
      </c>
      <c r="P80">
        <f t="shared" si="8"/>
        <v>119</v>
      </c>
      <c r="Q80">
        <f t="shared" si="9"/>
        <v>119</v>
      </c>
      <c r="R80">
        <f t="shared" si="10"/>
        <v>119</v>
      </c>
      <c r="S80">
        <f t="shared" si="11"/>
        <v>119</v>
      </c>
      <c r="T80" s="10">
        <f t="shared" si="13"/>
        <v>119</v>
      </c>
      <c r="U80">
        <f>IF($D80&lt;&gt;"Include","",_xlfn.RANK.EQ(T80,T$6:T$305,1)+COUNTIFS(T$6:T80,T80)-1)</f>
        <v>37</v>
      </c>
    </row>
    <row r="81" spans="1:21" x14ac:dyDescent="0.4">
      <c r="A81" t="str">
        <f>Data!A81</f>
        <v>FCH</v>
      </c>
      <c r="B81" t="str">
        <f>Data!B81</f>
        <v>Funding Circle</v>
      </c>
      <c r="C81" t="str">
        <f>Data!D81</f>
        <v>Financials</v>
      </c>
      <c r="D81" t="str">
        <f>Data!E81</f>
        <v>Exclude</v>
      </c>
      <c r="E81" t="str">
        <f>IF($D81&lt;&gt;"Include","",SUM(Data!V81:W81)-SUM(Data!X81))</f>
        <v/>
      </c>
      <c r="F81" t="str">
        <f>IF($D81&lt;&gt;"Include","",SUM(Data!Z81,Data!Y81,Metrics!E81))</f>
        <v/>
      </c>
      <c r="G81" t="str">
        <f>IF($D81&lt;&gt;"Include","",IFERROR(Data!P81-Data!S81,""))</f>
        <v/>
      </c>
      <c r="H81" t="str">
        <f>IF($D81&lt;&gt;"Include","",IFERROR(SUM(Data!P81:R81)-SUM(Data!S81:U81),""))</f>
        <v/>
      </c>
      <c r="I81" t="str">
        <f>IF($D81&lt;&gt;"Include","",SUM(Data!M81:O81))</f>
        <v/>
      </c>
      <c r="J81" s="7" t="str">
        <f>IF($D81&lt;&gt;"Include","",IFERROR(IF(OR(Data!K81&lt;=0,F81&lt;=0),"n/m",($F81/Data!K81)),""))</f>
        <v/>
      </c>
      <c r="K81" s="9" t="str">
        <f>IF($D81&lt;&gt;"Include","",IFERROR(G81/Data!Z81,""))</f>
        <v/>
      </c>
      <c r="L81" s="9" t="str">
        <f t="shared" si="12"/>
        <v/>
      </c>
      <c r="M81" s="7" t="str">
        <f>IF($D81&lt;&gt;"Include","",IFERROR(IF(Data!L81&lt;=0,"n,m",E81/Data!L81),""))</f>
        <v/>
      </c>
      <c r="N81" s="9" t="str">
        <f>IF($D81&lt;&gt;"Include","",IFERROR(IF(OR(Data!I81&lt;=0,Data!J81&lt;=0),"n/m",(Data!I81/Data!J81)^(1/3)-1),""))</f>
        <v/>
      </c>
      <c r="O81" t="str">
        <f t="shared" si="7"/>
        <v/>
      </c>
      <c r="P81" t="str">
        <f t="shared" si="8"/>
        <v/>
      </c>
      <c r="Q81" t="str">
        <f t="shared" si="9"/>
        <v/>
      </c>
      <c r="R81" t="str">
        <f t="shared" si="10"/>
        <v/>
      </c>
      <c r="S81" t="str">
        <f t="shared" si="11"/>
        <v/>
      </c>
      <c r="T81" s="10" t="str">
        <f t="shared" si="13"/>
        <v/>
      </c>
      <c r="U81" t="str">
        <f>IF($D81&lt;&gt;"Include","",_xlfn.RANK.EQ(T81,T$6:T$305,1)+COUNTIFS(T$6:T81,T81)-1)</f>
        <v/>
      </c>
    </row>
    <row r="82" spans="1:21" x14ac:dyDescent="0.4">
      <c r="A82" t="str">
        <f>Data!A82</f>
        <v>GFRD</v>
      </c>
      <c r="B82" t="str">
        <f>Data!B82</f>
        <v>Galliford Try</v>
      </c>
      <c r="C82" t="str">
        <f>Data!D82</f>
        <v>Industrials</v>
      </c>
      <c r="D82" t="str">
        <f>Data!E82</f>
        <v>Include</v>
      </c>
      <c r="E82">
        <f>IF($D82&lt;&gt;"Include","",SUM(Data!V82:W82)-SUM(Data!X82))</f>
        <v>0</v>
      </c>
      <c r="F82" t="e">
        <f>IF($D82&lt;&gt;"Include","",SUM(Data!Z82,Data!Y82,Metrics!E82))</f>
        <v>#N/A</v>
      </c>
      <c r="G82" t="str">
        <f>IF($D82&lt;&gt;"Include","",IFERROR(Data!P82-Data!S82,""))</f>
        <v/>
      </c>
      <c r="H82">
        <f>IF($D82&lt;&gt;"Include","",IFERROR(SUM(Data!P82:R82)-SUM(Data!S82:U82),""))</f>
        <v>0</v>
      </c>
      <c r="I82">
        <f>IF($D82&lt;&gt;"Include","",SUM(Data!M82:O82))</f>
        <v>0</v>
      </c>
      <c r="J82" s="7" t="str">
        <f>IF($D82&lt;&gt;"Include","",IFERROR(IF(OR(Data!K82&lt;=0,F82&lt;=0),"n/m",($F82/Data!K82)),""))</f>
        <v/>
      </c>
      <c r="K82" s="9" t="str">
        <f>IF($D82&lt;&gt;"Include","",IFERROR(G82/Data!Z82,""))</f>
        <v/>
      </c>
      <c r="L82" s="9" t="str">
        <f t="shared" si="12"/>
        <v>n/m</v>
      </c>
      <c r="M82" s="7" t="str">
        <f>IF($D82&lt;&gt;"Include","",IFERROR(IF(Data!L82&lt;=0,"n,m",E82/Data!L82),""))</f>
        <v/>
      </c>
      <c r="N82" s="9" t="str">
        <f>IF($D82&lt;&gt;"Include","",IFERROR(IF(OR(Data!I82&lt;=0,Data!J82&lt;=0),"n/m",(Data!I82/Data!J82)^(1/3)-1),""))</f>
        <v/>
      </c>
      <c r="O82">
        <f t="shared" si="7"/>
        <v>119</v>
      </c>
      <c r="P82">
        <f t="shared" si="8"/>
        <v>119</v>
      </c>
      <c r="Q82">
        <f t="shared" si="9"/>
        <v>119</v>
      </c>
      <c r="R82">
        <f t="shared" si="10"/>
        <v>119</v>
      </c>
      <c r="S82">
        <f t="shared" si="11"/>
        <v>119</v>
      </c>
      <c r="T82" s="10">
        <f t="shared" si="13"/>
        <v>119</v>
      </c>
      <c r="U82">
        <f>IF($D82&lt;&gt;"Include","",_xlfn.RANK.EQ(T82,T$6:T$305,1)+COUNTIFS(T$6:T82,T82)-1)</f>
        <v>38</v>
      </c>
    </row>
    <row r="83" spans="1:21" x14ac:dyDescent="0.4">
      <c r="A83" t="str">
        <f>Data!A83</f>
        <v>GAMA</v>
      </c>
      <c r="B83" t="str">
        <f>Data!B83</f>
        <v>Gamma Communications</v>
      </c>
      <c r="C83" t="str">
        <f>Data!D83</f>
        <v>Telecommunications</v>
      </c>
      <c r="D83" t="str">
        <f>Data!E83</f>
        <v>Include</v>
      </c>
      <c r="E83">
        <f>IF($D83&lt;&gt;"Include","",SUM(Data!V83:W83)-SUM(Data!X83))</f>
        <v>0</v>
      </c>
      <c r="F83" t="e">
        <f>IF($D83&lt;&gt;"Include","",SUM(Data!Z83,Data!Y83,Metrics!E83))</f>
        <v>#N/A</v>
      </c>
      <c r="G83" t="str">
        <f>IF($D83&lt;&gt;"Include","",IFERROR(Data!P83-Data!S83,""))</f>
        <v/>
      </c>
      <c r="H83">
        <f>IF($D83&lt;&gt;"Include","",IFERROR(SUM(Data!P83:R83)-SUM(Data!S83:U83),""))</f>
        <v>0</v>
      </c>
      <c r="I83">
        <f>IF($D83&lt;&gt;"Include","",SUM(Data!M83:O83))</f>
        <v>0</v>
      </c>
      <c r="J83" s="7" t="str">
        <f>IF($D83&lt;&gt;"Include","",IFERROR(IF(OR(Data!K83&lt;=0,F83&lt;=0),"n/m",($F83/Data!K83)),""))</f>
        <v/>
      </c>
      <c r="K83" s="9" t="str">
        <f>IF($D83&lt;&gt;"Include","",IFERROR(G83/Data!Z83,""))</f>
        <v/>
      </c>
      <c r="L83" s="9" t="str">
        <f t="shared" si="12"/>
        <v>n/m</v>
      </c>
      <c r="M83" s="7" t="str">
        <f>IF($D83&lt;&gt;"Include","",IFERROR(IF(Data!L83&lt;=0,"n,m",E83/Data!L83),""))</f>
        <v/>
      </c>
      <c r="N83" s="9" t="str">
        <f>IF($D83&lt;&gt;"Include","",IFERROR(IF(OR(Data!I83&lt;=0,Data!J83&lt;=0),"n/m",(Data!I83/Data!J83)^(1/3)-1),""))</f>
        <v/>
      </c>
      <c r="O83">
        <f t="shared" si="7"/>
        <v>119</v>
      </c>
      <c r="P83">
        <f t="shared" si="8"/>
        <v>119</v>
      </c>
      <c r="Q83">
        <f t="shared" si="9"/>
        <v>119</v>
      </c>
      <c r="R83">
        <f t="shared" si="10"/>
        <v>119</v>
      </c>
      <c r="S83">
        <f t="shared" si="11"/>
        <v>119</v>
      </c>
      <c r="T83" s="10">
        <f t="shared" si="13"/>
        <v>119</v>
      </c>
      <c r="U83">
        <f>IF($D83&lt;&gt;"Include","",_xlfn.RANK.EQ(T83,T$6:T$305,1)+COUNTIFS(T$6:T83,T83)-1)</f>
        <v>39</v>
      </c>
    </row>
    <row r="84" spans="1:21" x14ac:dyDescent="0.4">
      <c r="A84" t="str">
        <f>Data!A84</f>
        <v>GCP</v>
      </c>
      <c r="B84" t="str">
        <f>Data!B84</f>
        <v>GCP Infrastructure Investments</v>
      </c>
      <c r="C84" t="str">
        <f>Data!D84</f>
        <v>Financials</v>
      </c>
      <c r="D84" t="str">
        <f>Data!E84</f>
        <v>Exclude</v>
      </c>
      <c r="E84" t="str">
        <f>IF($D84&lt;&gt;"Include","",SUM(Data!V84:W84)-SUM(Data!X84))</f>
        <v/>
      </c>
      <c r="F84" t="str">
        <f>IF($D84&lt;&gt;"Include","",SUM(Data!Z84,Data!Y84,Metrics!E84))</f>
        <v/>
      </c>
      <c r="G84" t="str">
        <f>IF($D84&lt;&gt;"Include","",IFERROR(Data!P84-Data!S84,""))</f>
        <v/>
      </c>
      <c r="H84" t="str">
        <f>IF($D84&lt;&gt;"Include","",IFERROR(SUM(Data!P84:R84)-SUM(Data!S84:U84),""))</f>
        <v/>
      </c>
      <c r="I84" t="str">
        <f>IF($D84&lt;&gt;"Include","",SUM(Data!M84:O84))</f>
        <v/>
      </c>
      <c r="J84" s="7" t="str">
        <f>IF($D84&lt;&gt;"Include","",IFERROR(IF(OR(Data!K84&lt;=0,F84&lt;=0),"n/m",($F84/Data!K84)),""))</f>
        <v/>
      </c>
      <c r="K84" s="9" t="str">
        <f>IF($D84&lt;&gt;"Include","",IFERROR(G84/Data!Z84,""))</f>
        <v/>
      </c>
      <c r="L84" s="9" t="str">
        <f t="shared" si="12"/>
        <v/>
      </c>
      <c r="M84" s="7" t="str">
        <f>IF($D84&lt;&gt;"Include","",IFERROR(IF(Data!L84&lt;=0,"n,m",E84/Data!L84),""))</f>
        <v/>
      </c>
      <c r="N84" s="9" t="str">
        <f>IF($D84&lt;&gt;"Include","",IFERROR(IF(OR(Data!I84&lt;=0,Data!J84&lt;=0),"n/m",(Data!I84/Data!J84)^(1/3)-1),""))</f>
        <v/>
      </c>
      <c r="O84" t="str">
        <f t="shared" si="7"/>
        <v/>
      </c>
      <c r="P84" t="str">
        <f t="shared" si="8"/>
        <v/>
      </c>
      <c r="Q84" t="str">
        <f t="shared" si="9"/>
        <v/>
      </c>
      <c r="R84" t="str">
        <f t="shared" si="10"/>
        <v/>
      </c>
      <c r="S84" t="str">
        <f t="shared" si="11"/>
        <v/>
      </c>
      <c r="T84" s="10" t="str">
        <f t="shared" si="13"/>
        <v/>
      </c>
      <c r="U84" t="str">
        <f>IF($D84&lt;&gt;"Include","",_xlfn.RANK.EQ(T84,T$6:T$305,1)+COUNTIFS(T$6:T84,T84)-1)</f>
        <v/>
      </c>
    </row>
    <row r="85" spans="1:21" x14ac:dyDescent="0.4">
      <c r="A85" t="str">
        <f>Data!A85</f>
        <v>GEN</v>
      </c>
      <c r="B85" t="str">
        <f>Data!B85</f>
        <v>Genuit Group</v>
      </c>
      <c r="C85" t="str">
        <f>Data!D85</f>
        <v>Industrials</v>
      </c>
      <c r="D85" t="str">
        <f>Data!E85</f>
        <v>Include</v>
      </c>
      <c r="E85">
        <f>IF($D85&lt;&gt;"Include","",SUM(Data!V85:W85)-SUM(Data!X85))</f>
        <v>0</v>
      </c>
      <c r="F85" t="e">
        <f>IF($D85&lt;&gt;"Include","",SUM(Data!Z85,Data!Y85,Metrics!E85))</f>
        <v>#N/A</v>
      </c>
      <c r="G85" t="str">
        <f>IF($D85&lt;&gt;"Include","",IFERROR(Data!P85-Data!S85,""))</f>
        <v/>
      </c>
      <c r="H85">
        <f>IF($D85&lt;&gt;"Include","",IFERROR(SUM(Data!P85:R85)-SUM(Data!S85:U85),""))</f>
        <v>0</v>
      </c>
      <c r="I85">
        <f>IF($D85&lt;&gt;"Include","",SUM(Data!M85:O85))</f>
        <v>0</v>
      </c>
      <c r="J85" s="7" t="str">
        <f>IF($D85&lt;&gt;"Include","",IFERROR(IF(OR(Data!K85&lt;=0,F85&lt;=0),"n/m",($F85/Data!K85)),""))</f>
        <v/>
      </c>
      <c r="K85" s="9" t="str">
        <f>IF($D85&lt;&gt;"Include","",IFERROR(G85/Data!Z85,""))</f>
        <v/>
      </c>
      <c r="L85" s="9" t="str">
        <f t="shared" si="12"/>
        <v>n/m</v>
      </c>
      <c r="M85" s="7" t="str">
        <f>IF($D85&lt;&gt;"Include","",IFERROR(IF(Data!L85&lt;=0,"n,m",E85/Data!L85),""))</f>
        <v/>
      </c>
      <c r="N85" s="9" t="str">
        <f>IF($D85&lt;&gt;"Include","",IFERROR(IF(OR(Data!I85&lt;=0,Data!J85&lt;=0),"n/m",(Data!I85/Data!J85)^(1/3)-1),""))</f>
        <v/>
      </c>
      <c r="O85">
        <f t="shared" si="7"/>
        <v>119</v>
      </c>
      <c r="P85">
        <f t="shared" si="8"/>
        <v>119</v>
      </c>
      <c r="Q85">
        <f t="shared" si="9"/>
        <v>119</v>
      </c>
      <c r="R85">
        <f t="shared" si="10"/>
        <v>119</v>
      </c>
      <c r="S85">
        <f t="shared" si="11"/>
        <v>119</v>
      </c>
      <c r="T85" s="10">
        <f t="shared" si="13"/>
        <v>119</v>
      </c>
      <c r="U85">
        <f>IF($D85&lt;&gt;"Include","",_xlfn.RANK.EQ(T85,T$6:T$305,1)+COUNTIFS(T$6:T85,T85)-1)</f>
        <v>40</v>
      </c>
    </row>
    <row r="86" spans="1:21" x14ac:dyDescent="0.4">
      <c r="A86" t="str">
        <f>Data!A86</f>
        <v>GNS</v>
      </c>
      <c r="B86" t="str">
        <f>Data!B86</f>
        <v>Genus</v>
      </c>
      <c r="C86" t="str">
        <f>Data!D86</f>
        <v>Health Care</v>
      </c>
      <c r="D86" t="str">
        <f>Data!E86</f>
        <v>Include</v>
      </c>
      <c r="E86">
        <f>IF($D86&lt;&gt;"Include","",SUM(Data!V86:W86)-SUM(Data!X86))</f>
        <v>0</v>
      </c>
      <c r="F86" t="e">
        <f>IF($D86&lt;&gt;"Include","",SUM(Data!Z86,Data!Y86,Metrics!E86))</f>
        <v>#N/A</v>
      </c>
      <c r="G86" t="str">
        <f>IF($D86&lt;&gt;"Include","",IFERROR(Data!P86-Data!S86,""))</f>
        <v/>
      </c>
      <c r="H86">
        <f>IF($D86&lt;&gt;"Include","",IFERROR(SUM(Data!P86:R86)-SUM(Data!S86:U86),""))</f>
        <v>0</v>
      </c>
      <c r="I86">
        <f>IF($D86&lt;&gt;"Include","",SUM(Data!M86:O86))</f>
        <v>0</v>
      </c>
      <c r="J86" s="7" t="str">
        <f>IF($D86&lt;&gt;"Include","",IFERROR(IF(OR(Data!K86&lt;=0,F86&lt;=0),"n/m",($F86/Data!K86)),""))</f>
        <v/>
      </c>
      <c r="K86" s="9" t="str">
        <f>IF($D86&lt;&gt;"Include","",IFERROR(G86/Data!Z86,""))</f>
        <v/>
      </c>
      <c r="L86" s="9" t="str">
        <f t="shared" si="12"/>
        <v>n/m</v>
      </c>
      <c r="M86" s="7" t="str">
        <f>IF($D86&lt;&gt;"Include","",IFERROR(IF(Data!L86&lt;=0,"n,m",E86/Data!L86),""))</f>
        <v/>
      </c>
      <c r="N86" s="9" t="str">
        <f>IF($D86&lt;&gt;"Include","",IFERROR(IF(OR(Data!I86&lt;=0,Data!J86&lt;=0),"n/m",(Data!I86/Data!J86)^(1/3)-1),""))</f>
        <v/>
      </c>
      <c r="O86">
        <f t="shared" si="7"/>
        <v>119</v>
      </c>
      <c r="P86">
        <f t="shared" si="8"/>
        <v>119</v>
      </c>
      <c r="Q86">
        <f t="shared" si="9"/>
        <v>119</v>
      </c>
      <c r="R86">
        <f t="shared" si="10"/>
        <v>119</v>
      </c>
      <c r="S86">
        <f t="shared" si="11"/>
        <v>119</v>
      </c>
      <c r="T86" s="10">
        <f t="shared" si="13"/>
        <v>119</v>
      </c>
      <c r="U86">
        <f>IF($D86&lt;&gt;"Include","",_xlfn.RANK.EQ(T86,T$6:T$305,1)+COUNTIFS(T$6:T86,T86)-1)</f>
        <v>41</v>
      </c>
    </row>
    <row r="87" spans="1:21" x14ac:dyDescent="0.4">
      <c r="A87" t="str">
        <f>Data!A87</f>
        <v>DATA</v>
      </c>
      <c r="B87" t="str">
        <f>Data!B87</f>
        <v>GlobalData</v>
      </c>
      <c r="C87" t="str">
        <f>Data!D87</f>
        <v>Industrials</v>
      </c>
      <c r="D87" t="str">
        <f>Data!E87</f>
        <v>Include</v>
      </c>
      <c r="E87">
        <f>IF($D87&lt;&gt;"Include","",SUM(Data!V87:W87)-SUM(Data!X87))</f>
        <v>0</v>
      </c>
      <c r="F87" t="e">
        <f>IF($D87&lt;&gt;"Include","",SUM(Data!Z87,Data!Y87,Metrics!E87))</f>
        <v>#N/A</v>
      </c>
      <c r="G87" t="str">
        <f>IF($D87&lt;&gt;"Include","",IFERROR(Data!P87-Data!S87,""))</f>
        <v/>
      </c>
      <c r="H87">
        <f>IF($D87&lt;&gt;"Include","",IFERROR(SUM(Data!P87:R87)-SUM(Data!S87:U87),""))</f>
        <v>0</v>
      </c>
      <c r="I87">
        <f>IF($D87&lt;&gt;"Include","",SUM(Data!M87:O87))</f>
        <v>0</v>
      </c>
      <c r="J87" s="7" t="str">
        <f>IF($D87&lt;&gt;"Include","",IFERROR(IF(OR(Data!K87&lt;=0,F87&lt;=0),"n/m",($F87/Data!K87)),""))</f>
        <v/>
      </c>
      <c r="K87" s="9" t="str">
        <f>IF($D87&lt;&gt;"Include","",IFERROR(G87/Data!Z87,""))</f>
        <v/>
      </c>
      <c r="L87" s="9" t="str">
        <f t="shared" si="12"/>
        <v>n/m</v>
      </c>
      <c r="M87" s="7" t="str">
        <f>IF($D87&lt;&gt;"Include","",IFERROR(IF(Data!L87&lt;=0,"n,m",E87/Data!L87),""))</f>
        <v/>
      </c>
      <c r="N87" s="9" t="str">
        <f>IF($D87&lt;&gt;"Include","",IFERROR(IF(OR(Data!I87&lt;=0,Data!J87&lt;=0),"n/m",(Data!I87/Data!J87)^(1/3)-1),""))</f>
        <v/>
      </c>
      <c r="O87">
        <f t="shared" si="7"/>
        <v>119</v>
      </c>
      <c r="P87">
        <f t="shared" si="8"/>
        <v>119</v>
      </c>
      <c r="Q87">
        <f t="shared" si="9"/>
        <v>119</v>
      </c>
      <c r="R87">
        <f t="shared" si="10"/>
        <v>119</v>
      </c>
      <c r="S87">
        <f t="shared" si="11"/>
        <v>119</v>
      </c>
      <c r="T87" s="10">
        <f t="shared" si="13"/>
        <v>119</v>
      </c>
      <c r="U87">
        <f>IF($D87&lt;&gt;"Include","",_xlfn.RANK.EQ(T87,T$6:T$305,1)+COUNTIFS(T$6:T87,T87)-1)</f>
        <v>42</v>
      </c>
    </row>
    <row r="88" spans="1:21" x14ac:dyDescent="0.4">
      <c r="A88" t="str">
        <f>Data!A88</f>
        <v>GSCT</v>
      </c>
      <c r="B88" t="str">
        <f>Data!B88</f>
        <v>Global Smaller Companies Trust</v>
      </c>
      <c r="C88" t="str">
        <f>Data!D88</f>
        <v>Financials</v>
      </c>
      <c r="D88" t="str">
        <f>Data!E88</f>
        <v>Exclude</v>
      </c>
      <c r="E88" t="str">
        <f>IF($D88&lt;&gt;"Include","",SUM(Data!V88:W88)-SUM(Data!X88))</f>
        <v/>
      </c>
      <c r="F88" t="str">
        <f>IF($D88&lt;&gt;"Include","",SUM(Data!Z88,Data!Y88,Metrics!E88))</f>
        <v/>
      </c>
      <c r="G88" t="str">
        <f>IF($D88&lt;&gt;"Include","",IFERROR(Data!P88-Data!S88,""))</f>
        <v/>
      </c>
      <c r="H88" t="str">
        <f>IF($D88&lt;&gt;"Include","",IFERROR(SUM(Data!P88:R88)-SUM(Data!S88:U88),""))</f>
        <v/>
      </c>
      <c r="I88" t="str">
        <f>IF($D88&lt;&gt;"Include","",SUM(Data!M88:O88))</f>
        <v/>
      </c>
      <c r="J88" s="7" t="str">
        <f>IF($D88&lt;&gt;"Include","",IFERROR(IF(OR(Data!K88&lt;=0,F88&lt;=0),"n/m",($F88/Data!K88)),""))</f>
        <v/>
      </c>
      <c r="K88" s="9" t="str">
        <f>IF($D88&lt;&gt;"Include","",IFERROR(G88/Data!Z88,""))</f>
        <v/>
      </c>
      <c r="L88" s="9" t="str">
        <f t="shared" si="12"/>
        <v/>
      </c>
      <c r="M88" s="7" t="str">
        <f>IF($D88&lt;&gt;"Include","",IFERROR(IF(Data!L88&lt;=0,"n,m",E88/Data!L88),""))</f>
        <v/>
      </c>
      <c r="N88" s="9" t="str">
        <f>IF($D88&lt;&gt;"Include","",IFERROR(IF(OR(Data!I88&lt;=0,Data!J88&lt;=0),"n/m",(Data!I88/Data!J88)^(1/3)-1),""))</f>
        <v/>
      </c>
      <c r="O88" t="str">
        <f t="shared" si="7"/>
        <v/>
      </c>
      <c r="P88" t="str">
        <f t="shared" si="8"/>
        <v/>
      </c>
      <c r="Q88" t="str">
        <f t="shared" si="9"/>
        <v/>
      </c>
      <c r="R88" t="str">
        <f t="shared" si="10"/>
        <v/>
      </c>
      <c r="S88" t="str">
        <f t="shared" si="11"/>
        <v/>
      </c>
      <c r="T88" s="10" t="str">
        <f t="shared" si="13"/>
        <v/>
      </c>
      <c r="U88" t="str">
        <f>IF($D88&lt;&gt;"Include","",_xlfn.RANK.EQ(T88,T$6:T$305,1)+COUNTIFS(T$6:T88,T88)-1)</f>
        <v/>
      </c>
    </row>
    <row r="89" spans="1:21" x14ac:dyDescent="0.4">
      <c r="A89" t="str">
        <f>Data!A89</f>
        <v>GDWN</v>
      </c>
      <c r="B89" t="str">
        <f>Data!B89</f>
        <v>Goodwin</v>
      </c>
      <c r="C89" t="str">
        <f>Data!D89</f>
        <v>Industrials</v>
      </c>
      <c r="D89" t="str">
        <f>Data!E89</f>
        <v>Include</v>
      </c>
      <c r="E89">
        <f>IF($D89&lt;&gt;"Include","",SUM(Data!V89:W89)-SUM(Data!X89))</f>
        <v>0</v>
      </c>
      <c r="F89" t="e">
        <f>IF($D89&lt;&gt;"Include","",SUM(Data!Z89,Data!Y89,Metrics!E89))</f>
        <v>#N/A</v>
      </c>
      <c r="G89" t="str">
        <f>IF($D89&lt;&gt;"Include","",IFERROR(Data!P89-Data!S89,""))</f>
        <v/>
      </c>
      <c r="H89">
        <f>IF($D89&lt;&gt;"Include","",IFERROR(SUM(Data!P89:R89)-SUM(Data!S89:U89),""))</f>
        <v>0</v>
      </c>
      <c r="I89">
        <f>IF($D89&lt;&gt;"Include","",SUM(Data!M89:O89))</f>
        <v>0</v>
      </c>
      <c r="J89" s="7" t="str">
        <f>IF($D89&lt;&gt;"Include","",IFERROR(IF(OR(Data!K89&lt;=0,F89&lt;=0),"n/m",($F89/Data!K89)),""))</f>
        <v/>
      </c>
      <c r="K89" s="9" t="str">
        <f>IF($D89&lt;&gt;"Include","",IFERROR(G89/Data!Z89,""))</f>
        <v/>
      </c>
      <c r="L89" s="9" t="str">
        <f t="shared" si="12"/>
        <v>n/m</v>
      </c>
      <c r="M89" s="7" t="str">
        <f>IF($D89&lt;&gt;"Include","",IFERROR(IF(Data!L89&lt;=0,"n,m",E89/Data!L89),""))</f>
        <v/>
      </c>
      <c r="N89" s="9" t="str">
        <f>IF($D89&lt;&gt;"Include","",IFERROR(IF(OR(Data!I89&lt;=0,Data!J89&lt;=0),"n/m",(Data!I89/Data!J89)^(1/3)-1),""))</f>
        <v/>
      </c>
      <c r="O89">
        <f t="shared" si="7"/>
        <v>119</v>
      </c>
      <c r="P89">
        <f t="shared" si="8"/>
        <v>119</v>
      </c>
      <c r="Q89">
        <f t="shared" si="9"/>
        <v>119</v>
      </c>
      <c r="R89">
        <f t="shared" si="10"/>
        <v>119</v>
      </c>
      <c r="S89">
        <f t="shared" si="11"/>
        <v>119</v>
      </c>
      <c r="T89" s="10">
        <f t="shared" si="13"/>
        <v>119</v>
      </c>
      <c r="U89">
        <f>IF($D89&lt;&gt;"Include","",_xlfn.RANK.EQ(T89,T$6:T$305,1)+COUNTIFS(T$6:T89,T89)-1)</f>
        <v>43</v>
      </c>
    </row>
    <row r="90" spans="1:21" x14ac:dyDescent="0.4">
      <c r="A90" t="str">
        <f>Data!A90</f>
        <v>GFTU</v>
      </c>
      <c r="B90" t="str">
        <f>Data!B90</f>
        <v>Grafton Group</v>
      </c>
      <c r="C90" t="str">
        <f>Data!D90</f>
        <v>Industrials</v>
      </c>
      <c r="D90" t="str">
        <f>Data!E90</f>
        <v>Include</v>
      </c>
      <c r="E90">
        <f>IF($D90&lt;&gt;"Include","",SUM(Data!V90:W90)-SUM(Data!X90))</f>
        <v>0</v>
      </c>
      <c r="F90" t="e">
        <f>IF($D90&lt;&gt;"Include","",SUM(Data!Z90,Data!Y90,Metrics!E90))</f>
        <v>#N/A</v>
      </c>
      <c r="G90" t="str">
        <f>IF($D90&lt;&gt;"Include","",IFERROR(Data!P90-Data!S90,""))</f>
        <v/>
      </c>
      <c r="H90">
        <f>IF($D90&lt;&gt;"Include","",IFERROR(SUM(Data!P90:R90)-SUM(Data!S90:U90),""))</f>
        <v>0</v>
      </c>
      <c r="I90">
        <f>IF($D90&lt;&gt;"Include","",SUM(Data!M90:O90))</f>
        <v>0</v>
      </c>
      <c r="J90" s="7" t="str">
        <f>IF($D90&lt;&gt;"Include","",IFERROR(IF(OR(Data!K90&lt;=0,F90&lt;=0),"n/m",($F90/Data!K90)),""))</f>
        <v/>
      </c>
      <c r="K90" s="9" t="str">
        <f>IF($D90&lt;&gt;"Include","",IFERROR(G90/Data!Z90,""))</f>
        <v/>
      </c>
      <c r="L90" s="9" t="str">
        <f t="shared" si="12"/>
        <v>n/m</v>
      </c>
      <c r="M90" s="7" t="str">
        <f>IF($D90&lt;&gt;"Include","",IFERROR(IF(Data!L90&lt;=0,"n,m",E90/Data!L90),""))</f>
        <v/>
      </c>
      <c r="N90" s="9" t="str">
        <f>IF($D90&lt;&gt;"Include","",IFERROR(IF(OR(Data!I90&lt;=0,Data!J90&lt;=0),"n/m",(Data!I90/Data!J90)^(1/3)-1),""))</f>
        <v/>
      </c>
      <c r="O90">
        <f t="shared" si="7"/>
        <v>119</v>
      </c>
      <c r="P90">
        <f t="shared" si="8"/>
        <v>119</v>
      </c>
      <c r="Q90">
        <f t="shared" si="9"/>
        <v>119</v>
      </c>
      <c r="R90">
        <f t="shared" si="10"/>
        <v>119</v>
      </c>
      <c r="S90">
        <f t="shared" si="11"/>
        <v>119</v>
      </c>
      <c r="T90" s="10">
        <f t="shared" si="13"/>
        <v>119</v>
      </c>
      <c r="U90">
        <f>IF($D90&lt;&gt;"Include","",_xlfn.RANK.EQ(T90,T$6:T$305,1)+COUNTIFS(T$6:T90,T90)-1)</f>
        <v>44</v>
      </c>
    </row>
    <row r="91" spans="1:21" x14ac:dyDescent="0.4">
      <c r="A91" t="str">
        <f>Data!A91</f>
        <v>GRI</v>
      </c>
      <c r="B91" t="str">
        <f>Data!B91</f>
        <v>Grainger</v>
      </c>
      <c r="C91" t="str">
        <f>Data!D91</f>
        <v>Real Estate</v>
      </c>
      <c r="D91" t="str">
        <f>Data!E91</f>
        <v>Exclude</v>
      </c>
      <c r="E91" t="str">
        <f>IF($D91&lt;&gt;"Include","",SUM(Data!V91:W91)-SUM(Data!X91))</f>
        <v/>
      </c>
      <c r="F91" t="str">
        <f>IF($D91&lt;&gt;"Include","",SUM(Data!Z91,Data!Y91,Metrics!E91))</f>
        <v/>
      </c>
      <c r="G91" t="str">
        <f>IF($D91&lt;&gt;"Include","",IFERROR(Data!P91-Data!S91,""))</f>
        <v/>
      </c>
      <c r="H91" t="str">
        <f>IF($D91&lt;&gt;"Include","",IFERROR(SUM(Data!P91:R91)-SUM(Data!S91:U91),""))</f>
        <v/>
      </c>
      <c r="I91" t="str">
        <f>IF($D91&lt;&gt;"Include","",SUM(Data!M91:O91))</f>
        <v/>
      </c>
      <c r="J91" s="7" t="str">
        <f>IF($D91&lt;&gt;"Include","",IFERROR(IF(OR(Data!K91&lt;=0,F91&lt;=0),"n/m",($F91/Data!K91)),""))</f>
        <v/>
      </c>
      <c r="K91" s="9" t="str">
        <f>IF($D91&lt;&gt;"Include","",IFERROR(G91/Data!Z91,""))</f>
        <v/>
      </c>
      <c r="L91" s="9" t="str">
        <f t="shared" si="12"/>
        <v/>
      </c>
      <c r="M91" s="7" t="str">
        <f>IF($D91&lt;&gt;"Include","",IFERROR(IF(Data!L91&lt;=0,"n,m",E91/Data!L91),""))</f>
        <v/>
      </c>
      <c r="N91" s="9" t="str">
        <f>IF($D91&lt;&gt;"Include","",IFERROR(IF(OR(Data!I91&lt;=0,Data!J91&lt;=0),"n/m",(Data!I91/Data!J91)^(1/3)-1),""))</f>
        <v/>
      </c>
      <c r="O91" t="str">
        <f t="shared" si="7"/>
        <v/>
      </c>
      <c r="P91" t="str">
        <f t="shared" si="8"/>
        <v/>
      </c>
      <c r="Q91" t="str">
        <f t="shared" si="9"/>
        <v/>
      </c>
      <c r="R91" t="str">
        <f t="shared" si="10"/>
        <v/>
      </c>
      <c r="S91" t="str">
        <f t="shared" si="11"/>
        <v/>
      </c>
      <c r="T91" s="10" t="str">
        <f t="shared" si="13"/>
        <v/>
      </c>
      <c r="U91" t="str">
        <f>IF($D91&lt;&gt;"Include","",_xlfn.RANK.EQ(T91,T$6:T$305,1)+COUNTIFS(T$6:T91,T91)-1)</f>
        <v/>
      </c>
    </row>
    <row r="92" spans="1:21" x14ac:dyDescent="0.4">
      <c r="A92" t="str">
        <f>Data!A92</f>
        <v>GPE</v>
      </c>
      <c r="B92" t="str">
        <f>Data!B92</f>
        <v>Great Portland Estates</v>
      </c>
      <c r="C92" t="str">
        <f>Data!D92</f>
        <v>Real Estate</v>
      </c>
      <c r="D92" t="str">
        <f>Data!E92</f>
        <v>Exclude</v>
      </c>
      <c r="E92" t="str">
        <f>IF($D92&lt;&gt;"Include","",SUM(Data!V92:W92)-SUM(Data!X92))</f>
        <v/>
      </c>
      <c r="F92" t="str">
        <f>IF($D92&lt;&gt;"Include","",SUM(Data!Z92,Data!Y92,Metrics!E92))</f>
        <v/>
      </c>
      <c r="G92" t="str">
        <f>IF($D92&lt;&gt;"Include","",IFERROR(Data!P92-Data!S92,""))</f>
        <v/>
      </c>
      <c r="H92" t="str">
        <f>IF($D92&lt;&gt;"Include","",IFERROR(SUM(Data!P92:R92)-SUM(Data!S92:U92),""))</f>
        <v/>
      </c>
      <c r="I92" t="str">
        <f>IF($D92&lt;&gt;"Include","",SUM(Data!M92:O92))</f>
        <v/>
      </c>
      <c r="J92" s="7" t="str">
        <f>IF($D92&lt;&gt;"Include","",IFERROR(IF(OR(Data!K92&lt;=0,F92&lt;=0),"n/m",($F92/Data!K92)),""))</f>
        <v/>
      </c>
      <c r="K92" s="9" t="str">
        <f>IF($D92&lt;&gt;"Include","",IFERROR(G92/Data!Z92,""))</f>
        <v/>
      </c>
      <c r="L92" s="9" t="str">
        <f t="shared" si="12"/>
        <v/>
      </c>
      <c r="M92" s="7" t="str">
        <f>IF($D92&lt;&gt;"Include","",IFERROR(IF(Data!L92&lt;=0,"n,m",E92/Data!L92),""))</f>
        <v/>
      </c>
      <c r="N92" s="9" t="str">
        <f>IF($D92&lt;&gt;"Include","",IFERROR(IF(OR(Data!I92&lt;=0,Data!J92&lt;=0),"n/m",(Data!I92/Data!J92)^(1/3)-1),""))</f>
        <v/>
      </c>
      <c r="O92" t="str">
        <f t="shared" si="7"/>
        <v/>
      </c>
      <c r="P92" t="str">
        <f t="shared" si="8"/>
        <v/>
      </c>
      <c r="Q92" t="str">
        <f t="shared" si="9"/>
        <v/>
      </c>
      <c r="R92" t="str">
        <f t="shared" si="10"/>
        <v/>
      </c>
      <c r="S92" t="str">
        <f t="shared" si="11"/>
        <v/>
      </c>
      <c r="T92" s="10" t="str">
        <f t="shared" si="13"/>
        <v/>
      </c>
      <c r="U92" t="str">
        <f>IF($D92&lt;&gt;"Include","",_xlfn.RANK.EQ(T92,T$6:T$305,1)+COUNTIFS(T$6:T92,T92)-1)</f>
        <v/>
      </c>
    </row>
    <row r="93" spans="1:21" x14ac:dyDescent="0.4">
      <c r="A93" t="str">
        <f>Data!A93</f>
        <v>UKW</v>
      </c>
      <c r="B93" t="str">
        <f>Data!B93</f>
        <v>Greencoat UK Wind</v>
      </c>
      <c r="C93" t="str">
        <f>Data!D93</f>
        <v>Financials</v>
      </c>
      <c r="D93" t="str">
        <f>Data!E93</f>
        <v>Exclude</v>
      </c>
      <c r="E93" t="str">
        <f>IF($D93&lt;&gt;"Include","",SUM(Data!V93:W93)-SUM(Data!X93))</f>
        <v/>
      </c>
      <c r="F93" t="str">
        <f>IF($D93&lt;&gt;"Include","",SUM(Data!Z93,Data!Y93,Metrics!E93))</f>
        <v/>
      </c>
      <c r="G93" t="str">
        <f>IF($D93&lt;&gt;"Include","",IFERROR(Data!P93-Data!S93,""))</f>
        <v/>
      </c>
      <c r="H93" t="str">
        <f>IF($D93&lt;&gt;"Include","",IFERROR(SUM(Data!P93:R93)-SUM(Data!S93:U93),""))</f>
        <v/>
      </c>
      <c r="I93" t="str">
        <f>IF($D93&lt;&gt;"Include","",SUM(Data!M93:O93))</f>
        <v/>
      </c>
      <c r="J93" s="7" t="str">
        <f>IF($D93&lt;&gt;"Include","",IFERROR(IF(OR(Data!K93&lt;=0,F93&lt;=0),"n/m",($F93/Data!K93)),""))</f>
        <v/>
      </c>
      <c r="K93" s="9" t="str">
        <f>IF($D93&lt;&gt;"Include","",IFERROR(G93/Data!Z93,""))</f>
        <v/>
      </c>
      <c r="L93" s="9" t="str">
        <f t="shared" si="12"/>
        <v/>
      </c>
      <c r="M93" s="7" t="str">
        <f>IF($D93&lt;&gt;"Include","",IFERROR(IF(Data!L93&lt;=0,"n,m",E93/Data!L93),""))</f>
        <v/>
      </c>
      <c r="N93" s="9" t="str">
        <f>IF($D93&lt;&gt;"Include","",IFERROR(IF(OR(Data!I93&lt;=0,Data!J93&lt;=0),"n/m",(Data!I93/Data!J93)^(1/3)-1),""))</f>
        <v/>
      </c>
      <c r="O93" t="str">
        <f t="shared" si="7"/>
        <v/>
      </c>
      <c r="P93" t="str">
        <f t="shared" si="8"/>
        <v/>
      </c>
      <c r="Q93" t="str">
        <f t="shared" si="9"/>
        <v/>
      </c>
      <c r="R93" t="str">
        <f t="shared" si="10"/>
        <v/>
      </c>
      <c r="S93" t="str">
        <f t="shared" si="11"/>
        <v/>
      </c>
      <c r="T93" s="10" t="str">
        <f t="shared" si="13"/>
        <v/>
      </c>
      <c r="U93" t="str">
        <f>IF($D93&lt;&gt;"Include","",_xlfn.RANK.EQ(T93,T$6:T$305,1)+COUNTIFS(T$6:T93,T93)-1)</f>
        <v/>
      </c>
    </row>
    <row r="94" spans="1:21" x14ac:dyDescent="0.4">
      <c r="A94" t="str">
        <f>Data!A94</f>
        <v>GNC</v>
      </c>
      <c r="B94" t="str">
        <f>Data!B94</f>
        <v>Greencore</v>
      </c>
      <c r="C94" t="str">
        <f>Data!D94</f>
        <v>Consumer Staples</v>
      </c>
      <c r="D94" t="str">
        <f>Data!E94</f>
        <v>Include</v>
      </c>
      <c r="E94">
        <f>IF($D94&lt;&gt;"Include","",SUM(Data!V94:W94)-SUM(Data!X94))</f>
        <v>0</v>
      </c>
      <c r="F94" t="e">
        <f>IF($D94&lt;&gt;"Include","",SUM(Data!Z94,Data!Y94,Metrics!E94))</f>
        <v>#N/A</v>
      </c>
      <c r="G94" t="str">
        <f>IF($D94&lt;&gt;"Include","",IFERROR(Data!P94-Data!S94,""))</f>
        <v/>
      </c>
      <c r="H94">
        <f>IF($D94&lt;&gt;"Include","",IFERROR(SUM(Data!P94:R94)-SUM(Data!S94:U94),""))</f>
        <v>0</v>
      </c>
      <c r="I94">
        <f>IF($D94&lt;&gt;"Include","",SUM(Data!M94:O94))</f>
        <v>0</v>
      </c>
      <c r="J94" s="7" t="str">
        <f>IF($D94&lt;&gt;"Include","",IFERROR(IF(OR(Data!K94&lt;=0,F94&lt;=0),"n/m",($F94/Data!K94)),""))</f>
        <v/>
      </c>
      <c r="K94" s="9" t="str">
        <f>IF($D94&lt;&gt;"Include","",IFERROR(G94/Data!Z94,""))</f>
        <v/>
      </c>
      <c r="L94" s="9" t="str">
        <f t="shared" si="12"/>
        <v>n/m</v>
      </c>
      <c r="M94" s="7" t="str">
        <f>IF($D94&lt;&gt;"Include","",IFERROR(IF(Data!L94&lt;=0,"n,m",E94/Data!L94),""))</f>
        <v/>
      </c>
      <c r="N94" s="9" t="str">
        <f>IF($D94&lt;&gt;"Include","",IFERROR(IF(OR(Data!I94&lt;=0,Data!J94&lt;=0),"n/m",(Data!I94/Data!J94)^(1/3)-1),""))</f>
        <v/>
      </c>
      <c r="O94">
        <f t="shared" si="7"/>
        <v>119</v>
      </c>
      <c r="P94">
        <f t="shared" si="8"/>
        <v>119</v>
      </c>
      <c r="Q94">
        <f t="shared" si="9"/>
        <v>119</v>
      </c>
      <c r="R94">
        <f t="shared" si="10"/>
        <v>119</v>
      </c>
      <c r="S94">
        <f t="shared" si="11"/>
        <v>119</v>
      </c>
      <c r="T94" s="10">
        <f t="shared" si="13"/>
        <v>119</v>
      </c>
      <c r="U94">
        <f>IF($D94&lt;&gt;"Include","",_xlfn.RANK.EQ(T94,T$6:T$305,1)+COUNTIFS(T$6:T94,T94)-1)</f>
        <v>45</v>
      </c>
    </row>
    <row r="95" spans="1:21" x14ac:dyDescent="0.4">
      <c r="A95" t="str">
        <f>Data!A95</f>
        <v>GRG</v>
      </c>
      <c r="B95" t="str">
        <f>Data!B95</f>
        <v>Greggs</v>
      </c>
      <c r="C95" t="str">
        <f>Data!D95</f>
        <v>Consumer Discretionary</v>
      </c>
      <c r="D95" t="str">
        <f>Data!E95</f>
        <v>Include</v>
      </c>
      <c r="E95">
        <f>IF($D95&lt;&gt;"Include","",SUM(Data!V95:W95)-SUM(Data!X95))</f>
        <v>0</v>
      </c>
      <c r="F95" t="e">
        <f>IF($D95&lt;&gt;"Include","",SUM(Data!Z95,Data!Y95,Metrics!E95))</f>
        <v>#N/A</v>
      </c>
      <c r="G95" t="str">
        <f>IF($D95&lt;&gt;"Include","",IFERROR(Data!P95-Data!S95,""))</f>
        <v/>
      </c>
      <c r="H95">
        <f>IF($D95&lt;&gt;"Include","",IFERROR(SUM(Data!P95:R95)-SUM(Data!S95:U95),""))</f>
        <v>0</v>
      </c>
      <c r="I95">
        <f>IF($D95&lt;&gt;"Include","",SUM(Data!M95:O95))</f>
        <v>0</v>
      </c>
      <c r="J95" s="7" t="str">
        <f>IF($D95&lt;&gt;"Include","",IFERROR(IF(OR(Data!K95&lt;=0,F95&lt;=0),"n/m",($F95/Data!K95)),""))</f>
        <v/>
      </c>
      <c r="K95" s="9" t="str">
        <f>IF($D95&lt;&gt;"Include","",IFERROR(G95/Data!Z95,""))</f>
        <v/>
      </c>
      <c r="L95" s="9" t="str">
        <f t="shared" si="12"/>
        <v>n/m</v>
      </c>
      <c r="M95" s="7" t="str">
        <f>IF($D95&lt;&gt;"Include","",IFERROR(IF(Data!L95&lt;=0,"n,m",E95/Data!L95),""))</f>
        <v/>
      </c>
      <c r="N95" s="9" t="str">
        <f>IF($D95&lt;&gt;"Include","",IFERROR(IF(OR(Data!I95&lt;=0,Data!J95&lt;=0),"n/m",(Data!I95/Data!J95)^(1/3)-1),""))</f>
        <v/>
      </c>
      <c r="O95">
        <f t="shared" si="7"/>
        <v>119</v>
      </c>
      <c r="P95">
        <f t="shared" si="8"/>
        <v>119</v>
      </c>
      <c r="Q95">
        <f t="shared" si="9"/>
        <v>119</v>
      </c>
      <c r="R95">
        <f t="shared" si="10"/>
        <v>119</v>
      </c>
      <c r="S95">
        <f t="shared" si="11"/>
        <v>119</v>
      </c>
      <c r="T95" s="10">
        <f t="shared" si="13"/>
        <v>119</v>
      </c>
      <c r="U95">
        <f>IF($D95&lt;&gt;"Include","",_xlfn.RANK.EQ(T95,T$6:T$305,1)+COUNTIFS(T$6:T95,T95)-1)</f>
        <v>46</v>
      </c>
    </row>
    <row r="96" spans="1:21" x14ac:dyDescent="0.4">
      <c r="A96" t="str">
        <f>Data!A96</f>
        <v>HFD</v>
      </c>
      <c r="B96" t="str">
        <f>Data!B96</f>
        <v>Halfords</v>
      </c>
      <c r="C96" t="str">
        <f>Data!D96</f>
        <v>Consumer Discretionary</v>
      </c>
      <c r="D96" t="str">
        <f>Data!E96</f>
        <v>Include</v>
      </c>
      <c r="E96">
        <f>IF($D96&lt;&gt;"Include","",SUM(Data!V96:W96)-SUM(Data!X96))</f>
        <v>0</v>
      </c>
      <c r="F96" t="e">
        <f>IF($D96&lt;&gt;"Include","",SUM(Data!Z96,Data!Y96,Metrics!E96))</f>
        <v>#N/A</v>
      </c>
      <c r="G96" t="str">
        <f>IF($D96&lt;&gt;"Include","",IFERROR(Data!P96-Data!S96,""))</f>
        <v/>
      </c>
      <c r="H96">
        <f>IF($D96&lt;&gt;"Include","",IFERROR(SUM(Data!P96:R96)-SUM(Data!S96:U96),""))</f>
        <v>0</v>
      </c>
      <c r="I96">
        <f>IF($D96&lt;&gt;"Include","",SUM(Data!M96:O96))</f>
        <v>0</v>
      </c>
      <c r="J96" s="7" t="str">
        <f>IF($D96&lt;&gt;"Include","",IFERROR(IF(OR(Data!K96&lt;=0,F96&lt;=0),"n/m",($F96/Data!K96)),""))</f>
        <v/>
      </c>
      <c r="K96" s="9" t="str">
        <f>IF($D96&lt;&gt;"Include","",IFERROR(G96/Data!Z96,""))</f>
        <v/>
      </c>
      <c r="L96" s="9" t="str">
        <f t="shared" si="12"/>
        <v>n/m</v>
      </c>
      <c r="M96" s="7" t="str">
        <f>IF($D96&lt;&gt;"Include","",IFERROR(IF(Data!L96&lt;=0,"n,m",E96/Data!L96),""))</f>
        <v/>
      </c>
      <c r="N96" s="9" t="str">
        <f>IF($D96&lt;&gt;"Include","",IFERROR(IF(OR(Data!I96&lt;=0,Data!J96&lt;=0),"n/m",(Data!I96/Data!J96)^(1/3)-1),""))</f>
        <v/>
      </c>
      <c r="O96">
        <f t="shared" si="7"/>
        <v>119</v>
      </c>
      <c r="P96">
        <f t="shared" si="8"/>
        <v>119</v>
      </c>
      <c r="Q96">
        <f t="shared" si="9"/>
        <v>119</v>
      </c>
      <c r="R96">
        <f t="shared" si="10"/>
        <v>119</v>
      </c>
      <c r="S96">
        <f t="shared" si="11"/>
        <v>119</v>
      </c>
      <c r="T96" s="10">
        <f t="shared" si="13"/>
        <v>119</v>
      </c>
      <c r="U96">
        <f>IF($D96&lt;&gt;"Include","",_xlfn.RANK.EQ(T96,T$6:T$305,1)+COUNTIFS(T$6:T96,T96)-1)</f>
        <v>47</v>
      </c>
    </row>
    <row r="97" spans="1:21" x14ac:dyDescent="0.4">
      <c r="A97" t="str">
        <f>Data!A97</f>
        <v>HMSO</v>
      </c>
      <c r="B97" t="str">
        <f>Data!B97</f>
        <v>Hammerson</v>
      </c>
      <c r="C97" t="str">
        <f>Data!D97</f>
        <v>Real Estate</v>
      </c>
      <c r="D97" t="str">
        <f>Data!E97</f>
        <v>Exclude</v>
      </c>
      <c r="E97" t="str">
        <f>IF($D97&lt;&gt;"Include","",SUM(Data!V97:W97)-SUM(Data!X97))</f>
        <v/>
      </c>
      <c r="F97" t="str">
        <f>IF($D97&lt;&gt;"Include","",SUM(Data!Z97,Data!Y97,Metrics!E97))</f>
        <v/>
      </c>
      <c r="G97" t="str">
        <f>IF($D97&lt;&gt;"Include","",IFERROR(Data!P97-Data!S97,""))</f>
        <v/>
      </c>
      <c r="H97" t="str">
        <f>IF($D97&lt;&gt;"Include","",IFERROR(SUM(Data!P97:R97)-SUM(Data!S97:U97),""))</f>
        <v/>
      </c>
      <c r="I97" t="str">
        <f>IF($D97&lt;&gt;"Include","",SUM(Data!M97:O97))</f>
        <v/>
      </c>
      <c r="J97" s="7" t="str">
        <f>IF($D97&lt;&gt;"Include","",IFERROR(IF(OR(Data!K97&lt;=0,F97&lt;=0),"n/m",($F97/Data!K97)),""))</f>
        <v/>
      </c>
      <c r="K97" s="9" t="str">
        <f>IF($D97&lt;&gt;"Include","",IFERROR(G97/Data!Z97,""))</f>
        <v/>
      </c>
      <c r="L97" s="9" t="str">
        <f t="shared" si="12"/>
        <v/>
      </c>
      <c r="M97" s="7" t="str">
        <f>IF($D97&lt;&gt;"Include","",IFERROR(IF(Data!L97&lt;=0,"n,m",E97/Data!L97),""))</f>
        <v/>
      </c>
      <c r="N97" s="9" t="str">
        <f>IF($D97&lt;&gt;"Include","",IFERROR(IF(OR(Data!I97&lt;=0,Data!J97&lt;=0),"n/m",(Data!I97/Data!J97)^(1/3)-1),""))</f>
        <v/>
      </c>
      <c r="O97" t="str">
        <f t="shared" si="7"/>
        <v/>
      </c>
      <c r="P97" t="str">
        <f t="shared" si="8"/>
        <v/>
      </c>
      <c r="Q97" t="str">
        <f t="shared" si="9"/>
        <v/>
      </c>
      <c r="R97" t="str">
        <f t="shared" si="10"/>
        <v/>
      </c>
      <c r="S97" t="str">
        <f t="shared" si="11"/>
        <v/>
      </c>
      <c r="T97" s="10" t="str">
        <f t="shared" si="13"/>
        <v/>
      </c>
      <c r="U97" t="str">
        <f>IF($D97&lt;&gt;"Include","",_xlfn.RANK.EQ(T97,T$6:T$305,1)+COUNTIFS(T$6:T97,T97)-1)</f>
        <v/>
      </c>
    </row>
    <row r="98" spans="1:21" x14ac:dyDescent="0.4">
      <c r="A98" t="str">
        <f>Data!A98</f>
        <v>HANA</v>
      </c>
      <c r="B98" t="str">
        <f>Data!B98</f>
        <v>Hansa Investment Company</v>
      </c>
      <c r="C98" t="str">
        <f>Data!D98</f>
        <v>Financials</v>
      </c>
      <c r="D98" t="str">
        <f>Data!E98</f>
        <v>Exclude</v>
      </c>
      <c r="E98" t="str">
        <f>IF($D98&lt;&gt;"Include","",SUM(Data!V98:W98)-SUM(Data!X98))</f>
        <v/>
      </c>
      <c r="F98" t="str">
        <f>IF($D98&lt;&gt;"Include","",SUM(Data!Z98,Data!Y98,Metrics!E98))</f>
        <v/>
      </c>
      <c r="G98" t="str">
        <f>IF($D98&lt;&gt;"Include","",IFERROR(Data!P98-Data!S98,""))</f>
        <v/>
      </c>
      <c r="H98" t="str">
        <f>IF($D98&lt;&gt;"Include","",IFERROR(SUM(Data!P98:R98)-SUM(Data!S98:U98),""))</f>
        <v/>
      </c>
      <c r="I98" t="str">
        <f>IF($D98&lt;&gt;"Include","",SUM(Data!M98:O98))</f>
        <v/>
      </c>
      <c r="J98" s="7" t="str">
        <f>IF($D98&lt;&gt;"Include","",IFERROR(IF(OR(Data!K98&lt;=0,F98&lt;=0),"n/m",($F98/Data!K98)),""))</f>
        <v/>
      </c>
      <c r="K98" s="9" t="str">
        <f>IF($D98&lt;&gt;"Include","",IFERROR(G98/Data!Z98,""))</f>
        <v/>
      </c>
      <c r="L98" s="9" t="str">
        <f t="shared" si="12"/>
        <v/>
      </c>
      <c r="M98" s="7" t="str">
        <f>IF($D98&lt;&gt;"Include","",IFERROR(IF(Data!L98&lt;=0,"n,m",E98/Data!L98),""))</f>
        <v/>
      </c>
      <c r="N98" s="9" t="str">
        <f>IF($D98&lt;&gt;"Include","",IFERROR(IF(OR(Data!I98&lt;=0,Data!J98&lt;=0),"n/m",(Data!I98/Data!J98)^(1/3)-1),""))</f>
        <v/>
      </c>
      <c r="O98" t="str">
        <f t="shared" si="7"/>
        <v/>
      </c>
      <c r="P98" t="str">
        <f t="shared" si="8"/>
        <v/>
      </c>
      <c r="Q98" t="str">
        <f t="shared" si="9"/>
        <v/>
      </c>
      <c r="R98" t="str">
        <f t="shared" si="10"/>
        <v/>
      </c>
      <c r="S98" t="str">
        <f t="shared" si="11"/>
        <v/>
      </c>
      <c r="T98" s="10" t="str">
        <f t="shared" si="13"/>
        <v/>
      </c>
      <c r="U98" t="str">
        <f>IF($D98&lt;&gt;"Include","",_xlfn.RANK.EQ(T98,T$6:T$305,1)+COUNTIFS(T$6:T98,T98)-1)</f>
        <v/>
      </c>
    </row>
    <row r="99" spans="1:21" x14ac:dyDescent="0.4">
      <c r="A99" t="str">
        <f>Data!A99</f>
        <v>HBR</v>
      </c>
      <c r="B99" t="str">
        <f>Data!B99</f>
        <v>Harbour Energy</v>
      </c>
      <c r="C99" t="str">
        <f>Data!D99</f>
        <v>Energy</v>
      </c>
      <c r="D99" t="str">
        <f>Data!E99</f>
        <v>Include</v>
      </c>
      <c r="E99">
        <f>IF($D99&lt;&gt;"Include","",SUM(Data!V99:W99)-SUM(Data!X99))</f>
        <v>0</v>
      </c>
      <c r="F99" t="e">
        <f>IF($D99&lt;&gt;"Include","",SUM(Data!Z99,Data!Y99,Metrics!E99))</f>
        <v>#N/A</v>
      </c>
      <c r="G99" t="str">
        <f>IF($D99&lt;&gt;"Include","",IFERROR(Data!P99-Data!S99,""))</f>
        <v/>
      </c>
      <c r="H99">
        <f>IF($D99&lt;&gt;"Include","",IFERROR(SUM(Data!P99:R99)-SUM(Data!S99:U99),""))</f>
        <v>0</v>
      </c>
      <c r="I99">
        <f>IF($D99&lt;&gt;"Include","",SUM(Data!M99:O99))</f>
        <v>0</v>
      </c>
      <c r="J99" s="7" t="str">
        <f>IF($D99&lt;&gt;"Include","",IFERROR(IF(OR(Data!K99&lt;=0,F99&lt;=0),"n/m",($F99/Data!K99)),""))</f>
        <v/>
      </c>
      <c r="K99" s="9" t="str">
        <f>IF($D99&lt;&gt;"Include","",IFERROR(G99/Data!Z99,""))</f>
        <v/>
      </c>
      <c r="L99" s="9" t="str">
        <f t="shared" si="12"/>
        <v>n/m</v>
      </c>
      <c r="M99" s="7" t="str">
        <f>IF($D99&lt;&gt;"Include","",IFERROR(IF(Data!L99&lt;=0,"n,m",E99/Data!L99),""))</f>
        <v/>
      </c>
      <c r="N99" s="9" t="str">
        <f>IF($D99&lt;&gt;"Include","",IFERROR(IF(OR(Data!I99&lt;=0,Data!J99&lt;=0),"n/m",(Data!I99/Data!J99)^(1/3)-1),""))</f>
        <v/>
      </c>
      <c r="O99">
        <f t="shared" si="7"/>
        <v>119</v>
      </c>
      <c r="P99">
        <f t="shared" si="8"/>
        <v>119</v>
      </c>
      <c r="Q99">
        <f t="shared" si="9"/>
        <v>119</v>
      </c>
      <c r="R99">
        <f t="shared" si="10"/>
        <v>119</v>
      </c>
      <c r="S99">
        <f t="shared" si="11"/>
        <v>119</v>
      </c>
      <c r="T99" s="10">
        <f t="shared" si="13"/>
        <v>119</v>
      </c>
      <c r="U99">
        <f>IF($D99&lt;&gt;"Include","",_xlfn.RANK.EQ(T99,T$6:T$305,1)+COUNTIFS(T$6:T99,T99)-1)</f>
        <v>48</v>
      </c>
    </row>
    <row r="100" spans="1:21" x14ac:dyDescent="0.4">
      <c r="A100" t="str">
        <f>Data!A100</f>
        <v>HVPE</v>
      </c>
      <c r="B100" t="str">
        <f>Data!B100</f>
        <v>HarbourVest Global Private Equity</v>
      </c>
      <c r="C100" t="str">
        <f>Data!D100</f>
        <v>Financials</v>
      </c>
      <c r="D100" t="str">
        <f>Data!E100</f>
        <v>Exclude</v>
      </c>
      <c r="E100" t="str">
        <f>IF($D100&lt;&gt;"Include","",SUM(Data!V100:W100)-SUM(Data!X100))</f>
        <v/>
      </c>
      <c r="F100" t="str">
        <f>IF($D100&lt;&gt;"Include","",SUM(Data!Z100,Data!Y100,Metrics!E100))</f>
        <v/>
      </c>
      <c r="G100" t="str">
        <f>IF($D100&lt;&gt;"Include","",IFERROR(Data!P100-Data!S100,""))</f>
        <v/>
      </c>
      <c r="H100" t="str">
        <f>IF($D100&lt;&gt;"Include","",IFERROR(SUM(Data!P100:R100)-SUM(Data!S100:U100),""))</f>
        <v/>
      </c>
      <c r="I100" t="str">
        <f>IF($D100&lt;&gt;"Include","",SUM(Data!M100:O100))</f>
        <v/>
      </c>
      <c r="J100" s="7" t="str">
        <f>IF($D100&lt;&gt;"Include","",IFERROR(IF(OR(Data!K100&lt;=0,F100&lt;=0),"n/m",($F100/Data!K100)),""))</f>
        <v/>
      </c>
      <c r="K100" s="9" t="str">
        <f>IF($D100&lt;&gt;"Include","",IFERROR(G100/Data!Z100,""))</f>
        <v/>
      </c>
      <c r="L100" s="9" t="str">
        <f t="shared" si="12"/>
        <v/>
      </c>
      <c r="M100" s="7" t="str">
        <f>IF($D100&lt;&gt;"Include","",IFERROR(IF(Data!L100&lt;=0,"n,m",E100/Data!L100),""))</f>
        <v/>
      </c>
      <c r="N100" s="9" t="str">
        <f>IF($D100&lt;&gt;"Include","",IFERROR(IF(OR(Data!I100&lt;=0,Data!J100&lt;=0),"n/m",(Data!I100/Data!J100)^(1/3)-1),""))</f>
        <v/>
      </c>
      <c r="O100" t="str">
        <f t="shared" si="7"/>
        <v/>
      </c>
      <c r="P100" t="str">
        <f t="shared" si="8"/>
        <v/>
      </c>
      <c r="Q100" t="str">
        <f t="shared" si="9"/>
        <v/>
      </c>
      <c r="R100" t="str">
        <f t="shared" si="10"/>
        <v/>
      </c>
      <c r="S100" t="str">
        <f t="shared" si="11"/>
        <v/>
      </c>
      <c r="T100" s="10" t="str">
        <f t="shared" si="13"/>
        <v/>
      </c>
      <c r="U100" t="str">
        <f>IF($D100&lt;&gt;"Include","",_xlfn.RANK.EQ(T100,T$6:T$305,1)+COUNTIFS(T$6:T100,T100)-1)</f>
        <v/>
      </c>
    </row>
    <row r="101" spans="1:21" x14ac:dyDescent="0.4">
      <c r="A101" t="str">
        <f>Data!A101</f>
        <v>HWG</v>
      </c>
      <c r="B101" t="str">
        <f>Data!B101</f>
        <v>Harworth Group</v>
      </c>
      <c r="C101" t="str">
        <f>Data!D101</f>
        <v>Real Estate</v>
      </c>
      <c r="D101" t="str">
        <f>Data!E101</f>
        <v>Exclude</v>
      </c>
      <c r="E101" t="str">
        <f>IF($D101&lt;&gt;"Include","",SUM(Data!V101:W101)-SUM(Data!X101))</f>
        <v/>
      </c>
      <c r="F101" t="str">
        <f>IF($D101&lt;&gt;"Include","",SUM(Data!Z101,Data!Y101,Metrics!E101))</f>
        <v/>
      </c>
      <c r="G101" t="str">
        <f>IF($D101&lt;&gt;"Include","",IFERROR(Data!P101-Data!S101,""))</f>
        <v/>
      </c>
      <c r="H101" t="str">
        <f>IF($D101&lt;&gt;"Include","",IFERROR(SUM(Data!P101:R101)-SUM(Data!S101:U101),""))</f>
        <v/>
      </c>
      <c r="I101" t="str">
        <f>IF($D101&lt;&gt;"Include","",SUM(Data!M101:O101))</f>
        <v/>
      </c>
      <c r="J101" s="7" t="str">
        <f>IF($D101&lt;&gt;"Include","",IFERROR(IF(OR(Data!K101&lt;=0,F101&lt;=0),"n/m",($F101/Data!K101)),""))</f>
        <v/>
      </c>
      <c r="K101" s="9" t="str">
        <f>IF($D101&lt;&gt;"Include","",IFERROR(G101/Data!Z101,""))</f>
        <v/>
      </c>
      <c r="L101" s="9" t="str">
        <f t="shared" si="12"/>
        <v/>
      </c>
      <c r="M101" s="7" t="str">
        <f>IF($D101&lt;&gt;"Include","",IFERROR(IF(Data!L101&lt;=0,"n,m",E101/Data!L101),""))</f>
        <v/>
      </c>
      <c r="N101" s="9" t="str">
        <f>IF($D101&lt;&gt;"Include","",IFERROR(IF(OR(Data!I101&lt;=0,Data!J101&lt;=0),"n/m",(Data!I101/Data!J101)^(1/3)-1),""))</f>
        <v/>
      </c>
      <c r="O101" t="str">
        <f t="shared" si="7"/>
        <v/>
      </c>
      <c r="P101" t="str">
        <f t="shared" si="8"/>
        <v/>
      </c>
      <c r="Q101" t="str">
        <f t="shared" si="9"/>
        <v/>
      </c>
      <c r="R101" t="str">
        <f t="shared" si="10"/>
        <v/>
      </c>
      <c r="S101" t="str">
        <f t="shared" si="11"/>
        <v/>
      </c>
      <c r="T101" s="10" t="str">
        <f t="shared" si="13"/>
        <v/>
      </c>
      <c r="U101" t="str">
        <f>IF($D101&lt;&gt;"Include","",_xlfn.RANK.EQ(T101,T$6:T$305,1)+COUNTIFS(T$6:T101,T101)-1)</f>
        <v/>
      </c>
    </row>
    <row r="102" spans="1:21" x14ac:dyDescent="0.4">
      <c r="A102" t="str">
        <f>Data!A102</f>
        <v>HAS</v>
      </c>
      <c r="B102" t="str">
        <f>Data!B102</f>
        <v>Hays</v>
      </c>
      <c r="C102" t="str">
        <f>Data!D102</f>
        <v>Industrials</v>
      </c>
      <c r="D102" t="str">
        <f>Data!E102</f>
        <v>Include</v>
      </c>
      <c r="E102">
        <f>IF($D102&lt;&gt;"Include","",SUM(Data!V102:W102)-SUM(Data!X102))</f>
        <v>0</v>
      </c>
      <c r="F102" t="e">
        <f>IF($D102&lt;&gt;"Include","",SUM(Data!Z102,Data!Y102,Metrics!E102))</f>
        <v>#N/A</v>
      </c>
      <c r="G102" t="str">
        <f>IF($D102&lt;&gt;"Include","",IFERROR(Data!P102-Data!S102,""))</f>
        <v/>
      </c>
      <c r="H102">
        <f>IF($D102&lt;&gt;"Include","",IFERROR(SUM(Data!P102:R102)-SUM(Data!S102:U102),""))</f>
        <v>0</v>
      </c>
      <c r="I102">
        <f>IF($D102&lt;&gt;"Include","",SUM(Data!M102:O102))</f>
        <v>0</v>
      </c>
      <c r="J102" s="7" t="str">
        <f>IF($D102&lt;&gt;"Include","",IFERROR(IF(OR(Data!K102&lt;=0,F102&lt;=0),"n/m",($F102/Data!K102)),""))</f>
        <v/>
      </c>
      <c r="K102" s="9" t="str">
        <f>IF($D102&lt;&gt;"Include","",IFERROR(G102/Data!Z102,""))</f>
        <v/>
      </c>
      <c r="L102" s="9" t="str">
        <f t="shared" si="12"/>
        <v>n/m</v>
      </c>
      <c r="M102" s="7" t="str">
        <f>IF($D102&lt;&gt;"Include","",IFERROR(IF(Data!L102&lt;=0,"n,m",E102/Data!L102),""))</f>
        <v/>
      </c>
      <c r="N102" s="9" t="str">
        <f>IF($D102&lt;&gt;"Include","",IFERROR(IF(OR(Data!I102&lt;=0,Data!J102&lt;=0),"n/m",(Data!I102/Data!J102)^(1/3)-1),""))</f>
        <v/>
      </c>
      <c r="O102">
        <f t="shared" si="7"/>
        <v>119</v>
      </c>
      <c r="P102">
        <f t="shared" si="8"/>
        <v>119</v>
      </c>
      <c r="Q102">
        <f t="shared" si="9"/>
        <v>119</v>
      </c>
      <c r="R102">
        <f t="shared" si="10"/>
        <v>119</v>
      </c>
      <c r="S102">
        <f t="shared" si="11"/>
        <v>119</v>
      </c>
      <c r="T102" s="10">
        <f t="shared" si="13"/>
        <v>119</v>
      </c>
      <c r="U102">
        <f>IF($D102&lt;&gt;"Include","",_xlfn.RANK.EQ(T102,T$6:T$305,1)+COUNTIFS(T$6:T102,T102)-1)</f>
        <v>49</v>
      </c>
    </row>
    <row r="103" spans="1:21" x14ac:dyDescent="0.4">
      <c r="A103" t="str">
        <f>Data!A103</f>
        <v>HTWS</v>
      </c>
      <c r="B103" t="str">
        <f>Data!B103</f>
        <v>Helios Towers</v>
      </c>
      <c r="C103" t="str">
        <f>Data!D103</f>
        <v>Telecommunications</v>
      </c>
      <c r="D103" t="str">
        <f>Data!E103</f>
        <v>Include</v>
      </c>
      <c r="E103">
        <f>IF($D103&lt;&gt;"Include","",SUM(Data!V103:W103)-SUM(Data!X103))</f>
        <v>0</v>
      </c>
      <c r="F103" t="e">
        <f>IF($D103&lt;&gt;"Include","",SUM(Data!Z103,Data!Y103,Metrics!E103))</f>
        <v>#N/A</v>
      </c>
      <c r="G103" t="str">
        <f>IF($D103&lt;&gt;"Include","",IFERROR(Data!P103-Data!S103,""))</f>
        <v/>
      </c>
      <c r="H103">
        <f>IF($D103&lt;&gt;"Include","",IFERROR(SUM(Data!P103:R103)-SUM(Data!S103:U103),""))</f>
        <v>0</v>
      </c>
      <c r="I103">
        <f>IF($D103&lt;&gt;"Include","",SUM(Data!M103:O103))</f>
        <v>0</v>
      </c>
      <c r="J103" s="7" t="str">
        <f>IF($D103&lt;&gt;"Include","",IFERROR(IF(OR(Data!K103&lt;=0,F103&lt;=0),"n/m",($F103/Data!K103)),""))</f>
        <v/>
      </c>
      <c r="K103" s="9" t="str">
        <f>IF($D103&lt;&gt;"Include","",IFERROR(G103/Data!Z103,""))</f>
        <v/>
      </c>
      <c r="L103" s="9" t="str">
        <f t="shared" si="12"/>
        <v>n/m</v>
      </c>
      <c r="M103" s="7" t="str">
        <f>IF($D103&lt;&gt;"Include","",IFERROR(IF(Data!L103&lt;=0,"n,m",E103/Data!L103),""))</f>
        <v/>
      </c>
      <c r="N103" s="9" t="str">
        <f>IF($D103&lt;&gt;"Include","",IFERROR(IF(OR(Data!I103&lt;=0,Data!J103&lt;=0),"n/m",(Data!I103/Data!J103)^(1/3)-1),""))</f>
        <v/>
      </c>
      <c r="O103">
        <f t="shared" si="7"/>
        <v>119</v>
      </c>
      <c r="P103">
        <f t="shared" si="8"/>
        <v>119</v>
      </c>
      <c r="Q103">
        <f t="shared" si="9"/>
        <v>119</v>
      </c>
      <c r="R103">
        <f t="shared" si="10"/>
        <v>119</v>
      </c>
      <c r="S103">
        <f t="shared" si="11"/>
        <v>119</v>
      </c>
      <c r="T103" s="10">
        <f t="shared" si="13"/>
        <v>119</v>
      </c>
      <c r="U103">
        <f>IF($D103&lt;&gt;"Include","",_xlfn.RANK.EQ(T103,T$6:T$305,1)+COUNTIFS(T$6:T103,T103)-1)</f>
        <v>50</v>
      </c>
    </row>
    <row r="104" spans="1:21" x14ac:dyDescent="0.4">
      <c r="A104" t="str">
        <f>Data!A104</f>
        <v>HFEL</v>
      </c>
      <c r="B104" t="str">
        <f>Data!B104</f>
        <v>Henderson Far East Income</v>
      </c>
      <c r="C104" t="str">
        <f>Data!D104</f>
        <v>Financials</v>
      </c>
      <c r="D104" t="str">
        <f>Data!E104</f>
        <v>Exclude</v>
      </c>
      <c r="E104" t="str">
        <f>IF($D104&lt;&gt;"Include","",SUM(Data!V104:W104)-SUM(Data!X104))</f>
        <v/>
      </c>
      <c r="F104" t="str">
        <f>IF($D104&lt;&gt;"Include","",SUM(Data!Z104,Data!Y104,Metrics!E104))</f>
        <v/>
      </c>
      <c r="G104" t="str">
        <f>IF($D104&lt;&gt;"Include","",IFERROR(Data!P104-Data!S104,""))</f>
        <v/>
      </c>
      <c r="H104" t="str">
        <f>IF($D104&lt;&gt;"Include","",IFERROR(SUM(Data!P104:R104)-SUM(Data!S104:U104),""))</f>
        <v/>
      </c>
      <c r="I104" t="str">
        <f>IF($D104&lt;&gt;"Include","",SUM(Data!M104:O104))</f>
        <v/>
      </c>
      <c r="J104" s="7" t="str">
        <f>IF($D104&lt;&gt;"Include","",IFERROR(IF(OR(Data!K104&lt;=0,F104&lt;=0),"n/m",($F104/Data!K104)),""))</f>
        <v/>
      </c>
      <c r="K104" s="9" t="str">
        <f>IF($D104&lt;&gt;"Include","",IFERROR(G104/Data!Z104,""))</f>
        <v/>
      </c>
      <c r="L104" s="9" t="str">
        <f t="shared" si="12"/>
        <v/>
      </c>
      <c r="M104" s="7" t="str">
        <f>IF($D104&lt;&gt;"Include","",IFERROR(IF(Data!L104&lt;=0,"n,m",E104/Data!L104),""))</f>
        <v/>
      </c>
      <c r="N104" s="9" t="str">
        <f>IF($D104&lt;&gt;"Include","",IFERROR(IF(OR(Data!I104&lt;=0,Data!J104&lt;=0),"n/m",(Data!I104/Data!J104)^(1/3)-1),""))</f>
        <v/>
      </c>
      <c r="O104" t="str">
        <f t="shared" si="7"/>
        <v/>
      </c>
      <c r="P104" t="str">
        <f t="shared" si="8"/>
        <v/>
      </c>
      <c r="Q104" t="str">
        <f t="shared" si="9"/>
        <v/>
      </c>
      <c r="R104" t="str">
        <f t="shared" si="10"/>
        <v/>
      </c>
      <c r="S104" t="str">
        <f t="shared" si="11"/>
        <v/>
      </c>
      <c r="T104" s="10" t="str">
        <f t="shared" si="13"/>
        <v/>
      </c>
      <c r="U104" t="str">
        <f>IF($D104&lt;&gt;"Include","",_xlfn.RANK.EQ(T104,T$6:T$305,1)+COUNTIFS(T$6:T104,T104)-1)</f>
        <v/>
      </c>
    </row>
    <row r="105" spans="1:21" x14ac:dyDescent="0.4">
      <c r="A105" t="str">
        <f>Data!A105</f>
        <v>HSL</v>
      </c>
      <c r="B105" t="str">
        <f>Data!B105</f>
        <v>Henderson Smaller Companies Investment Trust</v>
      </c>
      <c r="C105" t="str">
        <f>Data!D105</f>
        <v>Financials</v>
      </c>
      <c r="D105" t="str">
        <f>Data!E105</f>
        <v>Exclude</v>
      </c>
      <c r="E105" t="str">
        <f>IF($D105&lt;&gt;"Include","",SUM(Data!V105:W105)-SUM(Data!X105))</f>
        <v/>
      </c>
      <c r="F105" t="str">
        <f>IF($D105&lt;&gt;"Include","",SUM(Data!Z105,Data!Y105,Metrics!E105))</f>
        <v/>
      </c>
      <c r="G105" t="str">
        <f>IF($D105&lt;&gt;"Include","",IFERROR(Data!P105-Data!S105,""))</f>
        <v/>
      </c>
      <c r="H105" t="str">
        <f>IF($D105&lt;&gt;"Include","",IFERROR(SUM(Data!P105:R105)-SUM(Data!S105:U105),""))</f>
        <v/>
      </c>
      <c r="I105" t="str">
        <f>IF($D105&lt;&gt;"Include","",SUM(Data!M105:O105))</f>
        <v/>
      </c>
      <c r="J105" s="7" t="str">
        <f>IF($D105&lt;&gt;"Include","",IFERROR(IF(OR(Data!K105&lt;=0,F105&lt;=0),"n/m",($F105/Data!K105)),""))</f>
        <v/>
      </c>
      <c r="K105" s="9" t="str">
        <f>IF($D105&lt;&gt;"Include","",IFERROR(G105/Data!Z105,""))</f>
        <v/>
      </c>
      <c r="L105" s="9" t="str">
        <f t="shared" si="12"/>
        <v/>
      </c>
      <c r="M105" s="7" t="str">
        <f>IF($D105&lt;&gt;"Include","",IFERROR(IF(Data!L105&lt;=0,"n,m",E105/Data!L105),""))</f>
        <v/>
      </c>
      <c r="N105" s="9" t="str">
        <f>IF($D105&lt;&gt;"Include","",IFERROR(IF(OR(Data!I105&lt;=0,Data!J105&lt;=0),"n/m",(Data!I105/Data!J105)^(1/3)-1),""))</f>
        <v/>
      </c>
      <c r="O105" t="str">
        <f t="shared" si="7"/>
        <v/>
      </c>
      <c r="P105" t="str">
        <f t="shared" si="8"/>
        <v/>
      </c>
      <c r="Q105" t="str">
        <f t="shared" si="9"/>
        <v/>
      </c>
      <c r="R105" t="str">
        <f t="shared" si="10"/>
        <v/>
      </c>
      <c r="S105" t="str">
        <f t="shared" si="11"/>
        <v/>
      </c>
      <c r="T105" s="10" t="str">
        <f t="shared" si="13"/>
        <v/>
      </c>
      <c r="U105" t="str">
        <f>IF($D105&lt;&gt;"Include","",_xlfn.RANK.EQ(T105,T$6:T$305,1)+COUNTIFS(T$6:T105,T105)-1)</f>
        <v/>
      </c>
    </row>
    <row r="106" spans="1:21" x14ac:dyDescent="0.4">
      <c r="A106" t="str">
        <f>Data!A106</f>
        <v>HRI</v>
      </c>
      <c r="B106" t="str">
        <f>Data!B106</f>
        <v>Herald Investment Trust</v>
      </c>
      <c r="C106" t="str">
        <f>Data!D106</f>
        <v>Financials</v>
      </c>
      <c r="D106" t="str">
        <f>Data!E106</f>
        <v>Exclude</v>
      </c>
      <c r="E106" t="str">
        <f>IF($D106&lt;&gt;"Include","",SUM(Data!V106:W106)-SUM(Data!X106))</f>
        <v/>
      </c>
      <c r="F106" t="str">
        <f>IF($D106&lt;&gt;"Include","",SUM(Data!Z106,Data!Y106,Metrics!E106))</f>
        <v/>
      </c>
      <c r="G106" t="str">
        <f>IF($D106&lt;&gt;"Include","",IFERROR(Data!P106-Data!S106,""))</f>
        <v/>
      </c>
      <c r="H106" t="str">
        <f>IF($D106&lt;&gt;"Include","",IFERROR(SUM(Data!P106:R106)-SUM(Data!S106:U106),""))</f>
        <v/>
      </c>
      <c r="I106" t="str">
        <f>IF($D106&lt;&gt;"Include","",SUM(Data!M106:O106))</f>
        <v/>
      </c>
      <c r="J106" s="7" t="str">
        <f>IF($D106&lt;&gt;"Include","",IFERROR(IF(OR(Data!K106&lt;=0,F106&lt;=0),"n/m",($F106/Data!K106)),""))</f>
        <v/>
      </c>
      <c r="K106" s="9" t="str">
        <f>IF($D106&lt;&gt;"Include","",IFERROR(G106/Data!Z106,""))</f>
        <v/>
      </c>
      <c r="L106" s="9" t="str">
        <f t="shared" si="12"/>
        <v/>
      </c>
      <c r="M106" s="7" t="str">
        <f>IF($D106&lt;&gt;"Include","",IFERROR(IF(Data!L106&lt;=0,"n,m",E106/Data!L106),""))</f>
        <v/>
      </c>
      <c r="N106" s="9" t="str">
        <f>IF($D106&lt;&gt;"Include","",IFERROR(IF(OR(Data!I106&lt;=0,Data!J106&lt;=0),"n/m",(Data!I106/Data!J106)^(1/3)-1),""))</f>
        <v/>
      </c>
      <c r="O106" t="str">
        <f t="shared" si="7"/>
        <v/>
      </c>
      <c r="P106" t="str">
        <f t="shared" si="8"/>
        <v/>
      </c>
      <c r="Q106" t="str">
        <f t="shared" si="9"/>
        <v/>
      </c>
      <c r="R106" t="str">
        <f t="shared" si="10"/>
        <v/>
      </c>
      <c r="S106" t="str">
        <f t="shared" si="11"/>
        <v/>
      </c>
      <c r="T106" s="10" t="str">
        <f t="shared" si="13"/>
        <v/>
      </c>
      <c r="U106" t="str">
        <f>IF($D106&lt;&gt;"Include","",_xlfn.RANK.EQ(T106,T$6:T$305,1)+COUNTIFS(T$6:T106,T106)-1)</f>
        <v/>
      </c>
    </row>
    <row r="107" spans="1:21" x14ac:dyDescent="0.4">
      <c r="A107" t="str">
        <f>Data!A107</f>
        <v>HGT</v>
      </c>
      <c r="B107" t="str">
        <f>Data!B107</f>
        <v>Hg Capital Trust</v>
      </c>
      <c r="C107" t="str">
        <f>Data!D107</f>
        <v>Financials</v>
      </c>
      <c r="D107" t="str">
        <f>Data!E107</f>
        <v>Exclude</v>
      </c>
      <c r="E107" t="str">
        <f>IF($D107&lt;&gt;"Include","",SUM(Data!V107:W107)-SUM(Data!X107))</f>
        <v/>
      </c>
      <c r="F107" t="str">
        <f>IF($D107&lt;&gt;"Include","",SUM(Data!Z107,Data!Y107,Metrics!E107))</f>
        <v/>
      </c>
      <c r="G107" t="str">
        <f>IF($D107&lt;&gt;"Include","",IFERROR(Data!P107-Data!S107,""))</f>
        <v/>
      </c>
      <c r="H107" t="str">
        <f>IF($D107&lt;&gt;"Include","",IFERROR(SUM(Data!P107:R107)-SUM(Data!S107:U107),""))</f>
        <v/>
      </c>
      <c r="I107" t="str">
        <f>IF($D107&lt;&gt;"Include","",SUM(Data!M107:O107))</f>
        <v/>
      </c>
      <c r="J107" s="7" t="str">
        <f>IF($D107&lt;&gt;"Include","",IFERROR(IF(OR(Data!K107&lt;=0,F107&lt;=0),"n/m",($F107/Data!K107)),""))</f>
        <v/>
      </c>
      <c r="K107" s="9" t="str">
        <f>IF($D107&lt;&gt;"Include","",IFERROR(G107/Data!Z107,""))</f>
        <v/>
      </c>
      <c r="L107" s="9" t="str">
        <f t="shared" si="12"/>
        <v/>
      </c>
      <c r="M107" s="7" t="str">
        <f>IF($D107&lt;&gt;"Include","",IFERROR(IF(Data!L107&lt;=0,"n,m",E107/Data!L107),""))</f>
        <v/>
      </c>
      <c r="N107" s="9" t="str">
        <f>IF($D107&lt;&gt;"Include","",IFERROR(IF(OR(Data!I107&lt;=0,Data!J107&lt;=0),"n/m",(Data!I107/Data!J107)^(1/3)-1),""))</f>
        <v/>
      </c>
      <c r="O107" t="str">
        <f t="shared" si="7"/>
        <v/>
      </c>
      <c r="P107" t="str">
        <f t="shared" si="8"/>
        <v/>
      </c>
      <c r="Q107" t="str">
        <f t="shared" si="9"/>
        <v/>
      </c>
      <c r="R107" t="str">
        <f t="shared" si="10"/>
        <v/>
      </c>
      <c r="S107" t="str">
        <f t="shared" si="11"/>
        <v/>
      </c>
      <c r="T107" s="10" t="str">
        <f t="shared" si="13"/>
        <v/>
      </c>
      <c r="U107" t="str">
        <f>IF($D107&lt;&gt;"Include","",_xlfn.RANK.EQ(T107,T$6:T$305,1)+COUNTIFS(T$6:T107,T107)-1)</f>
        <v/>
      </c>
    </row>
    <row r="108" spans="1:21" x14ac:dyDescent="0.4">
      <c r="A108" t="str">
        <f>Data!A108</f>
        <v>HICL</v>
      </c>
      <c r="B108" t="str">
        <f>Data!B108</f>
        <v>HICL Infrastructure Company</v>
      </c>
      <c r="C108" t="str">
        <f>Data!D108</f>
        <v>Financials</v>
      </c>
      <c r="D108" t="str">
        <f>Data!E108</f>
        <v>Exclude</v>
      </c>
      <c r="E108" t="str">
        <f>IF($D108&lt;&gt;"Include","",SUM(Data!V108:W108)-SUM(Data!X108))</f>
        <v/>
      </c>
      <c r="F108" t="str">
        <f>IF($D108&lt;&gt;"Include","",SUM(Data!Z108,Data!Y108,Metrics!E108))</f>
        <v/>
      </c>
      <c r="G108" t="str">
        <f>IF($D108&lt;&gt;"Include","",IFERROR(Data!P108-Data!S108,""))</f>
        <v/>
      </c>
      <c r="H108" t="str">
        <f>IF($D108&lt;&gt;"Include","",IFERROR(SUM(Data!P108:R108)-SUM(Data!S108:U108),""))</f>
        <v/>
      </c>
      <c r="I108" t="str">
        <f>IF($D108&lt;&gt;"Include","",SUM(Data!M108:O108))</f>
        <v/>
      </c>
      <c r="J108" s="7" t="str">
        <f>IF($D108&lt;&gt;"Include","",IFERROR(IF(OR(Data!K108&lt;=0,F108&lt;=0),"n/m",($F108/Data!K108)),""))</f>
        <v/>
      </c>
      <c r="K108" s="9" t="str">
        <f>IF($D108&lt;&gt;"Include","",IFERROR(G108/Data!Z108,""))</f>
        <v/>
      </c>
      <c r="L108" s="9" t="str">
        <f t="shared" si="12"/>
        <v/>
      </c>
      <c r="M108" s="7" t="str">
        <f>IF($D108&lt;&gt;"Include","",IFERROR(IF(Data!L108&lt;=0,"n,m",E108/Data!L108),""))</f>
        <v/>
      </c>
      <c r="N108" s="9" t="str">
        <f>IF($D108&lt;&gt;"Include","",IFERROR(IF(OR(Data!I108&lt;=0,Data!J108&lt;=0),"n/m",(Data!I108/Data!J108)^(1/3)-1),""))</f>
        <v/>
      </c>
      <c r="O108" t="str">
        <f t="shared" si="7"/>
        <v/>
      </c>
      <c r="P108" t="str">
        <f t="shared" si="8"/>
        <v/>
      </c>
      <c r="Q108" t="str">
        <f t="shared" si="9"/>
        <v/>
      </c>
      <c r="R108" t="str">
        <f t="shared" si="10"/>
        <v/>
      </c>
      <c r="S108" t="str">
        <f t="shared" si="11"/>
        <v/>
      </c>
      <c r="T108" s="10" t="str">
        <f t="shared" si="13"/>
        <v/>
      </c>
      <c r="U108" t="str">
        <f>IF($D108&lt;&gt;"Include","",_xlfn.RANK.EQ(T108,T$6:T$305,1)+COUNTIFS(T$6:T108,T108)-1)</f>
        <v/>
      </c>
    </row>
    <row r="109" spans="1:21" x14ac:dyDescent="0.4">
      <c r="A109" t="str">
        <f>Data!A109</f>
        <v>HIK</v>
      </c>
      <c r="B109" t="str">
        <f>Data!B109</f>
        <v>Hikma Pharmaceuticals</v>
      </c>
      <c r="C109" t="str">
        <f>Data!D109</f>
        <v>Health Care</v>
      </c>
      <c r="D109" t="str">
        <f>Data!E109</f>
        <v>Include</v>
      </c>
      <c r="E109">
        <f>IF($D109&lt;&gt;"Include","",SUM(Data!V109:W109)-SUM(Data!X109))</f>
        <v>0</v>
      </c>
      <c r="F109" t="e">
        <f>IF($D109&lt;&gt;"Include","",SUM(Data!Z109,Data!Y109,Metrics!E109))</f>
        <v>#N/A</v>
      </c>
      <c r="G109" t="str">
        <f>IF($D109&lt;&gt;"Include","",IFERROR(Data!P109-Data!S109,""))</f>
        <v/>
      </c>
      <c r="H109">
        <f>IF($D109&lt;&gt;"Include","",IFERROR(SUM(Data!P109:R109)-SUM(Data!S109:U109),""))</f>
        <v>0</v>
      </c>
      <c r="I109">
        <f>IF($D109&lt;&gt;"Include","",SUM(Data!M109:O109))</f>
        <v>0</v>
      </c>
      <c r="J109" s="7" t="str">
        <f>IF($D109&lt;&gt;"Include","",IFERROR(IF(OR(Data!K109&lt;=0,F109&lt;=0),"n/m",($F109/Data!K109)),""))</f>
        <v/>
      </c>
      <c r="K109" s="9" t="str">
        <f>IF($D109&lt;&gt;"Include","",IFERROR(G109/Data!Z109,""))</f>
        <v/>
      </c>
      <c r="L109" s="9" t="str">
        <f t="shared" si="12"/>
        <v>n/m</v>
      </c>
      <c r="M109" s="7" t="str">
        <f>IF($D109&lt;&gt;"Include","",IFERROR(IF(Data!L109&lt;=0,"n,m",E109/Data!L109),""))</f>
        <v/>
      </c>
      <c r="N109" s="9" t="str">
        <f>IF($D109&lt;&gt;"Include","",IFERROR(IF(OR(Data!I109&lt;=0,Data!J109&lt;=0),"n/m",(Data!I109/Data!J109)^(1/3)-1),""))</f>
        <v/>
      </c>
      <c r="O109">
        <f t="shared" si="7"/>
        <v>119</v>
      </c>
      <c r="P109">
        <f t="shared" si="8"/>
        <v>119</v>
      </c>
      <c r="Q109">
        <f t="shared" si="9"/>
        <v>119</v>
      </c>
      <c r="R109">
        <f t="shared" si="10"/>
        <v>119</v>
      </c>
      <c r="S109">
        <f t="shared" si="11"/>
        <v>119</v>
      </c>
      <c r="T109" s="10">
        <f t="shared" si="13"/>
        <v>119</v>
      </c>
      <c r="U109">
        <f>IF($D109&lt;&gt;"Include","",_xlfn.RANK.EQ(T109,T$6:T$305,1)+COUNTIFS(T$6:T109,T109)-1)</f>
        <v>51</v>
      </c>
    </row>
    <row r="110" spans="1:21" x14ac:dyDescent="0.4">
      <c r="A110" t="str">
        <f>Data!A110</f>
        <v>HILS</v>
      </c>
      <c r="B110" t="str">
        <f>Data!B110</f>
        <v>Hill &amp; Smith</v>
      </c>
      <c r="C110" t="str">
        <f>Data!D110</f>
        <v>Industrials</v>
      </c>
      <c r="D110" t="str">
        <f>Data!E110</f>
        <v>Include</v>
      </c>
      <c r="E110">
        <f>IF($D110&lt;&gt;"Include","",SUM(Data!V110:W110)-SUM(Data!X110))</f>
        <v>0</v>
      </c>
      <c r="F110" t="e">
        <f>IF($D110&lt;&gt;"Include","",SUM(Data!Z110,Data!Y110,Metrics!E110))</f>
        <v>#N/A</v>
      </c>
      <c r="G110" t="str">
        <f>IF($D110&lt;&gt;"Include","",IFERROR(Data!P110-Data!S110,""))</f>
        <v/>
      </c>
      <c r="H110">
        <f>IF($D110&lt;&gt;"Include","",IFERROR(SUM(Data!P110:R110)-SUM(Data!S110:U110),""))</f>
        <v>0</v>
      </c>
      <c r="I110">
        <f>IF($D110&lt;&gt;"Include","",SUM(Data!M110:O110))</f>
        <v>0</v>
      </c>
      <c r="J110" s="7" t="str">
        <f>IF($D110&lt;&gt;"Include","",IFERROR(IF(OR(Data!K110&lt;=0,F110&lt;=0),"n/m",($F110/Data!K110)),""))</f>
        <v/>
      </c>
      <c r="K110" s="9" t="str">
        <f>IF($D110&lt;&gt;"Include","",IFERROR(G110/Data!Z110,""))</f>
        <v/>
      </c>
      <c r="L110" s="9" t="str">
        <f t="shared" si="12"/>
        <v>n/m</v>
      </c>
      <c r="M110" s="7" t="str">
        <f>IF($D110&lt;&gt;"Include","",IFERROR(IF(Data!L110&lt;=0,"n,m",E110/Data!L110),""))</f>
        <v/>
      </c>
      <c r="N110" s="9" t="str">
        <f>IF($D110&lt;&gt;"Include","",IFERROR(IF(OR(Data!I110&lt;=0,Data!J110&lt;=0),"n/m",(Data!I110/Data!J110)^(1/3)-1),""))</f>
        <v/>
      </c>
      <c r="O110">
        <f t="shared" si="7"/>
        <v>119</v>
      </c>
      <c r="P110">
        <f t="shared" si="8"/>
        <v>119</v>
      </c>
      <c r="Q110">
        <f t="shared" si="9"/>
        <v>119</v>
      </c>
      <c r="R110">
        <f t="shared" si="10"/>
        <v>119</v>
      </c>
      <c r="S110">
        <f t="shared" si="11"/>
        <v>119</v>
      </c>
      <c r="T110" s="10">
        <f t="shared" si="13"/>
        <v>119</v>
      </c>
      <c r="U110">
        <f>IF($D110&lt;&gt;"Include","",_xlfn.RANK.EQ(T110,T$6:T$305,1)+COUNTIFS(T$6:T110,T110)-1)</f>
        <v>52</v>
      </c>
    </row>
    <row r="111" spans="1:21" x14ac:dyDescent="0.4">
      <c r="A111" t="str">
        <f>Data!A111</f>
        <v>HFG</v>
      </c>
      <c r="B111" t="str">
        <f>Data!B111</f>
        <v>Hilton Food Group</v>
      </c>
      <c r="C111" t="str">
        <f>Data!D111</f>
        <v>Consumer Staples</v>
      </c>
      <c r="D111" t="str">
        <f>Data!E111</f>
        <v>Include</v>
      </c>
      <c r="E111">
        <f>IF($D111&lt;&gt;"Include","",SUM(Data!V111:W111)-SUM(Data!X111))</f>
        <v>0</v>
      </c>
      <c r="F111" t="e">
        <f>IF($D111&lt;&gt;"Include","",SUM(Data!Z111,Data!Y111,Metrics!E111))</f>
        <v>#N/A</v>
      </c>
      <c r="G111" t="str">
        <f>IF($D111&lt;&gt;"Include","",IFERROR(Data!P111-Data!S111,""))</f>
        <v/>
      </c>
      <c r="H111">
        <f>IF($D111&lt;&gt;"Include","",IFERROR(SUM(Data!P111:R111)-SUM(Data!S111:U111),""))</f>
        <v>0</v>
      </c>
      <c r="I111">
        <f>IF($D111&lt;&gt;"Include","",SUM(Data!M111:O111))</f>
        <v>0</v>
      </c>
      <c r="J111" s="7" t="str">
        <f>IF($D111&lt;&gt;"Include","",IFERROR(IF(OR(Data!K111&lt;=0,F111&lt;=0),"n/m",($F111/Data!K111)),""))</f>
        <v/>
      </c>
      <c r="K111" s="9" t="str">
        <f>IF($D111&lt;&gt;"Include","",IFERROR(G111/Data!Z111,""))</f>
        <v/>
      </c>
      <c r="L111" s="9" t="str">
        <f t="shared" si="12"/>
        <v>n/m</v>
      </c>
      <c r="M111" s="7" t="str">
        <f>IF($D111&lt;&gt;"Include","",IFERROR(IF(Data!L111&lt;=0,"n,m",E111/Data!L111),""))</f>
        <v/>
      </c>
      <c r="N111" s="9" t="str">
        <f>IF($D111&lt;&gt;"Include","",IFERROR(IF(OR(Data!I111&lt;=0,Data!J111&lt;=0),"n/m",(Data!I111/Data!J111)^(1/3)-1),""))</f>
        <v/>
      </c>
      <c r="O111">
        <f t="shared" si="7"/>
        <v>119</v>
      </c>
      <c r="P111">
        <f t="shared" si="8"/>
        <v>119</v>
      </c>
      <c r="Q111">
        <f t="shared" si="9"/>
        <v>119</v>
      </c>
      <c r="R111">
        <f t="shared" si="10"/>
        <v>119</v>
      </c>
      <c r="S111">
        <f t="shared" si="11"/>
        <v>119</v>
      </c>
      <c r="T111" s="10">
        <f t="shared" si="13"/>
        <v>119</v>
      </c>
      <c r="U111">
        <f>IF($D111&lt;&gt;"Include","",_xlfn.RANK.EQ(T111,T$6:T$305,1)+COUNTIFS(T$6:T111,T111)-1)</f>
        <v>53</v>
      </c>
    </row>
    <row r="112" spans="1:21" x14ac:dyDescent="0.4">
      <c r="A112" t="str">
        <f>Data!A112</f>
        <v>HOC</v>
      </c>
      <c r="B112" t="str">
        <f>Data!B112</f>
        <v>Hochschild Mining</v>
      </c>
      <c r="C112" t="str">
        <f>Data!D112</f>
        <v>Basic Materials</v>
      </c>
      <c r="D112" t="str">
        <f>Data!E112</f>
        <v>Include</v>
      </c>
      <c r="E112">
        <f>IF($D112&lt;&gt;"Include","",SUM(Data!V112:W112)-SUM(Data!X112))</f>
        <v>0</v>
      </c>
      <c r="F112" t="e">
        <f>IF($D112&lt;&gt;"Include","",SUM(Data!Z112,Data!Y112,Metrics!E112))</f>
        <v>#N/A</v>
      </c>
      <c r="G112" t="str">
        <f>IF($D112&lt;&gt;"Include","",IFERROR(Data!P112-Data!S112,""))</f>
        <v/>
      </c>
      <c r="H112">
        <f>IF($D112&lt;&gt;"Include","",IFERROR(SUM(Data!P112:R112)-SUM(Data!S112:U112),""))</f>
        <v>0</v>
      </c>
      <c r="I112">
        <f>IF($D112&lt;&gt;"Include","",SUM(Data!M112:O112))</f>
        <v>0</v>
      </c>
      <c r="J112" s="7" t="str">
        <f>IF($D112&lt;&gt;"Include","",IFERROR(IF(OR(Data!K112&lt;=0,F112&lt;=0),"n/m",($F112/Data!K112)),""))</f>
        <v/>
      </c>
      <c r="K112" s="9" t="str">
        <f>IF($D112&lt;&gt;"Include","",IFERROR(G112/Data!Z112,""))</f>
        <v/>
      </c>
      <c r="L112" s="9" t="str">
        <f t="shared" si="12"/>
        <v>n/m</v>
      </c>
      <c r="M112" s="7" t="str">
        <f>IF($D112&lt;&gt;"Include","",IFERROR(IF(Data!L112&lt;=0,"n,m",E112/Data!L112),""))</f>
        <v/>
      </c>
      <c r="N112" s="9" t="str">
        <f>IF($D112&lt;&gt;"Include","",IFERROR(IF(OR(Data!I112&lt;=0,Data!J112&lt;=0),"n/m",(Data!I112/Data!J112)^(1/3)-1),""))</f>
        <v/>
      </c>
      <c r="O112">
        <f t="shared" si="7"/>
        <v>119</v>
      </c>
      <c r="P112">
        <f t="shared" si="8"/>
        <v>119</v>
      </c>
      <c r="Q112">
        <f t="shared" si="9"/>
        <v>119</v>
      </c>
      <c r="R112">
        <f t="shared" si="10"/>
        <v>119</v>
      </c>
      <c r="S112">
        <f t="shared" si="11"/>
        <v>119</v>
      </c>
      <c r="T112" s="10">
        <f t="shared" si="13"/>
        <v>119</v>
      </c>
      <c r="U112">
        <f>IF($D112&lt;&gt;"Include","",_xlfn.RANK.EQ(T112,T$6:T$305,1)+COUNTIFS(T$6:T112,T112)-1)</f>
        <v>54</v>
      </c>
    </row>
    <row r="113" spans="1:21" x14ac:dyDescent="0.4">
      <c r="A113" t="str">
        <f>Data!A113</f>
        <v>BOWL</v>
      </c>
      <c r="B113" t="str">
        <f>Data!B113</f>
        <v>Hollywood Bowl Group</v>
      </c>
      <c r="C113" t="str">
        <f>Data!D113</f>
        <v>Consumer Discretionary</v>
      </c>
      <c r="D113" t="str">
        <f>Data!E113</f>
        <v>Include</v>
      </c>
      <c r="E113">
        <f>IF($D113&lt;&gt;"Include","",SUM(Data!V113:W113)-SUM(Data!X113))</f>
        <v>0</v>
      </c>
      <c r="F113" t="e">
        <f>IF($D113&lt;&gt;"Include","",SUM(Data!Z113,Data!Y113,Metrics!E113))</f>
        <v>#N/A</v>
      </c>
      <c r="G113" t="str">
        <f>IF($D113&lt;&gt;"Include","",IFERROR(Data!P113-Data!S113,""))</f>
        <v/>
      </c>
      <c r="H113">
        <f>IF($D113&lt;&gt;"Include","",IFERROR(SUM(Data!P113:R113)-SUM(Data!S113:U113),""))</f>
        <v>0</v>
      </c>
      <c r="I113">
        <f>IF($D113&lt;&gt;"Include","",SUM(Data!M113:O113))</f>
        <v>0</v>
      </c>
      <c r="J113" s="7" t="str">
        <f>IF($D113&lt;&gt;"Include","",IFERROR(IF(OR(Data!K113&lt;=0,F113&lt;=0),"n/m",($F113/Data!K113)),""))</f>
        <v/>
      </c>
      <c r="K113" s="9" t="str">
        <f>IF($D113&lt;&gt;"Include","",IFERROR(G113/Data!Z113,""))</f>
        <v/>
      </c>
      <c r="L113" s="9" t="str">
        <f t="shared" si="12"/>
        <v>n/m</v>
      </c>
      <c r="M113" s="7" t="str">
        <f>IF($D113&lt;&gt;"Include","",IFERROR(IF(Data!L113&lt;=0,"n,m",E113/Data!L113),""))</f>
        <v/>
      </c>
      <c r="N113" s="9" t="str">
        <f>IF($D113&lt;&gt;"Include","",IFERROR(IF(OR(Data!I113&lt;=0,Data!J113&lt;=0),"n/m",(Data!I113/Data!J113)^(1/3)-1),""))</f>
        <v/>
      </c>
      <c r="O113">
        <f t="shared" si="7"/>
        <v>119</v>
      </c>
      <c r="P113">
        <f t="shared" si="8"/>
        <v>119</v>
      </c>
      <c r="Q113">
        <f t="shared" si="9"/>
        <v>119</v>
      </c>
      <c r="R113">
        <f t="shared" si="10"/>
        <v>119</v>
      </c>
      <c r="S113">
        <f t="shared" si="11"/>
        <v>119</v>
      </c>
      <c r="T113" s="10">
        <f t="shared" si="13"/>
        <v>119</v>
      </c>
      <c r="U113">
        <f>IF($D113&lt;&gt;"Include","",_xlfn.RANK.EQ(T113,T$6:T$305,1)+COUNTIFS(T$6:T113,T113)-1)</f>
        <v>55</v>
      </c>
    </row>
    <row r="114" spans="1:21" x14ac:dyDescent="0.4">
      <c r="A114" t="str">
        <f>Data!A114</f>
        <v>HTG</v>
      </c>
      <c r="B114" t="str">
        <f>Data!B114</f>
        <v>Hunting</v>
      </c>
      <c r="C114" t="str">
        <f>Data!D114</f>
        <v>Energy</v>
      </c>
      <c r="D114" t="str">
        <f>Data!E114</f>
        <v>Include</v>
      </c>
      <c r="E114">
        <f>IF($D114&lt;&gt;"Include","",SUM(Data!V114:W114)-SUM(Data!X114))</f>
        <v>0</v>
      </c>
      <c r="F114" t="e">
        <f>IF($D114&lt;&gt;"Include","",SUM(Data!Z114,Data!Y114,Metrics!E114))</f>
        <v>#N/A</v>
      </c>
      <c r="G114" t="str">
        <f>IF($D114&lt;&gt;"Include","",IFERROR(Data!P114-Data!S114,""))</f>
        <v/>
      </c>
      <c r="H114">
        <f>IF($D114&lt;&gt;"Include","",IFERROR(SUM(Data!P114:R114)-SUM(Data!S114:U114),""))</f>
        <v>0</v>
      </c>
      <c r="I114">
        <f>IF($D114&lt;&gt;"Include","",SUM(Data!M114:O114))</f>
        <v>0</v>
      </c>
      <c r="J114" s="7" t="str">
        <f>IF($D114&lt;&gt;"Include","",IFERROR(IF(OR(Data!K114&lt;=0,F114&lt;=0),"n/m",($F114/Data!K114)),""))</f>
        <v/>
      </c>
      <c r="K114" s="9" t="str">
        <f>IF($D114&lt;&gt;"Include","",IFERROR(G114/Data!Z114,""))</f>
        <v/>
      </c>
      <c r="L114" s="9" t="str">
        <f t="shared" si="12"/>
        <v>n/m</v>
      </c>
      <c r="M114" s="7" t="str">
        <f>IF($D114&lt;&gt;"Include","",IFERROR(IF(Data!L114&lt;=0,"n,m",E114/Data!L114),""))</f>
        <v/>
      </c>
      <c r="N114" s="9" t="str">
        <f>IF($D114&lt;&gt;"Include","",IFERROR(IF(OR(Data!I114&lt;=0,Data!J114&lt;=0),"n/m",(Data!I114/Data!J114)^(1/3)-1),""))</f>
        <v/>
      </c>
      <c r="O114">
        <f t="shared" si="7"/>
        <v>119</v>
      </c>
      <c r="P114">
        <f t="shared" si="8"/>
        <v>119</v>
      </c>
      <c r="Q114">
        <f t="shared" si="9"/>
        <v>119</v>
      </c>
      <c r="R114">
        <f t="shared" si="10"/>
        <v>119</v>
      </c>
      <c r="S114">
        <f t="shared" si="11"/>
        <v>119</v>
      </c>
      <c r="T114" s="10">
        <f t="shared" si="13"/>
        <v>119</v>
      </c>
      <c r="U114">
        <f>IF($D114&lt;&gt;"Include","",_xlfn.RANK.EQ(T114,T$6:T$305,1)+COUNTIFS(T$6:T114,T114)-1)</f>
        <v>56</v>
      </c>
    </row>
    <row r="115" spans="1:21" x14ac:dyDescent="0.4">
      <c r="A115" t="str">
        <f>Data!A115</f>
        <v>ICGT</v>
      </c>
      <c r="B115" t="str">
        <f>Data!B115</f>
        <v>ICG Enterprise Trust</v>
      </c>
      <c r="C115" t="str">
        <f>Data!D115</f>
        <v>Financials</v>
      </c>
      <c r="D115" t="str">
        <f>Data!E115</f>
        <v>Exclude</v>
      </c>
      <c r="E115" t="str">
        <f>IF($D115&lt;&gt;"Include","",SUM(Data!V115:W115)-SUM(Data!X115))</f>
        <v/>
      </c>
      <c r="F115" t="str">
        <f>IF($D115&lt;&gt;"Include","",SUM(Data!Z115,Data!Y115,Metrics!E115))</f>
        <v/>
      </c>
      <c r="G115" t="str">
        <f>IF($D115&lt;&gt;"Include","",IFERROR(Data!P115-Data!S115,""))</f>
        <v/>
      </c>
      <c r="H115" t="str">
        <f>IF($D115&lt;&gt;"Include","",IFERROR(SUM(Data!P115:R115)-SUM(Data!S115:U115),""))</f>
        <v/>
      </c>
      <c r="I115" t="str">
        <f>IF($D115&lt;&gt;"Include","",SUM(Data!M115:O115))</f>
        <v/>
      </c>
      <c r="J115" s="7" t="str">
        <f>IF($D115&lt;&gt;"Include","",IFERROR(IF(OR(Data!K115&lt;=0,F115&lt;=0),"n/m",($F115/Data!K115)),""))</f>
        <v/>
      </c>
      <c r="K115" s="9" t="str">
        <f>IF($D115&lt;&gt;"Include","",IFERROR(G115/Data!Z115,""))</f>
        <v/>
      </c>
      <c r="L115" s="9" t="str">
        <f t="shared" si="12"/>
        <v/>
      </c>
      <c r="M115" s="7" t="str">
        <f>IF($D115&lt;&gt;"Include","",IFERROR(IF(Data!L115&lt;=0,"n,m",E115/Data!L115),""))</f>
        <v/>
      </c>
      <c r="N115" s="9" t="str">
        <f>IF($D115&lt;&gt;"Include","",IFERROR(IF(OR(Data!I115&lt;=0,Data!J115&lt;=0),"n/m",(Data!I115/Data!J115)^(1/3)-1),""))</f>
        <v/>
      </c>
      <c r="O115" t="str">
        <f t="shared" si="7"/>
        <v/>
      </c>
      <c r="P115" t="str">
        <f t="shared" si="8"/>
        <v/>
      </c>
      <c r="Q115" t="str">
        <f t="shared" si="9"/>
        <v/>
      </c>
      <c r="R115" t="str">
        <f t="shared" si="10"/>
        <v/>
      </c>
      <c r="S115" t="str">
        <f t="shared" si="11"/>
        <v/>
      </c>
      <c r="T115" s="10" t="str">
        <f t="shared" si="13"/>
        <v/>
      </c>
      <c r="U115" t="str">
        <f>IF($D115&lt;&gt;"Include","",_xlfn.RANK.EQ(T115,T$6:T$305,1)+COUNTIFS(T$6:T115,T115)-1)</f>
        <v/>
      </c>
    </row>
    <row r="116" spans="1:21" x14ac:dyDescent="0.4">
      <c r="A116" t="str">
        <f>Data!A116</f>
        <v>INCH</v>
      </c>
      <c r="B116" t="str">
        <f>Data!B116</f>
        <v>Inchcape</v>
      </c>
      <c r="C116" t="str">
        <f>Data!D116</f>
        <v>Consumer Discretionary</v>
      </c>
      <c r="D116" t="str">
        <f>Data!E116</f>
        <v>Include</v>
      </c>
      <c r="E116">
        <f>IF($D116&lt;&gt;"Include","",SUM(Data!V116:W116)-SUM(Data!X116))</f>
        <v>0</v>
      </c>
      <c r="F116" t="e">
        <f>IF($D116&lt;&gt;"Include","",SUM(Data!Z116,Data!Y116,Metrics!E116))</f>
        <v>#N/A</v>
      </c>
      <c r="G116" t="str">
        <f>IF($D116&lt;&gt;"Include","",IFERROR(Data!P116-Data!S116,""))</f>
        <v/>
      </c>
      <c r="H116">
        <f>IF($D116&lt;&gt;"Include","",IFERROR(SUM(Data!P116:R116)-SUM(Data!S116:U116),""))</f>
        <v>0</v>
      </c>
      <c r="I116">
        <f>IF($D116&lt;&gt;"Include","",SUM(Data!M116:O116))</f>
        <v>0</v>
      </c>
      <c r="J116" s="7" t="str">
        <f>IF($D116&lt;&gt;"Include","",IFERROR(IF(OR(Data!K116&lt;=0,F116&lt;=0),"n/m",($F116/Data!K116)),""))</f>
        <v/>
      </c>
      <c r="K116" s="9" t="str">
        <f>IF($D116&lt;&gt;"Include","",IFERROR(G116/Data!Z116,""))</f>
        <v/>
      </c>
      <c r="L116" s="9" t="str">
        <f t="shared" si="12"/>
        <v>n/m</v>
      </c>
      <c r="M116" s="7" t="str">
        <f>IF($D116&lt;&gt;"Include","",IFERROR(IF(Data!L116&lt;=0,"n,m",E116/Data!L116),""))</f>
        <v/>
      </c>
      <c r="N116" s="9" t="str">
        <f>IF($D116&lt;&gt;"Include","",IFERROR(IF(OR(Data!I116&lt;=0,Data!J116&lt;=0),"n/m",(Data!I116/Data!J116)^(1/3)-1),""))</f>
        <v/>
      </c>
      <c r="O116">
        <f t="shared" si="7"/>
        <v>119</v>
      </c>
      <c r="P116">
        <f t="shared" si="8"/>
        <v>119</v>
      </c>
      <c r="Q116">
        <f t="shared" si="9"/>
        <v>119</v>
      </c>
      <c r="R116">
        <f t="shared" si="10"/>
        <v>119</v>
      </c>
      <c r="S116">
        <f t="shared" si="11"/>
        <v>119</v>
      </c>
      <c r="T116" s="10">
        <f t="shared" si="13"/>
        <v>119</v>
      </c>
      <c r="U116">
        <f>IF($D116&lt;&gt;"Include","",_xlfn.RANK.EQ(T116,T$6:T$305,1)+COUNTIFS(T$6:T116,T116)-1)</f>
        <v>57</v>
      </c>
    </row>
    <row r="117" spans="1:21" x14ac:dyDescent="0.4">
      <c r="A117" t="str">
        <f>Data!A117</f>
        <v>IHP</v>
      </c>
      <c r="B117" t="str">
        <f>Data!B117</f>
        <v>IntegraFin Holdings</v>
      </c>
      <c r="C117" t="str">
        <f>Data!D117</f>
        <v>Financials</v>
      </c>
      <c r="D117" t="str">
        <f>Data!E117</f>
        <v>Exclude</v>
      </c>
      <c r="E117" t="str">
        <f>IF($D117&lt;&gt;"Include","",SUM(Data!V117:W117)-SUM(Data!X117))</f>
        <v/>
      </c>
      <c r="F117" t="str">
        <f>IF($D117&lt;&gt;"Include","",SUM(Data!Z117,Data!Y117,Metrics!E117))</f>
        <v/>
      </c>
      <c r="G117" t="str">
        <f>IF($D117&lt;&gt;"Include","",IFERROR(Data!P117-Data!S117,""))</f>
        <v/>
      </c>
      <c r="H117" t="str">
        <f>IF($D117&lt;&gt;"Include","",IFERROR(SUM(Data!P117:R117)-SUM(Data!S117:U117),""))</f>
        <v/>
      </c>
      <c r="I117" t="str">
        <f>IF($D117&lt;&gt;"Include","",SUM(Data!M117:O117))</f>
        <v/>
      </c>
      <c r="J117" s="7" t="str">
        <f>IF($D117&lt;&gt;"Include","",IFERROR(IF(OR(Data!K117&lt;=0,F117&lt;=0),"n/m",($F117/Data!K117)),""))</f>
        <v/>
      </c>
      <c r="K117" s="9" t="str">
        <f>IF($D117&lt;&gt;"Include","",IFERROR(G117/Data!Z117,""))</f>
        <v/>
      </c>
      <c r="L117" s="9" t="str">
        <f t="shared" si="12"/>
        <v/>
      </c>
      <c r="M117" s="7" t="str">
        <f>IF($D117&lt;&gt;"Include","",IFERROR(IF(Data!L117&lt;=0,"n,m",E117/Data!L117),""))</f>
        <v/>
      </c>
      <c r="N117" s="9" t="str">
        <f>IF($D117&lt;&gt;"Include","",IFERROR(IF(OR(Data!I117&lt;=0,Data!J117&lt;=0),"n/m",(Data!I117/Data!J117)^(1/3)-1),""))</f>
        <v/>
      </c>
      <c r="O117" t="str">
        <f t="shared" si="7"/>
        <v/>
      </c>
      <c r="P117" t="str">
        <f t="shared" si="8"/>
        <v/>
      </c>
      <c r="Q117" t="str">
        <f t="shared" si="9"/>
        <v/>
      </c>
      <c r="R117" t="str">
        <f t="shared" si="10"/>
        <v/>
      </c>
      <c r="S117" t="str">
        <f t="shared" si="11"/>
        <v/>
      </c>
      <c r="T117" s="10" t="str">
        <f t="shared" si="13"/>
        <v/>
      </c>
      <c r="U117" t="str">
        <f>IF($D117&lt;&gt;"Include","",_xlfn.RANK.EQ(T117,T$6:T$305,1)+COUNTIFS(T$6:T117,T117)-1)</f>
        <v/>
      </c>
    </row>
    <row r="118" spans="1:21" x14ac:dyDescent="0.4">
      <c r="A118" t="str">
        <f>Data!A118</f>
        <v>INPP</v>
      </c>
      <c r="B118" t="str">
        <f>Data!B118</f>
        <v>International Public Partnerships</v>
      </c>
      <c r="C118" t="str">
        <f>Data!D118</f>
        <v>Financials</v>
      </c>
      <c r="D118" t="str">
        <f>Data!E118</f>
        <v>Exclude</v>
      </c>
      <c r="E118" t="str">
        <f>IF($D118&lt;&gt;"Include","",SUM(Data!V118:W118)-SUM(Data!X118))</f>
        <v/>
      </c>
      <c r="F118" t="str">
        <f>IF($D118&lt;&gt;"Include","",SUM(Data!Z118,Data!Y118,Metrics!E118))</f>
        <v/>
      </c>
      <c r="G118" t="str">
        <f>IF($D118&lt;&gt;"Include","",IFERROR(Data!P118-Data!S118,""))</f>
        <v/>
      </c>
      <c r="H118" t="str">
        <f>IF($D118&lt;&gt;"Include","",IFERROR(SUM(Data!P118:R118)-SUM(Data!S118:U118),""))</f>
        <v/>
      </c>
      <c r="I118" t="str">
        <f>IF($D118&lt;&gt;"Include","",SUM(Data!M118:O118))</f>
        <v/>
      </c>
      <c r="J118" s="7" t="str">
        <f>IF($D118&lt;&gt;"Include","",IFERROR(IF(OR(Data!K118&lt;=0,F118&lt;=0),"n/m",($F118/Data!K118)),""))</f>
        <v/>
      </c>
      <c r="K118" s="9" t="str">
        <f>IF($D118&lt;&gt;"Include","",IFERROR(G118/Data!Z118,""))</f>
        <v/>
      </c>
      <c r="L118" s="9" t="str">
        <f t="shared" si="12"/>
        <v/>
      </c>
      <c r="M118" s="7" t="str">
        <f>IF($D118&lt;&gt;"Include","",IFERROR(IF(Data!L118&lt;=0,"n,m",E118/Data!L118),""))</f>
        <v/>
      </c>
      <c r="N118" s="9" t="str">
        <f>IF($D118&lt;&gt;"Include","",IFERROR(IF(OR(Data!I118&lt;=0,Data!J118&lt;=0),"n/m",(Data!I118/Data!J118)^(1/3)-1),""))</f>
        <v/>
      </c>
      <c r="O118" t="str">
        <f t="shared" si="7"/>
        <v/>
      </c>
      <c r="P118" t="str">
        <f t="shared" si="8"/>
        <v/>
      </c>
      <c r="Q118" t="str">
        <f t="shared" si="9"/>
        <v/>
      </c>
      <c r="R118" t="str">
        <f t="shared" si="10"/>
        <v/>
      </c>
      <c r="S118" t="str">
        <f t="shared" si="11"/>
        <v/>
      </c>
      <c r="T118" s="10" t="str">
        <f t="shared" si="13"/>
        <v/>
      </c>
      <c r="U118" t="str">
        <f>IF($D118&lt;&gt;"Include","",_xlfn.RANK.EQ(T118,T$6:T$305,1)+COUNTIFS(T$6:T118,T118)-1)</f>
        <v/>
      </c>
    </row>
    <row r="119" spans="1:21" x14ac:dyDescent="0.4">
      <c r="A119" t="str">
        <f>Data!A119</f>
        <v>IWG</v>
      </c>
      <c r="B119" t="str">
        <f>Data!B119</f>
        <v>International Workplace Group</v>
      </c>
      <c r="C119" t="str">
        <f>Data!D119</f>
        <v>Industrials</v>
      </c>
      <c r="D119" t="str">
        <f>Data!E119</f>
        <v>Include</v>
      </c>
      <c r="E119">
        <f>IF($D119&lt;&gt;"Include","",SUM(Data!V119:W119)-SUM(Data!X119))</f>
        <v>0</v>
      </c>
      <c r="F119" t="e">
        <f>IF($D119&lt;&gt;"Include","",SUM(Data!Z119,Data!Y119,Metrics!E119))</f>
        <v>#N/A</v>
      </c>
      <c r="G119" t="str">
        <f>IF($D119&lt;&gt;"Include","",IFERROR(Data!P119-Data!S119,""))</f>
        <v/>
      </c>
      <c r="H119">
        <f>IF($D119&lt;&gt;"Include","",IFERROR(SUM(Data!P119:R119)-SUM(Data!S119:U119),""))</f>
        <v>0</v>
      </c>
      <c r="I119">
        <f>IF($D119&lt;&gt;"Include","",SUM(Data!M119:O119))</f>
        <v>0</v>
      </c>
      <c r="J119" s="7" t="str">
        <f>IF($D119&lt;&gt;"Include","",IFERROR(IF(OR(Data!K119&lt;=0,F119&lt;=0),"n/m",($F119/Data!K119)),""))</f>
        <v/>
      </c>
      <c r="K119" s="9" t="str">
        <f>IF($D119&lt;&gt;"Include","",IFERROR(G119/Data!Z119,""))</f>
        <v/>
      </c>
      <c r="L119" s="9" t="str">
        <f t="shared" si="12"/>
        <v>n/m</v>
      </c>
      <c r="M119" s="7" t="str">
        <f>IF($D119&lt;&gt;"Include","",IFERROR(IF(Data!L119&lt;=0,"n,m",E119/Data!L119),""))</f>
        <v/>
      </c>
      <c r="N119" s="9" t="str">
        <f>IF($D119&lt;&gt;"Include","",IFERROR(IF(OR(Data!I119&lt;=0,Data!J119&lt;=0),"n/m",(Data!I119/Data!J119)^(1/3)-1),""))</f>
        <v/>
      </c>
      <c r="O119">
        <f t="shared" si="7"/>
        <v>119</v>
      </c>
      <c r="P119">
        <f t="shared" si="8"/>
        <v>119</v>
      </c>
      <c r="Q119">
        <f t="shared" si="9"/>
        <v>119</v>
      </c>
      <c r="R119">
        <f t="shared" si="10"/>
        <v>119</v>
      </c>
      <c r="S119">
        <f t="shared" si="11"/>
        <v>119</v>
      </c>
      <c r="T119" s="10">
        <f t="shared" si="13"/>
        <v>119</v>
      </c>
      <c r="U119">
        <f>IF($D119&lt;&gt;"Include","",_xlfn.RANK.EQ(T119,T$6:T$305,1)+COUNTIFS(T$6:T119,T119)-1)</f>
        <v>58</v>
      </c>
    </row>
    <row r="120" spans="1:21" x14ac:dyDescent="0.4">
      <c r="A120" t="str">
        <f>Data!A120</f>
        <v>IAD</v>
      </c>
      <c r="B120" t="str">
        <f>Data!B120</f>
        <v>Invesco Asia Dragon Trust</v>
      </c>
      <c r="C120" t="str">
        <f>Data!D120</f>
        <v>Financials</v>
      </c>
      <c r="D120" t="str">
        <f>Data!E120</f>
        <v>Exclude</v>
      </c>
      <c r="E120" t="str">
        <f>IF($D120&lt;&gt;"Include","",SUM(Data!V120:W120)-SUM(Data!X120))</f>
        <v/>
      </c>
      <c r="F120" t="str">
        <f>IF($D120&lt;&gt;"Include","",SUM(Data!Z120,Data!Y120,Metrics!E120))</f>
        <v/>
      </c>
      <c r="G120" t="str">
        <f>IF($D120&lt;&gt;"Include","",IFERROR(Data!P120-Data!S120,""))</f>
        <v/>
      </c>
      <c r="H120" t="str">
        <f>IF($D120&lt;&gt;"Include","",IFERROR(SUM(Data!P120:R120)-SUM(Data!S120:U120),""))</f>
        <v/>
      </c>
      <c r="I120" t="str">
        <f>IF($D120&lt;&gt;"Include","",SUM(Data!M120:O120))</f>
        <v/>
      </c>
      <c r="J120" s="7" t="str">
        <f>IF($D120&lt;&gt;"Include","",IFERROR(IF(OR(Data!K120&lt;=0,F120&lt;=0),"n/m",($F120/Data!K120)),""))</f>
        <v/>
      </c>
      <c r="K120" s="9" t="str">
        <f>IF($D120&lt;&gt;"Include","",IFERROR(G120/Data!Z120,""))</f>
        <v/>
      </c>
      <c r="L120" s="9" t="str">
        <f t="shared" si="12"/>
        <v/>
      </c>
      <c r="M120" s="7" t="str">
        <f>IF($D120&lt;&gt;"Include","",IFERROR(IF(Data!L120&lt;=0,"n,m",E120/Data!L120),""))</f>
        <v/>
      </c>
      <c r="N120" s="9" t="str">
        <f>IF($D120&lt;&gt;"Include","",IFERROR(IF(OR(Data!I120&lt;=0,Data!J120&lt;=0),"n/m",(Data!I120/Data!J120)^(1/3)-1),""))</f>
        <v/>
      </c>
      <c r="O120" t="str">
        <f t="shared" si="7"/>
        <v/>
      </c>
      <c r="P120" t="str">
        <f t="shared" si="8"/>
        <v/>
      </c>
      <c r="Q120" t="str">
        <f t="shared" si="9"/>
        <v/>
      </c>
      <c r="R120" t="str">
        <f t="shared" si="10"/>
        <v/>
      </c>
      <c r="S120" t="str">
        <f t="shared" si="11"/>
        <v/>
      </c>
      <c r="T120" s="10" t="str">
        <f t="shared" si="13"/>
        <v/>
      </c>
      <c r="U120" t="str">
        <f>IF($D120&lt;&gt;"Include","",_xlfn.RANK.EQ(T120,T$6:T$305,1)+COUNTIFS(T$6:T120,T120)-1)</f>
        <v/>
      </c>
    </row>
    <row r="121" spans="1:21" x14ac:dyDescent="0.4">
      <c r="A121" t="str">
        <f>Data!A121</f>
        <v>IPO</v>
      </c>
      <c r="B121" t="str">
        <f>Data!B121</f>
        <v>IP Group</v>
      </c>
      <c r="C121" t="str">
        <f>Data!D121</f>
        <v>Financials</v>
      </c>
      <c r="D121" t="str">
        <f>Data!E121</f>
        <v>Exclude</v>
      </c>
      <c r="E121" t="str">
        <f>IF($D121&lt;&gt;"Include","",SUM(Data!V121:W121)-SUM(Data!X121))</f>
        <v/>
      </c>
      <c r="F121" t="str">
        <f>IF($D121&lt;&gt;"Include","",SUM(Data!Z121,Data!Y121,Metrics!E121))</f>
        <v/>
      </c>
      <c r="G121" t="str">
        <f>IF($D121&lt;&gt;"Include","",IFERROR(Data!P121-Data!S121,""))</f>
        <v/>
      </c>
      <c r="H121" t="str">
        <f>IF($D121&lt;&gt;"Include","",IFERROR(SUM(Data!P121:R121)-SUM(Data!S121:U121),""))</f>
        <v/>
      </c>
      <c r="I121" t="str">
        <f>IF($D121&lt;&gt;"Include","",SUM(Data!M121:O121))</f>
        <v/>
      </c>
      <c r="J121" s="7" t="str">
        <f>IF($D121&lt;&gt;"Include","",IFERROR(IF(OR(Data!K121&lt;=0,F121&lt;=0),"n/m",($F121/Data!K121)),""))</f>
        <v/>
      </c>
      <c r="K121" s="9" t="str">
        <f>IF($D121&lt;&gt;"Include","",IFERROR(G121/Data!Z121,""))</f>
        <v/>
      </c>
      <c r="L121" s="9" t="str">
        <f t="shared" si="12"/>
        <v/>
      </c>
      <c r="M121" s="7" t="str">
        <f>IF($D121&lt;&gt;"Include","",IFERROR(IF(Data!L121&lt;=0,"n,m",E121/Data!L121),""))</f>
        <v/>
      </c>
      <c r="N121" s="9" t="str">
        <f>IF($D121&lt;&gt;"Include","",IFERROR(IF(OR(Data!I121&lt;=0,Data!J121&lt;=0),"n/m",(Data!I121/Data!J121)^(1/3)-1),""))</f>
        <v/>
      </c>
      <c r="O121" t="str">
        <f t="shared" si="7"/>
        <v/>
      </c>
      <c r="P121" t="str">
        <f t="shared" si="8"/>
        <v/>
      </c>
      <c r="Q121" t="str">
        <f t="shared" si="9"/>
        <v/>
      </c>
      <c r="R121" t="str">
        <f t="shared" si="10"/>
        <v/>
      </c>
      <c r="S121" t="str">
        <f t="shared" si="11"/>
        <v/>
      </c>
      <c r="T121" s="10" t="str">
        <f t="shared" si="13"/>
        <v/>
      </c>
      <c r="U121" t="str">
        <f>IF($D121&lt;&gt;"Include","",_xlfn.RANK.EQ(T121,T$6:T$305,1)+COUNTIFS(T$6:T121,T121)-1)</f>
        <v/>
      </c>
    </row>
    <row r="122" spans="1:21" x14ac:dyDescent="0.4">
      <c r="A122" t="str">
        <f>Data!A122</f>
        <v>ITV</v>
      </c>
      <c r="B122" t="str">
        <f>Data!B122</f>
        <v>ITV</v>
      </c>
      <c r="C122" t="str">
        <f>Data!D122</f>
        <v>Consumer Discretionary</v>
      </c>
      <c r="D122" t="str">
        <f>Data!E122</f>
        <v>Include</v>
      </c>
      <c r="E122">
        <f>IF($D122&lt;&gt;"Include","",SUM(Data!V122:W122)-SUM(Data!X122))</f>
        <v>0</v>
      </c>
      <c r="F122" t="e">
        <f>IF($D122&lt;&gt;"Include","",SUM(Data!Z122,Data!Y122,Metrics!E122))</f>
        <v>#N/A</v>
      </c>
      <c r="G122" t="str">
        <f>IF($D122&lt;&gt;"Include","",IFERROR(Data!P122-Data!S122,""))</f>
        <v/>
      </c>
      <c r="H122">
        <f>IF($D122&lt;&gt;"Include","",IFERROR(SUM(Data!P122:R122)-SUM(Data!S122:U122),""))</f>
        <v>0</v>
      </c>
      <c r="I122">
        <f>IF($D122&lt;&gt;"Include","",SUM(Data!M122:O122))</f>
        <v>0</v>
      </c>
      <c r="J122" s="7" t="str">
        <f>IF($D122&lt;&gt;"Include","",IFERROR(IF(OR(Data!K122&lt;=0,F122&lt;=0),"n/m",($F122/Data!K122)),""))</f>
        <v/>
      </c>
      <c r="K122" s="9" t="str">
        <f>IF($D122&lt;&gt;"Include","",IFERROR(G122/Data!Z122,""))</f>
        <v/>
      </c>
      <c r="L122" s="9" t="str">
        <f t="shared" si="12"/>
        <v>n/m</v>
      </c>
      <c r="M122" s="7" t="str">
        <f>IF($D122&lt;&gt;"Include","",IFERROR(IF(Data!L122&lt;=0,"n,m",E122/Data!L122),""))</f>
        <v/>
      </c>
      <c r="N122" s="9" t="str">
        <f>IF($D122&lt;&gt;"Include","",IFERROR(IF(OR(Data!I122&lt;=0,Data!J122&lt;=0),"n/m",(Data!I122/Data!J122)^(1/3)-1),""))</f>
        <v/>
      </c>
      <c r="O122">
        <f t="shared" si="7"/>
        <v>119</v>
      </c>
      <c r="P122">
        <f t="shared" si="8"/>
        <v>119</v>
      </c>
      <c r="Q122">
        <f t="shared" si="9"/>
        <v>119</v>
      </c>
      <c r="R122">
        <f t="shared" si="10"/>
        <v>119</v>
      </c>
      <c r="S122">
        <f t="shared" si="11"/>
        <v>119</v>
      </c>
      <c r="T122" s="10">
        <f t="shared" si="13"/>
        <v>119</v>
      </c>
      <c r="U122">
        <f>IF($D122&lt;&gt;"Include","",_xlfn.RANK.EQ(T122,T$6:T$305,1)+COUNTIFS(T$6:T122,T122)-1)</f>
        <v>59</v>
      </c>
    </row>
    <row r="123" spans="1:21" x14ac:dyDescent="0.4">
      <c r="A123" t="str">
        <f>Data!A123</f>
        <v>JMAT</v>
      </c>
      <c r="B123" t="str">
        <f>Data!B123</f>
        <v>Johnson Matthey</v>
      </c>
      <c r="C123" t="str">
        <f>Data!D123</f>
        <v>Basic Materials</v>
      </c>
      <c r="D123" t="str">
        <f>Data!E123</f>
        <v>Include</v>
      </c>
      <c r="E123">
        <f>IF($D123&lt;&gt;"Include","",SUM(Data!V123:W123)-SUM(Data!X123))</f>
        <v>0</v>
      </c>
      <c r="F123" t="e">
        <f>IF($D123&lt;&gt;"Include","",SUM(Data!Z123,Data!Y123,Metrics!E123))</f>
        <v>#N/A</v>
      </c>
      <c r="G123" t="str">
        <f>IF($D123&lt;&gt;"Include","",IFERROR(Data!P123-Data!S123,""))</f>
        <v/>
      </c>
      <c r="H123">
        <f>IF($D123&lt;&gt;"Include","",IFERROR(SUM(Data!P123:R123)-SUM(Data!S123:U123),""))</f>
        <v>0</v>
      </c>
      <c r="I123">
        <f>IF($D123&lt;&gt;"Include","",SUM(Data!M123:O123))</f>
        <v>0</v>
      </c>
      <c r="J123" s="7" t="str">
        <f>IF($D123&lt;&gt;"Include","",IFERROR(IF(OR(Data!K123&lt;=0,F123&lt;=0),"n/m",($F123/Data!K123)),""))</f>
        <v/>
      </c>
      <c r="K123" s="9" t="str">
        <f>IF($D123&lt;&gt;"Include","",IFERROR(G123/Data!Z123,""))</f>
        <v/>
      </c>
      <c r="L123" s="9" t="str">
        <f t="shared" si="12"/>
        <v>n/m</v>
      </c>
      <c r="M123" s="7" t="str">
        <f>IF($D123&lt;&gt;"Include","",IFERROR(IF(Data!L123&lt;=0,"n,m",E123/Data!L123),""))</f>
        <v/>
      </c>
      <c r="N123" s="9" t="str">
        <f>IF($D123&lt;&gt;"Include","",IFERROR(IF(OR(Data!I123&lt;=0,Data!J123&lt;=0),"n/m",(Data!I123/Data!J123)^(1/3)-1),""))</f>
        <v/>
      </c>
      <c r="O123">
        <f t="shared" si="7"/>
        <v>119</v>
      </c>
      <c r="P123">
        <f t="shared" si="8"/>
        <v>119</v>
      </c>
      <c r="Q123">
        <f t="shared" si="9"/>
        <v>119</v>
      </c>
      <c r="R123">
        <f t="shared" si="10"/>
        <v>119</v>
      </c>
      <c r="S123">
        <f t="shared" si="11"/>
        <v>119</v>
      </c>
      <c r="T123" s="10">
        <f t="shared" si="13"/>
        <v>119</v>
      </c>
      <c r="U123">
        <f>IF($D123&lt;&gt;"Include","",_xlfn.RANK.EQ(T123,T$6:T$305,1)+COUNTIFS(T$6:T123,T123)-1)</f>
        <v>60</v>
      </c>
    </row>
    <row r="124" spans="1:21" x14ac:dyDescent="0.4">
      <c r="A124" t="str">
        <f>Data!A124</f>
        <v>JSG</v>
      </c>
      <c r="B124" t="str">
        <f>Data!B124</f>
        <v>Johnson Service Group</v>
      </c>
      <c r="C124" t="str">
        <f>Data!D124</f>
        <v>Industrials</v>
      </c>
      <c r="D124" t="str">
        <f>Data!E124</f>
        <v>Include</v>
      </c>
      <c r="E124">
        <f>IF($D124&lt;&gt;"Include","",SUM(Data!V124:W124)-SUM(Data!X124))</f>
        <v>0</v>
      </c>
      <c r="F124" t="e">
        <f>IF($D124&lt;&gt;"Include","",SUM(Data!Z124,Data!Y124,Metrics!E124))</f>
        <v>#N/A</v>
      </c>
      <c r="G124" t="str">
        <f>IF($D124&lt;&gt;"Include","",IFERROR(Data!P124-Data!S124,""))</f>
        <v/>
      </c>
      <c r="H124">
        <f>IF($D124&lt;&gt;"Include","",IFERROR(SUM(Data!P124:R124)-SUM(Data!S124:U124),""))</f>
        <v>0</v>
      </c>
      <c r="I124">
        <f>IF($D124&lt;&gt;"Include","",SUM(Data!M124:O124))</f>
        <v>0</v>
      </c>
      <c r="J124" s="7" t="str">
        <f>IF($D124&lt;&gt;"Include","",IFERROR(IF(OR(Data!K124&lt;=0,F124&lt;=0),"n/m",($F124/Data!K124)),""))</f>
        <v/>
      </c>
      <c r="K124" s="9" t="str">
        <f>IF($D124&lt;&gt;"Include","",IFERROR(G124/Data!Z124,""))</f>
        <v/>
      </c>
      <c r="L124" s="9" t="str">
        <f t="shared" si="12"/>
        <v>n/m</v>
      </c>
      <c r="M124" s="7" t="str">
        <f>IF($D124&lt;&gt;"Include","",IFERROR(IF(Data!L124&lt;=0,"n,m",E124/Data!L124),""))</f>
        <v/>
      </c>
      <c r="N124" s="9" t="str">
        <f>IF($D124&lt;&gt;"Include","",IFERROR(IF(OR(Data!I124&lt;=0,Data!J124&lt;=0),"n/m",(Data!I124/Data!J124)^(1/3)-1),""))</f>
        <v/>
      </c>
      <c r="O124">
        <f t="shared" si="7"/>
        <v>119</v>
      </c>
      <c r="P124">
        <f t="shared" si="8"/>
        <v>119</v>
      </c>
      <c r="Q124">
        <f t="shared" si="9"/>
        <v>119</v>
      </c>
      <c r="R124">
        <f t="shared" si="10"/>
        <v>119</v>
      </c>
      <c r="S124">
        <f t="shared" si="11"/>
        <v>119</v>
      </c>
      <c r="T124" s="10">
        <f t="shared" si="13"/>
        <v>119</v>
      </c>
      <c r="U124">
        <f>IF($D124&lt;&gt;"Include","",_xlfn.RANK.EQ(T124,T$6:T$305,1)+COUNTIFS(T$6:T124,T124)-1)</f>
        <v>61</v>
      </c>
    </row>
    <row r="125" spans="1:21" x14ac:dyDescent="0.4">
      <c r="A125" t="str">
        <f>Data!A125</f>
        <v>JAM</v>
      </c>
      <c r="B125" t="str">
        <f>Data!B125</f>
        <v>JPMorgan American Investment Trust</v>
      </c>
      <c r="C125" t="str">
        <f>Data!D125</f>
        <v>Financials</v>
      </c>
      <c r="D125" t="str">
        <f>Data!E125</f>
        <v>Exclude</v>
      </c>
      <c r="E125" t="str">
        <f>IF($D125&lt;&gt;"Include","",SUM(Data!V125:W125)-SUM(Data!X125))</f>
        <v/>
      </c>
      <c r="F125" t="str">
        <f>IF($D125&lt;&gt;"Include","",SUM(Data!Z125,Data!Y125,Metrics!E125))</f>
        <v/>
      </c>
      <c r="G125" t="str">
        <f>IF($D125&lt;&gt;"Include","",IFERROR(Data!P125-Data!S125,""))</f>
        <v/>
      </c>
      <c r="H125" t="str">
        <f>IF($D125&lt;&gt;"Include","",IFERROR(SUM(Data!P125:R125)-SUM(Data!S125:U125),""))</f>
        <v/>
      </c>
      <c r="I125" t="str">
        <f>IF($D125&lt;&gt;"Include","",SUM(Data!M125:O125))</f>
        <v/>
      </c>
      <c r="J125" s="7" t="str">
        <f>IF($D125&lt;&gt;"Include","",IFERROR(IF(OR(Data!K125&lt;=0,F125&lt;=0),"n/m",($F125/Data!K125)),""))</f>
        <v/>
      </c>
      <c r="K125" s="9" t="str">
        <f>IF($D125&lt;&gt;"Include","",IFERROR(G125/Data!Z125,""))</f>
        <v/>
      </c>
      <c r="L125" s="9" t="str">
        <f t="shared" si="12"/>
        <v/>
      </c>
      <c r="M125" s="7" t="str">
        <f>IF($D125&lt;&gt;"Include","",IFERROR(IF(Data!L125&lt;=0,"n,m",E125/Data!L125),""))</f>
        <v/>
      </c>
      <c r="N125" s="9" t="str">
        <f>IF($D125&lt;&gt;"Include","",IFERROR(IF(OR(Data!I125&lt;=0,Data!J125&lt;=0),"n/m",(Data!I125/Data!J125)^(1/3)-1),""))</f>
        <v/>
      </c>
      <c r="O125" t="str">
        <f t="shared" si="7"/>
        <v/>
      </c>
      <c r="P125" t="str">
        <f t="shared" si="8"/>
        <v/>
      </c>
      <c r="Q125" t="str">
        <f t="shared" si="9"/>
        <v/>
      </c>
      <c r="R125" t="str">
        <f t="shared" si="10"/>
        <v/>
      </c>
      <c r="S125" t="str">
        <f t="shared" si="11"/>
        <v/>
      </c>
      <c r="T125" s="10" t="str">
        <f t="shared" si="13"/>
        <v/>
      </c>
      <c r="U125" t="str">
        <f>IF($D125&lt;&gt;"Include","",_xlfn.RANK.EQ(T125,T$6:T$305,1)+COUNTIFS(T$6:T125,T125)-1)</f>
        <v/>
      </c>
    </row>
    <row r="126" spans="1:21" x14ac:dyDescent="0.4">
      <c r="A126" t="str">
        <f>Data!A126</f>
        <v>JCH</v>
      </c>
      <c r="B126" t="str">
        <f>Data!B126</f>
        <v>JPMorgan Claverhouse Investment Trust</v>
      </c>
      <c r="C126" t="str">
        <f>Data!D126</f>
        <v>Financials</v>
      </c>
      <c r="D126" t="str">
        <f>Data!E126</f>
        <v>Exclude</v>
      </c>
      <c r="E126" t="str">
        <f>IF($D126&lt;&gt;"Include","",SUM(Data!V126:W126)-SUM(Data!X126))</f>
        <v/>
      </c>
      <c r="F126" t="str">
        <f>IF($D126&lt;&gt;"Include","",SUM(Data!Z126,Data!Y126,Metrics!E126))</f>
        <v/>
      </c>
      <c r="G126" t="str">
        <f>IF($D126&lt;&gt;"Include","",IFERROR(Data!P126-Data!S126,""))</f>
        <v/>
      </c>
      <c r="H126" t="str">
        <f>IF($D126&lt;&gt;"Include","",IFERROR(SUM(Data!P126:R126)-SUM(Data!S126:U126),""))</f>
        <v/>
      </c>
      <c r="I126" t="str">
        <f>IF($D126&lt;&gt;"Include","",SUM(Data!M126:O126))</f>
        <v/>
      </c>
      <c r="J126" s="7" t="str">
        <f>IF($D126&lt;&gt;"Include","",IFERROR(IF(OR(Data!K126&lt;=0,F126&lt;=0),"n/m",($F126/Data!K126)),""))</f>
        <v/>
      </c>
      <c r="K126" s="9" t="str">
        <f>IF($D126&lt;&gt;"Include","",IFERROR(G126/Data!Z126,""))</f>
        <v/>
      </c>
      <c r="L126" s="9" t="str">
        <f t="shared" si="12"/>
        <v/>
      </c>
      <c r="M126" s="7" t="str">
        <f>IF($D126&lt;&gt;"Include","",IFERROR(IF(Data!L126&lt;=0,"n,m",E126/Data!L126),""))</f>
        <v/>
      </c>
      <c r="N126" s="9" t="str">
        <f>IF($D126&lt;&gt;"Include","",IFERROR(IF(OR(Data!I126&lt;=0,Data!J126&lt;=0),"n/m",(Data!I126/Data!J126)^(1/3)-1),""))</f>
        <v/>
      </c>
      <c r="O126" t="str">
        <f t="shared" si="7"/>
        <v/>
      </c>
      <c r="P126" t="str">
        <f t="shared" si="8"/>
        <v/>
      </c>
      <c r="Q126" t="str">
        <f t="shared" si="9"/>
        <v/>
      </c>
      <c r="R126" t="str">
        <f t="shared" si="10"/>
        <v/>
      </c>
      <c r="S126" t="str">
        <f t="shared" si="11"/>
        <v/>
      </c>
      <c r="T126" s="10" t="str">
        <f t="shared" si="13"/>
        <v/>
      </c>
      <c r="U126" t="str">
        <f>IF($D126&lt;&gt;"Include","",_xlfn.RANK.EQ(T126,T$6:T$305,1)+COUNTIFS(T$6:T126,T126)-1)</f>
        <v/>
      </c>
    </row>
    <row r="127" spans="1:21" x14ac:dyDescent="0.4">
      <c r="A127" t="str">
        <f>Data!A127</f>
        <v>JEMI</v>
      </c>
      <c r="B127" t="str">
        <f>Data!B127</f>
        <v>JPMorgan Emerging Markets Dividend Income</v>
      </c>
      <c r="C127" t="str">
        <f>Data!D127</f>
        <v>Financials</v>
      </c>
      <c r="D127" t="str">
        <f>Data!E127</f>
        <v>Exclude</v>
      </c>
      <c r="E127" t="str">
        <f>IF($D127&lt;&gt;"Include","",SUM(Data!V127:W127)-SUM(Data!X127))</f>
        <v/>
      </c>
      <c r="F127" t="str">
        <f>IF($D127&lt;&gt;"Include","",SUM(Data!Z127,Data!Y127,Metrics!E127))</f>
        <v/>
      </c>
      <c r="G127" t="str">
        <f>IF($D127&lt;&gt;"Include","",IFERROR(Data!P127-Data!S127,""))</f>
        <v/>
      </c>
      <c r="H127" t="str">
        <f>IF($D127&lt;&gt;"Include","",IFERROR(SUM(Data!P127:R127)-SUM(Data!S127:U127),""))</f>
        <v/>
      </c>
      <c r="I127" t="str">
        <f>IF($D127&lt;&gt;"Include","",SUM(Data!M127:O127))</f>
        <v/>
      </c>
      <c r="J127" s="7" t="str">
        <f>IF($D127&lt;&gt;"Include","",IFERROR(IF(OR(Data!K127&lt;=0,F127&lt;=0),"n/m",($F127/Data!K127)),""))</f>
        <v/>
      </c>
      <c r="K127" s="9" t="str">
        <f>IF($D127&lt;&gt;"Include","",IFERROR(G127/Data!Z127,""))</f>
        <v/>
      </c>
      <c r="L127" s="9" t="str">
        <f t="shared" si="12"/>
        <v/>
      </c>
      <c r="M127" s="7" t="str">
        <f>IF($D127&lt;&gt;"Include","",IFERROR(IF(Data!L127&lt;=0,"n,m",E127/Data!L127),""))</f>
        <v/>
      </c>
      <c r="N127" s="9" t="str">
        <f>IF($D127&lt;&gt;"Include","",IFERROR(IF(OR(Data!I127&lt;=0,Data!J127&lt;=0),"n/m",(Data!I127/Data!J127)^(1/3)-1),""))</f>
        <v/>
      </c>
      <c r="O127" t="str">
        <f t="shared" si="7"/>
        <v/>
      </c>
      <c r="P127" t="str">
        <f t="shared" si="8"/>
        <v/>
      </c>
      <c r="Q127" t="str">
        <f t="shared" si="9"/>
        <v/>
      </c>
      <c r="R127" t="str">
        <f t="shared" si="10"/>
        <v/>
      </c>
      <c r="S127" t="str">
        <f t="shared" si="11"/>
        <v/>
      </c>
      <c r="T127" s="10" t="str">
        <f t="shared" si="13"/>
        <v/>
      </c>
      <c r="U127" t="str">
        <f>IF($D127&lt;&gt;"Include","",_xlfn.RANK.EQ(T127,T$6:T$305,1)+COUNTIFS(T$6:T127,T127)-1)</f>
        <v/>
      </c>
    </row>
    <row r="128" spans="1:21" x14ac:dyDescent="0.4">
      <c r="A128" t="str">
        <f>Data!A128</f>
        <v>JMGI</v>
      </c>
      <c r="B128" t="str">
        <f>Data!B128</f>
        <v>JPMorgan Emerging Markets Growth &amp; Income</v>
      </c>
      <c r="C128" t="str">
        <f>Data!D128</f>
        <v>Financials</v>
      </c>
      <c r="D128" t="str">
        <f>Data!E128</f>
        <v>Exclude</v>
      </c>
      <c r="E128" t="str">
        <f>IF($D128&lt;&gt;"Include","",SUM(Data!V128:W128)-SUM(Data!X128))</f>
        <v/>
      </c>
      <c r="F128" t="str">
        <f>IF($D128&lt;&gt;"Include","",SUM(Data!Z128,Data!Y128,Metrics!E128))</f>
        <v/>
      </c>
      <c r="G128" t="str">
        <f>IF($D128&lt;&gt;"Include","",IFERROR(Data!P128-Data!S128,""))</f>
        <v/>
      </c>
      <c r="H128" t="str">
        <f>IF($D128&lt;&gt;"Include","",IFERROR(SUM(Data!P128:R128)-SUM(Data!S128:U128),""))</f>
        <v/>
      </c>
      <c r="I128" t="str">
        <f>IF($D128&lt;&gt;"Include","",SUM(Data!M128:O128))</f>
        <v/>
      </c>
      <c r="J128" s="7" t="str">
        <f>IF($D128&lt;&gt;"Include","",IFERROR(IF(OR(Data!K128&lt;=0,F128&lt;=0),"n/m",($F128/Data!K128)),""))</f>
        <v/>
      </c>
      <c r="K128" s="9" t="str">
        <f>IF($D128&lt;&gt;"Include","",IFERROR(G128/Data!Z128,""))</f>
        <v/>
      </c>
      <c r="L128" s="9" t="str">
        <f t="shared" si="12"/>
        <v/>
      </c>
      <c r="M128" s="7" t="str">
        <f>IF($D128&lt;&gt;"Include","",IFERROR(IF(Data!L128&lt;=0,"n,m",E128/Data!L128),""))</f>
        <v/>
      </c>
      <c r="N128" s="9" t="str">
        <f>IF($D128&lt;&gt;"Include","",IFERROR(IF(OR(Data!I128&lt;=0,Data!J128&lt;=0),"n/m",(Data!I128/Data!J128)^(1/3)-1),""))</f>
        <v/>
      </c>
      <c r="O128" t="str">
        <f t="shared" si="7"/>
        <v/>
      </c>
      <c r="P128" t="str">
        <f t="shared" si="8"/>
        <v/>
      </c>
      <c r="Q128" t="str">
        <f t="shared" si="9"/>
        <v/>
      </c>
      <c r="R128" t="str">
        <f t="shared" si="10"/>
        <v/>
      </c>
      <c r="S128" t="str">
        <f t="shared" si="11"/>
        <v/>
      </c>
      <c r="T128" s="10" t="str">
        <f t="shared" si="13"/>
        <v/>
      </c>
      <c r="U128" t="str">
        <f>IF($D128&lt;&gt;"Include","",_xlfn.RANK.EQ(T128,T$6:T$305,1)+COUNTIFS(T$6:T128,T128)-1)</f>
        <v/>
      </c>
    </row>
    <row r="129" spans="1:21" x14ac:dyDescent="0.4">
      <c r="A129" t="str">
        <f>Data!A129</f>
        <v>JEDT</v>
      </c>
      <c r="B129" t="str">
        <f>Data!B129</f>
        <v>JPMorgan European Discovery</v>
      </c>
      <c r="C129" t="str">
        <f>Data!D129</f>
        <v>Financials</v>
      </c>
      <c r="D129" t="str">
        <f>Data!E129</f>
        <v>Exclude</v>
      </c>
      <c r="E129" t="str">
        <f>IF($D129&lt;&gt;"Include","",SUM(Data!V129:W129)-SUM(Data!X129))</f>
        <v/>
      </c>
      <c r="F129" t="str">
        <f>IF($D129&lt;&gt;"Include","",SUM(Data!Z129,Data!Y129,Metrics!E129))</f>
        <v/>
      </c>
      <c r="G129" t="str">
        <f>IF($D129&lt;&gt;"Include","",IFERROR(Data!P129-Data!S129,""))</f>
        <v/>
      </c>
      <c r="H129" t="str">
        <f>IF($D129&lt;&gt;"Include","",IFERROR(SUM(Data!P129:R129)-SUM(Data!S129:U129),""))</f>
        <v/>
      </c>
      <c r="I129" t="str">
        <f>IF($D129&lt;&gt;"Include","",SUM(Data!M129:O129))</f>
        <v/>
      </c>
      <c r="J129" s="7" t="str">
        <f>IF($D129&lt;&gt;"Include","",IFERROR(IF(OR(Data!K129&lt;=0,F129&lt;=0),"n/m",($F129/Data!K129)),""))</f>
        <v/>
      </c>
      <c r="K129" s="9" t="str">
        <f>IF($D129&lt;&gt;"Include","",IFERROR(G129/Data!Z129,""))</f>
        <v/>
      </c>
      <c r="L129" s="9" t="str">
        <f t="shared" si="12"/>
        <v/>
      </c>
      <c r="M129" s="7" t="str">
        <f>IF($D129&lt;&gt;"Include","",IFERROR(IF(Data!L129&lt;=0,"n,m",E129/Data!L129),""))</f>
        <v/>
      </c>
      <c r="N129" s="9" t="str">
        <f>IF($D129&lt;&gt;"Include","",IFERROR(IF(OR(Data!I129&lt;=0,Data!J129&lt;=0),"n/m",(Data!I129/Data!J129)^(1/3)-1),""))</f>
        <v/>
      </c>
      <c r="O129" t="str">
        <f t="shared" si="7"/>
        <v/>
      </c>
      <c r="P129" t="str">
        <f t="shared" si="8"/>
        <v/>
      </c>
      <c r="Q129" t="str">
        <f t="shared" si="9"/>
        <v/>
      </c>
      <c r="R129" t="str">
        <f t="shared" si="10"/>
        <v/>
      </c>
      <c r="S129" t="str">
        <f t="shared" si="11"/>
        <v/>
      </c>
      <c r="T129" s="10" t="str">
        <f t="shared" si="13"/>
        <v/>
      </c>
      <c r="U129" t="str">
        <f>IF($D129&lt;&gt;"Include","",_xlfn.RANK.EQ(T129,T$6:T$305,1)+COUNTIFS(T$6:T129,T129)-1)</f>
        <v/>
      </c>
    </row>
    <row r="130" spans="1:21" x14ac:dyDescent="0.4">
      <c r="A130" t="str">
        <f>Data!A130</f>
        <v>JEGI</v>
      </c>
      <c r="B130" t="str">
        <f>Data!B130</f>
        <v>JPMorgan European Growth &amp; Income</v>
      </c>
      <c r="C130" t="str">
        <f>Data!D130</f>
        <v>Financials</v>
      </c>
      <c r="D130" t="str">
        <f>Data!E130</f>
        <v>Exclude</v>
      </c>
      <c r="E130" t="str">
        <f>IF($D130&lt;&gt;"Include","",SUM(Data!V130:W130)-SUM(Data!X130))</f>
        <v/>
      </c>
      <c r="F130" t="str">
        <f>IF($D130&lt;&gt;"Include","",SUM(Data!Z130,Data!Y130,Metrics!E130))</f>
        <v/>
      </c>
      <c r="G130" t="str">
        <f>IF($D130&lt;&gt;"Include","",IFERROR(Data!P130-Data!S130,""))</f>
        <v/>
      </c>
      <c r="H130" t="str">
        <f>IF($D130&lt;&gt;"Include","",IFERROR(SUM(Data!P130:R130)-SUM(Data!S130:U130),""))</f>
        <v/>
      </c>
      <c r="I130" t="str">
        <f>IF($D130&lt;&gt;"Include","",SUM(Data!M130:O130))</f>
        <v/>
      </c>
      <c r="J130" s="7" t="str">
        <f>IF($D130&lt;&gt;"Include","",IFERROR(IF(OR(Data!K130&lt;=0,F130&lt;=0),"n/m",($F130/Data!K130)),""))</f>
        <v/>
      </c>
      <c r="K130" s="9" t="str">
        <f>IF($D130&lt;&gt;"Include","",IFERROR(G130/Data!Z130,""))</f>
        <v/>
      </c>
      <c r="L130" s="9" t="str">
        <f t="shared" si="12"/>
        <v/>
      </c>
      <c r="M130" s="7" t="str">
        <f>IF($D130&lt;&gt;"Include","",IFERROR(IF(Data!L130&lt;=0,"n,m",E130/Data!L130),""))</f>
        <v/>
      </c>
      <c r="N130" s="9" t="str">
        <f>IF($D130&lt;&gt;"Include","",IFERROR(IF(OR(Data!I130&lt;=0,Data!J130&lt;=0),"n/m",(Data!I130/Data!J130)^(1/3)-1),""))</f>
        <v/>
      </c>
      <c r="O130" t="str">
        <f t="shared" si="7"/>
        <v/>
      </c>
      <c r="P130" t="str">
        <f t="shared" si="8"/>
        <v/>
      </c>
      <c r="Q130" t="str">
        <f t="shared" si="9"/>
        <v/>
      </c>
      <c r="R130" t="str">
        <f t="shared" si="10"/>
        <v/>
      </c>
      <c r="S130" t="str">
        <f t="shared" si="11"/>
        <v/>
      </c>
      <c r="T130" s="10" t="str">
        <f t="shared" si="13"/>
        <v/>
      </c>
      <c r="U130" t="str">
        <f>IF($D130&lt;&gt;"Include","",_xlfn.RANK.EQ(T130,T$6:T$305,1)+COUNTIFS(T$6:T130,T130)-1)</f>
        <v/>
      </c>
    </row>
    <row r="131" spans="1:21" x14ac:dyDescent="0.4">
      <c r="A131" t="str">
        <f>Data!A131</f>
        <v>JGGI</v>
      </c>
      <c r="B131" t="str">
        <f>Data!B131</f>
        <v>JPMorgan Global Growth &amp; Income</v>
      </c>
      <c r="C131" t="str">
        <f>Data!D131</f>
        <v>Financials</v>
      </c>
      <c r="D131" t="str">
        <f>Data!E131</f>
        <v>Exclude</v>
      </c>
      <c r="E131" t="str">
        <f>IF($D131&lt;&gt;"Include","",SUM(Data!V131:W131)-SUM(Data!X131))</f>
        <v/>
      </c>
      <c r="F131" t="str">
        <f>IF($D131&lt;&gt;"Include","",SUM(Data!Z131,Data!Y131,Metrics!E131))</f>
        <v/>
      </c>
      <c r="G131" t="str">
        <f>IF($D131&lt;&gt;"Include","",IFERROR(Data!P131-Data!S131,""))</f>
        <v/>
      </c>
      <c r="H131" t="str">
        <f>IF($D131&lt;&gt;"Include","",IFERROR(SUM(Data!P131:R131)-SUM(Data!S131:U131),""))</f>
        <v/>
      </c>
      <c r="I131" t="str">
        <f>IF($D131&lt;&gt;"Include","",SUM(Data!M131:O131))</f>
        <v/>
      </c>
      <c r="J131" s="7" t="str">
        <f>IF($D131&lt;&gt;"Include","",IFERROR(IF(OR(Data!K131&lt;=0,F131&lt;=0),"n/m",($F131/Data!K131)),""))</f>
        <v/>
      </c>
      <c r="K131" s="9" t="str">
        <f>IF($D131&lt;&gt;"Include","",IFERROR(G131/Data!Z131,""))</f>
        <v/>
      </c>
      <c r="L131" s="9" t="str">
        <f t="shared" si="12"/>
        <v/>
      </c>
      <c r="M131" s="7" t="str">
        <f>IF($D131&lt;&gt;"Include","",IFERROR(IF(Data!L131&lt;=0,"n,m",E131/Data!L131),""))</f>
        <v/>
      </c>
      <c r="N131" s="9" t="str">
        <f>IF($D131&lt;&gt;"Include","",IFERROR(IF(OR(Data!I131&lt;=0,Data!J131&lt;=0),"n/m",(Data!I131/Data!J131)^(1/3)-1),""))</f>
        <v/>
      </c>
      <c r="O131" t="str">
        <f t="shared" si="7"/>
        <v/>
      </c>
      <c r="P131" t="str">
        <f t="shared" si="8"/>
        <v/>
      </c>
      <c r="Q131" t="str">
        <f t="shared" si="9"/>
        <v/>
      </c>
      <c r="R131" t="str">
        <f t="shared" si="10"/>
        <v/>
      </c>
      <c r="S131" t="str">
        <f t="shared" si="11"/>
        <v/>
      </c>
      <c r="T131" s="10" t="str">
        <f t="shared" si="13"/>
        <v/>
      </c>
      <c r="U131" t="str">
        <f>IF($D131&lt;&gt;"Include","",_xlfn.RANK.EQ(T131,T$6:T$305,1)+COUNTIFS(T$6:T131,T131)-1)</f>
        <v/>
      </c>
    </row>
    <row r="132" spans="1:21" x14ac:dyDescent="0.4">
      <c r="A132" t="str">
        <f>Data!A132</f>
        <v>JFJ</v>
      </c>
      <c r="B132" t="str">
        <f>Data!B132</f>
        <v>JPMorgan Japanese Investment Trust</v>
      </c>
      <c r="C132" t="str">
        <f>Data!D132</f>
        <v>Financials</v>
      </c>
      <c r="D132" t="str">
        <f>Data!E132</f>
        <v>Exclude</v>
      </c>
      <c r="E132" t="str">
        <f>IF($D132&lt;&gt;"Include","",SUM(Data!V132:W132)-SUM(Data!X132))</f>
        <v/>
      </c>
      <c r="F132" t="str">
        <f>IF($D132&lt;&gt;"Include","",SUM(Data!Z132,Data!Y132,Metrics!E132))</f>
        <v/>
      </c>
      <c r="G132" t="str">
        <f>IF($D132&lt;&gt;"Include","",IFERROR(Data!P132-Data!S132,""))</f>
        <v/>
      </c>
      <c r="H132" t="str">
        <f>IF($D132&lt;&gt;"Include","",IFERROR(SUM(Data!P132:R132)-SUM(Data!S132:U132),""))</f>
        <v/>
      </c>
      <c r="I132" t="str">
        <f>IF($D132&lt;&gt;"Include","",SUM(Data!M132:O132))</f>
        <v/>
      </c>
      <c r="J132" s="7" t="str">
        <f>IF($D132&lt;&gt;"Include","",IFERROR(IF(OR(Data!K132&lt;=0,F132&lt;=0),"n/m",($F132/Data!K132)),""))</f>
        <v/>
      </c>
      <c r="K132" s="9" t="str">
        <f>IF($D132&lt;&gt;"Include","",IFERROR(G132/Data!Z132,""))</f>
        <v/>
      </c>
      <c r="L132" s="9" t="str">
        <f t="shared" si="12"/>
        <v/>
      </c>
      <c r="M132" s="7" t="str">
        <f>IF($D132&lt;&gt;"Include","",IFERROR(IF(Data!L132&lt;=0,"n,m",E132/Data!L132),""))</f>
        <v/>
      </c>
      <c r="N132" s="9" t="str">
        <f>IF($D132&lt;&gt;"Include","",IFERROR(IF(OR(Data!I132&lt;=0,Data!J132&lt;=0),"n/m",(Data!I132/Data!J132)^(1/3)-1),""))</f>
        <v/>
      </c>
      <c r="O132" t="str">
        <f t="shared" si="7"/>
        <v/>
      </c>
      <c r="P132" t="str">
        <f t="shared" si="8"/>
        <v/>
      </c>
      <c r="Q132" t="str">
        <f t="shared" si="9"/>
        <v/>
      </c>
      <c r="R132" t="str">
        <f t="shared" si="10"/>
        <v/>
      </c>
      <c r="S132" t="str">
        <f t="shared" si="11"/>
        <v/>
      </c>
      <c r="T132" s="10" t="str">
        <f t="shared" si="13"/>
        <v/>
      </c>
      <c r="U132" t="str">
        <f>IF($D132&lt;&gt;"Include","",_xlfn.RANK.EQ(T132,T$6:T$305,1)+COUNTIFS(T$6:T132,T132)-1)</f>
        <v/>
      </c>
    </row>
    <row r="133" spans="1:21" x14ac:dyDescent="0.4">
      <c r="A133" t="str">
        <f>Data!A133</f>
        <v>JUP</v>
      </c>
      <c r="B133" t="str">
        <f>Data!B133</f>
        <v>Jupiter Fund Management</v>
      </c>
      <c r="C133" t="str">
        <f>Data!D133</f>
        <v>Financials</v>
      </c>
      <c r="D133" t="str">
        <f>Data!E133</f>
        <v>Exclude</v>
      </c>
      <c r="E133" t="str">
        <f>IF($D133&lt;&gt;"Include","",SUM(Data!V133:W133)-SUM(Data!X133))</f>
        <v/>
      </c>
      <c r="F133" t="str">
        <f>IF($D133&lt;&gt;"Include","",SUM(Data!Z133,Data!Y133,Metrics!E133))</f>
        <v/>
      </c>
      <c r="G133" t="str">
        <f>IF($D133&lt;&gt;"Include","",IFERROR(Data!P133-Data!S133,""))</f>
        <v/>
      </c>
      <c r="H133" t="str">
        <f>IF($D133&lt;&gt;"Include","",IFERROR(SUM(Data!P133:R133)-SUM(Data!S133:U133),""))</f>
        <v/>
      </c>
      <c r="I133" t="str">
        <f>IF($D133&lt;&gt;"Include","",SUM(Data!M133:O133))</f>
        <v/>
      </c>
      <c r="J133" s="7" t="str">
        <f>IF($D133&lt;&gt;"Include","",IFERROR(IF(OR(Data!K133&lt;=0,F133&lt;=0),"n/m",($F133/Data!K133)),""))</f>
        <v/>
      </c>
      <c r="K133" s="9" t="str">
        <f>IF($D133&lt;&gt;"Include","",IFERROR(G133/Data!Z133,""))</f>
        <v/>
      </c>
      <c r="L133" s="9" t="str">
        <f t="shared" si="12"/>
        <v/>
      </c>
      <c r="M133" s="7" t="str">
        <f>IF($D133&lt;&gt;"Include","",IFERROR(IF(Data!L133&lt;=0,"n,m",E133/Data!L133),""))</f>
        <v/>
      </c>
      <c r="N133" s="9" t="str">
        <f>IF($D133&lt;&gt;"Include","",IFERROR(IF(OR(Data!I133&lt;=0,Data!J133&lt;=0),"n/m",(Data!I133/Data!J133)^(1/3)-1),""))</f>
        <v/>
      </c>
      <c r="O133" t="str">
        <f t="shared" si="7"/>
        <v/>
      </c>
      <c r="P133" t="str">
        <f t="shared" si="8"/>
        <v/>
      </c>
      <c r="Q133" t="str">
        <f t="shared" si="9"/>
        <v/>
      </c>
      <c r="R133" t="str">
        <f t="shared" si="10"/>
        <v/>
      </c>
      <c r="S133" t="str">
        <f t="shared" si="11"/>
        <v/>
      </c>
      <c r="T133" s="10" t="str">
        <f t="shared" si="13"/>
        <v/>
      </c>
      <c r="U133" t="str">
        <f>IF($D133&lt;&gt;"Include","",_xlfn.RANK.EQ(T133,T$6:T$305,1)+COUNTIFS(T$6:T133,T133)-1)</f>
        <v/>
      </c>
    </row>
    <row r="134" spans="1:21" x14ac:dyDescent="0.4">
      <c r="A134" t="str">
        <f>Data!A134</f>
        <v>KNOS</v>
      </c>
      <c r="B134" t="str">
        <f>Data!B134</f>
        <v>Kainos</v>
      </c>
      <c r="C134" t="str">
        <f>Data!D134</f>
        <v>Technology</v>
      </c>
      <c r="D134" t="str">
        <f>Data!E134</f>
        <v>Include</v>
      </c>
      <c r="E134">
        <f>IF($D134&lt;&gt;"Include","",SUM(Data!V134:W134)-SUM(Data!X134))</f>
        <v>0</v>
      </c>
      <c r="F134" t="e">
        <f>IF($D134&lt;&gt;"Include","",SUM(Data!Z134,Data!Y134,Metrics!E134))</f>
        <v>#N/A</v>
      </c>
      <c r="G134" t="str">
        <f>IF($D134&lt;&gt;"Include","",IFERROR(Data!P134-Data!S134,""))</f>
        <v/>
      </c>
      <c r="H134">
        <f>IF($D134&lt;&gt;"Include","",IFERROR(SUM(Data!P134:R134)-SUM(Data!S134:U134),""))</f>
        <v>0</v>
      </c>
      <c r="I134">
        <f>IF($D134&lt;&gt;"Include","",SUM(Data!M134:O134))</f>
        <v>0</v>
      </c>
      <c r="J134" s="7" t="str">
        <f>IF($D134&lt;&gt;"Include","",IFERROR(IF(OR(Data!K134&lt;=0,F134&lt;=0),"n/m",($F134/Data!K134)),""))</f>
        <v/>
      </c>
      <c r="K134" s="9" t="str">
        <f>IF($D134&lt;&gt;"Include","",IFERROR(G134/Data!Z134,""))</f>
        <v/>
      </c>
      <c r="L134" s="9" t="str">
        <f t="shared" si="12"/>
        <v>n/m</v>
      </c>
      <c r="M134" s="7" t="str">
        <f>IF($D134&lt;&gt;"Include","",IFERROR(IF(Data!L134&lt;=0,"n,m",E134/Data!L134),""))</f>
        <v/>
      </c>
      <c r="N134" s="9" t="str">
        <f>IF($D134&lt;&gt;"Include","",IFERROR(IF(OR(Data!I134&lt;=0,Data!J134&lt;=0),"n/m",(Data!I134/Data!J134)^(1/3)-1),""))</f>
        <v/>
      </c>
      <c r="O134">
        <f t="shared" ref="O134:O197" si="14">IF($D134&lt;&gt;"Include","",IF(ISNUMBER(J134),_xlfn.RANK.EQ(J134,J$6:J$305,O$4),N_Co))</f>
        <v>119</v>
      </c>
      <c r="P134">
        <f t="shared" ref="P134:P197" si="15">IF($D134&lt;&gt;"Include","",IF(ISNUMBER(K134),_xlfn.RANK.EQ(K134,K$6:K$305,P$4),N_Co))</f>
        <v>119</v>
      </c>
      <c r="Q134">
        <f t="shared" ref="Q134:Q197" si="16">IF($D134&lt;&gt;"Include","",IF(ISNUMBER(L134),_xlfn.RANK.EQ(L134,L$6:L$305,Q$4),N_Co))</f>
        <v>119</v>
      </c>
      <c r="R134">
        <f t="shared" ref="R134:R197" si="17">IF($D134&lt;&gt;"Include","",IF(ISNUMBER(M134),_xlfn.RANK.EQ(M134,M$6:M$305,R$4),N_Co))</f>
        <v>119</v>
      </c>
      <c r="S134">
        <f t="shared" ref="S134:S197" si="18">IF($D134&lt;&gt;"Include","",IF(ISNUMBER(N134),_xlfn.RANK.EQ(N134,N$6:N$305,S$4),N_Co))</f>
        <v>119</v>
      </c>
      <c r="T134" s="10">
        <f t="shared" si="13"/>
        <v>119</v>
      </c>
      <c r="U134">
        <f>IF($D134&lt;&gt;"Include","",_xlfn.RANK.EQ(T134,T$6:T$305,1)+COUNTIFS(T$6:T134,T134)-1)</f>
        <v>62</v>
      </c>
    </row>
    <row r="135" spans="1:21" x14ac:dyDescent="0.4">
      <c r="A135" t="str">
        <f>Data!A135</f>
        <v>KLR</v>
      </c>
      <c r="B135" t="str">
        <f>Data!B135</f>
        <v>Keller Group</v>
      </c>
      <c r="C135" t="str">
        <f>Data!D135</f>
        <v>Industrials</v>
      </c>
      <c r="D135" t="str">
        <f>Data!E135</f>
        <v>Include</v>
      </c>
      <c r="E135">
        <f>IF($D135&lt;&gt;"Include","",SUM(Data!V135:W135)-SUM(Data!X135))</f>
        <v>0</v>
      </c>
      <c r="F135" t="e">
        <f>IF($D135&lt;&gt;"Include","",SUM(Data!Z135,Data!Y135,Metrics!E135))</f>
        <v>#N/A</v>
      </c>
      <c r="G135" t="str">
        <f>IF($D135&lt;&gt;"Include","",IFERROR(Data!P135-Data!S135,""))</f>
        <v/>
      </c>
      <c r="H135">
        <f>IF($D135&lt;&gt;"Include","",IFERROR(SUM(Data!P135:R135)-SUM(Data!S135:U135),""))</f>
        <v>0</v>
      </c>
      <c r="I135">
        <f>IF($D135&lt;&gt;"Include","",SUM(Data!M135:O135))</f>
        <v>0</v>
      </c>
      <c r="J135" s="7" t="str">
        <f>IF($D135&lt;&gt;"Include","",IFERROR(IF(OR(Data!K135&lt;=0,F135&lt;=0),"n/m",($F135/Data!K135)),""))</f>
        <v/>
      </c>
      <c r="K135" s="9" t="str">
        <f>IF($D135&lt;&gt;"Include","",IFERROR(G135/Data!Z135,""))</f>
        <v/>
      </c>
      <c r="L135" s="9" t="str">
        <f t="shared" ref="L135:L198" si="19">IF($D135&lt;&gt;"Include","",IFERROR(IF(I135&lt;=0,"n/m",H135/I135),""))</f>
        <v>n/m</v>
      </c>
      <c r="M135" s="7" t="str">
        <f>IF($D135&lt;&gt;"Include","",IFERROR(IF(Data!L135&lt;=0,"n,m",E135/Data!L135),""))</f>
        <v/>
      </c>
      <c r="N135" s="9" t="str">
        <f>IF($D135&lt;&gt;"Include","",IFERROR(IF(OR(Data!I135&lt;=0,Data!J135&lt;=0),"n/m",(Data!I135/Data!J135)^(1/3)-1),""))</f>
        <v/>
      </c>
      <c r="O135">
        <f t="shared" si="14"/>
        <v>119</v>
      </c>
      <c r="P135">
        <f t="shared" si="15"/>
        <v>119</v>
      </c>
      <c r="Q135">
        <f t="shared" si="16"/>
        <v>119</v>
      </c>
      <c r="R135">
        <f t="shared" si="17"/>
        <v>119</v>
      </c>
      <c r="S135">
        <f t="shared" si="18"/>
        <v>119</v>
      </c>
      <c r="T135" s="10">
        <f t="shared" ref="T135:T198" si="20">IF($D135&lt;&gt;"Include","",ROUND(SUMPRODUCT(O135:S135,$O$3:$S$3),6))</f>
        <v>119</v>
      </c>
      <c r="U135">
        <f>IF($D135&lt;&gt;"Include","",_xlfn.RANK.EQ(T135,T$6:T$305,1)+COUNTIFS(T$6:T135,T135)-1)</f>
        <v>63</v>
      </c>
    </row>
    <row r="136" spans="1:21" x14ac:dyDescent="0.4">
      <c r="A136" t="str">
        <f>Data!A136</f>
        <v>KIE</v>
      </c>
      <c r="B136" t="str">
        <f>Data!B136</f>
        <v>Kier Group</v>
      </c>
      <c r="C136" t="str">
        <f>Data!D136</f>
        <v>Industrials</v>
      </c>
      <c r="D136" t="str">
        <f>Data!E136</f>
        <v>Include</v>
      </c>
      <c r="E136">
        <f>IF($D136&lt;&gt;"Include","",SUM(Data!V136:W136)-SUM(Data!X136))</f>
        <v>0</v>
      </c>
      <c r="F136" t="e">
        <f>IF($D136&lt;&gt;"Include","",SUM(Data!Z136,Data!Y136,Metrics!E136))</f>
        <v>#N/A</v>
      </c>
      <c r="G136" t="str">
        <f>IF($D136&lt;&gt;"Include","",IFERROR(Data!P136-Data!S136,""))</f>
        <v/>
      </c>
      <c r="H136">
        <f>IF($D136&lt;&gt;"Include","",IFERROR(SUM(Data!P136:R136)-SUM(Data!S136:U136),""))</f>
        <v>0</v>
      </c>
      <c r="I136">
        <f>IF($D136&lt;&gt;"Include","",SUM(Data!M136:O136))</f>
        <v>0</v>
      </c>
      <c r="J136" s="7" t="str">
        <f>IF($D136&lt;&gt;"Include","",IFERROR(IF(OR(Data!K136&lt;=0,F136&lt;=0),"n/m",($F136/Data!K136)),""))</f>
        <v/>
      </c>
      <c r="K136" s="9" t="str">
        <f>IF($D136&lt;&gt;"Include","",IFERROR(G136/Data!Z136,""))</f>
        <v/>
      </c>
      <c r="L136" s="9" t="str">
        <f t="shared" si="19"/>
        <v>n/m</v>
      </c>
      <c r="M136" s="7" t="str">
        <f>IF($D136&lt;&gt;"Include","",IFERROR(IF(Data!L136&lt;=0,"n,m",E136/Data!L136),""))</f>
        <v/>
      </c>
      <c r="N136" s="9" t="str">
        <f>IF($D136&lt;&gt;"Include","",IFERROR(IF(OR(Data!I136&lt;=0,Data!J136&lt;=0),"n/m",(Data!I136/Data!J136)^(1/3)-1),""))</f>
        <v/>
      </c>
      <c r="O136">
        <f t="shared" si="14"/>
        <v>119</v>
      </c>
      <c r="P136">
        <f t="shared" si="15"/>
        <v>119</v>
      </c>
      <c r="Q136">
        <f t="shared" si="16"/>
        <v>119</v>
      </c>
      <c r="R136">
        <f t="shared" si="17"/>
        <v>119</v>
      </c>
      <c r="S136">
        <f t="shared" si="18"/>
        <v>119</v>
      </c>
      <c r="T136" s="10">
        <f t="shared" si="20"/>
        <v>119</v>
      </c>
      <c r="U136">
        <f>IF($D136&lt;&gt;"Include","",_xlfn.RANK.EQ(T136,T$6:T$305,1)+COUNTIFS(T$6:T136,T136)-1)</f>
        <v>64</v>
      </c>
    </row>
    <row r="137" spans="1:21" x14ac:dyDescent="0.4">
      <c r="A137" t="str">
        <f>Data!A137</f>
        <v>LRE</v>
      </c>
      <c r="B137" t="str">
        <f>Data!B137</f>
        <v>Lancashire Holdings</v>
      </c>
      <c r="C137" t="str">
        <f>Data!D137</f>
        <v>Financials</v>
      </c>
      <c r="D137" t="str">
        <f>Data!E137</f>
        <v>Exclude</v>
      </c>
      <c r="E137" t="str">
        <f>IF($D137&lt;&gt;"Include","",SUM(Data!V137:W137)-SUM(Data!X137))</f>
        <v/>
      </c>
      <c r="F137" t="str">
        <f>IF($D137&lt;&gt;"Include","",SUM(Data!Z137,Data!Y137,Metrics!E137))</f>
        <v/>
      </c>
      <c r="G137" t="str">
        <f>IF($D137&lt;&gt;"Include","",IFERROR(Data!P137-Data!S137,""))</f>
        <v/>
      </c>
      <c r="H137" t="str">
        <f>IF($D137&lt;&gt;"Include","",IFERROR(SUM(Data!P137:R137)-SUM(Data!S137:U137),""))</f>
        <v/>
      </c>
      <c r="I137" t="str">
        <f>IF($D137&lt;&gt;"Include","",SUM(Data!M137:O137))</f>
        <v/>
      </c>
      <c r="J137" s="7" t="str">
        <f>IF($D137&lt;&gt;"Include","",IFERROR(IF(OR(Data!K137&lt;=0,F137&lt;=0),"n/m",($F137/Data!K137)),""))</f>
        <v/>
      </c>
      <c r="K137" s="9" t="str">
        <f>IF($D137&lt;&gt;"Include","",IFERROR(G137/Data!Z137,""))</f>
        <v/>
      </c>
      <c r="L137" s="9" t="str">
        <f t="shared" si="19"/>
        <v/>
      </c>
      <c r="M137" s="7" t="str">
        <f>IF($D137&lt;&gt;"Include","",IFERROR(IF(Data!L137&lt;=0,"n,m",E137/Data!L137),""))</f>
        <v/>
      </c>
      <c r="N137" s="9" t="str">
        <f>IF($D137&lt;&gt;"Include","",IFERROR(IF(OR(Data!I137&lt;=0,Data!J137&lt;=0),"n/m",(Data!I137/Data!J137)^(1/3)-1),""))</f>
        <v/>
      </c>
      <c r="O137" t="str">
        <f t="shared" si="14"/>
        <v/>
      </c>
      <c r="P137" t="str">
        <f t="shared" si="15"/>
        <v/>
      </c>
      <c r="Q137" t="str">
        <f t="shared" si="16"/>
        <v/>
      </c>
      <c r="R137" t="str">
        <f t="shared" si="17"/>
        <v/>
      </c>
      <c r="S137" t="str">
        <f t="shared" si="18"/>
        <v/>
      </c>
      <c r="T137" s="10" t="str">
        <f t="shared" si="20"/>
        <v/>
      </c>
      <c r="U137" t="str">
        <f>IF($D137&lt;&gt;"Include","",_xlfn.RANK.EQ(T137,T$6:T$305,1)+COUNTIFS(T$6:T137,T137)-1)</f>
        <v/>
      </c>
    </row>
    <row r="138" spans="1:21" x14ac:dyDescent="0.4">
      <c r="A138" t="str">
        <f>Data!A138</f>
        <v>LWDB</v>
      </c>
      <c r="B138" t="str">
        <f>Data!B138</f>
        <v>Law Debenture</v>
      </c>
      <c r="C138" t="str">
        <f>Data!D138</f>
        <v>Financials</v>
      </c>
      <c r="D138" t="str">
        <f>Data!E138</f>
        <v>Exclude</v>
      </c>
      <c r="E138" t="str">
        <f>IF($D138&lt;&gt;"Include","",SUM(Data!V138:W138)-SUM(Data!X138))</f>
        <v/>
      </c>
      <c r="F138" t="str">
        <f>IF($D138&lt;&gt;"Include","",SUM(Data!Z138,Data!Y138,Metrics!E138))</f>
        <v/>
      </c>
      <c r="G138" t="str">
        <f>IF($D138&lt;&gt;"Include","",IFERROR(Data!P138-Data!S138,""))</f>
        <v/>
      </c>
      <c r="H138" t="str">
        <f>IF($D138&lt;&gt;"Include","",IFERROR(SUM(Data!P138:R138)-SUM(Data!S138:U138),""))</f>
        <v/>
      </c>
      <c r="I138" t="str">
        <f>IF($D138&lt;&gt;"Include","",SUM(Data!M138:O138))</f>
        <v/>
      </c>
      <c r="J138" s="7" t="str">
        <f>IF($D138&lt;&gt;"Include","",IFERROR(IF(OR(Data!K138&lt;=0,F138&lt;=0),"n/m",($F138/Data!K138)),""))</f>
        <v/>
      </c>
      <c r="K138" s="9" t="str">
        <f>IF($D138&lt;&gt;"Include","",IFERROR(G138/Data!Z138,""))</f>
        <v/>
      </c>
      <c r="L138" s="9" t="str">
        <f t="shared" si="19"/>
        <v/>
      </c>
      <c r="M138" s="7" t="str">
        <f>IF($D138&lt;&gt;"Include","",IFERROR(IF(Data!L138&lt;=0,"n,m",E138/Data!L138),""))</f>
        <v/>
      </c>
      <c r="N138" s="9" t="str">
        <f>IF($D138&lt;&gt;"Include","",IFERROR(IF(OR(Data!I138&lt;=0,Data!J138&lt;=0),"n/m",(Data!I138/Data!J138)^(1/3)-1),""))</f>
        <v/>
      </c>
      <c r="O138" t="str">
        <f t="shared" si="14"/>
        <v/>
      </c>
      <c r="P138" t="str">
        <f t="shared" si="15"/>
        <v/>
      </c>
      <c r="Q138" t="str">
        <f t="shared" si="16"/>
        <v/>
      </c>
      <c r="R138" t="str">
        <f t="shared" si="17"/>
        <v/>
      </c>
      <c r="S138" t="str">
        <f t="shared" si="18"/>
        <v/>
      </c>
      <c r="T138" s="10" t="str">
        <f t="shared" si="20"/>
        <v/>
      </c>
      <c r="U138" t="str">
        <f>IF($D138&lt;&gt;"Include","",_xlfn.RANK.EQ(T138,T$6:T$305,1)+COUNTIFS(T$6:T138,T138)-1)</f>
        <v/>
      </c>
    </row>
    <row r="139" spans="1:21" x14ac:dyDescent="0.4">
      <c r="A139" t="str">
        <f>Data!A139</f>
        <v>EMG</v>
      </c>
      <c r="B139" t="str">
        <f>Data!B139</f>
        <v>Man Group</v>
      </c>
      <c r="C139" t="str">
        <f>Data!D139</f>
        <v>Financials</v>
      </c>
      <c r="D139" t="str">
        <f>Data!E139</f>
        <v>Exclude</v>
      </c>
      <c r="E139" t="str">
        <f>IF($D139&lt;&gt;"Include","",SUM(Data!V139:W139)-SUM(Data!X139))</f>
        <v/>
      </c>
      <c r="F139" t="str">
        <f>IF($D139&lt;&gt;"Include","",SUM(Data!Z139,Data!Y139,Metrics!E139))</f>
        <v/>
      </c>
      <c r="G139" t="str">
        <f>IF($D139&lt;&gt;"Include","",IFERROR(Data!P139-Data!S139,""))</f>
        <v/>
      </c>
      <c r="H139" t="str">
        <f>IF($D139&lt;&gt;"Include","",IFERROR(SUM(Data!P139:R139)-SUM(Data!S139:U139),""))</f>
        <v/>
      </c>
      <c r="I139" t="str">
        <f>IF($D139&lt;&gt;"Include","",SUM(Data!M139:O139))</f>
        <v/>
      </c>
      <c r="J139" s="7" t="str">
        <f>IF($D139&lt;&gt;"Include","",IFERROR(IF(OR(Data!K139&lt;=0,F139&lt;=0),"n/m",($F139/Data!K139)),""))</f>
        <v/>
      </c>
      <c r="K139" s="9" t="str">
        <f>IF($D139&lt;&gt;"Include","",IFERROR(G139/Data!Z139,""))</f>
        <v/>
      </c>
      <c r="L139" s="9" t="str">
        <f t="shared" si="19"/>
        <v/>
      </c>
      <c r="M139" s="7" t="str">
        <f>IF($D139&lt;&gt;"Include","",IFERROR(IF(Data!L139&lt;=0,"n,m",E139/Data!L139),""))</f>
        <v/>
      </c>
      <c r="N139" s="9" t="str">
        <f>IF($D139&lt;&gt;"Include","",IFERROR(IF(OR(Data!I139&lt;=0,Data!J139&lt;=0),"n/m",(Data!I139/Data!J139)^(1/3)-1),""))</f>
        <v/>
      </c>
      <c r="O139" t="str">
        <f t="shared" si="14"/>
        <v/>
      </c>
      <c r="P139" t="str">
        <f t="shared" si="15"/>
        <v/>
      </c>
      <c r="Q139" t="str">
        <f t="shared" si="16"/>
        <v/>
      </c>
      <c r="R139" t="str">
        <f t="shared" si="17"/>
        <v/>
      </c>
      <c r="S139" t="str">
        <f t="shared" si="18"/>
        <v/>
      </c>
      <c r="T139" s="10" t="str">
        <f t="shared" si="20"/>
        <v/>
      </c>
      <c r="U139" t="str">
        <f>IF($D139&lt;&gt;"Include","",_xlfn.RANK.EQ(T139,T$6:T$305,1)+COUNTIFS(T$6:T139,T139)-1)</f>
        <v/>
      </c>
    </row>
    <row r="140" spans="1:21" x14ac:dyDescent="0.4">
      <c r="A140" t="str">
        <f>Data!A140</f>
        <v>MEGP</v>
      </c>
      <c r="B140" t="str">
        <f>Data!B140</f>
        <v>ME Group International</v>
      </c>
      <c r="C140" t="str">
        <f>Data!D140</f>
        <v>Consumer Discretionary</v>
      </c>
      <c r="D140" t="str">
        <f>Data!E140</f>
        <v>Include</v>
      </c>
      <c r="E140">
        <f>IF($D140&lt;&gt;"Include","",SUM(Data!V140:W140)-SUM(Data!X140))</f>
        <v>0</v>
      </c>
      <c r="F140" t="e">
        <f>IF($D140&lt;&gt;"Include","",SUM(Data!Z140,Data!Y140,Metrics!E140))</f>
        <v>#N/A</v>
      </c>
      <c r="G140" t="str">
        <f>IF($D140&lt;&gt;"Include","",IFERROR(Data!P140-Data!S140,""))</f>
        <v/>
      </c>
      <c r="H140">
        <f>IF($D140&lt;&gt;"Include","",IFERROR(SUM(Data!P140:R140)-SUM(Data!S140:U140),""))</f>
        <v>0</v>
      </c>
      <c r="I140">
        <f>IF($D140&lt;&gt;"Include","",SUM(Data!M140:O140))</f>
        <v>0</v>
      </c>
      <c r="J140" s="7" t="str">
        <f>IF($D140&lt;&gt;"Include","",IFERROR(IF(OR(Data!K140&lt;=0,F140&lt;=0),"n/m",($F140/Data!K140)),""))</f>
        <v/>
      </c>
      <c r="K140" s="9" t="str">
        <f>IF($D140&lt;&gt;"Include","",IFERROR(G140/Data!Z140,""))</f>
        <v/>
      </c>
      <c r="L140" s="9" t="str">
        <f t="shared" si="19"/>
        <v>n/m</v>
      </c>
      <c r="M140" s="7" t="str">
        <f>IF($D140&lt;&gt;"Include","",IFERROR(IF(Data!L140&lt;=0,"n,m",E140/Data!L140),""))</f>
        <v/>
      </c>
      <c r="N140" s="9" t="str">
        <f>IF($D140&lt;&gt;"Include","",IFERROR(IF(OR(Data!I140&lt;=0,Data!J140&lt;=0),"n/m",(Data!I140/Data!J140)^(1/3)-1),""))</f>
        <v/>
      </c>
      <c r="O140">
        <f t="shared" si="14"/>
        <v>119</v>
      </c>
      <c r="P140">
        <f t="shared" si="15"/>
        <v>119</v>
      </c>
      <c r="Q140">
        <f t="shared" si="16"/>
        <v>119</v>
      </c>
      <c r="R140">
        <f t="shared" si="17"/>
        <v>119</v>
      </c>
      <c r="S140">
        <f t="shared" si="18"/>
        <v>119</v>
      </c>
      <c r="T140" s="10">
        <f t="shared" si="20"/>
        <v>119</v>
      </c>
      <c r="U140">
        <f>IF($D140&lt;&gt;"Include","",_xlfn.RANK.EQ(T140,T$6:T$305,1)+COUNTIFS(T$6:T140,T140)-1)</f>
        <v>65</v>
      </c>
    </row>
    <row r="141" spans="1:21" x14ac:dyDescent="0.4">
      <c r="A141" t="str">
        <f>Data!A141</f>
        <v>MRC</v>
      </c>
      <c r="B141" t="str">
        <f>Data!B141</f>
        <v>Mercantile Investment Trust</v>
      </c>
      <c r="C141" t="str">
        <f>Data!D141</f>
        <v>Financials</v>
      </c>
      <c r="D141" t="str">
        <f>Data!E141</f>
        <v>Exclude</v>
      </c>
      <c r="E141" t="str">
        <f>IF($D141&lt;&gt;"Include","",SUM(Data!V141:W141)-SUM(Data!X141))</f>
        <v/>
      </c>
      <c r="F141" t="str">
        <f>IF($D141&lt;&gt;"Include","",SUM(Data!Z141,Data!Y141,Metrics!E141))</f>
        <v/>
      </c>
      <c r="G141" t="str">
        <f>IF($D141&lt;&gt;"Include","",IFERROR(Data!P141-Data!S141,""))</f>
        <v/>
      </c>
      <c r="H141" t="str">
        <f>IF($D141&lt;&gt;"Include","",IFERROR(SUM(Data!P141:R141)-SUM(Data!S141:U141),""))</f>
        <v/>
      </c>
      <c r="I141" t="str">
        <f>IF($D141&lt;&gt;"Include","",SUM(Data!M141:O141))</f>
        <v/>
      </c>
      <c r="J141" s="7" t="str">
        <f>IF($D141&lt;&gt;"Include","",IFERROR(IF(OR(Data!K141&lt;=0,F141&lt;=0),"n/m",($F141/Data!K141)),""))</f>
        <v/>
      </c>
      <c r="K141" s="9" t="str">
        <f>IF($D141&lt;&gt;"Include","",IFERROR(G141/Data!Z141,""))</f>
        <v/>
      </c>
      <c r="L141" s="9" t="str">
        <f t="shared" si="19"/>
        <v/>
      </c>
      <c r="M141" s="7" t="str">
        <f>IF($D141&lt;&gt;"Include","",IFERROR(IF(Data!L141&lt;=0,"n,m",E141/Data!L141),""))</f>
        <v/>
      </c>
      <c r="N141" s="9" t="str">
        <f>IF($D141&lt;&gt;"Include","",IFERROR(IF(OR(Data!I141&lt;=0,Data!J141&lt;=0),"n/m",(Data!I141/Data!J141)^(1/3)-1),""))</f>
        <v/>
      </c>
      <c r="O141" t="str">
        <f t="shared" si="14"/>
        <v/>
      </c>
      <c r="P141" t="str">
        <f t="shared" si="15"/>
        <v/>
      </c>
      <c r="Q141" t="str">
        <f t="shared" si="16"/>
        <v/>
      </c>
      <c r="R141" t="str">
        <f t="shared" si="17"/>
        <v/>
      </c>
      <c r="S141" t="str">
        <f t="shared" si="18"/>
        <v/>
      </c>
      <c r="T141" s="10" t="str">
        <f t="shared" si="20"/>
        <v/>
      </c>
      <c r="U141" t="str">
        <f>IF($D141&lt;&gt;"Include","",_xlfn.RANK.EQ(T141,T$6:T$305,1)+COUNTIFS(T$6:T141,T141)-1)</f>
        <v/>
      </c>
    </row>
    <row r="142" spans="1:21" x14ac:dyDescent="0.4">
      <c r="A142" t="str">
        <f>Data!A142</f>
        <v>MRCH</v>
      </c>
      <c r="B142" t="str">
        <f>Data!B142</f>
        <v>Merchants Trust</v>
      </c>
      <c r="C142" t="str">
        <f>Data!D142</f>
        <v>Financials</v>
      </c>
      <c r="D142" t="str">
        <f>Data!E142</f>
        <v>Exclude</v>
      </c>
      <c r="E142" t="str">
        <f>IF($D142&lt;&gt;"Include","",SUM(Data!V142:W142)-SUM(Data!X142))</f>
        <v/>
      </c>
      <c r="F142" t="str">
        <f>IF($D142&lt;&gt;"Include","",SUM(Data!Z142,Data!Y142,Metrics!E142))</f>
        <v/>
      </c>
      <c r="G142" t="str">
        <f>IF($D142&lt;&gt;"Include","",IFERROR(Data!P142-Data!S142,""))</f>
        <v/>
      </c>
      <c r="H142" t="str">
        <f>IF($D142&lt;&gt;"Include","",IFERROR(SUM(Data!P142:R142)-SUM(Data!S142:U142),""))</f>
        <v/>
      </c>
      <c r="I142" t="str">
        <f>IF($D142&lt;&gt;"Include","",SUM(Data!M142:O142))</f>
        <v/>
      </c>
      <c r="J142" s="7" t="str">
        <f>IF($D142&lt;&gt;"Include","",IFERROR(IF(OR(Data!K142&lt;=0,F142&lt;=0),"n/m",($F142/Data!K142)),""))</f>
        <v/>
      </c>
      <c r="K142" s="9" t="str">
        <f>IF($D142&lt;&gt;"Include","",IFERROR(G142/Data!Z142,""))</f>
        <v/>
      </c>
      <c r="L142" s="9" t="str">
        <f t="shared" si="19"/>
        <v/>
      </c>
      <c r="M142" s="7" t="str">
        <f>IF($D142&lt;&gt;"Include","",IFERROR(IF(Data!L142&lt;=0,"n,m",E142/Data!L142),""))</f>
        <v/>
      </c>
      <c r="N142" s="9" t="str">
        <f>IF($D142&lt;&gt;"Include","",IFERROR(IF(OR(Data!I142&lt;=0,Data!J142&lt;=0),"n/m",(Data!I142/Data!J142)^(1/3)-1),""))</f>
        <v/>
      </c>
      <c r="O142" t="str">
        <f t="shared" si="14"/>
        <v/>
      </c>
      <c r="P142" t="str">
        <f t="shared" si="15"/>
        <v/>
      </c>
      <c r="Q142" t="str">
        <f t="shared" si="16"/>
        <v/>
      </c>
      <c r="R142" t="str">
        <f t="shared" si="17"/>
        <v/>
      </c>
      <c r="S142" t="str">
        <f t="shared" si="18"/>
        <v/>
      </c>
      <c r="T142" s="10" t="str">
        <f t="shared" si="20"/>
        <v/>
      </c>
      <c r="U142" t="str">
        <f>IF($D142&lt;&gt;"Include","",_xlfn.RANK.EQ(T142,T$6:T$305,1)+COUNTIFS(T$6:T142,T142)-1)</f>
        <v/>
      </c>
    </row>
    <row r="143" spans="1:21" x14ac:dyDescent="0.4">
      <c r="A143" t="str">
        <f>Data!A143</f>
        <v>MNO</v>
      </c>
      <c r="B143" t="str">
        <f>Data!B143</f>
        <v>Meridian Mining</v>
      </c>
      <c r="C143" t="str">
        <f>Data!D143</f>
        <v>Basic Materials</v>
      </c>
      <c r="D143" t="str">
        <f>Data!E143</f>
        <v>Exclude</v>
      </c>
      <c r="E143" t="str">
        <f>IF($D143&lt;&gt;"Include","",SUM(Data!V143:W143)-SUM(Data!X143))</f>
        <v/>
      </c>
      <c r="F143" t="str">
        <f>IF($D143&lt;&gt;"Include","",SUM(Data!Z143,Data!Y143,Metrics!E143))</f>
        <v/>
      </c>
      <c r="G143" t="str">
        <f>IF($D143&lt;&gt;"Include","",IFERROR(Data!P143-Data!S143,""))</f>
        <v/>
      </c>
      <c r="H143" t="str">
        <f>IF($D143&lt;&gt;"Include","",IFERROR(SUM(Data!P143:R143)-SUM(Data!S143:U143),""))</f>
        <v/>
      </c>
      <c r="I143" t="str">
        <f>IF($D143&lt;&gt;"Include","",SUM(Data!M143:O143))</f>
        <v/>
      </c>
      <c r="J143" s="7" t="str">
        <f>IF($D143&lt;&gt;"Include","",IFERROR(IF(OR(Data!K143&lt;=0,F143&lt;=0),"n/m",($F143/Data!K143)),""))</f>
        <v/>
      </c>
      <c r="K143" s="9" t="str">
        <f>IF($D143&lt;&gt;"Include","",IFERROR(G143/Data!Z143,""))</f>
        <v/>
      </c>
      <c r="L143" s="9" t="str">
        <f t="shared" si="19"/>
        <v/>
      </c>
      <c r="M143" s="7" t="str">
        <f>IF($D143&lt;&gt;"Include","",IFERROR(IF(Data!L143&lt;=0,"n,m",E143/Data!L143),""))</f>
        <v/>
      </c>
      <c r="N143" s="9" t="str">
        <f>IF($D143&lt;&gt;"Include","",IFERROR(IF(OR(Data!I143&lt;=0,Data!J143&lt;=0),"n/m",(Data!I143/Data!J143)^(1/3)-1),""))</f>
        <v/>
      </c>
      <c r="O143" t="str">
        <f t="shared" si="14"/>
        <v/>
      </c>
      <c r="P143" t="str">
        <f t="shared" si="15"/>
        <v/>
      </c>
      <c r="Q143" t="str">
        <f t="shared" si="16"/>
        <v/>
      </c>
      <c r="R143" t="str">
        <f t="shared" si="17"/>
        <v/>
      </c>
      <c r="S143" t="str">
        <f t="shared" si="18"/>
        <v/>
      </c>
      <c r="T143" s="10" t="str">
        <f t="shared" si="20"/>
        <v/>
      </c>
      <c r="U143" t="str">
        <f>IF($D143&lt;&gt;"Include","",_xlfn.RANK.EQ(T143,T$6:T$305,1)+COUNTIFS(T$6:T143,T143)-1)</f>
        <v/>
      </c>
    </row>
    <row r="144" spans="1:21" x14ac:dyDescent="0.4">
      <c r="A144" t="str">
        <f>Data!A144</f>
        <v>MTRO</v>
      </c>
      <c r="B144" t="str">
        <f>Data!B144</f>
        <v>Metro Bank</v>
      </c>
      <c r="C144" t="str">
        <f>Data!D144</f>
        <v>Financials</v>
      </c>
      <c r="D144" t="str">
        <f>Data!E144</f>
        <v>Exclude</v>
      </c>
      <c r="E144" t="str">
        <f>IF($D144&lt;&gt;"Include","",SUM(Data!V144:W144)-SUM(Data!X144))</f>
        <v/>
      </c>
      <c r="F144" t="str">
        <f>IF($D144&lt;&gt;"Include","",SUM(Data!Z144,Data!Y144,Metrics!E144))</f>
        <v/>
      </c>
      <c r="G144" t="str">
        <f>IF($D144&lt;&gt;"Include","",IFERROR(Data!P144-Data!S144,""))</f>
        <v/>
      </c>
      <c r="H144" t="str">
        <f>IF($D144&lt;&gt;"Include","",IFERROR(SUM(Data!P144:R144)-SUM(Data!S144:U144),""))</f>
        <v/>
      </c>
      <c r="I144" t="str">
        <f>IF($D144&lt;&gt;"Include","",SUM(Data!M144:O144))</f>
        <v/>
      </c>
      <c r="J144" s="7" t="str">
        <f>IF($D144&lt;&gt;"Include","",IFERROR(IF(OR(Data!K144&lt;=0,F144&lt;=0),"n/m",($F144/Data!K144)),""))</f>
        <v/>
      </c>
      <c r="K144" s="9" t="str">
        <f>IF($D144&lt;&gt;"Include","",IFERROR(G144/Data!Z144,""))</f>
        <v/>
      </c>
      <c r="L144" s="9" t="str">
        <f t="shared" si="19"/>
        <v/>
      </c>
      <c r="M144" s="7" t="str">
        <f>IF($D144&lt;&gt;"Include","",IFERROR(IF(Data!L144&lt;=0,"n,m",E144/Data!L144),""))</f>
        <v/>
      </c>
      <c r="N144" s="9" t="str">
        <f>IF($D144&lt;&gt;"Include","",IFERROR(IF(OR(Data!I144&lt;=0,Data!J144&lt;=0),"n/m",(Data!I144/Data!J144)^(1/3)-1),""))</f>
        <v/>
      </c>
      <c r="O144" t="str">
        <f t="shared" si="14"/>
        <v/>
      </c>
      <c r="P144" t="str">
        <f t="shared" si="15"/>
        <v/>
      </c>
      <c r="Q144" t="str">
        <f t="shared" si="16"/>
        <v/>
      </c>
      <c r="R144" t="str">
        <f t="shared" si="17"/>
        <v/>
      </c>
      <c r="S144" t="str">
        <f t="shared" si="18"/>
        <v/>
      </c>
      <c r="T144" s="10" t="str">
        <f t="shared" si="20"/>
        <v/>
      </c>
      <c r="U144" t="str">
        <f>IF($D144&lt;&gt;"Include","",_xlfn.RANK.EQ(T144,T$6:T$305,1)+COUNTIFS(T$6:T144,T144)-1)</f>
        <v/>
      </c>
    </row>
    <row r="145" spans="1:21" x14ac:dyDescent="0.4">
      <c r="A145" t="str">
        <f>Data!A145</f>
        <v>PAGE</v>
      </c>
      <c r="B145" t="str">
        <f>Data!B145</f>
        <v>Michael Page</v>
      </c>
      <c r="C145" t="str">
        <f>Data!D145</f>
        <v>Industrials</v>
      </c>
      <c r="D145" t="str">
        <f>Data!E145</f>
        <v>Include</v>
      </c>
      <c r="E145">
        <f>IF($D145&lt;&gt;"Include","",SUM(Data!V145:W145)-SUM(Data!X145))</f>
        <v>0</v>
      </c>
      <c r="F145" t="e">
        <f>IF($D145&lt;&gt;"Include","",SUM(Data!Z145,Data!Y145,Metrics!E145))</f>
        <v>#N/A</v>
      </c>
      <c r="G145" t="str">
        <f>IF($D145&lt;&gt;"Include","",IFERROR(Data!P145-Data!S145,""))</f>
        <v/>
      </c>
      <c r="H145">
        <f>IF($D145&lt;&gt;"Include","",IFERROR(SUM(Data!P145:R145)-SUM(Data!S145:U145),""))</f>
        <v>0</v>
      </c>
      <c r="I145">
        <f>IF($D145&lt;&gt;"Include","",SUM(Data!M145:O145))</f>
        <v>0</v>
      </c>
      <c r="J145" s="7" t="str">
        <f>IF($D145&lt;&gt;"Include","",IFERROR(IF(OR(Data!K145&lt;=0,F145&lt;=0),"n/m",($F145/Data!K145)),""))</f>
        <v/>
      </c>
      <c r="K145" s="9" t="str">
        <f>IF($D145&lt;&gt;"Include","",IFERROR(G145/Data!Z145,""))</f>
        <v/>
      </c>
      <c r="L145" s="9" t="str">
        <f t="shared" si="19"/>
        <v>n/m</v>
      </c>
      <c r="M145" s="7" t="str">
        <f>IF($D145&lt;&gt;"Include","",IFERROR(IF(Data!L145&lt;=0,"n,m",E145/Data!L145),""))</f>
        <v/>
      </c>
      <c r="N145" s="9" t="str">
        <f>IF($D145&lt;&gt;"Include","",IFERROR(IF(OR(Data!I145&lt;=0,Data!J145&lt;=0),"n/m",(Data!I145/Data!J145)^(1/3)-1),""))</f>
        <v/>
      </c>
      <c r="O145">
        <f t="shared" si="14"/>
        <v>119</v>
      </c>
      <c r="P145">
        <f t="shared" si="15"/>
        <v>119</v>
      </c>
      <c r="Q145">
        <f t="shared" si="16"/>
        <v>119</v>
      </c>
      <c r="R145">
        <f t="shared" si="17"/>
        <v>119</v>
      </c>
      <c r="S145">
        <f t="shared" si="18"/>
        <v>119</v>
      </c>
      <c r="T145" s="10">
        <f t="shared" si="20"/>
        <v>119</v>
      </c>
      <c r="U145">
        <f>IF($D145&lt;&gt;"Include","",_xlfn.RANK.EQ(T145,T$6:T$305,1)+COUNTIFS(T$6:T145,T145)-1)</f>
        <v>66</v>
      </c>
    </row>
    <row r="146" spans="1:21" x14ac:dyDescent="0.4">
      <c r="A146" t="str">
        <f>Data!A146</f>
        <v>MAB</v>
      </c>
      <c r="B146" t="str">
        <f>Data!B146</f>
        <v>Mitchells &amp; Butlers</v>
      </c>
      <c r="C146" t="str">
        <f>Data!D146</f>
        <v>Consumer Discretionary</v>
      </c>
      <c r="D146" t="str">
        <f>Data!E146</f>
        <v>Include</v>
      </c>
      <c r="E146">
        <f>IF($D146&lt;&gt;"Include","",SUM(Data!V146:W146)-SUM(Data!X146))</f>
        <v>0</v>
      </c>
      <c r="F146" t="e">
        <f>IF($D146&lt;&gt;"Include","",SUM(Data!Z146,Data!Y146,Metrics!E146))</f>
        <v>#N/A</v>
      </c>
      <c r="G146" t="str">
        <f>IF($D146&lt;&gt;"Include","",IFERROR(Data!P146-Data!S146,""))</f>
        <v/>
      </c>
      <c r="H146">
        <f>IF($D146&lt;&gt;"Include","",IFERROR(SUM(Data!P146:R146)-SUM(Data!S146:U146),""))</f>
        <v>0</v>
      </c>
      <c r="I146">
        <f>IF($D146&lt;&gt;"Include","",SUM(Data!M146:O146))</f>
        <v>0</v>
      </c>
      <c r="J146" s="7" t="str">
        <f>IF($D146&lt;&gt;"Include","",IFERROR(IF(OR(Data!K146&lt;=0,F146&lt;=0),"n/m",($F146/Data!K146)),""))</f>
        <v/>
      </c>
      <c r="K146" s="9" t="str">
        <f>IF($D146&lt;&gt;"Include","",IFERROR(G146/Data!Z146,""))</f>
        <v/>
      </c>
      <c r="L146" s="9" t="str">
        <f t="shared" si="19"/>
        <v>n/m</v>
      </c>
      <c r="M146" s="7" t="str">
        <f>IF($D146&lt;&gt;"Include","",IFERROR(IF(Data!L146&lt;=0,"n,m",E146/Data!L146),""))</f>
        <v/>
      </c>
      <c r="N146" s="9" t="str">
        <f>IF($D146&lt;&gt;"Include","",IFERROR(IF(OR(Data!I146&lt;=0,Data!J146&lt;=0),"n/m",(Data!I146/Data!J146)^(1/3)-1),""))</f>
        <v/>
      </c>
      <c r="O146">
        <f t="shared" si="14"/>
        <v>119</v>
      </c>
      <c r="P146">
        <f t="shared" si="15"/>
        <v>119</v>
      </c>
      <c r="Q146">
        <f t="shared" si="16"/>
        <v>119</v>
      </c>
      <c r="R146">
        <f t="shared" si="17"/>
        <v>119</v>
      </c>
      <c r="S146">
        <f t="shared" si="18"/>
        <v>119</v>
      </c>
      <c r="T146" s="10">
        <f t="shared" si="20"/>
        <v>119</v>
      </c>
      <c r="U146">
        <f>IF($D146&lt;&gt;"Include","",_xlfn.RANK.EQ(T146,T$6:T$305,1)+COUNTIFS(T$6:T146,T146)-1)</f>
        <v>67</v>
      </c>
    </row>
    <row r="147" spans="1:21" x14ac:dyDescent="0.4">
      <c r="A147" t="str">
        <f>Data!A147</f>
        <v>MTO</v>
      </c>
      <c r="B147" t="str">
        <f>Data!B147</f>
        <v>Mitie</v>
      </c>
      <c r="C147" t="str">
        <f>Data!D147</f>
        <v>Industrials</v>
      </c>
      <c r="D147" t="str">
        <f>Data!E147</f>
        <v>Include</v>
      </c>
      <c r="E147">
        <f>IF($D147&lt;&gt;"Include","",SUM(Data!V147:W147)-SUM(Data!X147))</f>
        <v>0</v>
      </c>
      <c r="F147" t="e">
        <f>IF($D147&lt;&gt;"Include","",SUM(Data!Z147,Data!Y147,Metrics!E147))</f>
        <v>#N/A</v>
      </c>
      <c r="G147" t="str">
        <f>IF($D147&lt;&gt;"Include","",IFERROR(Data!P147-Data!S147,""))</f>
        <v/>
      </c>
      <c r="H147">
        <f>IF($D147&lt;&gt;"Include","",IFERROR(SUM(Data!P147:R147)-SUM(Data!S147:U147),""))</f>
        <v>0</v>
      </c>
      <c r="I147">
        <f>IF($D147&lt;&gt;"Include","",SUM(Data!M147:O147))</f>
        <v>0</v>
      </c>
      <c r="J147" s="7" t="str">
        <f>IF($D147&lt;&gt;"Include","",IFERROR(IF(OR(Data!K147&lt;=0,F147&lt;=0),"n/m",($F147/Data!K147)),""))</f>
        <v/>
      </c>
      <c r="K147" s="9" t="str">
        <f>IF($D147&lt;&gt;"Include","",IFERROR(G147/Data!Z147,""))</f>
        <v/>
      </c>
      <c r="L147" s="9" t="str">
        <f t="shared" si="19"/>
        <v>n/m</v>
      </c>
      <c r="M147" s="7" t="str">
        <f>IF($D147&lt;&gt;"Include","",IFERROR(IF(Data!L147&lt;=0,"n,m",E147/Data!L147),""))</f>
        <v/>
      </c>
      <c r="N147" s="9" t="str">
        <f>IF($D147&lt;&gt;"Include","",IFERROR(IF(OR(Data!I147&lt;=0,Data!J147&lt;=0),"n/m",(Data!I147/Data!J147)^(1/3)-1),""))</f>
        <v/>
      </c>
      <c r="O147">
        <f t="shared" si="14"/>
        <v>119</v>
      </c>
      <c r="P147">
        <f t="shared" si="15"/>
        <v>119</v>
      </c>
      <c r="Q147">
        <f t="shared" si="16"/>
        <v>119</v>
      </c>
      <c r="R147">
        <f t="shared" si="17"/>
        <v>119</v>
      </c>
      <c r="S147">
        <f t="shared" si="18"/>
        <v>119</v>
      </c>
      <c r="T147" s="10">
        <f t="shared" si="20"/>
        <v>119</v>
      </c>
      <c r="U147">
        <f>IF($D147&lt;&gt;"Include","",_xlfn.RANK.EQ(T147,T$6:T$305,1)+COUNTIFS(T$6:T147,T147)-1)</f>
        <v>68</v>
      </c>
    </row>
    <row r="148" spans="1:21" x14ac:dyDescent="0.4">
      <c r="A148" t="str">
        <f>Data!A148</f>
        <v>GROW</v>
      </c>
      <c r="B148" t="str">
        <f>Data!B148</f>
        <v>Molten Ventures</v>
      </c>
      <c r="C148" t="str">
        <f>Data!D148</f>
        <v>Financials</v>
      </c>
      <c r="D148" t="str">
        <f>Data!E148</f>
        <v>Exclude</v>
      </c>
      <c r="E148" t="str">
        <f>IF($D148&lt;&gt;"Include","",SUM(Data!V148:W148)-SUM(Data!X148))</f>
        <v/>
      </c>
      <c r="F148" t="str">
        <f>IF($D148&lt;&gt;"Include","",SUM(Data!Z148,Data!Y148,Metrics!E148))</f>
        <v/>
      </c>
      <c r="G148" t="str">
        <f>IF($D148&lt;&gt;"Include","",IFERROR(Data!P148-Data!S148,""))</f>
        <v/>
      </c>
      <c r="H148" t="str">
        <f>IF($D148&lt;&gt;"Include","",IFERROR(SUM(Data!P148:R148)-SUM(Data!S148:U148),""))</f>
        <v/>
      </c>
      <c r="I148" t="str">
        <f>IF($D148&lt;&gt;"Include","",SUM(Data!M148:O148))</f>
        <v/>
      </c>
      <c r="J148" s="7" t="str">
        <f>IF($D148&lt;&gt;"Include","",IFERROR(IF(OR(Data!K148&lt;=0,F148&lt;=0),"n/m",($F148/Data!K148)),""))</f>
        <v/>
      </c>
      <c r="K148" s="9" t="str">
        <f>IF($D148&lt;&gt;"Include","",IFERROR(G148/Data!Z148,""))</f>
        <v/>
      </c>
      <c r="L148" s="9" t="str">
        <f t="shared" si="19"/>
        <v/>
      </c>
      <c r="M148" s="7" t="str">
        <f>IF($D148&lt;&gt;"Include","",IFERROR(IF(Data!L148&lt;=0,"n,m",E148/Data!L148),""))</f>
        <v/>
      </c>
      <c r="N148" s="9" t="str">
        <f>IF($D148&lt;&gt;"Include","",IFERROR(IF(OR(Data!I148&lt;=0,Data!J148&lt;=0),"n/m",(Data!I148/Data!J148)^(1/3)-1),""))</f>
        <v/>
      </c>
      <c r="O148" t="str">
        <f t="shared" si="14"/>
        <v/>
      </c>
      <c r="P148" t="str">
        <f t="shared" si="15"/>
        <v/>
      </c>
      <c r="Q148" t="str">
        <f t="shared" si="16"/>
        <v/>
      </c>
      <c r="R148" t="str">
        <f t="shared" si="17"/>
        <v/>
      </c>
      <c r="S148" t="str">
        <f t="shared" si="18"/>
        <v/>
      </c>
      <c r="T148" s="10" t="str">
        <f t="shared" si="20"/>
        <v/>
      </c>
      <c r="U148" t="str">
        <f>IF($D148&lt;&gt;"Include","",_xlfn.RANK.EQ(T148,T$6:T$305,1)+COUNTIFS(T$6:T148,T148)-1)</f>
        <v/>
      </c>
    </row>
    <row r="149" spans="1:21" x14ac:dyDescent="0.4">
      <c r="A149" t="str">
        <f>Data!A149</f>
        <v>MNDI</v>
      </c>
      <c r="B149" t="str">
        <f>Data!B149</f>
        <v>Mondi</v>
      </c>
      <c r="C149" t="str">
        <f>Data!D149</f>
        <v>Industrials</v>
      </c>
      <c r="D149" t="str">
        <f>Data!E149</f>
        <v>Include</v>
      </c>
      <c r="E149">
        <f>IF($D149&lt;&gt;"Include","",SUM(Data!V149:W149)-SUM(Data!X149))</f>
        <v>0</v>
      </c>
      <c r="F149" t="e">
        <f>IF($D149&lt;&gt;"Include","",SUM(Data!Z149,Data!Y149,Metrics!E149))</f>
        <v>#N/A</v>
      </c>
      <c r="G149" t="str">
        <f>IF($D149&lt;&gt;"Include","",IFERROR(Data!P149-Data!S149,""))</f>
        <v/>
      </c>
      <c r="H149">
        <f>IF($D149&lt;&gt;"Include","",IFERROR(SUM(Data!P149:R149)-SUM(Data!S149:U149),""))</f>
        <v>0</v>
      </c>
      <c r="I149">
        <f>IF($D149&lt;&gt;"Include","",SUM(Data!M149:O149))</f>
        <v>0</v>
      </c>
      <c r="J149" s="7" t="str">
        <f>IF($D149&lt;&gt;"Include","",IFERROR(IF(OR(Data!K149&lt;=0,F149&lt;=0),"n/m",($F149/Data!K149)),""))</f>
        <v/>
      </c>
      <c r="K149" s="9" t="str">
        <f>IF($D149&lt;&gt;"Include","",IFERROR(G149/Data!Z149,""))</f>
        <v/>
      </c>
      <c r="L149" s="9" t="str">
        <f t="shared" si="19"/>
        <v>n/m</v>
      </c>
      <c r="M149" s="7" t="str">
        <f>IF($D149&lt;&gt;"Include","",IFERROR(IF(Data!L149&lt;=0,"n,m",E149/Data!L149),""))</f>
        <v/>
      </c>
      <c r="N149" s="9" t="str">
        <f>IF($D149&lt;&gt;"Include","",IFERROR(IF(OR(Data!I149&lt;=0,Data!J149&lt;=0),"n/m",(Data!I149/Data!J149)^(1/3)-1),""))</f>
        <v/>
      </c>
      <c r="O149">
        <f t="shared" si="14"/>
        <v>119</v>
      </c>
      <c r="P149">
        <f t="shared" si="15"/>
        <v>119</v>
      </c>
      <c r="Q149">
        <f t="shared" si="16"/>
        <v>119</v>
      </c>
      <c r="R149">
        <f t="shared" si="17"/>
        <v>119</v>
      </c>
      <c r="S149">
        <f t="shared" si="18"/>
        <v>119</v>
      </c>
      <c r="T149" s="10">
        <f t="shared" si="20"/>
        <v>119</v>
      </c>
      <c r="U149">
        <f>IF($D149&lt;&gt;"Include","",_xlfn.RANK.EQ(T149,T$6:T$305,1)+COUNTIFS(T$6:T149,T149)-1)</f>
        <v>69</v>
      </c>
    </row>
    <row r="150" spans="1:21" x14ac:dyDescent="0.4">
      <c r="A150" t="str">
        <f>Data!A150</f>
        <v>MNKS</v>
      </c>
      <c r="B150" t="str">
        <f>Data!B150</f>
        <v>Monks Investment Trust</v>
      </c>
      <c r="C150" t="str">
        <f>Data!D150</f>
        <v>Financials</v>
      </c>
      <c r="D150" t="str">
        <f>Data!E150</f>
        <v>Exclude</v>
      </c>
      <c r="E150" t="str">
        <f>IF($D150&lt;&gt;"Include","",SUM(Data!V150:W150)-SUM(Data!X150))</f>
        <v/>
      </c>
      <c r="F150" t="str">
        <f>IF($D150&lt;&gt;"Include","",SUM(Data!Z150,Data!Y150,Metrics!E150))</f>
        <v/>
      </c>
      <c r="G150" t="str">
        <f>IF($D150&lt;&gt;"Include","",IFERROR(Data!P150-Data!S150,""))</f>
        <v/>
      </c>
      <c r="H150" t="str">
        <f>IF($D150&lt;&gt;"Include","",IFERROR(SUM(Data!P150:R150)-SUM(Data!S150:U150),""))</f>
        <v/>
      </c>
      <c r="I150" t="str">
        <f>IF($D150&lt;&gt;"Include","",SUM(Data!M150:O150))</f>
        <v/>
      </c>
      <c r="J150" s="7" t="str">
        <f>IF($D150&lt;&gt;"Include","",IFERROR(IF(OR(Data!K150&lt;=0,F150&lt;=0),"n/m",($F150/Data!K150)),""))</f>
        <v/>
      </c>
      <c r="K150" s="9" t="str">
        <f>IF($D150&lt;&gt;"Include","",IFERROR(G150/Data!Z150,""))</f>
        <v/>
      </c>
      <c r="L150" s="9" t="str">
        <f t="shared" si="19"/>
        <v/>
      </c>
      <c r="M150" s="7" t="str">
        <f>IF($D150&lt;&gt;"Include","",IFERROR(IF(Data!L150&lt;=0,"n,m",E150/Data!L150),""))</f>
        <v/>
      </c>
      <c r="N150" s="9" t="str">
        <f>IF($D150&lt;&gt;"Include","",IFERROR(IF(OR(Data!I150&lt;=0,Data!J150&lt;=0),"n/m",(Data!I150/Data!J150)^(1/3)-1),""))</f>
        <v/>
      </c>
      <c r="O150" t="str">
        <f t="shared" si="14"/>
        <v/>
      </c>
      <c r="P150" t="str">
        <f t="shared" si="15"/>
        <v/>
      </c>
      <c r="Q150" t="str">
        <f t="shared" si="16"/>
        <v/>
      </c>
      <c r="R150" t="str">
        <f t="shared" si="17"/>
        <v/>
      </c>
      <c r="S150" t="str">
        <f t="shared" si="18"/>
        <v/>
      </c>
      <c r="T150" s="10" t="str">
        <f t="shared" si="20"/>
        <v/>
      </c>
      <c r="U150" t="str">
        <f>IF($D150&lt;&gt;"Include","",_xlfn.RANK.EQ(T150,T$6:T$305,1)+COUNTIFS(T$6:T150,T150)-1)</f>
        <v/>
      </c>
    </row>
    <row r="151" spans="1:21" x14ac:dyDescent="0.4">
      <c r="A151" t="str">
        <f>Data!A151</f>
        <v>MONY</v>
      </c>
      <c r="B151" t="str">
        <f>Data!B151</f>
        <v>MONY Group</v>
      </c>
      <c r="C151" t="str">
        <f>Data!D151</f>
        <v>Consumer Discretionary</v>
      </c>
      <c r="D151" t="str">
        <f>Data!E151</f>
        <v>Include</v>
      </c>
      <c r="E151">
        <f>IF($D151&lt;&gt;"Include","",SUM(Data!V151:W151)-SUM(Data!X151))</f>
        <v>0</v>
      </c>
      <c r="F151" t="e">
        <f>IF($D151&lt;&gt;"Include","",SUM(Data!Z151,Data!Y151,Metrics!E151))</f>
        <v>#N/A</v>
      </c>
      <c r="G151" t="str">
        <f>IF($D151&lt;&gt;"Include","",IFERROR(Data!P151-Data!S151,""))</f>
        <v/>
      </c>
      <c r="H151">
        <f>IF($D151&lt;&gt;"Include","",IFERROR(SUM(Data!P151:R151)-SUM(Data!S151:U151),""))</f>
        <v>0</v>
      </c>
      <c r="I151">
        <f>IF($D151&lt;&gt;"Include","",SUM(Data!M151:O151))</f>
        <v>0</v>
      </c>
      <c r="J151" s="7" t="str">
        <f>IF($D151&lt;&gt;"Include","",IFERROR(IF(OR(Data!K151&lt;=0,F151&lt;=0),"n/m",($F151/Data!K151)),""))</f>
        <v/>
      </c>
      <c r="K151" s="9" t="str">
        <f>IF($D151&lt;&gt;"Include","",IFERROR(G151/Data!Z151,""))</f>
        <v/>
      </c>
      <c r="L151" s="9" t="str">
        <f t="shared" si="19"/>
        <v>n/m</v>
      </c>
      <c r="M151" s="7" t="str">
        <f>IF($D151&lt;&gt;"Include","",IFERROR(IF(Data!L151&lt;=0,"n,m",E151/Data!L151),""))</f>
        <v/>
      </c>
      <c r="N151" s="9" t="str">
        <f>IF($D151&lt;&gt;"Include","",IFERROR(IF(OR(Data!I151&lt;=0,Data!J151&lt;=0),"n/m",(Data!I151/Data!J151)^(1/3)-1),""))</f>
        <v/>
      </c>
      <c r="O151">
        <f t="shared" si="14"/>
        <v>119</v>
      </c>
      <c r="P151">
        <f t="shared" si="15"/>
        <v>119</v>
      </c>
      <c r="Q151">
        <f t="shared" si="16"/>
        <v>119</v>
      </c>
      <c r="R151">
        <f t="shared" si="17"/>
        <v>119</v>
      </c>
      <c r="S151">
        <f t="shared" si="18"/>
        <v>119</v>
      </c>
      <c r="T151" s="10">
        <f t="shared" si="20"/>
        <v>119</v>
      </c>
      <c r="U151">
        <f>IF($D151&lt;&gt;"Include","",_xlfn.RANK.EQ(T151,T$6:T$305,1)+COUNTIFS(T$6:T151,T151)-1)</f>
        <v>70</v>
      </c>
    </row>
    <row r="152" spans="1:21" x14ac:dyDescent="0.4">
      <c r="A152" t="str">
        <f>Data!A152</f>
        <v>MOON</v>
      </c>
      <c r="B152" t="str">
        <f>Data!B152</f>
        <v>Moonpig</v>
      </c>
      <c r="C152" t="str">
        <f>Data!D152</f>
        <v>Consumer Discretionary</v>
      </c>
      <c r="D152" t="str">
        <f>Data!E152</f>
        <v>Include</v>
      </c>
      <c r="E152">
        <f>IF($D152&lt;&gt;"Include","",SUM(Data!V152:W152)-SUM(Data!X152))</f>
        <v>0</v>
      </c>
      <c r="F152" t="e">
        <f>IF($D152&lt;&gt;"Include","",SUM(Data!Z152,Data!Y152,Metrics!E152))</f>
        <v>#N/A</v>
      </c>
      <c r="G152" t="str">
        <f>IF($D152&lt;&gt;"Include","",IFERROR(Data!P152-Data!S152,""))</f>
        <v/>
      </c>
      <c r="H152">
        <f>IF($D152&lt;&gt;"Include","",IFERROR(SUM(Data!P152:R152)-SUM(Data!S152:U152),""))</f>
        <v>0</v>
      </c>
      <c r="I152">
        <f>IF($D152&lt;&gt;"Include","",SUM(Data!M152:O152))</f>
        <v>0</v>
      </c>
      <c r="J152" s="7" t="str">
        <f>IF($D152&lt;&gt;"Include","",IFERROR(IF(OR(Data!K152&lt;=0,F152&lt;=0),"n/m",($F152/Data!K152)),""))</f>
        <v/>
      </c>
      <c r="K152" s="9" t="str">
        <f>IF($D152&lt;&gt;"Include","",IFERROR(G152/Data!Z152,""))</f>
        <v/>
      </c>
      <c r="L152" s="9" t="str">
        <f t="shared" si="19"/>
        <v>n/m</v>
      </c>
      <c r="M152" s="7" t="str">
        <f>IF($D152&lt;&gt;"Include","",IFERROR(IF(Data!L152&lt;=0,"n,m",E152/Data!L152),""))</f>
        <v/>
      </c>
      <c r="N152" s="9" t="str">
        <f>IF($D152&lt;&gt;"Include","",IFERROR(IF(OR(Data!I152&lt;=0,Data!J152&lt;=0),"n/m",(Data!I152/Data!J152)^(1/3)-1),""))</f>
        <v/>
      </c>
      <c r="O152">
        <f t="shared" si="14"/>
        <v>119</v>
      </c>
      <c r="P152">
        <f t="shared" si="15"/>
        <v>119</v>
      </c>
      <c r="Q152">
        <f t="shared" si="16"/>
        <v>119</v>
      </c>
      <c r="R152">
        <f t="shared" si="17"/>
        <v>119</v>
      </c>
      <c r="S152">
        <f t="shared" si="18"/>
        <v>119</v>
      </c>
      <c r="T152" s="10">
        <f t="shared" si="20"/>
        <v>119</v>
      </c>
      <c r="U152">
        <f>IF($D152&lt;&gt;"Include","",_xlfn.RANK.EQ(T152,T$6:T$305,1)+COUNTIFS(T$6:T152,T152)-1)</f>
        <v>71</v>
      </c>
    </row>
    <row r="153" spans="1:21" x14ac:dyDescent="0.4">
      <c r="A153" t="str">
        <f>Data!A153</f>
        <v>MGAM</v>
      </c>
      <c r="B153" t="str">
        <f>Data!B153</f>
        <v>Morgan Advanced Materials</v>
      </c>
      <c r="C153" t="str">
        <f>Data!D153</f>
        <v>Industrials</v>
      </c>
      <c r="D153" t="str">
        <f>Data!E153</f>
        <v>Include</v>
      </c>
      <c r="E153">
        <f>IF($D153&lt;&gt;"Include","",SUM(Data!V153:W153)-SUM(Data!X153))</f>
        <v>0</v>
      </c>
      <c r="F153" t="e">
        <f>IF($D153&lt;&gt;"Include","",SUM(Data!Z153,Data!Y153,Metrics!E153))</f>
        <v>#N/A</v>
      </c>
      <c r="G153" t="str">
        <f>IF($D153&lt;&gt;"Include","",IFERROR(Data!P153-Data!S153,""))</f>
        <v/>
      </c>
      <c r="H153">
        <f>IF($D153&lt;&gt;"Include","",IFERROR(SUM(Data!P153:R153)-SUM(Data!S153:U153),""))</f>
        <v>0</v>
      </c>
      <c r="I153">
        <f>IF($D153&lt;&gt;"Include","",SUM(Data!M153:O153))</f>
        <v>0</v>
      </c>
      <c r="J153" s="7" t="str">
        <f>IF($D153&lt;&gt;"Include","",IFERROR(IF(OR(Data!K153&lt;=0,F153&lt;=0),"n/m",($F153/Data!K153)),""))</f>
        <v/>
      </c>
      <c r="K153" s="9" t="str">
        <f>IF($D153&lt;&gt;"Include","",IFERROR(G153/Data!Z153,""))</f>
        <v/>
      </c>
      <c r="L153" s="9" t="str">
        <f t="shared" si="19"/>
        <v>n/m</v>
      </c>
      <c r="M153" s="7" t="str">
        <f>IF($D153&lt;&gt;"Include","",IFERROR(IF(Data!L153&lt;=0,"n,m",E153/Data!L153),""))</f>
        <v/>
      </c>
      <c r="N153" s="9" t="str">
        <f>IF($D153&lt;&gt;"Include","",IFERROR(IF(OR(Data!I153&lt;=0,Data!J153&lt;=0),"n/m",(Data!I153/Data!J153)^(1/3)-1),""))</f>
        <v/>
      </c>
      <c r="O153">
        <f t="shared" si="14"/>
        <v>119</v>
      </c>
      <c r="P153">
        <f t="shared" si="15"/>
        <v>119</v>
      </c>
      <c r="Q153">
        <f t="shared" si="16"/>
        <v>119</v>
      </c>
      <c r="R153">
        <f t="shared" si="17"/>
        <v>119</v>
      </c>
      <c r="S153">
        <f t="shared" si="18"/>
        <v>119</v>
      </c>
      <c r="T153" s="10">
        <f t="shared" si="20"/>
        <v>119</v>
      </c>
      <c r="U153">
        <f>IF($D153&lt;&gt;"Include","",_xlfn.RANK.EQ(T153,T$6:T$305,1)+COUNTIFS(T$6:T153,T153)-1)</f>
        <v>72</v>
      </c>
    </row>
    <row r="154" spans="1:21" x14ac:dyDescent="0.4">
      <c r="A154" t="str">
        <f>Data!A154</f>
        <v>MGNS</v>
      </c>
      <c r="B154" t="str">
        <f>Data!B154</f>
        <v>Morgan Sindall Group</v>
      </c>
      <c r="C154" t="str">
        <f>Data!D154</f>
        <v>Industrials</v>
      </c>
      <c r="D154" t="str">
        <f>Data!E154</f>
        <v>Include</v>
      </c>
      <c r="E154">
        <f>IF($D154&lt;&gt;"Include","",SUM(Data!V154:W154)-SUM(Data!X154))</f>
        <v>0</v>
      </c>
      <c r="F154" t="e">
        <f>IF($D154&lt;&gt;"Include","",SUM(Data!Z154,Data!Y154,Metrics!E154))</f>
        <v>#N/A</v>
      </c>
      <c r="G154" t="str">
        <f>IF($D154&lt;&gt;"Include","",IFERROR(Data!P154-Data!S154,""))</f>
        <v/>
      </c>
      <c r="H154">
        <f>IF($D154&lt;&gt;"Include","",IFERROR(SUM(Data!P154:R154)-SUM(Data!S154:U154),""))</f>
        <v>0</v>
      </c>
      <c r="I154">
        <f>IF($D154&lt;&gt;"Include","",SUM(Data!M154:O154))</f>
        <v>0</v>
      </c>
      <c r="J154" s="7" t="str">
        <f>IF($D154&lt;&gt;"Include","",IFERROR(IF(OR(Data!K154&lt;=0,F154&lt;=0),"n/m",($F154/Data!K154)),""))</f>
        <v/>
      </c>
      <c r="K154" s="9" t="str">
        <f>IF($D154&lt;&gt;"Include","",IFERROR(G154/Data!Z154,""))</f>
        <v/>
      </c>
      <c r="L154" s="9" t="str">
        <f t="shared" si="19"/>
        <v>n/m</v>
      </c>
      <c r="M154" s="7" t="str">
        <f>IF($D154&lt;&gt;"Include","",IFERROR(IF(Data!L154&lt;=0,"n,m",E154/Data!L154),""))</f>
        <v/>
      </c>
      <c r="N154" s="9" t="str">
        <f>IF($D154&lt;&gt;"Include","",IFERROR(IF(OR(Data!I154&lt;=0,Data!J154&lt;=0),"n/m",(Data!I154/Data!J154)^(1/3)-1),""))</f>
        <v/>
      </c>
      <c r="O154">
        <f t="shared" si="14"/>
        <v>119</v>
      </c>
      <c r="P154">
        <f t="shared" si="15"/>
        <v>119</v>
      </c>
      <c r="Q154">
        <f t="shared" si="16"/>
        <v>119</v>
      </c>
      <c r="R154">
        <f t="shared" si="17"/>
        <v>119</v>
      </c>
      <c r="S154">
        <f t="shared" si="18"/>
        <v>119</v>
      </c>
      <c r="T154" s="10">
        <f t="shared" si="20"/>
        <v>119</v>
      </c>
      <c r="U154">
        <f>IF($D154&lt;&gt;"Include","",_xlfn.RANK.EQ(T154,T$6:T$305,1)+COUNTIFS(T$6:T154,T154)-1)</f>
        <v>73</v>
      </c>
    </row>
    <row r="155" spans="1:21" x14ac:dyDescent="0.4">
      <c r="A155" t="str">
        <f>Data!A155</f>
        <v>MUT</v>
      </c>
      <c r="B155" t="str">
        <f>Data!B155</f>
        <v>Murray Income Trust</v>
      </c>
      <c r="C155" t="str">
        <f>Data!D155</f>
        <v>Financials</v>
      </c>
      <c r="D155" t="str">
        <f>Data!E155</f>
        <v>Exclude</v>
      </c>
      <c r="E155" t="str">
        <f>IF($D155&lt;&gt;"Include","",SUM(Data!V155:W155)-SUM(Data!X155))</f>
        <v/>
      </c>
      <c r="F155" t="str">
        <f>IF($D155&lt;&gt;"Include","",SUM(Data!Z155,Data!Y155,Metrics!E155))</f>
        <v/>
      </c>
      <c r="G155" t="str">
        <f>IF($D155&lt;&gt;"Include","",IFERROR(Data!P155-Data!S155,""))</f>
        <v/>
      </c>
      <c r="H155" t="str">
        <f>IF($D155&lt;&gt;"Include","",IFERROR(SUM(Data!P155:R155)-SUM(Data!S155:U155),""))</f>
        <v/>
      </c>
      <c r="I155" t="str">
        <f>IF($D155&lt;&gt;"Include","",SUM(Data!M155:O155))</f>
        <v/>
      </c>
      <c r="J155" s="7" t="str">
        <f>IF($D155&lt;&gt;"Include","",IFERROR(IF(OR(Data!K155&lt;=0,F155&lt;=0),"n/m",($F155/Data!K155)),""))</f>
        <v/>
      </c>
      <c r="K155" s="9" t="str">
        <f>IF($D155&lt;&gt;"Include","",IFERROR(G155/Data!Z155,""))</f>
        <v/>
      </c>
      <c r="L155" s="9" t="str">
        <f t="shared" si="19"/>
        <v/>
      </c>
      <c r="M155" s="7" t="str">
        <f>IF($D155&lt;&gt;"Include","",IFERROR(IF(Data!L155&lt;=0,"n,m",E155/Data!L155),""))</f>
        <v/>
      </c>
      <c r="N155" s="9" t="str">
        <f>IF($D155&lt;&gt;"Include","",IFERROR(IF(OR(Data!I155&lt;=0,Data!J155&lt;=0),"n/m",(Data!I155/Data!J155)^(1/3)-1),""))</f>
        <v/>
      </c>
      <c r="O155" t="str">
        <f t="shared" si="14"/>
        <v/>
      </c>
      <c r="P155" t="str">
        <f t="shared" si="15"/>
        <v/>
      </c>
      <c r="Q155" t="str">
        <f t="shared" si="16"/>
        <v/>
      </c>
      <c r="R155" t="str">
        <f t="shared" si="17"/>
        <v/>
      </c>
      <c r="S155" t="str">
        <f t="shared" si="18"/>
        <v/>
      </c>
      <c r="T155" s="10" t="str">
        <f t="shared" si="20"/>
        <v/>
      </c>
      <c r="U155" t="str">
        <f>IF($D155&lt;&gt;"Include","",_xlfn.RANK.EQ(T155,T$6:T$305,1)+COUNTIFS(T$6:T155,T155)-1)</f>
        <v/>
      </c>
    </row>
    <row r="156" spans="1:21" x14ac:dyDescent="0.4">
      <c r="A156" t="str">
        <f>Data!A156</f>
        <v>MYI</v>
      </c>
      <c r="B156" t="str">
        <f>Data!B156</f>
        <v>Murray International Trust</v>
      </c>
      <c r="C156" t="str">
        <f>Data!D156</f>
        <v>Financials</v>
      </c>
      <c r="D156" t="str">
        <f>Data!E156</f>
        <v>Exclude</v>
      </c>
      <c r="E156" t="str">
        <f>IF($D156&lt;&gt;"Include","",SUM(Data!V156:W156)-SUM(Data!X156))</f>
        <v/>
      </c>
      <c r="F156" t="str">
        <f>IF($D156&lt;&gt;"Include","",SUM(Data!Z156,Data!Y156,Metrics!E156))</f>
        <v/>
      </c>
      <c r="G156" t="str">
        <f>IF($D156&lt;&gt;"Include","",IFERROR(Data!P156-Data!S156,""))</f>
        <v/>
      </c>
      <c r="H156" t="str">
        <f>IF($D156&lt;&gt;"Include","",IFERROR(SUM(Data!P156:R156)-SUM(Data!S156:U156),""))</f>
        <v/>
      </c>
      <c r="I156" t="str">
        <f>IF($D156&lt;&gt;"Include","",SUM(Data!M156:O156))</f>
        <v/>
      </c>
      <c r="J156" s="7" t="str">
        <f>IF($D156&lt;&gt;"Include","",IFERROR(IF(OR(Data!K156&lt;=0,F156&lt;=0),"n/m",($F156/Data!K156)),""))</f>
        <v/>
      </c>
      <c r="K156" s="9" t="str">
        <f>IF($D156&lt;&gt;"Include","",IFERROR(G156/Data!Z156,""))</f>
        <v/>
      </c>
      <c r="L156" s="9" t="str">
        <f t="shared" si="19"/>
        <v/>
      </c>
      <c r="M156" s="7" t="str">
        <f>IF($D156&lt;&gt;"Include","",IFERROR(IF(Data!L156&lt;=0,"n,m",E156/Data!L156),""))</f>
        <v/>
      </c>
      <c r="N156" s="9" t="str">
        <f>IF($D156&lt;&gt;"Include","",IFERROR(IF(OR(Data!I156&lt;=0,Data!J156&lt;=0),"n/m",(Data!I156/Data!J156)^(1/3)-1),""))</f>
        <v/>
      </c>
      <c r="O156" t="str">
        <f t="shared" si="14"/>
        <v/>
      </c>
      <c r="P156" t="str">
        <f t="shared" si="15"/>
        <v/>
      </c>
      <c r="Q156" t="str">
        <f t="shared" si="16"/>
        <v/>
      </c>
      <c r="R156" t="str">
        <f t="shared" si="17"/>
        <v/>
      </c>
      <c r="S156" t="str">
        <f t="shared" si="18"/>
        <v/>
      </c>
      <c r="T156" s="10" t="str">
        <f t="shared" si="20"/>
        <v/>
      </c>
      <c r="U156" t="str">
        <f>IF($D156&lt;&gt;"Include","",_xlfn.RANK.EQ(T156,T$6:T$305,1)+COUNTIFS(T$6:T156,T156)-1)</f>
        <v/>
      </c>
    </row>
    <row r="157" spans="1:21" x14ac:dyDescent="0.4">
      <c r="A157" t="str">
        <f>Data!A157</f>
        <v>NCC</v>
      </c>
      <c r="B157" t="str">
        <f>Data!B157</f>
        <v>NCC Group</v>
      </c>
      <c r="C157" t="str">
        <f>Data!D157</f>
        <v>Technology</v>
      </c>
      <c r="D157" t="str">
        <f>Data!E157</f>
        <v>Include</v>
      </c>
      <c r="E157">
        <f>IF($D157&lt;&gt;"Include","",SUM(Data!V157:W157)-SUM(Data!X157))</f>
        <v>0</v>
      </c>
      <c r="F157" t="e">
        <f>IF($D157&lt;&gt;"Include","",SUM(Data!Z157,Data!Y157,Metrics!E157))</f>
        <v>#N/A</v>
      </c>
      <c r="G157" t="str">
        <f>IF($D157&lt;&gt;"Include","",IFERROR(Data!P157-Data!S157,""))</f>
        <v/>
      </c>
      <c r="H157">
        <f>IF($D157&lt;&gt;"Include","",IFERROR(SUM(Data!P157:R157)-SUM(Data!S157:U157),""))</f>
        <v>0</v>
      </c>
      <c r="I157">
        <f>IF($D157&lt;&gt;"Include","",SUM(Data!M157:O157))</f>
        <v>0</v>
      </c>
      <c r="J157" s="7" t="str">
        <f>IF($D157&lt;&gt;"Include","",IFERROR(IF(OR(Data!K157&lt;=0,F157&lt;=0),"n/m",($F157/Data!K157)),""))</f>
        <v/>
      </c>
      <c r="K157" s="9" t="str">
        <f>IF($D157&lt;&gt;"Include","",IFERROR(G157/Data!Z157,""))</f>
        <v/>
      </c>
      <c r="L157" s="9" t="str">
        <f t="shared" si="19"/>
        <v>n/m</v>
      </c>
      <c r="M157" s="7" t="str">
        <f>IF($D157&lt;&gt;"Include","",IFERROR(IF(Data!L157&lt;=0,"n,m",E157/Data!L157),""))</f>
        <v/>
      </c>
      <c r="N157" s="9" t="str">
        <f>IF($D157&lt;&gt;"Include","",IFERROR(IF(OR(Data!I157&lt;=0,Data!J157&lt;=0),"n/m",(Data!I157/Data!J157)^(1/3)-1),""))</f>
        <v/>
      </c>
      <c r="O157">
        <f t="shared" si="14"/>
        <v>119</v>
      </c>
      <c r="P157">
        <f t="shared" si="15"/>
        <v>119</v>
      </c>
      <c r="Q157">
        <f t="shared" si="16"/>
        <v>119</v>
      </c>
      <c r="R157">
        <f t="shared" si="17"/>
        <v>119</v>
      </c>
      <c r="S157">
        <f t="shared" si="18"/>
        <v>119</v>
      </c>
      <c r="T157" s="10">
        <f t="shared" si="20"/>
        <v>119</v>
      </c>
      <c r="U157">
        <f>IF($D157&lt;&gt;"Include","",_xlfn.RANK.EQ(T157,T$6:T$305,1)+COUNTIFS(T$6:T157,T157)-1)</f>
        <v>74</v>
      </c>
    </row>
    <row r="158" spans="1:21" x14ac:dyDescent="0.4">
      <c r="A158" t="str">
        <f>Data!A158</f>
        <v>NBPE</v>
      </c>
      <c r="B158" t="str">
        <f>Data!B158</f>
        <v>Neuberger Private Equity Partners</v>
      </c>
      <c r="C158" t="str">
        <f>Data!D158</f>
        <v>Financials</v>
      </c>
      <c r="D158" t="str">
        <f>Data!E158</f>
        <v>Exclude</v>
      </c>
      <c r="E158" t="str">
        <f>IF($D158&lt;&gt;"Include","",SUM(Data!V158:W158)-SUM(Data!X158))</f>
        <v/>
      </c>
      <c r="F158" t="str">
        <f>IF($D158&lt;&gt;"Include","",SUM(Data!Z158,Data!Y158,Metrics!E158))</f>
        <v/>
      </c>
      <c r="G158" t="str">
        <f>IF($D158&lt;&gt;"Include","",IFERROR(Data!P158-Data!S158,""))</f>
        <v/>
      </c>
      <c r="H158" t="str">
        <f>IF($D158&lt;&gt;"Include","",IFERROR(SUM(Data!P158:R158)-SUM(Data!S158:U158),""))</f>
        <v/>
      </c>
      <c r="I158" t="str">
        <f>IF($D158&lt;&gt;"Include","",SUM(Data!M158:O158))</f>
        <v/>
      </c>
      <c r="J158" s="7" t="str">
        <f>IF($D158&lt;&gt;"Include","",IFERROR(IF(OR(Data!K158&lt;=0,F158&lt;=0),"n/m",($F158/Data!K158)),""))</f>
        <v/>
      </c>
      <c r="K158" s="9" t="str">
        <f>IF($D158&lt;&gt;"Include","",IFERROR(G158/Data!Z158,""))</f>
        <v/>
      </c>
      <c r="L158" s="9" t="str">
        <f t="shared" si="19"/>
        <v/>
      </c>
      <c r="M158" s="7" t="str">
        <f>IF($D158&lt;&gt;"Include","",IFERROR(IF(Data!L158&lt;=0,"n,m",E158/Data!L158),""))</f>
        <v/>
      </c>
      <c r="N158" s="9" t="str">
        <f>IF($D158&lt;&gt;"Include","",IFERROR(IF(OR(Data!I158&lt;=0,Data!J158&lt;=0),"n/m",(Data!I158/Data!J158)^(1/3)-1),""))</f>
        <v/>
      </c>
      <c r="O158" t="str">
        <f t="shared" si="14"/>
        <v/>
      </c>
      <c r="P158" t="str">
        <f t="shared" si="15"/>
        <v/>
      </c>
      <c r="Q158" t="str">
        <f t="shared" si="16"/>
        <v/>
      </c>
      <c r="R158" t="str">
        <f t="shared" si="17"/>
        <v/>
      </c>
      <c r="S158" t="str">
        <f t="shared" si="18"/>
        <v/>
      </c>
      <c r="T158" s="10" t="str">
        <f t="shared" si="20"/>
        <v/>
      </c>
      <c r="U158" t="str">
        <f>IF($D158&lt;&gt;"Include","",_xlfn.RANK.EQ(T158,T$6:T$305,1)+COUNTIFS(T$6:T158,T158)-1)</f>
        <v/>
      </c>
    </row>
    <row r="159" spans="1:21" x14ac:dyDescent="0.4">
      <c r="A159" t="str">
        <f>Data!A159</f>
        <v>N91</v>
      </c>
      <c r="B159" t="str">
        <f>Data!B159</f>
        <v>Ninety One</v>
      </c>
      <c r="C159" t="str">
        <f>Data!D159</f>
        <v>Financials</v>
      </c>
      <c r="D159" t="str">
        <f>Data!E159</f>
        <v>Exclude</v>
      </c>
      <c r="E159" t="str">
        <f>IF($D159&lt;&gt;"Include","",SUM(Data!V159:W159)-SUM(Data!X159))</f>
        <v/>
      </c>
      <c r="F159" t="str">
        <f>IF($D159&lt;&gt;"Include","",SUM(Data!Z159,Data!Y159,Metrics!E159))</f>
        <v/>
      </c>
      <c r="G159" t="str">
        <f>IF($D159&lt;&gt;"Include","",IFERROR(Data!P159-Data!S159,""))</f>
        <v/>
      </c>
      <c r="H159" t="str">
        <f>IF($D159&lt;&gt;"Include","",IFERROR(SUM(Data!P159:R159)-SUM(Data!S159:U159),""))</f>
        <v/>
      </c>
      <c r="I159" t="str">
        <f>IF($D159&lt;&gt;"Include","",SUM(Data!M159:O159))</f>
        <v/>
      </c>
      <c r="J159" s="7" t="str">
        <f>IF($D159&lt;&gt;"Include","",IFERROR(IF(OR(Data!K159&lt;=0,F159&lt;=0),"n/m",($F159/Data!K159)),""))</f>
        <v/>
      </c>
      <c r="K159" s="9" t="str">
        <f>IF($D159&lt;&gt;"Include","",IFERROR(G159/Data!Z159,""))</f>
        <v/>
      </c>
      <c r="L159" s="9" t="str">
        <f t="shared" si="19"/>
        <v/>
      </c>
      <c r="M159" s="7" t="str">
        <f>IF($D159&lt;&gt;"Include","",IFERROR(IF(Data!L159&lt;=0,"n,m",E159/Data!L159),""))</f>
        <v/>
      </c>
      <c r="N159" s="9" t="str">
        <f>IF($D159&lt;&gt;"Include","",IFERROR(IF(OR(Data!I159&lt;=0,Data!J159&lt;=0),"n/m",(Data!I159/Data!J159)^(1/3)-1),""))</f>
        <v/>
      </c>
      <c r="O159" t="str">
        <f t="shared" si="14"/>
        <v/>
      </c>
      <c r="P159" t="str">
        <f t="shared" si="15"/>
        <v/>
      </c>
      <c r="Q159" t="str">
        <f t="shared" si="16"/>
        <v/>
      </c>
      <c r="R159" t="str">
        <f t="shared" si="17"/>
        <v/>
      </c>
      <c r="S159" t="str">
        <f t="shared" si="18"/>
        <v/>
      </c>
      <c r="T159" s="10" t="str">
        <f t="shared" si="20"/>
        <v/>
      </c>
      <c r="U159" t="str">
        <f>IF($D159&lt;&gt;"Include","",_xlfn.RANK.EQ(T159,T$6:T$305,1)+COUNTIFS(T$6:T159,T159)-1)</f>
        <v/>
      </c>
    </row>
    <row r="160" spans="1:21" x14ac:dyDescent="0.4">
      <c r="A160" t="str">
        <f>Data!A160</f>
        <v>NAIT</v>
      </c>
      <c r="B160" t="str">
        <f>Data!B160</f>
        <v>North American Income Trust</v>
      </c>
      <c r="C160" t="str">
        <f>Data!D160</f>
        <v>Financials</v>
      </c>
      <c r="D160" t="str">
        <f>Data!E160</f>
        <v>Exclude</v>
      </c>
      <c r="E160" t="str">
        <f>IF($D160&lt;&gt;"Include","",SUM(Data!V160:W160)-SUM(Data!X160))</f>
        <v/>
      </c>
      <c r="F160" t="str">
        <f>IF($D160&lt;&gt;"Include","",SUM(Data!Z160,Data!Y160,Metrics!E160))</f>
        <v/>
      </c>
      <c r="G160" t="str">
        <f>IF($D160&lt;&gt;"Include","",IFERROR(Data!P160-Data!S160,""))</f>
        <v/>
      </c>
      <c r="H160" t="str">
        <f>IF($D160&lt;&gt;"Include","",IFERROR(SUM(Data!P160:R160)-SUM(Data!S160:U160),""))</f>
        <v/>
      </c>
      <c r="I160" t="str">
        <f>IF($D160&lt;&gt;"Include","",SUM(Data!M160:O160))</f>
        <v/>
      </c>
      <c r="J160" s="7" t="str">
        <f>IF($D160&lt;&gt;"Include","",IFERROR(IF(OR(Data!K160&lt;=0,F160&lt;=0),"n/m",($F160/Data!K160)),""))</f>
        <v/>
      </c>
      <c r="K160" s="9" t="str">
        <f>IF($D160&lt;&gt;"Include","",IFERROR(G160/Data!Z160,""))</f>
        <v/>
      </c>
      <c r="L160" s="9" t="str">
        <f t="shared" si="19"/>
        <v/>
      </c>
      <c r="M160" s="7" t="str">
        <f>IF($D160&lt;&gt;"Include","",IFERROR(IF(Data!L160&lt;=0,"n,m",E160/Data!L160),""))</f>
        <v/>
      </c>
      <c r="N160" s="9" t="str">
        <f>IF($D160&lt;&gt;"Include","",IFERROR(IF(OR(Data!I160&lt;=0,Data!J160&lt;=0),"n/m",(Data!I160/Data!J160)^(1/3)-1),""))</f>
        <v/>
      </c>
      <c r="O160" t="str">
        <f t="shared" si="14"/>
        <v/>
      </c>
      <c r="P160" t="str">
        <f t="shared" si="15"/>
        <v/>
      </c>
      <c r="Q160" t="str">
        <f t="shared" si="16"/>
        <v/>
      </c>
      <c r="R160" t="str">
        <f t="shared" si="17"/>
        <v/>
      </c>
      <c r="S160" t="str">
        <f t="shared" si="18"/>
        <v/>
      </c>
      <c r="T160" s="10" t="str">
        <f t="shared" si="20"/>
        <v/>
      </c>
      <c r="U160" t="str">
        <f>IF($D160&lt;&gt;"Include","",_xlfn.RANK.EQ(T160,T$6:T$305,1)+COUNTIFS(T$6:T160,T160)-1)</f>
        <v/>
      </c>
    </row>
    <row r="161" spans="1:21" x14ac:dyDescent="0.4">
      <c r="A161" t="str">
        <f>Data!A161</f>
        <v>NAS</v>
      </c>
      <c r="B161" t="str">
        <f>Data!B161</f>
        <v>North Atlantic Smaller Companies Investment Trust</v>
      </c>
      <c r="C161" t="str">
        <f>Data!D161</f>
        <v>Financials</v>
      </c>
      <c r="D161" t="str">
        <f>Data!E161</f>
        <v>Exclude</v>
      </c>
      <c r="E161" t="str">
        <f>IF($D161&lt;&gt;"Include","",SUM(Data!V161:W161)-SUM(Data!X161))</f>
        <v/>
      </c>
      <c r="F161" t="str">
        <f>IF($D161&lt;&gt;"Include","",SUM(Data!Z161,Data!Y161,Metrics!E161))</f>
        <v/>
      </c>
      <c r="G161" t="str">
        <f>IF($D161&lt;&gt;"Include","",IFERROR(Data!P161-Data!S161,""))</f>
        <v/>
      </c>
      <c r="H161" t="str">
        <f>IF($D161&lt;&gt;"Include","",IFERROR(SUM(Data!P161:R161)-SUM(Data!S161:U161),""))</f>
        <v/>
      </c>
      <c r="I161" t="str">
        <f>IF($D161&lt;&gt;"Include","",SUM(Data!M161:O161))</f>
        <v/>
      </c>
      <c r="J161" s="7" t="str">
        <f>IF($D161&lt;&gt;"Include","",IFERROR(IF(OR(Data!K161&lt;=0,F161&lt;=0),"n/m",($F161/Data!K161)),""))</f>
        <v/>
      </c>
      <c r="K161" s="9" t="str">
        <f>IF($D161&lt;&gt;"Include","",IFERROR(G161/Data!Z161,""))</f>
        <v/>
      </c>
      <c r="L161" s="9" t="str">
        <f t="shared" si="19"/>
        <v/>
      </c>
      <c r="M161" s="7" t="str">
        <f>IF($D161&lt;&gt;"Include","",IFERROR(IF(Data!L161&lt;=0,"n,m",E161/Data!L161),""))</f>
        <v/>
      </c>
      <c r="N161" s="9" t="str">
        <f>IF($D161&lt;&gt;"Include","",IFERROR(IF(OR(Data!I161&lt;=0,Data!J161&lt;=0),"n/m",(Data!I161/Data!J161)^(1/3)-1),""))</f>
        <v/>
      </c>
      <c r="O161" t="str">
        <f t="shared" si="14"/>
        <v/>
      </c>
      <c r="P161" t="str">
        <f t="shared" si="15"/>
        <v/>
      </c>
      <c r="Q161" t="str">
        <f t="shared" si="16"/>
        <v/>
      </c>
      <c r="R161" t="str">
        <f t="shared" si="17"/>
        <v/>
      </c>
      <c r="S161" t="str">
        <f t="shared" si="18"/>
        <v/>
      </c>
      <c r="T161" s="10" t="str">
        <f t="shared" si="20"/>
        <v/>
      </c>
      <c r="U161" t="str">
        <f>IF($D161&lt;&gt;"Include","",_xlfn.RANK.EQ(T161,T$6:T$305,1)+COUNTIFS(T$6:T161,T161)-1)</f>
        <v/>
      </c>
    </row>
    <row r="162" spans="1:21" x14ac:dyDescent="0.4">
      <c r="A162" t="str">
        <f>Data!A162</f>
        <v>OCI</v>
      </c>
      <c r="B162" t="str">
        <f>Data!B162</f>
        <v>Oakley Capital Investments</v>
      </c>
      <c r="C162" t="str">
        <f>Data!D162</f>
        <v>Financials</v>
      </c>
      <c r="D162" t="str">
        <f>Data!E162</f>
        <v>Exclude</v>
      </c>
      <c r="E162" t="str">
        <f>IF($D162&lt;&gt;"Include","",SUM(Data!V162:W162)-SUM(Data!X162))</f>
        <v/>
      </c>
      <c r="F162" t="str">
        <f>IF($D162&lt;&gt;"Include","",SUM(Data!Z162,Data!Y162,Metrics!E162))</f>
        <v/>
      </c>
      <c r="G162" t="str">
        <f>IF($D162&lt;&gt;"Include","",IFERROR(Data!P162-Data!S162,""))</f>
        <v/>
      </c>
      <c r="H162" t="str">
        <f>IF($D162&lt;&gt;"Include","",IFERROR(SUM(Data!P162:R162)-SUM(Data!S162:U162),""))</f>
        <v/>
      </c>
      <c r="I162" t="str">
        <f>IF($D162&lt;&gt;"Include","",SUM(Data!M162:O162))</f>
        <v/>
      </c>
      <c r="J162" s="7" t="str">
        <f>IF($D162&lt;&gt;"Include","",IFERROR(IF(OR(Data!K162&lt;=0,F162&lt;=0),"n/m",($F162/Data!K162)),""))</f>
        <v/>
      </c>
      <c r="K162" s="9" t="str">
        <f>IF($D162&lt;&gt;"Include","",IFERROR(G162/Data!Z162,""))</f>
        <v/>
      </c>
      <c r="L162" s="9" t="str">
        <f t="shared" si="19"/>
        <v/>
      </c>
      <c r="M162" s="7" t="str">
        <f>IF($D162&lt;&gt;"Include","",IFERROR(IF(Data!L162&lt;=0,"n,m",E162/Data!L162),""))</f>
        <v/>
      </c>
      <c r="N162" s="9" t="str">
        <f>IF($D162&lt;&gt;"Include","",IFERROR(IF(OR(Data!I162&lt;=0,Data!J162&lt;=0),"n/m",(Data!I162/Data!J162)^(1/3)-1),""))</f>
        <v/>
      </c>
      <c r="O162" t="str">
        <f t="shared" si="14"/>
        <v/>
      </c>
      <c r="P162" t="str">
        <f t="shared" si="15"/>
        <v/>
      </c>
      <c r="Q162" t="str">
        <f t="shared" si="16"/>
        <v/>
      </c>
      <c r="R162" t="str">
        <f t="shared" si="17"/>
        <v/>
      </c>
      <c r="S162" t="str">
        <f t="shared" si="18"/>
        <v/>
      </c>
      <c r="T162" s="10" t="str">
        <f t="shared" si="20"/>
        <v/>
      </c>
      <c r="U162" t="str">
        <f>IF($D162&lt;&gt;"Include","",_xlfn.RANK.EQ(T162,T$6:T$305,1)+COUNTIFS(T$6:T162,T162)-1)</f>
        <v/>
      </c>
    </row>
    <row r="163" spans="1:21" x14ac:dyDescent="0.4">
      <c r="A163" t="str">
        <f>Data!A163</f>
        <v>OCDO</v>
      </c>
      <c r="B163" t="str">
        <f>Data!B163</f>
        <v>Ocado Group</v>
      </c>
      <c r="C163" t="str">
        <f>Data!D163</f>
        <v>Consumer Staples</v>
      </c>
      <c r="D163" t="str">
        <f>Data!E163</f>
        <v>Include</v>
      </c>
      <c r="E163">
        <f>IF($D163&lt;&gt;"Include","",SUM(Data!V163:W163)-SUM(Data!X163))</f>
        <v>0</v>
      </c>
      <c r="F163" t="e">
        <f>IF($D163&lt;&gt;"Include","",SUM(Data!Z163,Data!Y163,Metrics!E163))</f>
        <v>#N/A</v>
      </c>
      <c r="G163" t="str">
        <f>IF($D163&lt;&gt;"Include","",IFERROR(Data!P163-Data!S163,""))</f>
        <v/>
      </c>
      <c r="H163">
        <f>IF($D163&lt;&gt;"Include","",IFERROR(SUM(Data!P163:R163)-SUM(Data!S163:U163),""))</f>
        <v>0</v>
      </c>
      <c r="I163">
        <f>IF($D163&lt;&gt;"Include","",SUM(Data!M163:O163))</f>
        <v>0</v>
      </c>
      <c r="J163" s="7" t="str">
        <f>IF($D163&lt;&gt;"Include","",IFERROR(IF(OR(Data!K163&lt;=0,F163&lt;=0),"n/m",($F163/Data!K163)),""))</f>
        <v/>
      </c>
      <c r="K163" s="9" t="str">
        <f>IF($D163&lt;&gt;"Include","",IFERROR(G163/Data!Z163,""))</f>
        <v/>
      </c>
      <c r="L163" s="9" t="str">
        <f t="shared" si="19"/>
        <v>n/m</v>
      </c>
      <c r="M163" s="7" t="str">
        <f>IF($D163&lt;&gt;"Include","",IFERROR(IF(Data!L163&lt;=0,"n,m",E163/Data!L163),""))</f>
        <v/>
      </c>
      <c r="N163" s="9" t="str">
        <f>IF($D163&lt;&gt;"Include","",IFERROR(IF(OR(Data!I163&lt;=0,Data!J163&lt;=0),"n/m",(Data!I163/Data!J163)^(1/3)-1),""))</f>
        <v/>
      </c>
      <c r="O163">
        <f t="shared" si="14"/>
        <v>119</v>
      </c>
      <c r="P163">
        <f t="shared" si="15"/>
        <v>119</v>
      </c>
      <c r="Q163">
        <f t="shared" si="16"/>
        <v>119</v>
      </c>
      <c r="R163">
        <f t="shared" si="17"/>
        <v>119</v>
      </c>
      <c r="S163">
        <f t="shared" si="18"/>
        <v>119</v>
      </c>
      <c r="T163" s="10">
        <f t="shared" si="20"/>
        <v>119</v>
      </c>
      <c r="U163">
        <f>IF($D163&lt;&gt;"Include","",_xlfn.RANK.EQ(T163,T$6:T$305,1)+COUNTIFS(T$6:T163,T163)-1)</f>
        <v>75</v>
      </c>
    </row>
    <row r="164" spans="1:21" x14ac:dyDescent="0.4">
      <c r="A164" t="str">
        <f>Data!A164</f>
        <v>OSB</v>
      </c>
      <c r="B164" t="str">
        <f>Data!B164</f>
        <v>OSB Group</v>
      </c>
      <c r="C164" t="str">
        <f>Data!D164</f>
        <v>Financials</v>
      </c>
      <c r="D164" t="str">
        <f>Data!E164</f>
        <v>Exclude</v>
      </c>
      <c r="E164" t="str">
        <f>IF($D164&lt;&gt;"Include","",SUM(Data!V164:W164)-SUM(Data!X164))</f>
        <v/>
      </c>
      <c r="F164" t="str">
        <f>IF($D164&lt;&gt;"Include","",SUM(Data!Z164,Data!Y164,Metrics!E164))</f>
        <v/>
      </c>
      <c r="G164" t="str">
        <f>IF($D164&lt;&gt;"Include","",IFERROR(Data!P164-Data!S164,""))</f>
        <v/>
      </c>
      <c r="H164" t="str">
        <f>IF($D164&lt;&gt;"Include","",IFERROR(SUM(Data!P164:R164)-SUM(Data!S164:U164),""))</f>
        <v/>
      </c>
      <c r="I164" t="str">
        <f>IF($D164&lt;&gt;"Include","",SUM(Data!M164:O164))</f>
        <v/>
      </c>
      <c r="J164" s="7" t="str">
        <f>IF($D164&lt;&gt;"Include","",IFERROR(IF(OR(Data!K164&lt;=0,F164&lt;=0),"n/m",($F164/Data!K164)),""))</f>
        <v/>
      </c>
      <c r="K164" s="9" t="str">
        <f>IF($D164&lt;&gt;"Include","",IFERROR(G164/Data!Z164,""))</f>
        <v/>
      </c>
      <c r="L164" s="9" t="str">
        <f t="shared" si="19"/>
        <v/>
      </c>
      <c r="M164" s="7" t="str">
        <f>IF($D164&lt;&gt;"Include","",IFERROR(IF(Data!L164&lt;=0,"n,m",E164/Data!L164),""))</f>
        <v/>
      </c>
      <c r="N164" s="9" t="str">
        <f>IF($D164&lt;&gt;"Include","",IFERROR(IF(OR(Data!I164&lt;=0,Data!J164&lt;=0),"n/m",(Data!I164/Data!J164)^(1/3)-1),""))</f>
        <v/>
      </c>
      <c r="O164" t="str">
        <f t="shared" si="14"/>
        <v/>
      </c>
      <c r="P164" t="str">
        <f t="shared" si="15"/>
        <v/>
      </c>
      <c r="Q164" t="str">
        <f t="shared" si="16"/>
        <v/>
      </c>
      <c r="R164" t="str">
        <f t="shared" si="17"/>
        <v/>
      </c>
      <c r="S164" t="str">
        <f t="shared" si="18"/>
        <v/>
      </c>
      <c r="T164" s="10" t="str">
        <f t="shared" si="20"/>
        <v/>
      </c>
      <c r="U164" t="str">
        <f>IF($D164&lt;&gt;"Include","",_xlfn.RANK.EQ(T164,T$6:T$305,1)+COUNTIFS(T$6:T164,T164)-1)</f>
        <v/>
      </c>
    </row>
    <row r="165" spans="1:21" x14ac:dyDescent="0.4">
      <c r="A165" t="str">
        <f>Data!A165</f>
        <v>OXB</v>
      </c>
      <c r="B165" t="str">
        <f>Data!B165</f>
        <v>Oxford Biomedica</v>
      </c>
      <c r="C165" t="str">
        <f>Data!D165</f>
        <v>Health Care</v>
      </c>
      <c r="D165" t="str">
        <f>Data!E165</f>
        <v>Include</v>
      </c>
      <c r="E165">
        <f>IF($D165&lt;&gt;"Include","",SUM(Data!V165:W165)-SUM(Data!X165))</f>
        <v>0</v>
      </c>
      <c r="F165" t="e">
        <f>IF($D165&lt;&gt;"Include","",SUM(Data!Z165,Data!Y165,Metrics!E165))</f>
        <v>#N/A</v>
      </c>
      <c r="G165" t="str">
        <f>IF($D165&lt;&gt;"Include","",IFERROR(Data!P165-Data!S165,""))</f>
        <v/>
      </c>
      <c r="H165">
        <f>IF($D165&lt;&gt;"Include","",IFERROR(SUM(Data!P165:R165)-SUM(Data!S165:U165),""))</f>
        <v>0</v>
      </c>
      <c r="I165">
        <f>IF($D165&lt;&gt;"Include","",SUM(Data!M165:O165))</f>
        <v>0</v>
      </c>
      <c r="J165" s="7" t="str">
        <f>IF($D165&lt;&gt;"Include","",IFERROR(IF(OR(Data!K165&lt;=0,F165&lt;=0),"n/m",($F165/Data!K165)),""))</f>
        <v/>
      </c>
      <c r="K165" s="9" t="str">
        <f>IF($D165&lt;&gt;"Include","",IFERROR(G165/Data!Z165,""))</f>
        <v/>
      </c>
      <c r="L165" s="9" t="str">
        <f t="shared" si="19"/>
        <v>n/m</v>
      </c>
      <c r="M165" s="7" t="str">
        <f>IF($D165&lt;&gt;"Include","",IFERROR(IF(Data!L165&lt;=0,"n,m",E165/Data!L165),""))</f>
        <v/>
      </c>
      <c r="N165" s="9" t="str">
        <f>IF($D165&lt;&gt;"Include","",IFERROR(IF(OR(Data!I165&lt;=0,Data!J165&lt;=0),"n/m",(Data!I165/Data!J165)^(1/3)-1),""))</f>
        <v/>
      </c>
      <c r="O165">
        <f t="shared" si="14"/>
        <v>119</v>
      </c>
      <c r="P165">
        <f t="shared" si="15"/>
        <v>119</v>
      </c>
      <c r="Q165">
        <f t="shared" si="16"/>
        <v>119</v>
      </c>
      <c r="R165">
        <f t="shared" si="17"/>
        <v>119</v>
      </c>
      <c r="S165">
        <f t="shared" si="18"/>
        <v>119</v>
      </c>
      <c r="T165" s="10">
        <f t="shared" si="20"/>
        <v>119</v>
      </c>
      <c r="U165">
        <f>IF($D165&lt;&gt;"Include","",_xlfn.RANK.EQ(T165,T$6:T$305,1)+COUNTIFS(T$6:T165,T165)-1)</f>
        <v>76</v>
      </c>
    </row>
    <row r="166" spans="1:21" x14ac:dyDescent="0.4">
      <c r="A166" t="str">
        <f>Data!A166</f>
        <v>OXIG</v>
      </c>
      <c r="B166" t="str">
        <f>Data!B166</f>
        <v>Oxford Instruments</v>
      </c>
      <c r="C166" t="str">
        <f>Data!D166</f>
        <v>Industrials</v>
      </c>
      <c r="D166" t="str">
        <f>Data!E166</f>
        <v>Include</v>
      </c>
      <c r="E166">
        <f>IF($D166&lt;&gt;"Include","",SUM(Data!V166:W166)-SUM(Data!X166))</f>
        <v>0</v>
      </c>
      <c r="F166" t="e">
        <f>IF($D166&lt;&gt;"Include","",SUM(Data!Z166,Data!Y166,Metrics!E166))</f>
        <v>#N/A</v>
      </c>
      <c r="G166" t="str">
        <f>IF($D166&lt;&gt;"Include","",IFERROR(Data!P166-Data!S166,""))</f>
        <v/>
      </c>
      <c r="H166">
        <f>IF($D166&lt;&gt;"Include","",IFERROR(SUM(Data!P166:R166)-SUM(Data!S166:U166),""))</f>
        <v>0</v>
      </c>
      <c r="I166">
        <f>IF($D166&lt;&gt;"Include","",SUM(Data!M166:O166))</f>
        <v>0</v>
      </c>
      <c r="J166" s="7" t="str">
        <f>IF($D166&lt;&gt;"Include","",IFERROR(IF(OR(Data!K166&lt;=0,F166&lt;=0),"n/m",($F166/Data!K166)),""))</f>
        <v/>
      </c>
      <c r="K166" s="9" t="str">
        <f>IF($D166&lt;&gt;"Include","",IFERROR(G166/Data!Z166,""))</f>
        <v/>
      </c>
      <c r="L166" s="9" t="str">
        <f t="shared" si="19"/>
        <v>n/m</v>
      </c>
      <c r="M166" s="7" t="str">
        <f>IF($D166&lt;&gt;"Include","",IFERROR(IF(Data!L166&lt;=0,"n,m",E166/Data!L166),""))</f>
        <v/>
      </c>
      <c r="N166" s="9" t="str">
        <f>IF($D166&lt;&gt;"Include","",IFERROR(IF(OR(Data!I166&lt;=0,Data!J166&lt;=0),"n/m",(Data!I166/Data!J166)^(1/3)-1),""))</f>
        <v/>
      </c>
      <c r="O166">
        <f t="shared" si="14"/>
        <v>119</v>
      </c>
      <c r="P166">
        <f t="shared" si="15"/>
        <v>119</v>
      </c>
      <c r="Q166">
        <f t="shared" si="16"/>
        <v>119</v>
      </c>
      <c r="R166">
        <f t="shared" si="17"/>
        <v>119</v>
      </c>
      <c r="S166">
        <f t="shared" si="18"/>
        <v>119</v>
      </c>
      <c r="T166" s="10">
        <f t="shared" si="20"/>
        <v>119</v>
      </c>
      <c r="U166">
        <f>IF($D166&lt;&gt;"Include","",_xlfn.RANK.EQ(T166,T$6:T$305,1)+COUNTIFS(T$6:T166,T166)-1)</f>
        <v>77</v>
      </c>
    </row>
    <row r="167" spans="1:21" x14ac:dyDescent="0.4">
      <c r="A167" t="str">
        <f>Data!A167</f>
        <v>ONT</v>
      </c>
      <c r="B167" t="str">
        <f>Data!B167</f>
        <v>Oxford Nanopore Technologies</v>
      </c>
      <c r="C167" t="str">
        <f>Data!D167</f>
        <v>Health Care</v>
      </c>
      <c r="D167" t="str">
        <f>Data!E167</f>
        <v>Include</v>
      </c>
      <c r="E167">
        <f>IF($D167&lt;&gt;"Include","",SUM(Data!V167:W167)-SUM(Data!X167))</f>
        <v>0</v>
      </c>
      <c r="F167" t="e">
        <f>IF($D167&lt;&gt;"Include","",SUM(Data!Z167,Data!Y167,Metrics!E167))</f>
        <v>#N/A</v>
      </c>
      <c r="G167" t="str">
        <f>IF($D167&lt;&gt;"Include","",IFERROR(Data!P167-Data!S167,""))</f>
        <v/>
      </c>
      <c r="H167">
        <f>IF($D167&lt;&gt;"Include","",IFERROR(SUM(Data!P167:R167)-SUM(Data!S167:U167),""))</f>
        <v>0</v>
      </c>
      <c r="I167">
        <f>IF($D167&lt;&gt;"Include","",SUM(Data!M167:O167))</f>
        <v>0</v>
      </c>
      <c r="J167" s="7" t="str">
        <f>IF($D167&lt;&gt;"Include","",IFERROR(IF(OR(Data!K167&lt;=0,F167&lt;=0),"n/m",($F167/Data!K167)),""))</f>
        <v/>
      </c>
      <c r="K167" s="9" t="str">
        <f>IF($D167&lt;&gt;"Include","",IFERROR(G167/Data!Z167,""))</f>
        <v/>
      </c>
      <c r="L167" s="9" t="str">
        <f t="shared" si="19"/>
        <v>n/m</v>
      </c>
      <c r="M167" s="7" t="str">
        <f>IF($D167&lt;&gt;"Include","",IFERROR(IF(Data!L167&lt;=0,"n,m",E167/Data!L167),""))</f>
        <v/>
      </c>
      <c r="N167" s="9" t="str">
        <f>IF($D167&lt;&gt;"Include","",IFERROR(IF(OR(Data!I167&lt;=0,Data!J167&lt;=0),"n/m",(Data!I167/Data!J167)^(1/3)-1),""))</f>
        <v/>
      </c>
      <c r="O167">
        <f t="shared" si="14"/>
        <v>119</v>
      </c>
      <c r="P167">
        <f t="shared" si="15"/>
        <v>119</v>
      </c>
      <c r="Q167">
        <f t="shared" si="16"/>
        <v>119</v>
      </c>
      <c r="R167">
        <f t="shared" si="17"/>
        <v>119</v>
      </c>
      <c r="S167">
        <f t="shared" si="18"/>
        <v>119</v>
      </c>
      <c r="T167" s="10">
        <f t="shared" si="20"/>
        <v>119</v>
      </c>
      <c r="U167">
        <f>IF($D167&lt;&gt;"Include","",_xlfn.RANK.EQ(T167,T$6:T$305,1)+COUNTIFS(T$6:T167,T167)-1)</f>
        <v>78</v>
      </c>
    </row>
    <row r="168" spans="1:21" x14ac:dyDescent="0.4">
      <c r="A168" t="str">
        <f>Data!A168</f>
        <v>PHI</v>
      </c>
      <c r="B168" t="str">
        <f>Data!B168</f>
        <v>Pacific Horizon Investment Trust</v>
      </c>
      <c r="C168" t="str">
        <f>Data!D168</f>
        <v>Financials</v>
      </c>
      <c r="D168" t="str">
        <f>Data!E168</f>
        <v>Exclude</v>
      </c>
      <c r="E168" t="str">
        <f>IF($D168&lt;&gt;"Include","",SUM(Data!V168:W168)-SUM(Data!X168))</f>
        <v/>
      </c>
      <c r="F168" t="str">
        <f>IF($D168&lt;&gt;"Include","",SUM(Data!Z168,Data!Y168,Metrics!E168))</f>
        <v/>
      </c>
      <c r="G168" t="str">
        <f>IF($D168&lt;&gt;"Include","",IFERROR(Data!P168-Data!S168,""))</f>
        <v/>
      </c>
      <c r="H168" t="str">
        <f>IF($D168&lt;&gt;"Include","",IFERROR(SUM(Data!P168:R168)-SUM(Data!S168:U168),""))</f>
        <v/>
      </c>
      <c r="I168" t="str">
        <f>IF($D168&lt;&gt;"Include","",SUM(Data!M168:O168))</f>
        <v/>
      </c>
      <c r="J168" s="7" t="str">
        <f>IF($D168&lt;&gt;"Include","",IFERROR(IF(OR(Data!K168&lt;=0,F168&lt;=0),"n/m",($F168/Data!K168)),""))</f>
        <v/>
      </c>
      <c r="K168" s="9" t="str">
        <f>IF($D168&lt;&gt;"Include","",IFERROR(G168/Data!Z168,""))</f>
        <v/>
      </c>
      <c r="L168" s="9" t="str">
        <f t="shared" si="19"/>
        <v/>
      </c>
      <c r="M168" s="7" t="str">
        <f>IF($D168&lt;&gt;"Include","",IFERROR(IF(Data!L168&lt;=0,"n,m",E168/Data!L168),""))</f>
        <v/>
      </c>
      <c r="N168" s="9" t="str">
        <f>IF($D168&lt;&gt;"Include","",IFERROR(IF(OR(Data!I168&lt;=0,Data!J168&lt;=0),"n/m",(Data!I168/Data!J168)^(1/3)-1),""))</f>
        <v/>
      </c>
      <c r="O168" t="str">
        <f t="shared" si="14"/>
        <v/>
      </c>
      <c r="P168" t="str">
        <f t="shared" si="15"/>
        <v/>
      </c>
      <c r="Q168" t="str">
        <f t="shared" si="16"/>
        <v/>
      </c>
      <c r="R168" t="str">
        <f t="shared" si="17"/>
        <v/>
      </c>
      <c r="S168" t="str">
        <f t="shared" si="18"/>
        <v/>
      </c>
      <c r="T168" s="10" t="str">
        <f t="shared" si="20"/>
        <v/>
      </c>
      <c r="U168" t="str">
        <f>IF($D168&lt;&gt;"Include","",_xlfn.RANK.EQ(T168,T$6:T$305,1)+COUNTIFS(T$6:T168,T168)-1)</f>
        <v/>
      </c>
    </row>
    <row r="169" spans="1:21" x14ac:dyDescent="0.4">
      <c r="A169" t="str">
        <f>Data!A169</f>
        <v>PAF</v>
      </c>
      <c r="B169" t="str">
        <f>Data!B169</f>
        <v>Pan African Resources</v>
      </c>
      <c r="C169" t="str">
        <f>Data!D169</f>
        <v>Basic Materials</v>
      </c>
      <c r="D169" t="str">
        <f>Data!E169</f>
        <v>Include</v>
      </c>
      <c r="E169">
        <f>IF($D169&lt;&gt;"Include","",SUM(Data!V169:W169)-SUM(Data!X169))</f>
        <v>0</v>
      </c>
      <c r="F169" t="e">
        <f>IF($D169&lt;&gt;"Include","",SUM(Data!Z169,Data!Y169,Metrics!E169))</f>
        <v>#N/A</v>
      </c>
      <c r="G169" t="str">
        <f>IF($D169&lt;&gt;"Include","",IFERROR(Data!P169-Data!S169,""))</f>
        <v/>
      </c>
      <c r="H169">
        <f>IF($D169&lt;&gt;"Include","",IFERROR(SUM(Data!P169:R169)-SUM(Data!S169:U169),""))</f>
        <v>0</v>
      </c>
      <c r="I169">
        <f>IF($D169&lt;&gt;"Include","",SUM(Data!M169:O169))</f>
        <v>0</v>
      </c>
      <c r="J169" s="7" t="str">
        <f>IF($D169&lt;&gt;"Include","",IFERROR(IF(OR(Data!K169&lt;=0,F169&lt;=0),"n/m",($F169/Data!K169)),""))</f>
        <v/>
      </c>
      <c r="K169" s="9" t="str">
        <f>IF($D169&lt;&gt;"Include","",IFERROR(G169/Data!Z169,""))</f>
        <v/>
      </c>
      <c r="L169" s="9" t="str">
        <f t="shared" si="19"/>
        <v>n/m</v>
      </c>
      <c r="M169" s="7" t="str">
        <f>IF($D169&lt;&gt;"Include","",IFERROR(IF(Data!L169&lt;=0,"n,m",E169/Data!L169),""))</f>
        <v/>
      </c>
      <c r="N169" s="9" t="str">
        <f>IF($D169&lt;&gt;"Include","",IFERROR(IF(OR(Data!I169&lt;=0,Data!J169&lt;=0),"n/m",(Data!I169/Data!J169)^(1/3)-1),""))</f>
        <v/>
      </c>
      <c r="O169">
        <f t="shared" si="14"/>
        <v>119</v>
      </c>
      <c r="P169">
        <f t="shared" si="15"/>
        <v>119</v>
      </c>
      <c r="Q169">
        <f t="shared" si="16"/>
        <v>119</v>
      </c>
      <c r="R169">
        <f t="shared" si="17"/>
        <v>119</v>
      </c>
      <c r="S169">
        <f t="shared" si="18"/>
        <v>119</v>
      </c>
      <c r="T169" s="10">
        <f t="shared" si="20"/>
        <v>119</v>
      </c>
      <c r="U169">
        <f>IF($D169&lt;&gt;"Include","",_xlfn.RANK.EQ(T169,T$6:T$305,1)+COUNTIFS(T$6:T169,T169)-1)</f>
        <v>79</v>
      </c>
    </row>
    <row r="170" spans="1:21" x14ac:dyDescent="0.4">
      <c r="A170" t="str">
        <f>Data!A170</f>
        <v>PINT</v>
      </c>
      <c r="B170" t="str">
        <f>Data!B170</f>
        <v>Pantheon Infrastructure</v>
      </c>
      <c r="C170" t="str">
        <f>Data!D170</f>
        <v>Financials</v>
      </c>
      <c r="D170" t="str">
        <f>Data!E170</f>
        <v>Exclude</v>
      </c>
      <c r="E170" t="str">
        <f>IF($D170&lt;&gt;"Include","",SUM(Data!V170:W170)-SUM(Data!X170))</f>
        <v/>
      </c>
      <c r="F170" t="str">
        <f>IF($D170&lt;&gt;"Include","",SUM(Data!Z170,Data!Y170,Metrics!E170))</f>
        <v/>
      </c>
      <c r="G170" t="str">
        <f>IF($D170&lt;&gt;"Include","",IFERROR(Data!P170-Data!S170,""))</f>
        <v/>
      </c>
      <c r="H170" t="str">
        <f>IF($D170&lt;&gt;"Include","",IFERROR(SUM(Data!P170:R170)-SUM(Data!S170:U170),""))</f>
        <v/>
      </c>
      <c r="I170" t="str">
        <f>IF($D170&lt;&gt;"Include","",SUM(Data!M170:O170))</f>
        <v/>
      </c>
      <c r="J170" s="7" t="str">
        <f>IF($D170&lt;&gt;"Include","",IFERROR(IF(OR(Data!K170&lt;=0,F170&lt;=0),"n/m",($F170/Data!K170)),""))</f>
        <v/>
      </c>
      <c r="K170" s="9" t="str">
        <f>IF($D170&lt;&gt;"Include","",IFERROR(G170/Data!Z170,""))</f>
        <v/>
      </c>
      <c r="L170" s="9" t="str">
        <f t="shared" si="19"/>
        <v/>
      </c>
      <c r="M170" s="7" t="str">
        <f>IF($D170&lt;&gt;"Include","",IFERROR(IF(Data!L170&lt;=0,"n,m",E170/Data!L170),""))</f>
        <v/>
      </c>
      <c r="N170" s="9" t="str">
        <f>IF($D170&lt;&gt;"Include","",IFERROR(IF(OR(Data!I170&lt;=0,Data!J170&lt;=0),"n/m",(Data!I170/Data!J170)^(1/3)-1),""))</f>
        <v/>
      </c>
      <c r="O170" t="str">
        <f t="shared" si="14"/>
        <v/>
      </c>
      <c r="P170" t="str">
        <f t="shared" si="15"/>
        <v/>
      </c>
      <c r="Q170" t="str">
        <f t="shared" si="16"/>
        <v/>
      </c>
      <c r="R170" t="str">
        <f t="shared" si="17"/>
        <v/>
      </c>
      <c r="S170" t="str">
        <f t="shared" si="18"/>
        <v/>
      </c>
      <c r="T170" s="10" t="str">
        <f t="shared" si="20"/>
        <v/>
      </c>
      <c r="U170" t="str">
        <f>IF($D170&lt;&gt;"Include","",_xlfn.RANK.EQ(T170,T$6:T$305,1)+COUNTIFS(T$6:T170,T170)-1)</f>
        <v/>
      </c>
    </row>
    <row r="171" spans="1:21" x14ac:dyDescent="0.4">
      <c r="A171" t="str">
        <f>Data!A171</f>
        <v>PIN</v>
      </c>
      <c r="B171" t="str">
        <f>Data!B171</f>
        <v>Pantheon International</v>
      </c>
      <c r="C171" t="str">
        <f>Data!D171</f>
        <v>Financials</v>
      </c>
      <c r="D171" t="str">
        <f>Data!E171</f>
        <v>Exclude</v>
      </c>
      <c r="E171" t="str">
        <f>IF($D171&lt;&gt;"Include","",SUM(Data!V171:W171)-SUM(Data!X171))</f>
        <v/>
      </c>
      <c r="F171" t="str">
        <f>IF($D171&lt;&gt;"Include","",SUM(Data!Z171,Data!Y171,Metrics!E171))</f>
        <v/>
      </c>
      <c r="G171" t="str">
        <f>IF($D171&lt;&gt;"Include","",IFERROR(Data!P171-Data!S171,""))</f>
        <v/>
      </c>
      <c r="H171" t="str">
        <f>IF($D171&lt;&gt;"Include","",IFERROR(SUM(Data!P171:R171)-SUM(Data!S171:U171),""))</f>
        <v/>
      </c>
      <c r="I171" t="str">
        <f>IF($D171&lt;&gt;"Include","",SUM(Data!M171:O171))</f>
        <v/>
      </c>
      <c r="J171" s="7" t="str">
        <f>IF($D171&lt;&gt;"Include","",IFERROR(IF(OR(Data!K171&lt;=0,F171&lt;=0),"n/m",($F171/Data!K171)),""))</f>
        <v/>
      </c>
      <c r="K171" s="9" t="str">
        <f>IF($D171&lt;&gt;"Include","",IFERROR(G171/Data!Z171,""))</f>
        <v/>
      </c>
      <c r="L171" s="9" t="str">
        <f t="shared" si="19"/>
        <v/>
      </c>
      <c r="M171" s="7" t="str">
        <f>IF($D171&lt;&gt;"Include","",IFERROR(IF(Data!L171&lt;=0,"n,m",E171/Data!L171),""))</f>
        <v/>
      </c>
      <c r="N171" s="9" t="str">
        <f>IF($D171&lt;&gt;"Include","",IFERROR(IF(OR(Data!I171&lt;=0,Data!J171&lt;=0),"n/m",(Data!I171/Data!J171)^(1/3)-1),""))</f>
        <v/>
      </c>
      <c r="O171" t="str">
        <f t="shared" si="14"/>
        <v/>
      </c>
      <c r="P171" t="str">
        <f t="shared" si="15"/>
        <v/>
      </c>
      <c r="Q171" t="str">
        <f t="shared" si="16"/>
        <v/>
      </c>
      <c r="R171" t="str">
        <f t="shared" si="17"/>
        <v/>
      </c>
      <c r="S171" t="str">
        <f t="shared" si="18"/>
        <v/>
      </c>
      <c r="T171" s="10" t="str">
        <f t="shared" si="20"/>
        <v/>
      </c>
      <c r="U171" t="str">
        <f>IF($D171&lt;&gt;"Include","",_xlfn.RANK.EQ(T171,T$6:T$305,1)+COUNTIFS(T$6:T171,T171)-1)</f>
        <v/>
      </c>
    </row>
    <row r="172" spans="1:21" x14ac:dyDescent="0.4">
      <c r="A172" t="str">
        <f>Data!A172</f>
        <v>PAG</v>
      </c>
      <c r="B172" t="str">
        <f>Data!B172</f>
        <v>Paragon Banking Group</v>
      </c>
      <c r="C172" t="str">
        <f>Data!D172</f>
        <v>Financials</v>
      </c>
      <c r="D172" t="str">
        <f>Data!E172</f>
        <v>Exclude</v>
      </c>
      <c r="E172" t="str">
        <f>IF($D172&lt;&gt;"Include","",SUM(Data!V172:W172)-SUM(Data!X172))</f>
        <v/>
      </c>
      <c r="F172" t="str">
        <f>IF($D172&lt;&gt;"Include","",SUM(Data!Z172,Data!Y172,Metrics!E172))</f>
        <v/>
      </c>
      <c r="G172" t="str">
        <f>IF($D172&lt;&gt;"Include","",IFERROR(Data!P172-Data!S172,""))</f>
        <v/>
      </c>
      <c r="H172" t="str">
        <f>IF($D172&lt;&gt;"Include","",IFERROR(SUM(Data!P172:R172)-SUM(Data!S172:U172),""))</f>
        <v/>
      </c>
      <c r="I172" t="str">
        <f>IF($D172&lt;&gt;"Include","",SUM(Data!M172:O172))</f>
        <v/>
      </c>
      <c r="J172" s="7" t="str">
        <f>IF($D172&lt;&gt;"Include","",IFERROR(IF(OR(Data!K172&lt;=0,F172&lt;=0),"n/m",($F172/Data!K172)),""))</f>
        <v/>
      </c>
      <c r="K172" s="9" t="str">
        <f>IF($D172&lt;&gt;"Include","",IFERROR(G172/Data!Z172,""))</f>
        <v/>
      </c>
      <c r="L172" s="9" t="str">
        <f t="shared" si="19"/>
        <v/>
      </c>
      <c r="M172" s="7" t="str">
        <f>IF($D172&lt;&gt;"Include","",IFERROR(IF(Data!L172&lt;=0,"n,m",E172/Data!L172),""))</f>
        <v/>
      </c>
      <c r="N172" s="9" t="str">
        <f>IF($D172&lt;&gt;"Include","",IFERROR(IF(OR(Data!I172&lt;=0,Data!J172&lt;=0),"n/m",(Data!I172/Data!J172)^(1/3)-1),""))</f>
        <v/>
      </c>
      <c r="O172" t="str">
        <f t="shared" si="14"/>
        <v/>
      </c>
      <c r="P172" t="str">
        <f t="shared" si="15"/>
        <v/>
      </c>
      <c r="Q172" t="str">
        <f t="shared" si="16"/>
        <v/>
      </c>
      <c r="R172" t="str">
        <f t="shared" si="17"/>
        <v/>
      </c>
      <c r="S172" t="str">
        <f t="shared" si="18"/>
        <v/>
      </c>
      <c r="T172" s="10" t="str">
        <f t="shared" si="20"/>
        <v/>
      </c>
      <c r="U172" t="str">
        <f>IF($D172&lt;&gt;"Include","",_xlfn.RANK.EQ(T172,T$6:T$305,1)+COUNTIFS(T$6:T172,T172)-1)</f>
        <v/>
      </c>
    </row>
    <row r="173" spans="1:21" x14ac:dyDescent="0.4">
      <c r="A173" t="str">
        <f>Data!A173</f>
        <v>PEY</v>
      </c>
      <c r="B173" t="str">
        <f>Data!B173</f>
        <v>Partners Group Private Equity</v>
      </c>
      <c r="C173" t="str">
        <f>Data!D173</f>
        <v>Financials</v>
      </c>
      <c r="D173" t="str">
        <f>Data!E173</f>
        <v>Exclude</v>
      </c>
      <c r="E173" t="str">
        <f>IF($D173&lt;&gt;"Include","",SUM(Data!V173:W173)-SUM(Data!X173))</f>
        <v/>
      </c>
      <c r="F173" t="str">
        <f>IF($D173&lt;&gt;"Include","",SUM(Data!Z173,Data!Y173,Metrics!E173))</f>
        <v/>
      </c>
      <c r="G173" t="str">
        <f>IF($D173&lt;&gt;"Include","",IFERROR(Data!P173-Data!S173,""))</f>
        <v/>
      </c>
      <c r="H173" t="str">
        <f>IF($D173&lt;&gt;"Include","",IFERROR(SUM(Data!P173:R173)-SUM(Data!S173:U173),""))</f>
        <v/>
      </c>
      <c r="I173" t="str">
        <f>IF($D173&lt;&gt;"Include","",SUM(Data!M173:O173))</f>
        <v/>
      </c>
      <c r="J173" s="7" t="str">
        <f>IF($D173&lt;&gt;"Include","",IFERROR(IF(OR(Data!K173&lt;=0,F173&lt;=0),"n/m",($F173/Data!K173)),""))</f>
        <v/>
      </c>
      <c r="K173" s="9" t="str">
        <f>IF($D173&lt;&gt;"Include","",IFERROR(G173/Data!Z173,""))</f>
        <v/>
      </c>
      <c r="L173" s="9" t="str">
        <f t="shared" si="19"/>
        <v/>
      </c>
      <c r="M173" s="7" t="str">
        <f>IF($D173&lt;&gt;"Include","",IFERROR(IF(Data!L173&lt;=0,"n,m",E173/Data!L173),""))</f>
        <v/>
      </c>
      <c r="N173" s="9" t="str">
        <f>IF($D173&lt;&gt;"Include","",IFERROR(IF(OR(Data!I173&lt;=0,Data!J173&lt;=0),"n/m",(Data!I173/Data!J173)^(1/3)-1),""))</f>
        <v/>
      </c>
      <c r="O173" t="str">
        <f t="shared" si="14"/>
        <v/>
      </c>
      <c r="P173" t="str">
        <f t="shared" si="15"/>
        <v/>
      </c>
      <c r="Q173" t="str">
        <f t="shared" si="16"/>
        <v/>
      </c>
      <c r="R173" t="str">
        <f t="shared" si="17"/>
        <v/>
      </c>
      <c r="S173" t="str">
        <f t="shared" si="18"/>
        <v/>
      </c>
      <c r="T173" s="10" t="str">
        <f t="shared" si="20"/>
        <v/>
      </c>
      <c r="U173" t="str">
        <f>IF($D173&lt;&gt;"Include","",_xlfn.RANK.EQ(T173,T$6:T$305,1)+COUNTIFS(T$6:T173,T173)-1)</f>
        <v/>
      </c>
    </row>
    <row r="174" spans="1:21" x14ac:dyDescent="0.4">
      <c r="A174" t="str">
        <f>Data!A174</f>
        <v>PPET</v>
      </c>
      <c r="B174" t="str">
        <f>Data!B174</f>
        <v>Patria Private Equity Trust</v>
      </c>
      <c r="C174" t="str">
        <f>Data!D174</f>
        <v>Financials</v>
      </c>
      <c r="D174" t="str">
        <f>Data!E174</f>
        <v>Exclude</v>
      </c>
      <c r="E174" t="str">
        <f>IF($D174&lt;&gt;"Include","",SUM(Data!V174:W174)-SUM(Data!X174))</f>
        <v/>
      </c>
      <c r="F174" t="str">
        <f>IF($D174&lt;&gt;"Include","",SUM(Data!Z174,Data!Y174,Metrics!E174))</f>
        <v/>
      </c>
      <c r="G174" t="str">
        <f>IF($D174&lt;&gt;"Include","",IFERROR(Data!P174-Data!S174,""))</f>
        <v/>
      </c>
      <c r="H174" t="str">
        <f>IF($D174&lt;&gt;"Include","",IFERROR(SUM(Data!P174:R174)-SUM(Data!S174:U174),""))</f>
        <v/>
      </c>
      <c r="I174" t="str">
        <f>IF($D174&lt;&gt;"Include","",SUM(Data!M174:O174))</f>
        <v/>
      </c>
      <c r="J174" s="7" t="str">
        <f>IF($D174&lt;&gt;"Include","",IFERROR(IF(OR(Data!K174&lt;=0,F174&lt;=0),"n/m",($F174/Data!K174)),""))</f>
        <v/>
      </c>
      <c r="K174" s="9" t="str">
        <f>IF($D174&lt;&gt;"Include","",IFERROR(G174/Data!Z174,""))</f>
        <v/>
      </c>
      <c r="L174" s="9" t="str">
        <f t="shared" si="19"/>
        <v/>
      </c>
      <c r="M174" s="7" t="str">
        <f>IF($D174&lt;&gt;"Include","",IFERROR(IF(Data!L174&lt;=0,"n,m",E174/Data!L174),""))</f>
        <v/>
      </c>
      <c r="N174" s="9" t="str">
        <f>IF($D174&lt;&gt;"Include","",IFERROR(IF(OR(Data!I174&lt;=0,Data!J174&lt;=0),"n/m",(Data!I174/Data!J174)^(1/3)-1),""))</f>
        <v/>
      </c>
      <c r="O174" t="str">
        <f t="shared" si="14"/>
        <v/>
      </c>
      <c r="P174" t="str">
        <f t="shared" si="15"/>
        <v/>
      </c>
      <c r="Q174" t="str">
        <f t="shared" si="16"/>
        <v/>
      </c>
      <c r="R174" t="str">
        <f t="shared" si="17"/>
        <v/>
      </c>
      <c r="S174" t="str">
        <f t="shared" si="18"/>
        <v/>
      </c>
      <c r="T174" s="10" t="str">
        <f t="shared" si="20"/>
        <v/>
      </c>
      <c r="U174" t="str">
        <f>IF($D174&lt;&gt;"Include","",_xlfn.RANK.EQ(T174,T$6:T$305,1)+COUNTIFS(T$6:T174,T174)-1)</f>
        <v/>
      </c>
    </row>
    <row r="175" spans="1:21" x14ac:dyDescent="0.4">
      <c r="A175" t="str">
        <f>Data!A175</f>
        <v>PNN</v>
      </c>
      <c r="B175" t="str">
        <f>Data!B175</f>
        <v>Pennon Group</v>
      </c>
      <c r="C175" t="str">
        <f>Data!D175</f>
        <v>Utilities</v>
      </c>
      <c r="D175" t="str">
        <f>Data!E175</f>
        <v>Include</v>
      </c>
      <c r="E175">
        <f>IF($D175&lt;&gt;"Include","",SUM(Data!V175:W175)-SUM(Data!X175))</f>
        <v>0</v>
      </c>
      <c r="F175" t="e">
        <f>IF($D175&lt;&gt;"Include","",SUM(Data!Z175,Data!Y175,Metrics!E175))</f>
        <v>#N/A</v>
      </c>
      <c r="G175" t="str">
        <f>IF($D175&lt;&gt;"Include","",IFERROR(Data!P175-Data!S175,""))</f>
        <v/>
      </c>
      <c r="H175">
        <f>IF($D175&lt;&gt;"Include","",IFERROR(SUM(Data!P175:R175)-SUM(Data!S175:U175),""))</f>
        <v>0</v>
      </c>
      <c r="I175">
        <f>IF($D175&lt;&gt;"Include","",SUM(Data!M175:O175))</f>
        <v>0</v>
      </c>
      <c r="J175" s="7" t="str">
        <f>IF($D175&lt;&gt;"Include","",IFERROR(IF(OR(Data!K175&lt;=0,F175&lt;=0),"n/m",($F175/Data!K175)),""))</f>
        <v/>
      </c>
      <c r="K175" s="9" t="str">
        <f>IF($D175&lt;&gt;"Include","",IFERROR(G175/Data!Z175,""))</f>
        <v/>
      </c>
      <c r="L175" s="9" t="str">
        <f t="shared" si="19"/>
        <v>n/m</v>
      </c>
      <c r="M175" s="7" t="str">
        <f>IF($D175&lt;&gt;"Include","",IFERROR(IF(Data!L175&lt;=0,"n,m",E175/Data!L175),""))</f>
        <v/>
      </c>
      <c r="N175" s="9" t="str">
        <f>IF($D175&lt;&gt;"Include","",IFERROR(IF(OR(Data!I175&lt;=0,Data!J175&lt;=0),"n/m",(Data!I175/Data!J175)^(1/3)-1),""))</f>
        <v/>
      </c>
      <c r="O175">
        <f t="shared" si="14"/>
        <v>119</v>
      </c>
      <c r="P175">
        <f t="shared" si="15"/>
        <v>119</v>
      </c>
      <c r="Q175">
        <f t="shared" si="16"/>
        <v>119</v>
      </c>
      <c r="R175">
        <f t="shared" si="17"/>
        <v>119</v>
      </c>
      <c r="S175">
        <f t="shared" si="18"/>
        <v>119</v>
      </c>
      <c r="T175" s="10">
        <f t="shared" si="20"/>
        <v>119</v>
      </c>
      <c r="U175">
        <f>IF($D175&lt;&gt;"Include","",_xlfn.RANK.EQ(T175,T$6:T$305,1)+COUNTIFS(T$6:T175,T175)-1)</f>
        <v>80</v>
      </c>
    </row>
    <row r="176" spans="1:21" x14ac:dyDescent="0.4">
      <c r="A176" t="str">
        <f>Data!A176</f>
        <v>PSN</v>
      </c>
      <c r="B176" t="str">
        <f>Data!B176</f>
        <v>Persimmon</v>
      </c>
      <c r="C176" t="str">
        <f>Data!D176</f>
        <v>Consumer Discretionary</v>
      </c>
      <c r="D176" t="str">
        <f>Data!E176</f>
        <v>Include</v>
      </c>
      <c r="E176">
        <f>IF($D176&lt;&gt;"Include","",SUM(Data!V176:W176)-SUM(Data!X176))</f>
        <v>0</v>
      </c>
      <c r="F176" t="e">
        <f>IF($D176&lt;&gt;"Include","",SUM(Data!Z176,Data!Y176,Metrics!E176))</f>
        <v>#N/A</v>
      </c>
      <c r="G176" t="str">
        <f>IF($D176&lt;&gt;"Include","",IFERROR(Data!P176-Data!S176,""))</f>
        <v/>
      </c>
      <c r="H176">
        <f>IF($D176&lt;&gt;"Include","",IFERROR(SUM(Data!P176:R176)-SUM(Data!S176:U176),""))</f>
        <v>0</v>
      </c>
      <c r="I176">
        <f>IF($D176&lt;&gt;"Include","",SUM(Data!M176:O176))</f>
        <v>0</v>
      </c>
      <c r="J176" s="7" t="str">
        <f>IF($D176&lt;&gt;"Include","",IFERROR(IF(OR(Data!K176&lt;=0,F176&lt;=0),"n/m",($F176/Data!K176)),""))</f>
        <v/>
      </c>
      <c r="K176" s="9" t="str">
        <f>IF($D176&lt;&gt;"Include","",IFERROR(G176/Data!Z176,""))</f>
        <v/>
      </c>
      <c r="L176" s="9" t="str">
        <f t="shared" si="19"/>
        <v>n/m</v>
      </c>
      <c r="M176" s="7" t="str">
        <f>IF($D176&lt;&gt;"Include","",IFERROR(IF(Data!L176&lt;=0,"n,m",E176/Data!L176),""))</f>
        <v/>
      </c>
      <c r="N176" s="9" t="str">
        <f>IF($D176&lt;&gt;"Include","",IFERROR(IF(OR(Data!I176&lt;=0,Data!J176&lt;=0),"n/m",(Data!I176/Data!J176)^(1/3)-1),""))</f>
        <v/>
      </c>
      <c r="O176">
        <f t="shared" si="14"/>
        <v>119</v>
      </c>
      <c r="P176">
        <f t="shared" si="15"/>
        <v>119</v>
      </c>
      <c r="Q176">
        <f t="shared" si="16"/>
        <v>119</v>
      </c>
      <c r="R176">
        <f t="shared" si="17"/>
        <v>119</v>
      </c>
      <c r="S176">
        <f t="shared" si="18"/>
        <v>119</v>
      </c>
      <c r="T176" s="10">
        <f t="shared" si="20"/>
        <v>119</v>
      </c>
      <c r="U176">
        <f>IF($D176&lt;&gt;"Include","",_xlfn.RANK.EQ(T176,T$6:T$305,1)+COUNTIFS(T$6:T176,T176)-1)</f>
        <v>81</v>
      </c>
    </row>
    <row r="177" spans="1:21" x14ac:dyDescent="0.4">
      <c r="A177" t="str">
        <f>Data!A177</f>
        <v>PNL</v>
      </c>
      <c r="B177" t="str">
        <f>Data!B177</f>
        <v>Personal Assets Trust</v>
      </c>
      <c r="C177" t="str">
        <f>Data!D177</f>
        <v>Financials</v>
      </c>
      <c r="D177" t="str">
        <f>Data!E177</f>
        <v>Exclude</v>
      </c>
      <c r="E177" t="str">
        <f>IF($D177&lt;&gt;"Include","",SUM(Data!V177:W177)-SUM(Data!X177))</f>
        <v/>
      </c>
      <c r="F177" t="str">
        <f>IF($D177&lt;&gt;"Include","",SUM(Data!Z177,Data!Y177,Metrics!E177))</f>
        <v/>
      </c>
      <c r="G177" t="str">
        <f>IF($D177&lt;&gt;"Include","",IFERROR(Data!P177-Data!S177,""))</f>
        <v/>
      </c>
      <c r="H177" t="str">
        <f>IF($D177&lt;&gt;"Include","",IFERROR(SUM(Data!P177:R177)-SUM(Data!S177:U177),""))</f>
        <v/>
      </c>
      <c r="I177" t="str">
        <f>IF($D177&lt;&gt;"Include","",SUM(Data!M177:O177))</f>
        <v/>
      </c>
      <c r="J177" s="7" t="str">
        <f>IF($D177&lt;&gt;"Include","",IFERROR(IF(OR(Data!K177&lt;=0,F177&lt;=0),"n/m",($F177/Data!K177)),""))</f>
        <v/>
      </c>
      <c r="K177" s="9" t="str">
        <f>IF($D177&lt;&gt;"Include","",IFERROR(G177/Data!Z177,""))</f>
        <v/>
      </c>
      <c r="L177" s="9" t="str">
        <f t="shared" si="19"/>
        <v/>
      </c>
      <c r="M177" s="7" t="str">
        <f>IF($D177&lt;&gt;"Include","",IFERROR(IF(Data!L177&lt;=0,"n,m",E177/Data!L177),""))</f>
        <v/>
      </c>
      <c r="N177" s="9" t="str">
        <f>IF($D177&lt;&gt;"Include","",IFERROR(IF(OR(Data!I177&lt;=0,Data!J177&lt;=0),"n/m",(Data!I177/Data!J177)^(1/3)-1),""))</f>
        <v/>
      </c>
      <c r="O177" t="str">
        <f t="shared" si="14"/>
        <v/>
      </c>
      <c r="P177" t="str">
        <f t="shared" si="15"/>
        <v/>
      </c>
      <c r="Q177" t="str">
        <f t="shared" si="16"/>
        <v/>
      </c>
      <c r="R177" t="str">
        <f t="shared" si="17"/>
        <v/>
      </c>
      <c r="S177" t="str">
        <f t="shared" si="18"/>
        <v/>
      </c>
      <c r="T177" s="10" t="str">
        <f t="shared" si="20"/>
        <v/>
      </c>
      <c r="U177" t="str">
        <f>IF($D177&lt;&gt;"Include","",_xlfn.RANK.EQ(T177,T$6:T$305,1)+COUNTIFS(T$6:T177,T177)-1)</f>
        <v/>
      </c>
    </row>
    <row r="178" spans="1:21" x14ac:dyDescent="0.4">
      <c r="A178" t="str">
        <f>Data!A178</f>
        <v>PETS</v>
      </c>
      <c r="B178" t="str">
        <f>Data!B178</f>
        <v>Pets at Home</v>
      </c>
      <c r="C178" t="str">
        <f>Data!D178</f>
        <v>Consumer Discretionary</v>
      </c>
      <c r="D178" t="str">
        <f>Data!E178</f>
        <v>Include</v>
      </c>
      <c r="E178">
        <f>IF($D178&lt;&gt;"Include","",SUM(Data!V178:W178)-SUM(Data!X178))</f>
        <v>0</v>
      </c>
      <c r="F178" t="e">
        <f>IF($D178&lt;&gt;"Include","",SUM(Data!Z178,Data!Y178,Metrics!E178))</f>
        <v>#N/A</v>
      </c>
      <c r="G178" t="str">
        <f>IF($D178&lt;&gt;"Include","",IFERROR(Data!P178-Data!S178,""))</f>
        <v/>
      </c>
      <c r="H178">
        <f>IF($D178&lt;&gt;"Include","",IFERROR(SUM(Data!P178:R178)-SUM(Data!S178:U178),""))</f>
        <v>0</v>
      </c>
      <c r="I178">
        <f>IF($D178&lt;&gt;"Include","",SUM(Data!M178:O178))</f>
        <v>0</v>
      </c>
      <c r="J178" s="7" t="str">
        <f>IF($D178&lt;&gt;"Include","",IFERROR(IF(OR(Data!K178&lt;=0,F178&lt;=0),"n/m",($F178/Data!K178)),""))</f>
        <v/>
      </c>
      <c r="K178" s="9" t="str">
        <f>IF($D178&lt;&gt;"Include","",IFERROR(G178/Data!Z178,""))</f>
        <v/>
      </c>
      <c r="L178" s="9" t="str">
        <f t="shared" si="19"/>
        <v>n/m</v>
      </c>
      <c r="M178" s="7" t="str">
        <f>IF($D178&lt;&gt;"Include","",IFERROR(IF(Data!L178&lt;=0,"n,m",E178/Data!L178),""))</f>
        <v/>
      </c>
      <c r="N178" s="9" t="str">
        <f>IF($D178&lt;&gt;"Include","",IFERROR(IF(OR(Data!I178&lt;=0,Data!J178&lt;=0),"n/m",(Data!I178/Data!J178)^(1/3)-1),""))</f>
        <v/>
      </c>
      <c r="O178">
        <f t="shared" si="14"/>
        <v>119</v>
      </c>
      <c r="P178">
        <f t="shared" si="15"/>
        <v>119</v>
      </c>
      <c r="Q178">
        <f t="shared" si="16"/>
        <v>119</v>
      </c>
      <c r="R178">
        <f t="shared" si="17"/>
        <v>119</v>
      </c>
      <c r="S178">
        <f t="shared" si="18"/>
        <v>119</v>
      </c>
      <c r="T178" s="10">
        <f t="shared" si="20"/>
        <v>119</v>
      </c>
      <c r="U178">
        <f>IF($D178&lt;&gt;"Include","",_xlfn.RANK.EQ(T178,T$6:T$305,1)+COUNTIFS(T$6:T178,T178)-1)</f>
        <v>82</v>
      </c>
    </row>
    <row r="179" spans="1:21" x14ac:dyDescent="0.4">
      <c r="A179" t="str">
        <f>Data!A179</f>
        <v>PTEC</v>
      </c>
      <c r="B179" t="str">
        <f>Data!B179</f>
        <v>Playtech</v>
      </c>
      <c r="C179" t="str">
        <f>Data!D179</f>
        <v>Consumer Discretionary</v>
      </c>
      <c r="D179" t="str">
        <f>Data!E179</f>
        <v>Exclude</v>
      </c>
      <c r="E179" t="str">
        <f>IF($D179&lt;&gt;"Include","",SUM(Data!V179:W179)-SUM(Data!X179))</f>
        <v/>
      </c>
      <c r="F179" t="str">
        <f>IF($D179&lt;&gt;"Include","",SUM(Data!Z179,Data!Y179,Metrics!E179))</f>
        <v/>
      </c>
      <c r="G179" t="str">
        <f>IF($D179&lt;&gt;"Include","",IFERROR(Data!P179-Data!S179,""))</f>
        <v/>
      </c>
      <c r="H179" t="str">
        <f>IF($D179&lt;&gt;"Include","",IFERROR(SUM(Data!P179:R179)-SUM(Data!S179:U179),""))</f>
        <v/>
      </c>
      <c r="I179" t="str">
        <f>IF($D179&lt;&gt;"Include","",SUM(Data!M179:O179))</f>
        <v/>
      </c>
      <c r="J179" s="7" t="str">
        <f>IF($D179&lt;&gt;"Include","",IFERROR(IF(OR(Data!K179&lt;=0,F179&lt;=0),"n/m",($F179/Data!K179)),""))</f>
        <v/>
      </c>
      <c r="K179" s="9" t="str">
        <f>IF($D179&lt;&gt;"Include","",IFERROR(G179/Data!Z179,""))</f>
        <v/>
      </c>
      <c r="L179" s="9" t="str">
        <f t="shared" si="19"/>
        <v/>
      </c>
      <c r="M179" s="7" t="str">
        <f>IF($D179&lt;&gt;"Include","",IFERROR(IF(Data!L179&lt;=0,"n,m",E179/Data!L179),""))</f>
        <v/>
      </c>
      <c r="N179" s="9" t="str">
        <f>IF($D179&lt;&gt;"Include","",IFERROR(IF(OR(Data!I179&lt;=0,Data!J179&lt;=0),"n/m",(Data!I179/Data!J179)^(1/3)-1),""))</f>
        <v/>
      </c>
      <c r="O179" t="str">
        <f t="shared" si="14"/>
        <v/>
      </c>
      <c r="P179" t="str">
        <f t="shared" si="15"/>
        <v/>
      </c>
      <c r="Q179" t="str">
        <f t="shared" si="16"/>
        <v/>
      </c>
      <c r="R179" t="str">
        <f t="shared" si="17"/>
        <v/>
      </c>
      <c r="S179" t="str">
        <f t="shared" si="18"/>
        <v/>
      </c>
      <c r="T179" s="10" t="str">
        <f t="shared" si="20"/>
        <v/>
      </c>
      <c r="U179" t="str">
        <f>IF($D179&lt;&gt;"Include","",_xlfn.RANK.EQ(T179,T$6:T$305,1)+COUNTIFS(T$6:T179,T179)-1)</f>
        <v/>
      </c>
    </row>
    <row r="180" spans="1:21" x14ac:dyDescent="0.4">
      <c r="A180" t="str">
        <f>Data!A180</f>
        <v>PLUS</v>
      </c>
      <c r="B180" t="str">
        <f>Data!B180</f>
        <v>Plus500</v>
      </c>
      <c r="C180" t="str">
        <f>Data!D180</f>
        <v>Financials</v>
      </c>
      <c r="D180" t="str">
        <f>Data!E180</f>
        <v>Exclude</v>
      </c>
      <c r="E180" t="str">
        <f>IF($D180&lt;&gt;"Include","",SUM(Data!V180:W180)-SUM(Data!X180))</f>
        <v/>
      </c>
      <c r="F180" t="str">
        <f>IF($D180&lt;&gt;"Include","",SUM(Data!Z180,Data!Y180,Metrics!E180))</f>
        <v/>
      </c>
      <c r="G180" t="str">
        <f>IF($D180&lt;&gt;"Include","",IFERROR(Data!P180-Data!S180,""))</f>
        <v/>
      </c>
      <c r="H180" t="str">
        <f>IF($D180&lt;&gt;"Include","",IFERROR(SUM(Data!P180:R180)-SUM(Data!S180:U180),""))</f>
        <v/>
      </c>
      <c r="I180" t="str">
        <f>IF($D180&lt;&gt;"Include","",SUM(Data!M180:O180))</f>
        <v/>
      </c>
      <c r="J180" s="7" t="str">
        <f>IF($D180&lt;&gt;"Include","",IFERROR(IF(OR(Data!K180&lt;=0,F180&lt;=0),"n/m",($F180/Data!K180)),""))</f>
        <v/>
      </c>
      <c r="K180" s="9" t="str">
        <f>IF($D180&lt;&gt;"Include","",IFERROR(G180/Data!Z180,""))</f>
        <v/>
      </c>
      <c r="L180" s="9" t="str">
        <f t="shared" si="19"/>
        <v/>
      </c>
      <c r="M180" s="7" t="str">
        <f>IF($D180&lt;&gt;"Include","",IFERROR(IF(Data!L180&lt;=0,"n,m",E180/Data!L180),""))</f>
        <v/>
      </c>
      <c r="N180" s="9" t="str">
        <f>IF($D180&lt;&gt;"Include","",IFERROR(IF(OR(Data!I180&lt;=0,Data!J180&lt;=0),"n/m",(Data!I180/Data!J180)^(1/3)-1),""))</f>
        <v/>
      </c>
      <c r="O180" t="str">
        <f t="shared" si="14"/>
        <v/>
      </c>
      <c r="P180" t="str">
        <f t="shared" si="15"/>
        <v/>
      </c>
      <c r="Q180" t="str">
        <f t="shared" si="16"/>
        <v/>
      </c>
      <c r="R180" t="str">
        <f t="shared" si="17"/>
        <v/>
      </c>
      <c r="S180" t="str">
        <f t="shared" si="18"/>
        <v/>
      </c>
      <c r="T180" s="10" t="str">
        <f t="shared" si="20"/>
        <v/>
      </c>
      <c r="U180" t="str">
        <f>IF($D180&lt;&gt;"Include","",_xlfn.RANK.EQ(T180,T$6:T$305,1)+COUNTIFS(T$6:T180,T180)-1)</f>
        <v/>
      </c>
    </row>
    <row r="181" spans="1:21" x14ac:dyDescent="0.4">
      <c r="A181" t="str">
        <f>Data!A181</f>
        <v>PCGH</v>
      </c>
      <c r="B181" t="str">
        <f>Data!B181</f>
        <v>Polar Capital Global Healthcare Trust</v>
      </c>
      <c r="C181" t="str">
        <f>Data!D181</f>
        <v>Financials</v>
      </c>
      <c r="D181" t="str">
        <f>Data!E181</f>
        <v>Exclude</v>
      </c>
      <c r="E181" t="str">
        <f>IF($D181&lt;&gt;"Include","",SUM(Data!V181:W181)-SUM(Data!X181))</f>
        <v/>
      </c>
      <c r="F181" t="str">
        <f>IF($D181&lt;&gt;"Include","",SUM(Data!Z181,Data!Y181,Metrics!E181))</f>
        <v/>
      </c>
      <c r="G181" t="str">
        <f>IF($D181&lt;&gt;"Include","",IFERROR(Data!P181-Data!S181,""))</f>
        <v/>
      </c>
      <c r="H181" t="str">
        <f>IF($D181&lt;&gt;"Include","",IFERROR(SUM(Data!P181:R181)-SUM(Data!S181:U181),""))</f>
        <v/>
      </c>
      <c r="I181" t="str">
        <f>IF($D181&lt;&gt;"Include","",SUM(Data!M181:O181))</f>
        <v/>
      </c>
      <c r="J181" s="7" t="str">
        <f>IF($D181&lt;&gt;"Include","",IFERROR(IF(OR(Data!K181&lt;=0,F181&lt;=0),"n/m",($F181/Data!K181)),""))</f>
        <v/>
      </c>
      <c r="K181" s="9" t="str">
        <f>IF($D181&lt;&gt;"Include","",IFERROR(G181/Data!Z181,""))</f>
        <v/>
      </c>
      <c r="L181" s="9" t="str">
        <f t="shared" si="19"/>
        <v/>
      </c>
      <c r="M181" s="7" t="str">
        <f>IF($D181&lt;&gt;"Include","",IFERROR(IF(Data!L181&lt;=0,"n,m",E181/Data!L181),""))</f>
        <v/>
      </c>
      <c r="N181" s="9" t="str">
        <f>IF($D181&lt;&gt;"Include","",IFERROR(IF(OR(Data!I181&lt;=0,Data!J181&lt;=0),"n/m",(Data!I181/Data!J181)^(1/3)-1),""))</f>
        <v/>
      </c>
      <c r="O181" t="str">
        <f t="shared" si="14"/>
        <v/>
      </c>
      <c r="P181" t="str">
        <f t="shared" si="15"/>
        <v/>
      </c>
      <c r="Q181" t="str">
        <f t="shared" si="16"/>
        <v/>
      </c>
      <c r="R181" t="str">
        <f t="shared" si="17"/>
        <v/>
      </c>
      <c r="S181" t="str">
        <f t="shared" si="18"/>
        <v/>
      </c>
      <c r="T181" s="10" t="str">
        <f t="shared" si="20"/>
        <v/>
      </c>
      <c r="U181" t="str">
        <f>IF($D181&lt;&gt;"Include","",_xlfn.RANK.EQ(T181,T$6:T$305,1)+COUNTIFS(T$6:T181,T181)-1)</f>
        <v/>
      </c>
    </row>
    <row r="182" spans="1:21" x14ac:dyDescent="0.4">
      <c r="A182" t="str">
        <f>Data!A182</f>
        <v>POLN</v>
      </c>
      <c r="B182" t="str">
        <f>Data!B182</f>
        <v>Pollen Street Group</v>
      </c>
      <c r="C182" t="str">
        <f>Data!D182</f>
        <v>Financials</v>
      </c>
      <c r="D182" t="str">
        <f>Data!E182</f>
        <v>Exclude</v>
      </c>
      <c r="E182" t="str">
        <f>IF($D182&lt;&gt;"Include","",SUM(Data!V182:W182)-SUM(Data!X182))</f>
        <v/>
      </c>
      <c r="F182" t="str">
        <f>IF($D182&lt;&gt;"Include","",SUM(Data!Z182,Data!Y182,Metrics!E182))</f>
        <v/>
      </c>
      <c r="G182" t="str">
        <f>IF($D182&lt;&gt;"Include","",IFERROR(Data!P182-Data!S182,""))</f>
        <v/>
      </c>
      <c r="H182" t="str">
        <f>IF($D182&lt;&gt;"Include","",IFERROR(SUM(Data!P182:R182)-SUM(Data!S182:U182),""))</f>
        <v/>
      </c>
      <c r="I182" t="str">
        <f>IF($D182&lt;&gt;"Include","",SUM(Data!M182:O182))</f>
        <v/>
      </c>
      <c r="J182" s="7" t="str">
        <f>IF($D182&lt;&gt;"Include","",IFERROR(IF(OR(Data!K182&lt;=0,F182&lt;=0),"n/m",($F182/Data!K182)),""))</f>
        <v/>
      </c>
      <c r="K182" s="9" t="str">
        <f>IF($D182&lt;&gt;"Include","",IFERROR(G182/Data!Z182,""))</f>
        <v/>
      </c>
      <c r="L182" s="9" t="str">
        <f t="shared" si="19"/>
        <v/>
      </c>
      <c r="M182" s="7" t="str">
        <f>IF($D182&lt;&gt;"Include","",IFERROR(IF(Data!L182&lt;=0,"n,m",E182/Data!L182),""))</f>
        <v/>
      </c>
      <c r="N182" s="9" t="str">
        <f>IF($D182&lt;&gt;"Include","",IFERROR(IF(OR(Data!I182&lt;=0,Data!J182&lt;=0),"n/m",(Data!I182/Data!J182)^(1/3)-1),""))</f>
        <v/>
      </c>
      <c r="O182" t="str">
        <f t="shared" si="14"/>
        <v/>
      </c>
      <c r="P182" t="str">
        <f t="shared" si="15"/>
        <v/>
      </c>
      <c r="Q182" t="str">
        <f t="shared" si="16"/>
        <v/>
      </c>
      <c r="R182" t="str">
        <f t="shared" si="17"/>
        <v/>
      </c>
      <c r="S182" t="str">
        <f t="shared" si="18"/>
        <v/>
      </c>
      <c r="T182" s="10" t="str">
        <f t="shared" si="20"/>
        <v/>
      </c>
      <c r="U182" t="str">
        <f>IF($D182&lt;&gt;"Include","",_xlfn.RANK.EQ(T182,T$6:T$305,1)+COUNTIFS(T$6:T182,T182)-1)</f>
        <v/>
      </c>
    </row>
    <row r="183" spans="1:21" x14ac:dyDescent="0.4">
      <c r="A183" t="str">
        <f>Data!A183</f>
        <v>PPH</v>
      </c>
      <c r="B183" t="str">
        <f>Data!B183</f>
        <v>PPHE Hotel Group</v>
      </c>
      <c r="C183" t="str">
        <f>Data!D183</f>
        <v>Consumer Discretionary</v>
      </c>
      <c r="D183" t="str">
        <f>Data!E183</f>
        <v>Include</v>
      </c>
      <c r="E183">
        <f>IF($D183&lt;&gt;"Include","",SUM(Data!V183:W183)-SUM(Data!X183))</f>
        <v>0</v>
      </c>
      <c r="F183" t="e">
        <f>IF($D183&lt;&gt;"Include","",SUM(Data!Z183,Data!Y183,Metrics!E183))</f>
        <v>#N/A</v>
      </c>
      <c r="G183" t="str">
        <f>IF($D183&lt;&gt;"Include","",IFERROR(Data!P183-Data!S183,""))</f>
        <v/>
      </c>
      <c r="H183">
        <f>IF($D183&lt;&gt;"Include","",IFERROR(SUM(Data!P183:R183)-SUM(Data!S183:U183),""))</f>
        <v>0</v>
      </c>
      <c r="I183">
        <f>IF($D183&lt;&gt;"Include","",SUM(Data!M183:O183))</f>
        <v>0</v>
      </c>
      <c r="J183" s="7" t="str">
        <f>IF($D183&lt;&gt;"Include","",IFERROR(IF(OR(Data!K183&lt;=0,F183&lt;=0),"n/m",($F183/Data!K183)),""))</f>
        <v/>
      </c>
      <c r="K183" s="9" t="str">
        <f>IF($D183&lt;&gt;"Include","",IFERROR(G183/Data!Z183,""))</f>
        <v/>
      </c>
      <c r="L183" s="9" t="str">
        <f t="shared" si="19"/>
        <v>n/m</v>
      </c>
      <c r="M183" s="7" t="str">
        <f>IF($D183&lt;&gt;"Include","",IFERROR(IF(Data!L183&lt;=0,"n,m",E183/Data!L183),""))</f>
        <v/>
      </c>
      <c r="N183" s="9" t="str">
        <f>IF($D183&lt;&gt;"Include","",IFERROR(IF(OR(Data!I183&lt;=0,Data!J183&lt;=0),"n/m",(Data!I183/Data!J183)^(1/3)-1),""))</f>
        <v/>
      </c>
      <c r="O183">
        <f t="shared" si="14"/>
        <v>119</v>
      </c>
      <c r="P183">
        <f t="shared" si="15"/>
        <v>119</v>
      </c>
      <c r="Q183">
        <f t="shared" si="16"/>
        <v>119</v>
      </c>
      <c r="R183">
        <f t="shared" si="17"/>
        <v>119</v>
      </c>
      <c r="S183">
        <f t="shared" si="18"/>
        <v>119</v>
      </c>
      <c r="T183" s="10">
        <f t="shared" si="20"/>
        <v>119</v>
      </c>
      <c r="U183">
        <f>IF($D183&lt;&gt;"Include","",_xlfn.RANK.EQ(T183,T$6:T$305,1)+COUNTIFS(T$6:T183,T183)-1)</f>
        <v>83</v>
      </c>
    </row>
    <row r="184" spans="1:21" x14ac:dyDescent="0.4">
      <c r="A184" t="str">
        <f>Data!A184</f>
        <v>PFD</v>
      </c>
      <c r="B184" t="str">
        <f>Data!B184</f>
        <v>Premier Foods</v>
      </c>
      <c r="C184" t="str">
        <f>Data!D184</f>
        <v>Consumer Staples</v>
      </c>
      <c r="D184" t="str">
        <f>Data!E184</f>
        <v>Include</v>
      </c>
      <c r="E184">
        <f>IF($D184&lt;&gt;"Include","",SUM(Data!V184:W184)-SUM(Data!X184))</f>
        <v>0</v>
      </c>
      <c r="F184" t="e">
        <f>IF($D184&lt;&gt;"Include","",SUM(Data!Z184,Data!Y184,Metrics!E184))</f>
        <v>#N/A</v>
      </c>
      <c r="G184" t="str">
        <f>IF($D184&lt;&gt;"Include","",IFERROR(Data!P184-Data!S184,""))</f>
        <v/>
      </c>
      <c r="H184">
        <f>IF($D184&lt;&gt;"Include","",IFERROR(SUM(Data!P184:R184)-SUM(Data!S184:U184),""))</f>
        <v>0</v>
      </c>
      <c r="I184">
        <f>IF($D184&lt;&gt;"Include","",SUM(Data!M184:O184))</f>
        <v>0</v>
      </c>
      <c r="J184" s="7" t="str">
        <f>IF($D184&lt;&gt;"Include","",IFERROR(IF(OR(Data!K184&lt;=0,F184&lt;=0),"n/m",($F184/Data!K184)),""))</f>
        <v/>
      </c>
      <c r="K184" s="9" t="str">
        <f>IF($D184&lt;&gt;"Include","",IFERROR(G184/Data!Z184,""))</f>
        <v/>
      </c>
      <c r="L184" s="9" t="str">
        <f t="shared" si="19"/>
        <v>n/m</v>
      </c>
      <c r="M184" s="7" t="str">
        <f>IF($D184&lt;&gt;"Include","",IFERROR(IF(Data!L184&lt;=0,"n,m",E184/Data!L184),""))</f>
        <v/>
      </c>
      <c r="N184" s="9" t="str">
        <f>IF($D184&lt;&gt;"Include","",IFERROR(IF(OR(Data!I184&lt;=0,Data!J184&lt;=0),"n/m",(Data!I184/Data!J184)^(1/3)-1),""))</f>
        <v/>
      </c>
      <c r="O184">
        <f t="shared" si="14"/>
        <v>119</v>
      </c>
      <c r="P184">
        <f t="shared" si="15"/>
        <v>119</v>
      </c>
      <c r="Q184">
        <f t="shared" si="16"/>
        <v>119</v>
      </c>
      <c r="R184">
        <f t="shared" si="17"/>
        <v>119</v>
      </c>
      <c r="S184">
        <f t="shared" si="18"/>
        <v>119</v>
      </c>
      <c r="T184" s="10">
        <f t="shared" si="20"/>
        <v>119</v>
      </c>
      <c r="U184">
        <f>IF($D184&lt;&gt;"Include","",_xlfn.RANK.EQ(T184,T$6:T$305,1)+COUNTIFS(T$6:T184,T184)-1)</f>
        <v>84</v>
      </c>
    </row>
    <row r="185" spans="1:21" x14ac:dyDescent="0.4">
      <c r="A185" t="str">
        <f>Data!A185</f>
        <v>PHP</v>
      </c>
      <c r="B185" t="str">
        <f>Data!B185</f>
        <v>Primary Health Properties</v>
      </c>
      <c r="C185" t="str">
        <f>Data!D185</f>
        <v>Real Estate</v>
      </c>
      <c r="D185" t="str">
        <f>Data!E185</f>
        <v>Exclude</v>
      </c>
      <c r="E185" t="str">
        <f>IF($D185&lt;&gt;"Include","",SUM(Data!V185:W185)-SUM(Data!X185))</f>
        <v/>
      </c>
      <c r="F185" t="str">
        <f>IF($D185&lt;&gt;"Include","",SUM(Data!Z185,Data!Y185,Metrics!E185))</f>
        <v/>
      </c>
      <c r="G185" t="str">
        <f>IF($D185&lt;&gt;"Include","",IFERROR(Data!P185-Data!S185,""))</f>
        <v/>
      </c>
      <c r="H185" t="str">
        <f>IF($D185&lt;&gt;"Include","",IFERROR(SUM(Data!P185:R185)-SUM(Data!S185:U185),""))</f>
        <v/>
      </c>
      <c r="I185" t="str">
        <f>IF($D185&lt;&gt;"Include","",SUM(Data!M185:O185))</f>
        <v/>
      </c>
      <c r="J185" s="7" t="str">
        <f>IF($D185&lt;&gt;"Include","",IFERROR(IF(OR(Data!K185&lt;=0,F185&lt;=0),"n/m",($F185/Data!K185)),""))</f>
        <v/>
      </c>
      <c r="K185" s="9" t="str">
        <f>IF($D185&lt;&gt;"Include","",IFERROR(G185/Data!Z185,""))</f>
        <v/>
      </c>
      <c r="L185" s="9" t="str">
        <f t="shared" si="19"/>
        <v/>
      </c>
      <c r="M185" s="7" t="str">
        <f>IF($D185&lt;&gt;"Include","",IFERROR(IF(Data!L185&lt;=0,"n,m",E185/Data!L185),""))</f>
        <v/>
      </c>
      <c r="N185" s="9" t="str">
        <f>IF($D185&lt;&gt;"Include","",IFERROR(IF(OR(Data!I185&lt;=0,Data!J185&lt;=0),"n/m",(Data!I185/Data!J185)^(1/3)-1),""))</f>
        <v/>
      </c>
      <c r="O185" t="str">
        <f t="shared" si="14"/>
        <v/>
      </c>
      <c r="P185" t="str">
        <f t="shared" si="15"/>
        <v/>
      </c>
      <c r="Q185" t="str">
        <f t="shared" si="16"/>
        <v/>
      </c>
      <c r="R185" t="str">
        <f t="shared" si="17"/>
        <v/>
      </c>
      <c r="S185" t="str">
        <f t="shared" si="18"/>
        <v/>
      </c>
      <c r="T185" s="10" t="str">
        <f t="shared" si="20"/>
        <v/>
      </c>
      <c r="U185" t="str">
        <f>IF($D185&lt;&gt;"Include","",_xlfn.RANK.EQ(T185,T$6:T$305,1)+COUNTIFS(T$6:T185,T185)-1)</f>
        <v/>
      </c>
    </row>
    <row r="186" spans="1:21" x14ac:dyDescent="0.4">
      <c r="A186" t="str">
        <f>Data!A186</f>
        <v>PRN</v>
      </c>
      <c r="B186" t="str">
        <f>Data!B186</f>
        <v>Princes Group</v>
      </c>
      <c r="C186" t="str">
        <f>Data!D186</f>
        <v>Consumer Staples</v>
      </c>
      <c r="D186" t="str">
        <f>Data!E186</f>
        <v>Include</v>
      </c>
      <c r="E186">
        <f>IF($D186&lt;&gt;"Include","",SUM(Data!V186:W186)-SUM(Data!X186))</f>
        <v>0</v>
      </c>
      <c r="F186" t="e">
        <f>IF($D186&lt;&gt;"Include","",SUM(Data!Z186,Data!Y186,Metrics!E186))</f>
        <v>#N/A</v>
      </c>
      <c r="G186" t="str">
        <f>IF($D186&lt;&gt;"Include","",IFERROR(Data!P186-Data!S186,""))</f>
        <v/>
      </c>
      <c r="H186">
        <f>IF($D186&lt;&gt;"Include","",IFERROR(SUM(Data!P186:R186)-SUM(Data!S186:U186),""))</f>
        <v>0</v>
      </c>
      <c r="I186">
        <f>IF($D186&lt;&gt;"Include","",SUM(Data!M186:O186))</f>
        <v>0</v>
      </c>
      <c r="J186" s="7" t="str">
        <f>IF($D186&lt;&gt;"Include","",IFERROR(IF(OR(Data!K186&lt;=0,F186&lt;=0),"n/m",($F186/Data!K186)),""))</f>
        <v/>
      </c>
      <c r="K186" s="9" t="str">
        <f>IF($D186&lt;&gt;"Include","",IFERROR(G186/Data!Z186,""))</f>
        <v/>
      </c>
      <c r="L186" s="9" t="str">
        <f t="shared" si="19"/>
        <v>n/m</v>
      </c>
      <c r="M186" s="7" t="str">
        <f>IF($D186&lt;&gt;"Include","",IFERROR(IF(Data!L186&lt;=0,"n,m",E186/Data!L186),""))</f>
        <v/>
      </c>
      <c r="N186" s="9" t="str">
        <f>IF($D186&lt;&gt;"Include","",IFERROR(IF(OR(Data!I186&lt;=0,Data!J186&lt;=0),"n/m",(Data!I186/Data!J186)^(1/3)-1),""))</f>
        <v/>
      </c>
      <c r="O186">
        <f t="shared" si="14"/>
        <v>119</v>
      </c>
      <c r="P186">
        <f t="shared" si="15"/>
        <v>119</v>
      </c>
      <c r="Q186">
        <f t="shared" si="16"/>
        <v>119</v>
      </c>
      <c r="R186">
        <f t="shared" si="17"/>
        <v>119</v>
      </c>
      <c r="S186">
        <f t="shared" si="18"/>
        <v>119</v>
      </c>
      <c r="T186" s="10">
        <f t="shared" si="20"/>
        <v>119</v>
      </c>
      <c r="U186">
        <f>IF($D186&lt;&gt;"Include","",_xlfn.RANK.EQ(T186,T$6:T$305,1)+COUNTIFS(T$6:T186,T186)-1)</f>
        <v>85</v>
      </c>
    </row>
    <row r="187" spans="1:21" x14ac:dyDescent="0.4">
      <c r="A187" t="str">
        <f>Data!A187</f>
        <v>QQ</v>
      </c>
      <c r="B187" t="str">
        <f>Data!B187</f>
        <v>Qinetiq</v>
      </c>
      <c r="C187" t="str">
        <f>Data!D187</f>
        <v>Industrials</v>
      </c>
      <c r="D187" t="str">
        <f>Data!E187</f>
        <v>Include</v>
      </c>
      <c r="E187">
        <f>IF($D187&lt;&gt;"Include","",SUM(Data!V187:W187)-SUM(Data!X187))</f>
        <v>0</v>
      </c>
      <c r="F187" t="e">
        <f>IF($D187&lt;&gt;"Include","",SUM(Data!Z187,Data!Y187,Metrics!E187))</f>
        <v>#N/A</v>
      </c>
      <c r="G187" t="str">
        <f>IF($D187&lt;&gt;"Include","",IFERROR(Data!P187-Data!S187,""))</f>
        <v/>
      </c>
      <c r="H187">
        <f>IF($D187&lt;&gt;"Include","",IFERROR(SUM(Data!P187:R187)-SUM(Data!S187:U187),""))</f>
        <v>0</v>
      </c>
      <c r="I187">
        <f>IF($D187&lt;&gt;"Include","",SUM(Data!M187:O187))</f>
        <v>0</v>
      </c>
      <c r="J187" s="7" t="str">
        <f>IF($D187&lt;&gt;"Include","",IFERROR(IF(OR(Data!K187&lt;=0,F187&lt;=0),"n/m",($F187/Data!K187)),""))</f>
        <v/>
      </c>
      <c r="K187" s="9" t="str">
        <f>IF($D187&lt;&gt;"Include","",IFERROR(G187/Data!Z187,""))</f>
        <v/>
      </c>
      <c r="L187" s="9" t="str">
        <f t="shared" si="19"/>
        <v>n/m</v>
      </c>
      <c r="M187" s="7" t="str">
        <f>IF($D187&lt;&gt;"Include","",IFERROR(IF(Data!L187&lt;=0,"n,m",E187/Data!L187),""))</f>
        <v/>
      </c>
      <c r="N187" s="9" t="str">
        <f>IF($D187&lt;&gt;"Include","",IFERROR(IF(OR(Data!I187&lt;=0,Data!J187&lt;=0),"n/m",(Data!I187/Data!J187)^(1/3)-1),""))</f>
        <v/>
      </c>
      <c r="O187">
        <f t="shared" si="14"/>
        <v>119</v>
      </c>
      <c r="P187">
        <f t="shared" si="15"/>
        <v>119</v>
      </c>
      <c r="Q187">
        <f t="shared" si="16"/>
        <v>119</v>
      </c>
      <c r="R187">
        <f t="shared" si="17"/>
        <v>119</v>
      </c>
      <c r="S187">
        <f t="shared" si="18"/>
        <v>119</v>
      </c>
      <c r="T187" s="10">
        <f t="shared" si="20"/>
        <v>119</v>
      </c>
      <c r="U187">
        <f>IF($D187&lt;&gt;"Include","",_xlfn.RANK.EQ(T187,T$6:T$305,1)+COUNTIFS(T$6:T187,T187)-1)</f>
        <v>86</v>
      </c>
    </row>
    <row r="188" spans="1:21" x14ac:dyDescent="0.4">
      <c r="A188" t="str">
        <f>Data!A188</f>
        <v>QLT</v>
      </c>
      <c r="B188" t="str">
        <f>Data!B188</f>
        <v>Quilter</v>
      </c>
      <c r="C188" t="str">
        <f>Data!D188</f>
        <v>Financials</v>
      </c>
      <c r="D188" t="str">
        <f>Data!E188</f>
        <v>Exclude</v>
      </c>
      <c r="E188" t="str">
        <f>IF($D188&lt;&gt;"Include","",SUM(Data!V188:W188)-SUM(Data!X188))</f>
        <v/>
      </c>
      <c r="F188" t="str">
        <f>IF($D188&lt;&gt;"Include","",SUM(Data!Z188,Data!Y188,Metrics!E188))</f>
        <v/>
      </c>
      <c r="G188" t="str">
        <f>IF($D188&lt;&gt;"Include","",IFERROR(Data!P188-Data!S188,""))</f>
        <v/>
      </c>
      <c r="H188" t="str">
        <f>IF($D188&lt;&gt;"Include","",IFERROR(SUM(Data!P188:R188)-SUM(Data!S188:U188),""))</f>
        <v/>
      </c>
      <c r="I188" t="str">
        <f>IF($D188&lt;&gt;"Include","",SUM(Data!M188:O188))</f>
        <v/>
      </c>
      <c r="J188" s="7" t="str">
        <f>IF($D188&lt;&gt;"Include","",IFERROR(IF(OR(Data!K188&lt;=0,F188&lt;=0),"n/m",($F188/Data!K188)),""))</f>
        <v/>
      </c>
      <c r="K188" s="9" t="str">
        <f>IF($D188&lt;&gt;"Include","",IFERROR(G188/Data!Z188,""))</f>
        <v/>
      </c>
      <c r="L188" s="9" t="str">
        <f t="shared" si="19"/>
        <v/>
      </c>
      <c r="M188" s="7" t="str">
        <f>IF($D188&lt;&gt;"Include","",IFERROR(IF(Data!L188&lt;=0,"n,m",E188/Data!L188),""))</f>
        <v/>
      </c>
      <c r="N188" s="9" t="str">
        <f>IF($D188&lt;&gt;"Include","",IFERROR(IF(OR(Data!I188&lt;=0,Data!J188&lt;=0),"n/m",(Data!I188/Data!J188)^(1/3)-1),""))</f>
        <v/>
      </c>
      <c r="O188" t="str">
        <f t="shared" si="14"/>
        <v/>
      </c>
      <c r="P188" t="str">
        <f t="shared" si="15"/>
        <v/>
      </c>
      <c r="Q188" t="str">
        <f t="shared" si="16"/>
        <v/>
      </c>
      <c r="R188" t="str">
        <f t="shared" si="17"/>
        <v/>
      </c>
      <c r="S188" t="str">
        <f t="shared" si="18"/>
        <v/>
      </c>
      <c r="T188" s="10" t="str">
        <f t="shared" si="20"/>
        <v/>
      </c>
      <c r="U188" t="str">
        <f>IF($D188&lt;&gt;"Include","",_xlfn.RANK.EQ(T188,T$6:T$305,1)+COUNTIFS(T$6:T188,T188)-1)</f>
        <v/>
      </c>
    </row>
    <row r="189" spans="1:21" x14ac:dyDescent="0.4">
      <c r="A189" t="str">
        <f>Data!A189</f>
        <v>RNK</v>
      </c>
      <c r="B189" t="str">
        <f>Data!B189</f>
        <v>Rank Group</v>
      </c>
      <c r="C189" t="str">
        <f>Data!D189</f>
        <v>Consumer Discretionary</v>
      </c>
      <c r="D189" t="str">
        <f>Data!E189</f>
        <v>Include</v>
      </c>
      <c r="E189">
        <f>IF($D189&lt;&gt;"Include","",SUM(Data!V189:W189)-SUM(Data!X189))</f>
        <v>0</v>
      </c>
      <c r="F189" t="e">
        <f>IF($D189&lt;&gt;"Include","",SUM(Data!Z189,Data!Y189,Metrics!E189))</f>
        <v>#N/A</v>
      </c>
      <c r="G189" t="str">
        <f>IF($D189&lt;&gt;"Include","",IFERROR(Data!P189-Data!S189,""))</f>
        <v/>
      </c>
      <c r="H189">
        <f>IF($D189&lt;&gt;"Include","",IFERROR(SUM(Data!P189:R189)-SUM(Data!S189:U189),""))</f>
        <v>0</v>
      </c>
      <c r="I189">
        <f>IF($D189&lt;&gt;"Include","",SUM(Data!M189:O189))</f>
        <v>0</v>
      </c>
      <c r="J189" s="7" t="str">
        <f>IF($D189&lt;&gt;"Include","",IFERROR(IF(OR(Data!K189&lt;=0,F189&lt;=0),"n/m",($F189/Data!K189)),""))</f>
        <v/>
      </c>
      <c r="K189" s="9" t="str">
        <f>IF($D189&lt;&gt;"Include","",IFERROR(G189/Data!Z189,""))</f>
        <v/>
      </c>
      <c r="L189" s="9" t="str">
        <f t="shared" si="19"/>
        <v>n/m</v>
      </c>
      <c r="M189" s="7" t="str">
        <f>IF($D189&lt;&gt;"Include","",IFERROR(IF(Data!L189&lt;=0,"n,m",E189/Data!L189),""))</f>
        <v/>
      </c>
      <c r="N189" s="9" t="str">
        <f>IF($D189&lt;&gt;"Include","",IFERROR(IF(OR(Data!I189&lt;=0,Data!J189&lt;=0),"n/m",(Data!I189/Data!J189)^(1/3)-1),""))</f>
        <v/>
      </c>
      <c r="O189">
        <f t="shared" si="14"/>
        <v>119</v>
      </c>
      <c r="P189">
        <f t="shared" si="15"/>
        <v>119</v>
      </c>
      <c r="Q189">
        <f t="shared" si="16"/>
        <v>119</v>
      </c>
      <c r="R189">
        <f t="shared" si="17"/>
        <v>119</v>
      </c>
      <c r="S189">
        <f t="shared" si="18"/>
        <v>119</v>
      </c>
      <c r="T189" s="10">
        <f t="shared" si="20"/>
        <v>119</v>
      </c>
      <c r="U189">
        <f>IF($D189&lt;&gt;"Include","",_xlfn.RANK.EQ(T189,T$6:T$305,1)+COUNTIFS(T$6:T189,T189)-1)</f>
        <v>87</v>
      </c>
    </row>
    <row r="190" spans="1:21" x14ac:dyDescent="0.4">
      <c r="A190" t="str">
        <f>Data!A190</f>
        <v>RPI</v>
      </c>
      <c r="B190" t="str">
        <f>Data!B190</f>
        <v>Raspberry Pi Holdings</v>
      </c>
      <c r="C190" t="str">
        <f>Data!D190</f>
        <v>Technology</v>
      </c>
      <c r="D190" t="str">
        <f>Data!E190</f>
        <v>Include</v>
      </c>
      <c r="E190">
        <f>IF($D190&lt;&gt;"Include","",SUM(Data!V190:W190)-SUM(Data!X190))</f>
        <v>0</v>
      </c>
      <c r="F190" t="e">
        <f>IF($D190&lt;&gt;"Include","",SUM(Data!Z190,Data!Y190,Metrics!E190))</f>
        <v>#N/A</v>
      </c>
      <c r="G190" t="str">
        <f>IF($D190&lt;&gt;"Include","",IFERROR(Data!P190-Data!S190,""))</f>
        <v/>
      </c>
      <c r="H190">
        <f>IF($D190&lt;&gt;"Include","",IFERROR(SUM(Data!P190:R190)-SUM(Data!S190:U190),""))</f>
        <v>0</v>
      </c>
      <c r="I190">
        <f>IF($D190&lt;&gt;"Include","",SUM(Data!M190:O190))</f>
        <v>0</v>
      </c>
      <c r="J190" s="7" t="str">
        <f>IF($D190&lt;&gt;"Include","",IFERROR(IF(OR(Data!K190&lt;=0,F190&lt;=0),"n/m",($F190/Data!K190)),""))</f>
        <v/>
      </c>
      <c r="K190" s="9" t="str">
        <f>IF($D190&lt;&gt;"Include","",IFERROR(G190/Data!Z190,""))</f>
        <v/>
      </c>
      <c r="L190" s="9" t="str">
        <f t="shared" si="19"/>
        <v>n/m</v>
      </c>
      <c r="M190" s="7" t="str">
        <f>IF($D190&lt;&gt;"Include","",IFERROR(IF(Data!L190&lt;=0,"n,m",E190/Data!L190),""))</f>
        <v/>
      </c>
      <c r="N190" s="9" t="str">
        <f>IF($D190&lt;&gt;"Include","",IFERROR(IF(OR(Data!I190&lt;=0,Data!J190&lt;=0),"n/m",(Data!I190/Data!J190)^(1/3)-1),""))</f>
        <v/>
      </c>
      <c r="O190">
        <f t="shared" si="14"/>
        <v>119</v>
      </c>
      <c r="P190">
        <f t="shared" si="15"/>
        <v>119</v>
      </c>
      <c r="Q190">
        <f t="shared" si="16"/>
        <v>119</v>
      </c>
      <c r="R190">
        <f t="shared" si="17"/>
        <v>119</v>
      </c>
      <c r="S190">
        <f t="shared" si="18"/>
        <v>119</v>
      </c>
      <c r="T190" s="10">
        <f t="shared" si="20"/>
        <v>119</v>
      </c>
      <c r="U190">
        <f>IF($D190&lt;&gt;"Include","",_xlfn.RANK.EQ(T190,T$6:T$305,1)+COUNTIFS(T$6:T190,T190)-1)</f>
        <v>88</v>
      </c>
    </row>
    <row r="191" spans="1:21" x14ac:dyDescent="0.4">
      <c r="A191" t="str">
        <f>Data!A191</f>
        <v>RAT</v>
      </c>
      <c r="B191" t="str">
        <f>Data!B191</f>
        <v>Rathbones</v>
      </c>
      <c r="C191" t="str">
        <f>Data!D191</f>
        <v>Financials</v>
      </c>
      <c r="D191" t="str">
        <f>Data!E191</f>
        <v>Exclude</v>
      </c>
      <c r="E191" t="str">
        <f>IF($D191&lt;&gt;"Include","",SUM(Data!V191:W191)-SUM(Data!X191))</f>
        <v/>
      </c>
      <c r="F191" t="str">
        <f>IF($D191&lt;&gt;"Include","",SUM(Data!Z191,Data!Y191,Metrics!E191))</f>
        <v/>
      </c>
      <c r="G191" t="str">
        <f>IF($D191&lt;&gt;"Include","",IFERROR(Data!P191-Data!S191,""))</f>
        <v/>
      </c>
      <c r="H191" t="str">
        <f>IF($D191&lt;&gt;"Include","",IFERROR(SUM(Data!P191:R191)-SUM(Data!S191:U191),""))</f>
        <v/>
      </c>
      <c r="I191" t="str">
        <f>IF($D191&lt;&gt;"Include","",SUM(Data!M191:O191))</f>
        <v/>
      </c>
      <c r="J191" s="7" t="str">
        <f>IF($D191&lt;&gt;"Include","",IFERROR(IF(OR(Data!K191&lt;=0,F191&lt;=0),"n/m",($F191/Data!K191)),""))</f>
        <v/>
      </c>
      <c r="K191" s="9" t="str">
        <f>IF($D191&lt;&gt;"Include","",IFERROR(G191/Data!Z191,""))</f>
        <v/>
      </c>
      <c r="L191" s="9" t="str">
        <f t="shared" si="19"/>
        <v/>
      </c>
      <c r="M191" s="7" t="str">
        <f>IF($D191&lt;&gt;"Include","",IFERROR(IF(Data!L191&lt;=0,"n,m",E191/Data!L191),""))</f>
        <v/>
      </c>
      <c r="N191" s="9" t="str">
        <f>IF($D191&lt;&gt;"Include","",IFERROR(IF(OR(Data!I191&lt;=0,Data!J191&lt;=0),"n/m",(Data!I191/Data!J191)^(1/3)-1),""))</f>
        <v/>
      </c>
      <c r="O191" t="str">
        <f t="shared" si="14"/>
        <v/>
      </c>
      <c r="P191" t="str">
        <f t="shared" si="15"/>
        <v/>
      </c>
      <c r="Q191" t="str">
        <f t="shared" si="16"/>
        <v/>
      </c>
      <c r="R191" t="str">
        <f t="shared" si="17"/>
        <v/>
      </c>
      <c r="S191" t="str">
        <f t="shared" si="18"/>
        <v/>
      </c>
      <c r="T191" s="10" t="str">
        <f t="shared" si="20"/>
        <v/>
      </c>
      <c r="U191" t="str">
        <f>IF($D191&lt;&gt;"Include","",_xlfn.RANK.EQ(T191,T$6:T$305,1)+COUNTIFS(T$6:T191,T191)-1)</f>
        <v/>
      </c>
    </row>
    <row r="192" spans="1:21" x14ac:dyDescent="0.4">
      <c r="A192" t="str">
        <f>Data!A192</f>
        <v>RSW</v>
      </c>
      <c r="B192" t="str">
        <f>Data!B192</f>
        <v>Renishaw</v>
      </c>
      <c r="C192" t="str">
        <f>Data!D192</f>
        <v>Industrials</v>
      </c>
      <c r="D192" t="str">
        <f>Data!E192</f>
        <v>Include</v>
      </c>
      <c r="E192">
        <f>IF($D192&lt;&gt;"Include","",SUM(Data!V192:W192)-SUM(Data!X192))</f>
        <v>0</v>
      </c>
      <c r="F192" t="e">
        <f>IF($D192&lt;&gt;"Include","",SUM(Data!Z192,Data!Y192,Metrics!E192))</f>
        <v>#N/A</v>
      </c>
      <c r="G192" t="str">
        <f>IF($D192&lt;&gt;"Include","",IFERROR(Data!P192-Data!S192,""))</f>
        <v/>
      </c>
      <c r="H192">
        <f>IF($D192&lt;&gt;"Include","",IFERROR(SUM(Data!P192:R192)-SUM(Data!S192:U192),""))</f>
        <v>0</v>
      </c>
      <c r="I192">
        <f>IF($D192&lt;&gt;"Include","",SUM(Data!M192:O192))</f>
        <v>0</v>
      </c>
      <c r="J192" s="7" t="str">
        <f>IF($D192&lt;&gt;"Include","",IFERROR(IF(OR(Data!K192&lt;=0,F192&lt;=0),"n/m",($F192/Data!K192)),""))</f>
        <v/>
      </c>
      <c r="K192" s="9" t="str">
        <f>IF($D192&lt;&gt;"Include","",IFERROR(G192/Data!Z192,""))</f>
        <v/>
      </c>
      <c r="L192" s="9" t="str">
        <f t="shared" si="19"/>
        <v>n/m</v>
      </c>
      <c r="M192" s="7" t="str">
        <f>IF($D192&lt;&gt;"Include","",IFERROR(IF(Data!L192&lt;=0,"n,m",E192/Data!L192),""))</f>
        <v/>
      </c>
      <c r="N192" s="9" t="str">
        <f>IF($D192&lt;&gt;"Include","",IFERROR(IF(OR(Data!I192&lt;=0,Data!J192&lt;=0),"n/m",(Data!I192/Data!J192)^(1/3)-1),""))</f>
        <v/>
      </c>
      <c r="O192">
        <f t="shared" si="14"/>
        <v>119</v>
      </c>
      <c r="P192">
        <f t="shared" si="15"/>
        <v>119</v>
      </c>
      <c r="Q192">
        <f t="shared" si="16"/>
        <v>119</v>
      </c>
      <c r="R192">
        <f t="shared" si="17"/>
        <v>119</v>
      </c>
      <c r="S192">
        <f t="shared" si="18"/>
        <v>119</v>
      </c>
      <c r="T192" s="10">
        <f t="shared" si="20"/>
        <v>119</v>
      </c>
      <c r="U192">
        <f>IF($D192&lt;&gt;"Include","",_xlfn.RANK.EQ(T192,T$6:T$305,1)+COUNTIFS(T$6:T192,T192)-1)</f>
        <v>89</v>
      </c>
    </row>
    <row r="193" spans="1:21" x14ac:dyDescent="0.4">
      <c r="A193" t="str">
        <f>Data!A193</f>
        <v>RHIM</v>
      </c>
      <c r="B193" t="str">
        <f>Data!B193</f>
        <v>RHI Magnesita</v>
      </c>
      <c r="C193" t="str">
        <f>Data!D193</f>
        <v>Industrials</v>
      </c>
      <c r="D193" t="str">
        <f>Data!E193</f>
        <v>Include</v>
      </c>
      <c r="E193">
        <f>IF($D193&lt;&gt;"Include","",SUM(Data!V193:W193)-SUM(Data!X193))</f>
        <v>0</v>
      </c>
      <c r="F193" t="e">
        <f>IF($D193&lt;&gt;"Include","",SUM(Data!Z193,Data!Y193,Metrics!E193))</f>
        <v>#N/A</v>
      </c>
      <c r="G193" t="str">
        <f>IF($D193&lt;&gt;"Include","",IFERROR(Data!P193-Data!S193,""))</f>
        <v/>
      </c>
      <c r="H193">
        <f>IF($D193&lt;&gt;"Include","",IFERROR(SUM(Data!P193:R193)-SUM(Data!S193:U193),""))</f>
        <v>0</v>
      </c>
      <c r="I193">
        <f>IF($D193&lt;&gt;"Include","",SUM(Data!M193:O193))</f>
        <v>0</v>
      </c>
      <c r="J193" s="7" t="str">
        <f>IF($D193&lt;&gt;"Include","",IFERROR(IF(OR(Data!K193&lt;=0,F193&lt;=0),"n/m",($F193/Data!K193)),""))</f>
        <v/>
      </c>
      <c r="K193" s="9" t="str">
        <f>IF($D193&lt;&gt;"Include","",IFERROR(G193/Data!Z193,""))</f>
        <v/>
      </c>
      <c r="L193" s="9" t="str">
        <f t="shared" si="19"/>
        <v>n/m</v>
      </c>
      <c r="M193" s="7" t="str">
        <f>IF($D193&lt;&gt;"Include","",IFERROR(IF(Data!L193&lt;=0,"n,m",E193/Data!L193),""))</f>
        <v/>
      </c>
      <c r="N193" s="9" t="str">
        <f>IF($D193&lt;&gt;"Include","",IFERROR(IF(OR(Data!I193&lt;=0,Data!J193&lt;=0),"n/m",(Data!I193/Data!J193)^(1/3)-1),""))</f>
        <v/>
      </c>
      <c r="O193">
        <f t="shared" si="14"/>
        <v>119</v>
      </c>
      <c r="P193">
        <f t="shared" si="15"/>
        <v>119</v>
      </c>
      <c r="Q193">
        <f t="shared" si="16"/>
        <v>119</v>
      </c>
      <c r="R193">
        <f t="shared" si="17"/>
        <v>119</v>
      </c>
      <c r="S193">
        <f t="shared" si="18"/>
        <v>119</v>
      </c>
      <c r="T193" s="10">
        <f t="shared" si="20"/>
        <v>119</v>
      </c>
      <c r="U193">
        <f>IF($D193&lt;&gt;"Include","",_xlfn.RANK.EQ(T193,T$6:T$305,1)+COUNTIFS(T$6:T193,T193)-1)</f>
        <v>90</v>
      </c>
    </row>
    <row r="194" spans="1:21" x14ac:dyDescent="0.4">
      <c r="A194" t="str">
        <f>Data!A194</f>
        <v>RMV</v>
      </c>
      <c r="B194" t="str">
        <f>Data!B194</f>
        <v>Rightmove</v>
      </c>
      <c r="C194" t="str">
        <f>Data!D194</f>
        <v>Consumer Discretionary</v>
      </c>
      <c r="D194" t="str">
        <f>Data!E194</f>
        <v>Include</v>
      </c>
      <c r="E194">
        <f>IF($D194&lt;&gt;"Include","",SUM(Data!V194:W194)-SUM(Data!X194))</f>
        <v>0</v>
      </c>
      <c r="F194" t="e">
        <f>IF($D194&lt;&gt;"Include","",SUM(Data!Z194,Data!Y194,Metrics!E194))</f>
        <v>#N/A</v>
      </c>
      <c r="G194" t="str">
        <f>IF($D194&lt;&gt;"Include","",IFERROR(Data!P194-Data!S194,""))</f>
        <v/>
      </c>
      <c r="H194">
        <f>IF($D194&lt;&gt;"Include","",IFERROR(SUM(Data!P194:R194)-SUM(Data!S194:U194),""))</f>
        <v>0</v>
      </c>
      <c r="I194">
        <f>IF($D194&lt;&gt;"Include","",SUM(Data!M194:O194))</f>
        <v>0</v>
      </c>
      <c r="J194" s="7" t="str">
        <f>IF($D194&lt;&gt;"Include","",IFERROR(IF(OR(Data!K194&lt;=0,F194&lt;=0),"n/m",($F194/Data!K194)),""))</f>
        <v/>
      </c>
      <c r="K194" s="9" t="str">
        <f>IF($D194&lt;&gt;"Include","",IFERROR(G194/Data!Z194,""))</f>
        <v/>
      </c>
      <c r="L194" s="9" t="str">
        <f t="shared" si="19"/>
        <v>n/m</v>
      </c>
      <c r="M194" s="7" t="str">
        <f>IF($D194&lt;&gt;"Include","",IFERROR(IF(Data!L194&lt;=0,"n,m",E194/Data!L194),""))</f>
        <v/>
      </c>
      <c r="N194" s="9" t="str">
        <f>IF($D194&lt;&gt;"Include","",IFERROR(IF(OR(Data!I194&lt;=0,Data!J194&lt;=0),"n/m",(Data!I194/Data!J194)^(1/3)-1),""))</f>
        <v/>
      </c>
      <c r="O194">
        <f t="shared" si="14"/>
        <v>119</v>
      </c>
      <c r="P194">
        <f t="shared" si="15"/>
        <v>119</v>
      </c>
      <c r="Q194">
        <f t="shared" si="16"/>
        <v>119</v>
      </c>
      <c r="R194">
        <f t="shared" si="17"/>
        <v>119</v>
      </c>
      <c r="S194">
        <f t="shared" si="18"/>
        <v>119</v>
      </c>
      <c r="T194" s="10">
        <f t="shared" si="20"/>
        <v>119</v>
      </c>
      <c r="U194">
        <f>IF($D194&lt;&gt;"Include","",_xlfn.RANK.EQ(T194,T$6:T$305,1)+COUNTIFS(T$6:T194,T194)-1)</f>
        <v>91</v>
      </c>
    </row>
    <row r="195" spans="1:21" x14ac:dyDescent="0.4">
      <c r="A195" t="str">
        <f>Data!A195</f>
        <v>RCP</v>
      </c>
      <c r="B195" t="str">
        <f>Data!B195</f>
        <v>RIT Capital Partners</v>
      </c>
      <c r="C195" t="str">
        <f>Data!D195</f>
        <v>Financials</v>
      </c>
      <c r="D195" t="str">
        <f>Data!E195</f>
        <v>Exclude</v>
      </c>
      <c r="E195" t="str">
        <f>IF($D195&lt;&gt;"Include","",SUM(Data!V195:W195)-SUM(Data!X195))</f>
        <v/>
      </c>
      <c r="F195" t="str">
        <f>IF($D195&lt;&gt;"Include","",SUM(Data!Z195,Data!Y195,Metrics!E195))</f>
        <v/>
      </c>
      <c r="G195" t="str">
        <f>IF($D195&lt;&gt;"Include","",IFERROR(Data!P195-Data!S195,""))</f>
        <v/>
      </c>
      <c r="H195" t="str">
        <f>IF($D195&lt;&gt;"Include","",IFERROR(SUM(Data!P195:R195)-SUM(Data!S195:U195),""))</f>
        <v/>
      </c>
      <c r="I195" t="str">
        <f>IF($D195&lt;&gt;"Include","",SUM(Data!M195:O195))</f>
        <v/>
      </c>
      <c r="J195" s="7" t="str">
        <f>IF($D195&lt;&gt;"Include","",IFERROR(IF(OR(Data!K195&lt;=0,F195&lt;=0),"n/m",($F195/Data!K195)),""))</f>
        <v/>
      </c>
      <c r="K195" s="9" t="str">
        <f>IF($D195&lt;&gt;"Include","",IFERROR(G195/Data!Z195,""))</f>
        <v/>
      </c>
      <c r="L195" s="9" t="str">
        <f t="shared" si="19"/>
        <v/>
      </c>
      <c r="M195" s="7" t="str">
        <f>IF($D195&lt;&gt;"Include","",IFERROR(IF(Data!L195&lt;=0,"n,m",E195/Data!L195),""))</f>
        <v/>
      </c>
      <c r="N195" s="9" t="str">
        <f>IF($D195&lt;&gt;"Include","",IFERROR(IF(OR(Data!I195&lt;=0,Data!J195&lt;=0),"n/m",(Data!I195/Data!J195)^(1/3)-1),""))</f>
        <v/>
      </c>
      <c r="O195" t="str">
        <f t="shared" si="14"/>
        <v/>
      </c>
      <c r="P195" t="str">
        <f t="shared" si="15"/>
        <v/>
      </c>
      <c r="Q195" t="str">
        <f t="shared" si="16"/>
        <v/>
      </c>
      <c r="R195" t="str">
        <f t="shared" si="17"/>
        <v/>
      </c>
      <c r="S195" t="str">
        <f t="shared" si="18"/>
        <v/>
      </c>
      <c r="T195" s="10" t="str">
        <f t="shared" si="20"/>
        <v/>
      </c>
      <c r="U195" t="str">
        <f>IF($D195&lt;&gt;"Include","",_xlfn.RANK.EQ(T195,T$6:T$305,1)+COUNTIFS(T$6:T195,T195)-1)</f>
        <v/>
      </c>
    </row>
    <row r="196" spans="1:21" x14ac:dyDescent="0.4">
      <c r="A196" t="str">
        <f>Data!A196</f>
        <v>ROSE</v>
      </c>
      <c r="B196" t="str">
        <f>Data!B196</f>
        <v>Rosebank Industries</v>
      </c>
      <c r="C196" t="str">
        <f>Data!D196</f>
        <v>Industrials</v>
      </c>
      <c r="D196" t="str">
        <f>Data!E196</f>
        <v>Include</v>
      </c>
      <c r="E196">
        <f>IF($D196&lt;&gt;"Include","",SUM(Data!V196:W196)-SUM(Data!X196))</f>
        <v>0</v>
      </c>
      <c r="F196" t="e">
        <f>IF($D196&lt;&gt;"Include","",SUM(Data!Z196,Data!Y196,Metrics!E196))</f>
        <v>#N/A</v>
      </c>
      <c r="G196" t="str">
        <f>IF($D196&lt;&gt;"Include","",IFERROR(Data!P196-Data!S196,""))</f>
        <v/>
      </c>
      <c r="H196">
        <f>IF($D196&lt;&gt;"Include","",IFERROR(SUM(Data!P196:R196)-SUM(Data!S196:U196),""))</f>
        <v>0</v>
      </c>
      <c r="I196">
        <f>IF($D196&lt;&gt;"Include","",SUM(Data!M196:O196))</f>
        <v>0</v>
      </c>
      <c r="J196" s="7" t="str">
        <f>IF($D196&lt;&gt;"Include","",IFERROR(IF(OR(Data!K196&lt;=0,F196&lt;=0),"n/m",($F196/Data!K196)),""))</f>
        <v/>
      </c>
      <c r="K196" s="9" t="str">
        <f>IF($D196&lt;&gt;"Include","",IFERROR(G196/Data!Z196,""))</f>
        <v/>
      </c>
      <c r="L196" s="9" t="str">
        <f t="shared" si="19"/>
        <v>n/m</v>
      </c>
      <c r="M196" s="7" t="str">
        <f>IF($D196&lt;&gt;"Include","",IFERROR(IF(Data!L196&lt;=0,"n,m",E196/Data!L196),""))</f>
        <v/>
      </c>
      <c r="N196" s="9" t="str">
        <f>IF($D196&lt;&gt;"Include","",IFERROR(IF(OR(Data!I196&lt;=0,Data!J196&lt;=0),"n/m",(Data!I196/Data!J196)^(1/3)-1),""))</f>
        <v/>
      </c>
      <c r="O196">
        <f t="shared" si="14"/>
        <v>119</v>
      </c>
      <c r="P196">
        <f t="shared" si="15"/>
        <v>119</v>
      </c>
      <c r="Q196">
        <f t="shared" si="16"/>
        <v>119</v>
      </c>
      <c r="R196">
        <f t="shared" si="17"/>
        <v>119</v>
      </c>
      <c r="S196">
        <f t="shared" si="18"/>
        <v>119</v>
      </c>
      <c r="T196" s="10">
        <f t="shared" si="20"/>
        <v>119</v>
      </c>
      <c r="U196">
        <f>IF($D196&lt;&gt;"Include","",_xlfn.RANK.EQ(T196,T$6:T$305,1)+COUNTIFS(T$6:T196,T196)-1)</f>
        <v>92</v>
      </c>
    </row>
    <row r="197" spans="1:21" x14ac:dyDescent="0.4">
      <c r="A197" t="str">
        <f>Data!A197</f>
        <v>ROR</v>
      </c>
      <c r="B197" t="str">
        <f>Data!B197</f>
        <v>Rotork</v>
      </c>
      <c r="C197" t="str">
        <f>Data!D197</f>
        <v>Industrials</v>
      </c>
      <c r="D197" t="str">
        <f>Data!E197</f>
        <v>Include</v>
      </c>
      <c r="E197">
        <f>IF($D197&lt;&gt;"Include","",SUM(Data!V197:W197)-SUM(Data!X197))</f>
        <v>0</v>
      </c>
      <c r="F197" t="e">
        <f>IF($D197&lt;&gt;"Include","",SUM(Data!Z197,Data!Y197,Metrics!E197))</f>
        <v>#N/A</v>
      </c>
      <c r="G197" t="str">
        <f>IF($D197&lt;&gt;"Include","",IFERROR(Data!P197-Data!S197,""))</f>
        <v/>
      </c>
      <c r="H197">
        <f>IF($D197&lt;&gt;"Include","",IFERROR(SUM(Data!P197:R197)-SUM(Data!S197:U197),""))</f>
        <v>0</v>
      </c>
      <c r="I197">
        <f>IF($D197&lt;&gt;"Include","",SUM(Data!M197:O197))</f>
        <v>0</v>
      </c>
      <c r="J197" s="7" t="str">
        <f>IF($D197&lt;&gt;"Include","",IFERROR(IF(OR(Data!K197&lt;=0,F197&lt;=0),"n/m",($F197/Data!K197)),""))</f>
        <v/>
      </c>
      <c r="K197" s="9" t="str">
        <f>IF($D197&lt;&gt;"Include","",IFERROR(G197/Data!Z197,""))</f>
        <v/>
      </c>
      <c r="L197" s="9" t="str">
        <f t="shared" si="19"/>
        <v>n/m</v>
      </c>
      <c r="M197" s="7" t="str">
        <f>IF($D197&lt;&gt;"Include","",IFERROR(IF(Data!L197&lt;=0,"n,m",E197/Data!L197),""))</f>
        <v/>
      </c>
      <c r="N197" s="9" t="str">
        <f>IF($D197&lt;&gt;"Include","",IFERROR(IF(OR(Data!I197&lt;=0,Data!J197&lt;=0),"n/m",(Data!I197/Data!J197)^(1/3)-1),""))</f>
        <v/>
      </c>
      <c r="O197">
        <f t="shared" si="14"/>
        <v>119</v>
      </c>
      <c r="P197">
        <f t="shared" si="15"/>
        <v>119</v>
      </c>
      <c r="Q197">
        <f t="shared" si="16"/>
        <v>119</v>
      </c>
      <c r="R197">
        <f t="shared" si="17"/>
        <v>119</v>
      </c>
      <c r="S197">
        <f t="shared" si="18"/>
        <v>119</v>
      </c>
      <c r="T197" s="10">
        <f t="shared" si="20"/>
        <v>119</v>
      </c>
      <c r="U197">
        <f>IF($D197&lt;&gt;"Include","",_xlfn.RANK.EQ(T197,T$6:T$305,1)+COUNTIFS(T$6:T197,T197)-1)</f>
        <v>93</v>
      </c>
    </row>
    <row r="198" spans="1:21" x14ac:dyDescent="0.4">
      <c r="A198" t="str">
        <f>Data!A198</f>
        <v>RS1</v>
      </c>
      <c r="B198" t="str">
        <f>Data!B198</f>
        <v>RS Group</v>
      </c>
      <c r="C198" t="str">
        <f>Data!D198</f>
        <v>Industrials</v>
      </c>
      <c r="D198" t="str">
        <f>Data!E198</f>
        <v>Include</v>
      </c>
      <c r="E198">
        <f>IF($D198&lt;&gt;"Include","",SUM(Data!V198:W198)-SUM(Data!X198))</f>
        <v>0</v>
      </c>
      <c r="F198" t="e">
        <f>IF($D198&lt;&gt;"Include","",SUM(Data!Z198,Data!Y198,Metrics!E198))</f>
        <v>#N/A</v>
      </c>
      <c r="G198" t="str">
        <f>IF($D198&lt;&gt;"Include","",IFERROR(Data!P198-Data!S198,""))</f>
        <v/>
      </c>
      <c r="H198">
        <f>IF($D198&lt;&gt;"Include","",IFERROR(SUM(Data!P198:R198)-SUM(Data!S198:U198),""))</f>
        <v>0</v>
      </c>
      <c r="I198">
        <f>IF($D198&lt;&gt;"Include","",SUM(Data!M198:O198))</f>
        <v>0</v>
      </c>
      <c r="J198" s="7" t="str">
        <f>IF($D198&lt;&gt;"Include","",IFERROR(IF(OR(Data!K198&lt;=0,F198&lt;=0),"n/m",($F198/Data!K198)),""))</f>
        <v/>
      </c>
      <c r="K198" s="9" t="str">
        <f>IF($D198&lt;&gt;"Include","",IFERROR(G198/Data!Z198,""))</f>
        <v/>
      </c>
      <c r="L198" s="9" t="str">
        <f t="shared" si="19"/>
        <v>n/m</v>
      </c>
      <c r="M198" s="7" t="str">
        <f>IF($D198&lt;&gt;"Include","",IFERROR(IF(Data!L198&lt;=0,"n,m",E198/Data!L198),""))</f>
        <v/>
      </c>
      <c r="N198" s="9" t="str">
        <f>IF($D198&lt;&gt;"Include","",IFERROR(IF(OR(Data!I198&lt;=0,Data!J198&lt;=0),"n/m",(Data!I198/Data!J198)^(1/3)-1),""))</f>
        <v/>
      </c>
      <c r="O198">
        <f t="shared" ref="O198:O261" si="21">IF($D198&lt;&gt;"Include","",IF(ISNUMBER(J198),_xlfn.RANK.EQ(J198,J$6:J$305,O$4),N_Co))</f>
        <v>119</v>
      </c>
      <c r="P198">
        <f t="shared" ref="P198:P261" si="22">IF($D198&lt;&gt;"Include","",IF(ISNUMBER(K198),_xlfn.RANK.EQ(K198,K$6:K$305,P$4),N_Co))</f>
        <v>119</v>
      </c>
      <c r="Q198">
        <f t="shared" ref="Q198:Q261" si="23">IF($D198&lt;&gt;"Include","",IF(ISNUMBER(L198),_xlfn.RANK.EQ(L198,L$6:L$305,Q$4),N_Co))</f>
        <v>119</v>
      </c>
      <c r="R198">
        <f t="shared" ref="R198:R261" si="24">IF($D198&lt;&gt;"Include","",IF(ISNUMBER(M198),_xlfn.RANK.EQ(M198,M$6:M$305,R$4),N_Co))</f>
        <v>119</v>
      </c>
      <c r="S198">
        <f t="shared" ref="S198:S261" si="25">IF($D198&lt;&gt;"Include","",IF(ISNUMBER(N198),_xlfn.RANK.EQ(N198,N$6:N$305,S$4),N_Co))</f>
        <v>119</v>
      </c>
      <c r="T198" s="10">
        <f t="shared" si="20"/>
        <v>119</v>
      </c>
      <c r="U198">
        <f>IF($D198&lt;&gt;"Include","",_xlfn.RANK.EQ(T198,T$6:T$305,1)+COUNTIFS(T$6:T198,T198)-1)</f>
        <v>94</v>
      </c>
    </row>
    <row r="199" spans="1:21" x14ac:dyDescent="0.4">
      <c r="A199" t="str">
        <f>Data!A199</f>
        <v>RTW</v>
      </c>
      <c r="B199" t="str">
        <f>Data!B199</f>
        <v>RTW Biotech Opportunities</v>
      </c>
      <c r="C199" t="str">
        <f>Data!D199</f>
        <v>Financials</v>
      </c>
      <c r="D199" t="str">
        <f>Data!E199</f>
        <v>Exclude</v>
      </c>
      <c r="E199" t="str">
        <f>IF($D199&lt;&gt;"Include","",SUM(Data!V199:W199)-SUM(Data!X199))</f>
        <v/>
      </c>
      <c r="F199" t="str">
        <f>IF($D199&lt;&gt;"Include","",SUM(Data!Z199,Data!Y199,Metrics!E199))</f>
        <v/>
      </c>
      <c r="G199" t="str">
        <f>IF($D199&lt;&gt;"Include","",IFERROR(Data!P199-Data!S199,""))</f>
        <v/>
      </c>
      <c r="H199" t="str">
        <f>IF($D199&lt;&gt;"Include","",IFERROR(SUM(Data!P199:R199)-SUM(Data!S199:U199),""))</f>
        <v/>
      </c>
      <c r="I199" t="str">
        <f>IF($D199&lt;&gt;"Include","",SUM(Data!M199:O199))</f>
        <v/>
      </c>
      <c r="J199" s="7" t="str">
        <f>IF($D199&lt;&gt;"Include","",IFERROR(IF(OR(Data!K199&lt;=0,F199&lt;=0),"n/m",($F199/Data!K199)),""))</f>
        <v/>
      </c>
      <c r="K199" s="9" t="str">
        <f>IF($D199&lt;&gt;"Include","",IFERROR(G199/Data!Z199,""))</f>
        <v/>
      </c>
      <c r="L199" s="9" t="str">
        <f t="shared" ref="L199:L262" si="26">IF($D199&lt;&gt;"Include","",IFERROR(IF(I199&lt;=0,"n/m",H199/I199),""))</f>
        <v/>
      </c>
      <c r="M199" s="7" t="str">
        <f>IF($D199&lt;&gt;"Include","",IFERROR(IF(Data!L199&lt;=0,"n,m",E199/Data!L199),""))</f>
        <v/>
      </c>
      <c r="N199" s="9" t="str">
        <f>IF($D199&lt;&gt;"Include","",IFERROR(IF(OR(Data!I199&lt;=0,Data!J199&lt;=0),"n/m",(Data!I199/Data!J199)^(1/3)-1),""))</f>
        <v/>
      </c>
      <c r="O199" t="str">
        <f t="shared" si="21"/>
        <v/>
      </c>
      <c r="P199" t="str">
        <f t="shared" si="22"/>
        <v/>
      </c>
      <c r="Q199" t="str">
        <f t="shared" si="23"/>
        <v/>
      </c>
      <c r="R199" t="str">
        <f t="shared" si="24"/>
        <v/>
      </c>
      <c r="S199" t="str">
        <f t="shared" si="25"/>
        <v/>
      </c>
      <c r="T199" s="10" t="str">
        <f t="shared" ref="T199:T262" si="27">IF($D199&lt;&gt;"Include","",ROUND(SUMPRODUCT(O199:S199,$O$3:$S$3),6))</f>
        <v/>
      </c>
      <c r="U199" t="str">
        <f>IF($D199&lt;&gt;"Include","",_xlfn.RANK.EQ(T199,T$6:T$305,1)+COUNTIFS(T$6:T199,T199)-1)</f>
        <v/>
      </c>
    </row>
    <row r="200" spans="1:21" x14ac:dyDescent="0.4">
      <c r="A200" t="str">
        <f>Data!A200</f>
        <v>RICA</v>
      </c>
      <c r="B200" t="str">
        <f>Data!B200</f>
        <v>Ruffer Investment Company</v>
      </c>
      <c r="C200" t="str">
        <f>Data!D200</f>
        <v>Financials</v>
      </c>
      <c r="D200" t="str">
        <f>Data!E200</f>
        <v>Exclude</v>
      </c>
      <c r="E200" t="str">
        <f>IF($D200&lt;&gt;"Include","",SUM(Data!V200:W200)-SUM(Data!X200))</f>
        <v/>
      </c>
      <c r="F200" t="str">
        <f>IF($D200&lt;&gt;"Include","",SUM(Data!Z200,Data!Y200,Metrics!E200))</f>
        <v/>
      </c>
      <c r="G200" t="str">
        <f>IF($D200&lt;&gt;"Include","",IFERROR(Data!P200-Data!S200,""))</f>
        <v/>
      </c>
      <c r="H200" t="str">
        <f>IF($D200&lt;&gt;"Include","",IFERROR(SUM(Data!P200:R200)-SUM(Data!S200:U200),""))</f>
        <v/>
      </c>
      <c r="I200" t="str">
        <f>IF($D200&lt;&gt;"Include","",SUM(Data!M200:O200))</f>
        <v/>
      </c>
      <c r="J200" s="7" t="str">
        <f>IF($D200&lt;&gt;"Include","",IFERROR(IF(OR(Data!K200&lt;=0,F200&lt;=0),"n/m",($F200/Data!K200)),""))</f>
        <v/>
      </c>
      <c r="K200" s="9" t="str">
        <f>IF($D200&lt;&gt;"Include","",IFERROR(G200/Data!Z200,""))</f>
        <v/>
      </c>
      <c r="L200" s="9" t="str">
        <f t="shared" si="26"/>
        <v/>
      </c>
      <c r="M200" s="7" t="str">
        <f>IF($D200&lt;&gt;"Include","",IFERROR(IF(Data!L200&lt;=0,"n,m",E200/Data!L200),""))</f>
        <v/>
      </c>
      <c r="N200" s="9" t="str">
        <f>IF($D200&lt;&gt;"Include","",IFERROR(IF(OR(Data!I200&lt;=0,Data!J200&lt;=0),"n/m",(Data!I200/Data!J200)^(1/3)-1),""))</f>
        <v/>
      </c>
      <c r="O200" t="str">
        <f t="shared" si="21"/>
        <v/>
      </c>
      <c r="P200" t="str">
        <f t="shared" si="22"/>
        <v/>
      </c>
      <c r="Q200" t="str">
        <f t="shared" si="23"/>
        <v/>
      </c>
      <c r="R200" t="str">
        <f t="shared" si="24"/>
        <v/>
      </c>
      <c r="S200" t="str">
        <f t="shared" si="25"/>
        <v/>
      </c>
      <c r="T200" s="10" t="str">
        <f t="shared" si="27"/>
        <v/>
      </c>
      <c r="U200" t="str">
        <f>IF($D200&lt;&gt;"Include","",_xlfn.RANK.EQ(T200,T$6:T$305,1)+COUNTIFS(T$6:T200,T200)-1)</f>
        <v/>
      </c>
    </row>
    <row r="201" spans="1:21" x14ac:dyDescent="0.4">
      <c r="A201" t="str">
        <f>Data!A201</f>
        <v>SAFE</v>
      </c>
      <c r="B201" t="str">
        <f>Data!B201</f>
        <v>Safestore</v>
      </c>
      <c r="C201" t="str">
        <f>Data!D201</f>
        <v>Real Estate</v>
      </c>
      <c r="D201" t="str">
        <f>Data!E201</f>
        <v>Exclude</v>
      </c>
      <c r="E201" t="str">
        <f>IF($D201&lt;&gt;"Include","",SUM(Data!V201:W201)-SUM(Data!X201))</f>
        <v/>
      </c>
      <c r="F201" t="str">
        <f>IF($D201&lt;&gt;"Include","",SUM(Data!Z201,Data!Y201,Metrics!E201))</f>
        <v/>
      </c>
      <c r="G201" t="str">
        <f>IF($D201&lt;&gt;"Include","",IFERROR(Data!P201-Data!S201,""))</f>
        <v/>
      </c>
      <c r="H201" t="str">
        <f>IF($D201&lt;&gt;"Include","",IFERROR(SUM(Data!P201:R201)-SUM(Data!S201:U201),""))</f>
        <v/>
      </c>
      <c r="I201" t="str">
        <f>IF($D201&lt;&gt;"Include","",SUM(Data!M201:O201))</f>
        <v/>
      </c>
      <c r="J201" s="7" t="str">
        <f>IF($D201&lt;&gt;"Include","",IFERROR(IF(OR(Data!K201&lt;=0,F201&lt;=0),"n/m",($F201/Data!K201)),""))</f>
        <v/>
      </c>
      <c r="K201" s="9" t="str">
        <f>IF($D201&lt;&gt;"Include","",IFERROR(G201/Data!Z201,""))</f>
        <v/>
      </c>
      <c r="L201" s="9" t="str">
        <f t="shared" si="26"/>
        <v/>
      </c>
      <c r="M201" s="7" t="str">
        <f>IF($D201&lt;&gt;"Include","",IFERROR(IF(Data!L201&lt;=0,"n,m",E201/Data!L201),""))</f>
        <v/>
      </c>
      <c r="N201" s="9" t="str">
        <f>IF($D201&lt;&gt;"Include","",IFERROR(IF(OR(Data!I201&lt;=0,Data!J201&lt;=0),"n/m",(Data!I201/Data!J201)^(1/3)-1),""))</f>
        <v/>
      </c>
      <c r="O201" t="str">
        <f t="shared" si="21"/>
        <v/>
      </c>
      <c r="P201" t="str">
        <f t="shared" si="22"/>
        <v/>
      </c>
      <c r="Q201" t="str">
        <f t="shared" si="23"/>
        <v/>
      </c>
      <c r="R201" t="str">
        <f t="shared" si="24"/>
        <v/>
      </c>
      <c r="S201" t="str">
        <f t="shared" si="25"/>
        <v/>
      </c>
      <c r="T201" s="10" t="str">
        <f t="shared" si="27"/>
        <v/>
      </c>
      <c r="U201" t="str">
        <f>IF($D201&lt;&gt;"Include","",_xlfn.RANK.EQ(T201,T$6:T$305,1)+COUNTIFS(T$6:T201,T201)-1)</f>
        <v/>
      </c>
    </row>
    <row r="202" spans="1:21" x14ac:dyDescent="0.4">
      <c r="A202" t="str">
        <f>Data!A202</f>
        <v>SAGA</v>
      </c>
      <c r="B202" t="str">
        <f>Data!B202</f>
        <v>Saga</v>
      </c>
      <c r="C202" t="str">
        <f>Data!D202</f>
        <v>Consumer Discretionary</v>
      </c>
      <c r="D202" t="str">
        <f>Data!E202</f>
        <v>Include</v>
      </c>
      <c r="E202">
        <f>IF($D202&lt;&gt;"Include","",SUM(Data!V202:W202)-SUM(Data!X202))</f>
        <v>0</v>
      </c>
      <c r="F202" t="e">
        <f>IF($D202&lt;&gt;"Include","",SUM(Data!Z202,Data!Y202,Metrics!E202))</f>
        <v>#N/A</v>
      </c>
      <c r="G202" t="str">
        <f>IF($D202&lt;&gt;"Include","",IFERROR(Data!P202-Data!S202,""))</f>
        <v/>
      </c>
      <c r="H202">
        <f>IF($D202&lt;&gt;"Include","",IFERROR(SUM(Data!P202:R202)-SUM(Data!S202:U202),""))</f>
        <v>0</v>
      </c>
      <c r="I202">
        <f>IF($D202&lt;&gt;"Include","",SUM(Data!M202:O202))</f>
        <v>0</v>
      </c>
      <c r="J202" s="7" t="str">
        <f>IF($D202&lt;&gt;"Include","",IFERROR(IF(OR(Data!K202&lt;=0,F202&lt;=0),"n/m",($F202/Data!K202)),""))</f>
        <v/>
      </c>
      <c r="K202" s="9" t="str">
        <f>IF($D202&lt;&gt;"Include","",IFERROR(G202/Data!Z202,""))</f>
        <v/>
      </c>
      <c r="L202" s="9" t="str">
        <f t="shared" si="26"/>
        <v>n/m</v>
      </c>
      <c r="M202" s="7" t="str">
        <f>IF($D202&lt;&gt;"Include","",IFERROR(IF(Data!L202&lt;=0,"n,m",E202/Data!L202),""))</f>
        <v/>
      </c>
      <c r="N202" s="9" t="str">
        <f>IF($D202&lt;&gt;"Include","",IFERROR(IF(OR(Data!I202&lt;=0,Data!J202&lt;=0),"n/m",(Data!I202/Data!J202)^(1/3)-1),""))</f>
        <v/>
      </c>
      <c r="O202">
        <f t="shared" si="21"/>
        <v>119</v>
      </c>
      <c r="P202">
        <f t="shared" si="22"/>
        <v>119</v>
      </c>
      <c r="Q202">
        <f t="shared" si="23"/>
        <v>119</v>
      </c>
      <c r="R202">
        <f t="shared" si="24"/>
        <v>119</v>
      </c>
      <c r="S202">
        <f t="shared" si="25"/>
        <v>119</v>
      </c>
      <c r="T202" s="10">
        <f t="shared" si="27"/>
        <v>119</v>
      </c>
      <c r="U202">
        <f>IF($D202&lt;&gt;"Include","",_xlfn.RANK.EQ(T202,T$6:T$305,1)+COUNTIFS(T$6:T202,T202)-1)</f>
        <v>95</v>
      </c>
    </row>
    <row r="203" spans="1:21" x14ac:dyDescent="0.4">
      <c r="A203" t="str">
        <f>Data!A203</f>
        <v>SVS</v>
      </c>
      <c r="B203" t="str">
        <f>Data!B203</f>
        <v>Savills</v>
      </c>
      <c r="C203" t="str">
        <f>Data!D203</f>
        <v>Real Estate</v>
      </c>
      <c r="D203" t="str">
        <f>Data!E203</f>
        <v>Exclude</v>
      </c>
      <c r="E203" t="str">
        <f>IF($D203&lt;&gt;"Include","",SUM(Data!V203:W203)-SUM(Data!X203))</f>
        <v/>
      </c>
      <c r="F203" t="str">
        <f>IF($D203&lt;&gt;"Include","",SUM(Data!Z203,Data!Y203,Metrics!E203))</f>
        <v/>
      </c>
      <c r="G203" t="str">
        <f>IF($D203&lt;&gt;"Include","",IFERROR(Data!P203-Data!S203,""))</f>
        <v/>
      </c>
      <c r="H203" t="str">
        <f>IF($D203&lt;&gt;"Include","",IFERROR(SUM(Data!P203:R203)-SUM(Data!S203:U203),""))</f>
        <v/>
      </c>
      <c r="I203" t="str">
        <f>IF($D203&lt;&gt;"Include","",SUM(Data!M203:O203))</f>
        <v/>
      </c>
      <c r="J203" s="7" t="str">
        <f>IF($D203&lt;&gt;"Include","",IFERROR(IF(OR(Data!K203&lt;=0,F203&lt;=0),"n/m",($F203/Data!K203)),""))</f>
        <v/>
      </c>
      <c r="K203" s="9" t="str">
        <f>IF($D203&lt;&gt;"Include","",IFERROR(G203/Data!Z203,""))</f>
        <v/>
      </c>
      <c r="L203" s="9" t="str">
        <f t="shared" si="26"/>
        <v/>
      </c>
      <c r="M203" s="7" t="str">
        <f>IF($D203&lt;&gt;"Include","",IFERROR(IF(Data!L203&lt;=0,"n,m",E203/Data!L203),""))</f>
        <v/>
      </c>
      <c r="N203" s="9" t="str">
        <f>IF($D203&lt;&gt;"Include","",IFERROR(IF(OR(Data!I203&lt;=0,Data!J203&lt;=0),"n/m",(Data!I203/Data!J203)^(1/3)-1),""))</f>
        <v/>
      </c>
      <c r="O203" t="str">
        <f t="shared" si="21"/>
        <v/>
      </c>
      <c r="P203" t="str">
        <f t="shared" si="22"/>
        <v/>
      </c>
      <c r="Q203" t="str">
        <f t="shared" si="23"/>
        <v/>
      </c>
      <c r="R203" t="str">
        <f t="shared" si="24"/>
        <v/>
      </c>
      <c r="S203" t="str">
        <f t="shared" si="25"/>
        <v/>
      </c>
      <c r="T203" s="10" t="str">
        <f t="shared" si="27"/>
        <v/>
      </c>
      <c r="U203" t="str">
        <f>IF($D203&lt;&gt;"Include","",_xlfn.RANK.EQ(T203,T$6:T$305,1)+COUNTIFS(T$6:T203,T203)-1)</f>
        <v/>
      </c>
    </row>
    <row r="204" spans="1:21" x14ac:dyDescent="0.4">
      <c r="A204" t="str">
        <f>Data!A204</f>
        <v>MNTN</v>
      </c>
      <c r="B204" t="str">
        <f>Data!B204</f>
        <v>Schiehallion Fund</v>
      </c>
      <c r="C204" t="str">
        <f>Data!D204</f>
        <v>Financials</v>
      </c>
      <c r="D204" t="str">
        <f>Data!E204</f>
        <v>Exclude</v>
      </c>
      <c r="E204" t="str">
        <f>IF($D204&lt;&gt;"Include","",SUM(Data!V204:W204)-SUM(Data!X204))</f>
        <v/>
      </c>
      <c r="F204" t="str">
        <f>IF($D204&lt;&gt;"Include","",SUM(Data!Z204,Data!Y204,Metrics!E204))</f>
        <v/>
      </c>
      <c r="G204" t="str">
        <f>IF($D204&lt;&gt;"Include","",IFERROR(Data!P204-Data!S204,""))</f>
        <v/>
      </c>
      <c r="H204" t="str">
        <f>IF($D204&lt;&gt;"Include","",IFERROR(SUM(Data!P204:R204)-SUM(Data!S204:U204),""))</f>
        <v/>
      </c>
      <c r="I204" t="str">
        <f>IF($D204&lt;&gt;"Include","",SUM(Data!M204:O204))</f>
        <v/>
      </c>
      <c r="J204" s="7" t="str">
        <f>IF($D204&lt;&gt;"Include","",IFERROR(IF(OR(Data!K204&lt;=0,F204&lt;=0),"n/m",($F204/Data!K204)),""))</f>
        <v/>
      </c>
      <c r="K204" s="9" t="str">
        <f>IF($D204&lt;&gt;"Include","",IFERROR(G204/Data!Z204,""))</f>
        <v/>
      </c>
      <c r="L204" s="9" t="str">
        <f t="shared" si="26"/>
        <v/>
      </c>
      <c r="M204" s="7" t="str">
        <f>IF($D204&lt;&gt;"Include","",IFERROR(IF(Data!L204&lt;=0,"n,m",E204/Data!L204),""))</f>
        <v/>
      </c>
      <c r="N204" s="9" t="str">
        <f>IF($D204&lt;&gt;"Include","",IFERROR(IF(OR(Data!I204&lt;=0,Data!J204&lt;=0),"n/m",(Data!I204/Data!J204)^(1/3)-1),""))</f>
        <v/>
      </c>
      <c r="O204" t="str">
        <f t="shared" si="21"/>
        <v/>
      </c>
      <c r="P204" t="str">
        <f t="shared" si="22"/>
        <v/>
      </c>
      <c r="Q204" t="str">
        <f t="shared" si="23"/>
        <v/>
      </c>
      <c r="R204" t="str">
        <f t="shared" si="24"/>
        <v/>
      </c>
      <c r="S204" t="str">
        <f t="shared" si="25"/>
        <v/>
      </c>
      <c r="T204" s="10" t="str">
        <f t="shared" si="27"/>
        <v/>
      </c>
      <c r="U204" t="str">
        <f>IF($D204&lt;&gt;"Include","",_xlfn.RANK.EQ(T204,T$6:T$305,1)+COUNTIFS(T$6:T204,T204)-1)</f>
        <v/>
      </c>
    </row>
    <row r="205" spans="1:21" x14ac:dyDescent="0.4">
      <c r="A205" t="str">
        <f>Data!A205</f>
        <v>ATR</v>
      </c>
      <c r="B205" t="str">
        <f>Data!B205</f>
        <v>Schroder Asian Total Return Investment Company</v>
      </c>
      <c r="C205" t="str">
        <f>Data!D205</f>
        <v>Financials</v>
      </c>
      <c r="D205" t="str">
        <f>Data!E205</f>
        <v>Exclude</v>
      </c>
      <c r="E205" t="str">
        <f>IF($D205&lt;&gt;"Include","",SUM(Data!V205:W205)-SUM(Data!X205))</f>
        <v/>
      </c>
      <c r="F205" t="str">
        <f>IF($D205&lt;&gt;"Include","",SUM(Data!Z205,Data!Y205,Metrics!E205))</f>
        <v/>
      </c>
      <c r="G205" t="str">
        <f>IF($D205&lt;&gt;"Include","",IFERROR(Data!P205-Data!S205,""))</f>
        <v/>
      </c>
      <c r="H205" t="str">
        <f>IF($D205&lt;&gt;"Include","",IFERROR(SUM(Data!P205:R205)-SUM(Data!S205:U205),""))</f>
        <v/>
      </c>
      <c r="I205" t="str">
        <f>IF($D205&lt;&gt;"Include","",SUM(Data!M205:O205))</f>
        <v/>
      </c>
      <c r="J205" s="7" t="str">
        <f>IF($D205&lt;&gt;"Include","",IFERROR(IF(OR(Data!K205&lt;=0,F205&lt;=0),"n/m",($F205/Data!K205)),""))</f>
        <v/>
      </c>
      <c r="K205" s="9" t="str">
        <f>IF($D205&lt;&gt;"Include","",IFERROR(G205/Data!Z205,""))</f>
        <v/>
      </c>
      <c r="L205" s="9" t="str">
        <f t="shared" si="26"/>
        <v/>
      </c>
      <c r="M205" s="7" t="str">
        <f>IF($D205&lt;&gt;"Include","",IFERROR(IF(Data!L205&lt;=0,"n,m",E205/Data!L205),""))</f>
        <v/>
      </c>
      <c r="N205" s="9" t="str">
        <f>IF($D205&lt;&gt;"Include","",IFERROR(IF(OR(Data!I205&lt;=0,Data!J205&lt;=0),"n/m",(Data!I205/Data!J205)^(1/3)-1),""))</f>
        <v/>
      </c>
      <c r="O205" t="str">
        <f t="shared" si="21"/>
        <v/>
      </c>
      <c r="P205" t="str">
        <f t="shared" si="22"/>
        <v/>
      </c>
      <c r="Q205" t="str">
        <f t="shared" si="23"/>
        <v/>
      </c>
      <c r="R205" t="str">
        <f t="shared" si="24"/>
        <v/>
      </c>
      <c r="S205" t="str">
        <f t="shared" si="25"/>
        <v/>
      </c>
      <c r="T205" s="10" t="str">
        <f t="shared" si="27"/>
        <v/>
      </c>
      <c r="U205" t="str">
        <f>IF($D205&lt;&gt;"Include","",_xlfn.RANK.EQ(T205,T$6:T$305,1)+COUNTIFS(T$6:T205,T205)-1)</f>
        <v/>
      </c>
    </row>
    <row r="206" spans="1:21" x14ac:dyDescent="0.4">
      <c r="A206" t="str">
        <f>Data!A206</f>
        <v>SDP</v>
      </c>
      <c r="B206" t="str">
        <f>Data!B206</f>
        <v>Schroder AsiaPacific Fund</v>
      </c>
      <c r="C206" t="str">
        <f>Data!D206</f>
        <v>Financials</v>
      </c>
      <c r="D206" t="str">
        <f>Data!E206</f>
        <v>Exclude</v>
      </c>
      <c r="E206" t="str">
        <f>IF($D206&lt;&gt;"Include","",SUM(Data!V206:W206)-SUM(Data!X206))</f>
        <v/>
      </c>
      <c r="F206" t="str">
        <f>IF($D206&lt;&gt;"Include","",SUM(Data!Z206,Data!Y206,Metrics!E206))</f>
        <v/>
      </c>
      <c r="G206" t="str">
        <f>IF($D206&lt;&gt;"Include","",IFERROR(Data!P206-Data!S206,""))</f>
        <v/>
      </c>
      <c r="H206" t="str">
        <f>IF($D206&lt;&gt;"Include","",IFERROR(SUM(Data!P206:R206)-SUM(Data!S206:U206),""))</f>
        <v/>
      </c>
      <c r="I206" t="str">
        <f>IF($D206&lt;&gt;"Include","",SUM(Data!M206:O206))</f>
        <v/>
      </c>
      <c r="J206" s="7" t="str">
        <f>IF($D206&lt;&gt;"Include","",IFERROR(IF(OR(Data!K206&lt;=0,F206&lt;=0),"n/m",($F206/Data!K206)),""))</f>
        <v/>
      </c>
      <c r="K206" s="9" t="str">
        <f>IF($D206&lt;&gt;"Include","",IFERROR(G206/Data!Z206,""))</f>
        <v/>
      </c>
      <c r="L206" s="9" t="str">
        <f t="shared" si="26"/>
        <v/>
      </c>
      <c r="M206" s="7" t="str">
        <f>IF($D206&lt;&gt;"Include","",IFERROR(IF(Data!L206&lt;=0,"n,m",E206/Data!L206),""))</f>
        <v/>
      </c>
      <c r="N206" s="9" t="str">
        <f>IF($D206&lt;&gt;"Include","",IFERROR(IF(OR(Data!I206&lt;=0,Data!J206&lt;=0),"n/m",(Data!I206/Data!J206)^(1/3)-1),""))</f>
        <v/>
      </c>
      <c r="O206" t="str">
        <f t="shared" si="21"/>
        <v/>
      </c>
      <c r="P206" t="str">
        <f t="shared" si="22"/>
        <v/>
      </c>
      <c r="Q206" t="str">
        <f t="shared" si="23"/>
        <v/>
      </c>
      <c r="R206" t="str">
        <f t="shared" si="24"/>
        <v/>
      </c>
      <c r="S206" t="str">
        <f t="shared" si="25"/>
        <v/>
      </c>
      <c r="T206" s="10" t="str">
        <f t="shared" si="27"/>
        <v/>
      </c>
      <c r="U206" t="str">
        <f>IF($D206&lt;&gt;"Include","",_xlfn.RANK.EQ(T206,T$6:T$305,1)+COUNTIFS(T$6:T206,T206)-1)</f>
        <v/>
      </c>
    </row>
    <row r="207" spans="1:21" x14ac:dyDescent="0.4">
      <c r="A207" t="str">
        <f>Data!A207</f>
        <v>SOI</v>
      </c>
      <c r="B207" t="str">
        <f>Data!B207</f>
        <v>Schroder Oriental Income Fund</v>
      </c>
      <c r="C207" t="str">
        <f>Data!D207</f>
        <v>Financials</v>
      </c>
      <c r="D207" t="str">
        <f>Data!E207</f>
        <v>Exclude</v>
      </c>
      <c r="E207" t="str">
        <f>IF($D207&lt;&gt;"Include","",SUM(Data!V207:W207)-SUM(Data!X207))</f>
        <v/>
      </c>
      <c r="F207" t="str">
        <f>IF($D207&lt;&gt;"Include","",SUM(Data!Z207,Data!Y207,Metrics!E207))</f>
        <v/>
      </c>
      <c r="G207" t="str">
        <f>IF($D207&lt;&gt;"Include","",IFERROR(Data!P207-Data!S207,""))</f>
        <v/>
      </c>
      <c r="H207" t="str">
        <f>IF($D207&lt;&gt;"Include","",IFERROR(SUM(Data!P207:R207)-SUM(Data!S207:U207),""))</f>
        <v/>
      </c>
      <c r="I207" t="str">
        <f>IF($D207&lt;&gt;"Include","",SUM(Data!M207:O207))</f>
        <v/>
      </c>
      <c r="J207" s="7" t="str">
        <f>IF($D207&lt;&gt;"Include","",IFERROR(IF(OR(Data!K207&lt;=0,F207&lt;=0),"n/m",($F207/Data!K207)),""))</f>
        <v/>
      </c>
      <c r="K207" s="9" t="str">
        <f>IF($D207&lt;&gt;"Include","",IFERROR(G207/Data!Z207,""))</f>
        <v/>
      </c>
      <c r="L207" s="9" t="str">
        <f t="shared" si="26"/>
        <v/>
      </c>
      <c r="M207" s="7" t="str">
        <f>IF($D207&lt;&gt;"Include","",IFERROR(IF(Data!L207&lt;=0,"n,m",E207/Data!L207),""))</f>
        <v/>
      </c>
      <c r="N207" s="9" t="str">
        <f>IF($D207&lt;&gt;"Include","",IFERROR(IF(OR(Data!I207&lt;=0,Data!J207&lt;=0),"n/m",(Data!I207/Data!J207)^(1/3)-1),""))</f>
        <v/>
      </c>
      <c r="O207" t="str">
        <f t="shared" si="21"/>
        <v/>
      </c>
      <c r="P207" t="str">
        <f t="shared" si="22"/>
        <v/>
      </c>
      <c r="Q207" t="str">
        <f t="shared" si="23"/>
        <v/>
      </c>
      <c r="R207" t="str">
        <f t="shared" si="24"/>
        <v/>
      </c>
      <c r="S207" t="str">
        <f t="shared" si="25"/>
        <v/>
      </c>
      <c r="T207" s="10" t="str">
        <f t="shared" si="27"/>
        <v/>
      </c>
      <c r="U207" t="str">
        <f>IF($D207&lt;&gt;"Include","",_xlfn.RANK.EQ(T207,T$6:T$305,1)+COUNTIFS(T$6:T207,T207)-1)</f>
        <v/>
      </c>
    </row>
    <row r="208" spans="1:21" x14ac:dyDescent="0.4">
      <c r="A208" t="str">
        <f>Data!A208</f>
        <v>SAIN</v>
      </c>
      <c r="B208" t="str">
        <f>Data!B208</f>
        <v>Scottish American Investment Company</v>
      </c>
      <c r="C208" t="str">
        <f>Data!D208</f>
        <v>Financials</v>
      </c>
      <c r="D208" t="str">
        <f>Data!E208</f>
        <v>Exclude</v>
      </c>
      <c r="E208" t="str">
        <f>IF($D208&lt;&gt;"Include","",SUM(Data!V208:W208)-SUM(Data!X208))</f>
        <v/>
      </c>
      <c r="F208" t="str">
        <f>IF($D208&lt;&gt;"Include","",SUM(Data!Z208,Data!Y208,Metrics!E208))</f>
        <v/>
      </c>
      <c r="G208" t="str">
        <f>IF($D208&lt;&gt;"Include","",IFERROR(Data!P208-Data!S208,""))</f>
        <v/>
      </c>
      <c r="H208" t="str">
        <f>IF($D208&lt;&gt;"Include","",IFERROR(SUM(Data!P208:R208)-SUM(Data!S208:U208),""))</f>
        <v/>
      </c>
      <c r="I208" t="str">
        <f>IF($D208&lt;&gt;"Include","",SUM(Data!M208:O208))</f>
        <v/>
      </c>
      <c r="J208" s="7" t="str">
        <f>IF($D208&lt;&gt;"Include","",IFERROR(IF(OR(Data!K208&lt;=0,F208&lt;=0),"n/m",($F208/Data!K208)),""))</f>
        <v/>
      </c>
      <c r="K208" s="9" t="str">
        <f>IF($D208&lt;&gt;"Include","",IFERROR(G208/Data!Z208,""))</f>
        <v/>
      </c>
      <c r="L208" s="9" t="str">
        <f t="shared" si="26"/>
        <v/>
      </c>
      <c r="M208" s="7" t="str">
        <f>IF($D208&lt;&gt;"Include","",IFERROR(IF(Data!L208&lt;=0,"n,m",E208/Data!L208),""))</f>
        <v/>
      </c>
      <c r="N208" s="9" t="str">
        <f>IF($D208&lt;&gt;"Include","",IFERROR(IF(OR(Data!I208&lt;=0,Data!J208&lt;=0),"n/m",(Data!I208/Data!J208)^(1/3)-1),""))</f>
        <v/>
      </c>
      <c r="O208" t="str">
        <f t="shared" si="21"/>
        <v/>
      </c>
      <c r="P208" t="str">
        <f t="shared" si="22"/>
        <v/>
      </c>
      <c r="Q208" t="str">
        <f t="shared" si="23"/>
        <v/>
      </c>
      <c r="R208" t="str">
        <f t="shared" si="24"/>
        <v/>
      </c>
      <c r="S208" t="str">
        <f t="shared" si="25"/>
        <v/>
      </c>
      <c r="T208" s="10" t="str">
        <f t="shared" si="27"/>
        <v/>
      </c>
      <c r="U208" t="str">
        <f>IF($D208&lt;&gt;"Include","",_xlfn.RANK.EQ(T208,T$6:T$305,1)+COUNTIFS(T$6:T208,T208)-1)</f>
        <v/>
      </c>
    </row>
    <row r="209" spans="1:21" x14ac:dyDescent="0.4">
      <c r="A209" t="str">
        <f>Data!A209</f>
        <v>SEIT</v>
      </c>
      <c r="B209" t="str">
        <f>Data!B209</f>
        <v>SDCL Efficiency Income Trust</v>
      </c>
      <c r="C209" t="str">
        <f>Data!D209</f>
        <v>Financials</v>
      </c>
      <c r="D209" t="str">
        <f>Data!E209</f>
        <v>Exclude</v>
      </c>
      <c r="E209" t="str">
        <f>IF($D209&lt;&gt;"Include","",SUM(Data!V209:W209)-SUM(Data!X209))</f>
        <v/>
      </c>
      <c r="F209" t="str">
        <f>IF($D209&lt;&gt;"Include","",SUM(Data!Z209,Data!Y209,Metrics!E209))</f>
        <v/>
      </c>
      <c r="G209" t="str">
        <f>IF($D209&lt;&gt;"Include","",IFERROR(Data!P209-Data!S209,""))</f>
        <v/>
      </c>
      <c r="H209" t="str">
        <f>IF($D209&lt;&gt;"Include","",IFERROR(SUM(Data!P209:R209)-SUM(Data!S209:U209),""))</f>
        <v/>
      </c>
      <c r="I209" t="str">
        <f>IF($D209&lt;&gt;"Include","",SUM(Data!M209:O209))</f>
        <v/>
      </c>
      <c r="J209" s="7" t="str">
        <f>IF($D209&lt;&gt;"Include","",IFERROR(IF(OR(Data!K209&lt;=0,F209&lt;=0),"n/m",($F209/Data!K209)),""))</f>
        <v/>
      </c>
      <c r="K209" s="9" t="str">
        <f>IF($D209&lt;&gt;"Include","",IFERROR(G209/Data!Z209,""))</f>
        <v/>
      </c>
      <c r="L209" s="9" t="str">
        <f t="shared" si="26"/>
        <v/>
      </c>
      <c r="M209" s="7" t="str">
        <f>IF($D209&lt;&gt;"Include","",IFERROR(IF(Data!L209&lt;=0,"n,m",E209/Data!L209),""))</f>
        <v/>
      </c>
      <c r="N209" s="9" t="str">
        <f>IF($D209&lt;&gt;"Include","",IFERROR(IF(OR(Data!I209&lt;=0,Data!J209&lt;=0),"n/m",(Data!I209/Data!J209)^(1/3)-1),""))</f>
        <v/>
      </c>
      <c r="O209" t="str">
        <f t="shared" si="21"/>
        <v/>
      </c>
      <c r="P209" t="str">
        <f t="shared" si="22"/>
        <v/>
      </c>
      <c r="Q209" t="str">
        <f t="shared" si="23"/>
        <v/>
      </c>
      <c r="R209" t="str">
        <f t="shared" si="24"/>
        <v/>
      </c>
      <c r="S209" t="str">
        <f t="shared" si="25"/>
        <v/>
      </c>
      <c r="T209" s="10" t="str">
        <f t="shared" si="27"/>
        <v/>
      </c>
      <c r="U209" t="str">
        <f>IF($D209&lt;&gt;"Include","",_xlfn.RANK.EQ(T209,T$6:T$305,1)+COUNTIFS(T$6:T209,T209)-1)</f>
        <v/>
      </c>
    </row>
    <row r="210" spans="1:21" x14ac:dyDescent="0.4">
      <c r="A210" t="str">
        <f>Data!A210</f>
        <v>SEQI</v>
      </c>
      <c r="B210" t="str">
        <f>Data!B210</f>
        <v>Sequoia Economic Infrastructure Income Fund</v>
      </c>
      <c r="C210" t="str">
        <f>Data!D210</f>
        <v>Financials</v>
      </c>
      <c r="D210" t="str">
        <f>Data!E210</f>
        <v>Exclude</v>
      </c>
      <c r="E210" t="str">
        <f>IF($D210&lt;&gt;"Include","",SUM(Data!V210:W210)-SUM(Data!X210))</f>
        <v/>
      </c>
      <c r="F210" t="str">
        <f>IF($D210&lt;&gt;"Include","",SUM(Data!Z210,Data!Y210,Metrics!E210))</f>
        <v/>
      </c>
      <c r="G210" t="str">
        <f>IF($D210&lt;&gt;"Include","",IFERROR(Data!P210-Data!S210,""))</f>
        <v/>
      </c>
      <c r="H210" t="str">
        <f>IF($D210&lt;&gt;"Include","",IFERROR(SUM(Data!P210:R210)-SUM(Data!S210:U210),""))</f>
        <v/>
      </c>
      <c r="I210" t="str">
        <f>IF($D210&lt;&gt;"Include","",SUM(Data!M210:O210))</f>
        <v/>
      </c>
      <c r="J210" s="7" t="str">
        <f>IF($D210&lt;&gt;"Include","",IFERROR(IF(OR(Data!K210&lt;=0,F210&lt;=0),"n/m",($F210/Data!K210)),""))</f>
        <v/>
      </c>
      <c r="K210" s="9" t="str">
        <f>IF($D210&lt;&gt;"Include","",IFERROR(G210/Data!Z210,""))</f>
        <v/>
      </c>
      <c r="L210" s="9" t="str">
        <f t="shared" si="26"/>
        <v/>
      </c>
      <c r="M210" s="7" t="str">
        <f>IF($D210&lt;&gt;"Include","",IFERROR(IF(Data!L210&lt;=0,"n,m",E210/Data!L210),""))</f>
        <v/>
      </c>
      <c r="N210" s="9" t="str">
        <f>IF($D210&lt;&gt;"Include","",IFERROR(IF(OR(Data!I210&lt;=0,Data!J210&lt;=0),"n/m",(Data!I210/Data!J210)^(1/3)-1),""))</f>
        <v/>
      </c>
      <c r="O210" t="str">
        <f t="shared" si="21"/>
        <v/>
      </c>
      <c r="P210" t="str">
        <f t="shared" si="22"/>
        <v/>
      </c>
      <c r="Q210" t="str">
        <f t="shared" si="23"/>
        <v/>
      </c>
      <c r="R210" t="str">
        <f t="shared" si="24"/>
        <v/>
      </c>
      <c r="S210" t="str">
        <f t="shared" si="25"/>
        <v/>
      </c>
      <c r="T210" s="10" t="str">
        <f t="shared" si="27"/>
        <v/>
      </c>
      <c r="U210" t="str">
        <f>IF($D210&lt;&gt;"Include","",_xlfn.RANK.EQ(T210,T$6:T$305,1)+COUNTIFS(T$6:T210,T210)-1)</f>
        <v/>
      </c>
    </row>
    <row r="211" spans="1:21" x14ac:dyDescent="0.4">
      <c r="A211" t="str">
        <f>Data!A211</f>
        <v>SSIT</v>
      </c>
      <c r="B211" t="str">
        <f>Data!B211</f>
        <v>Seraphim Space Investment Trust</v>
      </c>
      <c r="C211" t="str">
        <f>Data!D211</f>
        <v>Financials</v>
      </c>
      <c r="D211" t="str">
        <f>Data!E211</f>
        <v>Exclude</v>
      </c>
      <c r="E211" t="str">
        <f>IF($D211&lt;&gt;"Include","",SUM(Data!V211:W211)-SUM(Data!X211))</f>
        <v/>
      </c>
      <c r="F211" t="str">
        <f>IF($D211&lt;&gt;"Include","",SUM(Data!Z211,Data!Y211,Metrics!E211))</f>
        <v/>
      </c>
      <c r="G211" t="str">
        <f>IF($D211&lt;&gt;"Include","",IFERROR(Data!P211-Data!S211,""))</f>
        <v/>
      </c>
      <c r="H211" t="str">
        <f>IF($D211&lt;&gt;"Include","",IFERROR(SUM(Data!P211:R211)-SUM(Data!S211:U211),""))</f>
        <v/>
      </c>
      <c r="I211" t="str">
        <f>IF($D211&lt;&gt;"Include","",SUM(Data!M211:O211))</f>
        <v/>
      </c>
      <c r="J211" s="7" t="str">
        <f>IF($D211&lt;&gt;"Include","",IFERROR(IF(OR(Data!K211&lt;=0,F211&lt;=0),"n/m",($F211/Data!K211)),""))</f>
        <v/>
      </c>
      <c r="K211" s="9" t="str">
        <f>IF($D211&lt;&gt;"Include","",IFERROR(G211/Data!Z211,""))</f>
        <v/>
      </c>
      <c r="L211" s="9" t="str">
        <f t="shared" si="26"/>
        <v/>
      </c>
      <c r="M211" s="7" t="str">
        <f>IF($D211&lt;&gt;"Include","",IFERROR(IF(Data!L211&lt;=0,"n,m",E211/Data!L211),""))</f>
        <v/>
      </c>
      <c r="N211" s="9" t="str">
        <f>IF($D211&lt;&gt;"Include","",IFERROR(IF(OR(Data!I211&lt;=0,Data!J211&lt;=0),"n/m",(Data!I211/Data!J211)^(1/3)-1),""))</f>
        <v/>
      </c>
      <c r="O211" t="str">
        <f t="shared" si="21"/>
        <v/>
      </c>
      <c r="P211" t="str">
        <f t="shared" si="22"/>
        <v/>
      </c>
      <c r="Q211" t="str">
        <f t="shared" si="23"/>
        <v/>
      </c>
      <c r="R211" t="str">
        <f t="shared" si="24"/>
        <v/>
      </c>
      <c r="S211" t="str">
        <f t="shared" si="25"/>
        <v/>
      </c>
      <c r="T211" s="10" t="str">
        <f t="shared" si="27"/>
        <v/>
      </c>
      <c r="U211" t="str">
        <f>IF($D211&lt;&gt;"Include","",_xlfn.RANK.EQ(T211,T$6:T$305,1)+COUNTIFS(T$6:T211,T211)-1)</f>
        <v/>
      </c>
    </row>
    <row r="212" spans="1:21" x14ac:dyDescent="0.4">
      <c r="A212" t="str">
        <f>Data!A212</f>
        <v>SRP</v>
      </c>
      <c r="B212" t="str">
        <f>Data!B212</f>
        <v>Serco</v>
      </c>
      <c r="C212" t="str">
        <f>Data!D212</f>
        <v>Industrials</v>
      </c>
      <c r="D212" t="str">
        <f>Data!E212</f>
        <v>Include</v>
      </c>
      <c r="E212">
        <f>IF($D212&lt;&gt;"Include","",SUM(Data!V212:W212)-SUM(Data!X212))</f>
        <v>0</v>
      </c>
      <c r="F212" t="e">
        <f>IF($D212&lt;&gt;"Include","",SUM(Data!Z212,Data!Y212,Metrics!E212))</f>
        <v>#N/A</v>
      </c>
      <c r="G212" t="str">
        <f>IF($D212&lt;&gt;"Include","",IFERROR(Data!P212-Data!S212,""))</f>
        <v/>
      </c>
      <c r="H212">
        <f>IF($D212&lt;&gt;"Include","",IFERROR(SUM(Data!P212:R212)-SUM(Data!S212:U212),""))</f>
        <v>0</v>
      </c>
      <c r="I212">
        <f>IF($D212&lt;&gt;"Include","",SUM(Data!M212:O212))</f>
        <v>0</v>
      </c>
      <c r="J212" s="7" t="str">
        <f>IF($D212&lt;&gt;"Include","",IFERROR(IF(OR(Data!K212&lt;=0,F212&lt;=0),"n/m",($F212/Data!K212)),""))</f>
        <v/>
      </c>
      <c r="K212" s="9" t="str">
        <f>IF($D212&lt;&gt;"Include","",IFERROR(G212/Data!Z212,""))</f>
        <v/>
      </c>
      <c r="L212" s="9" t="str">
        <f t="shared" si="26"/>
        <v>n/m</v>
      </c>
      <c r="M212" s="7" t="str">
        <f>IF($D212&lt;&gt;"Include","",IFERROR(IF(Data!L212&lt;=0,"n,m",E212/Data!L212),""))</f>
        <v/>
      </c>
      <c r="N212" s="9" t="str">
        <f>IF($D212&lt;&gt;"Include","",IFERROR(IF(OR(Data!I212&lt;=0,Data!J212&lt;=0),"n/m",(Data!I212/Data!J212)^(1/3)-1),""))</f>
        <v/>
      </c>
      <c r="O212">
        <f t="shared" si="21"/>
        <v>119</v>
      </c>
      <c r="P212">
        <f t="shared" si="22"/>
        <v>119</v>
      </c>
      <c r="Q212">
        <f t="shared" si="23"/>
        <v>119</v>
      </c>
      <c r="R212">
        <f t="shared" si="24"/>
        <v>119</v>
      </c>
      <c r="S212">
        <f t="shared" si="25"/>
        <v>119</v>
      </c>
      <c r="T212" s="10">
        <f t="shared" si="27"/>
        <v>119</v>
      </c>
      <c r="U212">
        <f>IF($D212&lt;&gt;"Include","",_xlfn.RANK.EQ(T212,T$6:T$305,1)+COUNTIFS(T$6:T212,T212)-1)</f>
        <v>96</v>
      </c>
    </row>
    <row r="213" spans="1:21" x14ac:dyDescent="0.4">
      <c r="A213" t="str">
        <f>Data!A213</f>
        <v>SHC</v>
      </c>
      <c r="B213" t="str">
        <f>Data!B213</f>
        <v>Shaftesbury Capital</v>
      </c>
      <c r="C213" t="str">
        <f>Data!D213</f>
        <v>Real Estate</v>
      </c>
      <c r="D213" t="str">
        <f>Data!E213</f>
        <v>Exclude</v>
      </c>
      <c r="E213" t="str">
        <f>IF($D213&lt;&gt;"Include","",SUM(Data!V213:W213)-SUM(Data!X213))</f>
        <v/>
      </c>
      <c r="F213" t="str">
        <f>IF($D213&lt;&gt;"Include","",SUM(Data!Z213,Data!Y213,Metrics!E213))</f>
        <v/>
      </c>
      <c r="G213" t="str">
        <f>IF($D213&lt;&gt;"Include","",IFERROR(Data!P213-Data!S213,""))</f>
        <v/>
      </c>
      <c r="H213" t="str">
        <f>IF($D213&lt;&gt;"Include","",IFERROR(SUM(Data!P213:R213)-SUM(Data!S213:U213),""))</f>
        <v/>
      </c>
      <c r="I213" t="str">
        <f>IF($D213&lt;&gt;"Include","",SUM(Data!M213:O213))</f>
        <v/>
      </c>
      <c r="J213" s="7" t="str">
        <f>IF($D213&lt;&gt;"Include","",IFERROR(IF(OR(Data!K213&lt;=0,F213&lt;=0),"n/m",($F213/Data!K213)),""))</f>
        <v/>
      </c>
      <c r="K213" s="9" t="str">
        <f>IF($D213&lt;&gt;"Include","",IFERROR(G213/Data!Z213,""))</f>
        <v/>
      </c>
      <c r="L213" s="9" t="str">
        <f t="shared" si="26"/>
        <v/>
      </c>
      <c r="M213" s="7" t="str">
        <f>IF($D213&lt;&gt;"Include","",IFERROR(IF(Data!L213&lt;=0,"n,m",E213/Data!L213),""))</f>
        <v/>
      </c>
      <c r="N213" s="9" t="str">
        <f>IF($D213&lt;&gt;"Include","",IFERROR(IF(OR(Data!I213&lt;=0,Data!J213&lt;=0),"n/m",(Data!I213/Data!J213)^(1/3)-1),""))</f>
        <v/>
      </c>
      <c r="O213" t="str">
        <f t="shared" si="21"/>
        <v/>
      </c>
      <c r="P213" t="str">
        <f t="shared" si="22"/>
        <v/>
      </c>
      <c r="Q213" t="str">
        <f t="shared" si="23"/>
        <v/>
      </c>
      <c r="R213" t="str">
        <f t="shared" si="24"/>
        <v/>
      </c>
      <c r="S213" t="str">
        <f t="shared" si="25"/>
        <v/>
      </c>
      <c r="T213" s="10" t="str">
        <f t="shared" si="27"/>
        <v/>
      </c>
      <c r="U213" t="str">
        <f>IF($D213&lt;&gt;"Include","",_xlfn.RANK.EQ(T213,T$6:T$305,1)+COUNTIFS(T$6:T213,T213)-1)</f>
        <v/>
      </c>
    </row>
    <row r="214" spans="1:21" x14ac:dyDescent="0.4">
      <c r="A214" t="str">
        <f>Data!A214</f>
        <v>SHAW</v>
      </c>
      <c r="B214" t="str">
        <f>Data!B214</f>
        <v>Shawbrook Bank</v>
      </c>
      <c r="C214" t="str">
        <f>Data!D214</f>
        <v>Financials</v>
      </c>
      <c r="D214" t="str">
        <f>Data!E214</f>
        <v>Exclude</v>
      </c>
      <c r="E214" t="str">
        <f>IF($D214&lt;&gt;"Include","",SUM(Data!V214:W214)-SUM(Data!X214))</f>
        <v/>
      </c>
      <c r="F214" t="str">
        <f>IF($D214&lt;&gt;"Include","",SUM(Data!Z214,Data!Y214,Metrics!E214))</f>
        <v/>
      </c>
      <c r="G214" t="str">
        <f>IF($D214&lt;&gt;"Include","",IFERROR(Data!P214-Data!S214,""))</f>
        <v/>
      </c>
      <c r="H214" t="str">
        <f>IF($D214&lt;&gt;"Include","",IFERROR(SUM(Data!P214:R214)-SUM(Data!S214:U214),""))</f>
        <v/>
      </c>
      <c r="I214" t="str">
        <f>IF($D214&lt;&gt;"Include","",SUM(Data!M214:O214))</f>
        <v/>
      </c>
      <c r="J214" s="7" t="str">
        <f>IF($D214&lt;&gt;"Include","",IFERROR(IF(OR(Data!K214&lt;=0,F214&lt;=0),"n/m",($F214/Data!K214)),""))</f>
        <v/>
      </c>
      <c r="K214" s="9" t="str">
        <f>IF($D214&lt;&gt;"Include","",IFERROR(G214/Data!Z214,""))</f>
        <v/>
      </c>
      <c r="L214" s="9" t="str">
        <f t="shared" si="26"/>
        <v/>
      </c>
      <c r="M214" s="7" t="str">
        <f>IF($D214&lt;&gt;"Include","",IFERROR(IF(Data!L214&lt;=0,"n,m",E214/Data!L214),""))</f>
        <v/>
      </c>
      <c r="N214" s="9" t="str">
        <f>IF($D214&lt;&gt;"Include","",IFERROR(IF(OR(Data!I214&lt;=0,Data!J214&lt;=0),"n/m",(Data!I214/Data!J214)^(1/3)-1),""))</f>
        <v/>
      </c>
      <c r="O214" t="str">
        <f t="shared" si="21"/>
        <v/>
      </c>
      <c r="P214" t="str">
        <f t="shared" si="22"/>
        <v/>
      </c>
      <c r="Q214" t="str">
        <f t="shared" si="23"/>
        <v/>
      </c>
      <c r="R214" t="str">
        <f t="shared" si="24"/>
        <v/>
      </c>
      <c r="S214" t="str">
        <f t="shared" si="25"/>
        <v/>
      </c>
      <c r="T214" s="10" t="str">
        <f t="shared" si="27"/>
        <v/>
      </c>
      <c r="U214" t="str">
        <f>IF($D214&lt;&gt;"Include","",_xlfn.RANK.EQ(T214,T$6:T$305,1)+COUNTIFS(T$6:T214,T214)-1)</f>
        <v/>
      </c>
    </row>
    <row r="215" spans="1:21" x14ac:dyDescent="0.4">
      <c r="A215" t="str">
        <f>Data!A215</f>
        <v>SRE</v>
      </c>
      <c r="B215" t="str">
        <f>Data!B215</f>
        <v>Sirius Real Estate</v>
      </c>
      <c r="C215" t="str">
        <f>Data!D215</f>
        <v>Real Estate</v>
      </c>
      <c r="D215" t="str">
        <f>Data!E215</f>
        <v>Exclude</v>
      </c>
      <c r="E215" t="str">
        <f>IF($D215&lt;&gt;"Include","",SUM(Data!V215:W215)-SUM(Data!X215))</f>
        <v/>
      </c>
      <c r="F215" t="str">
        <f>IF($D215&lt;&gt;"Include","",SUM(Data!Z215,Data!Y215,Metrics!E215))</f>
        <v/>
      </c>
      <c r="G215" t="str">
        <f>IF($D215&lt;&gt;"Include","",IFERROR(Data!P215-Data!S215,""))</f>
        <v/>
      </c>
      <c r="H215" t="str">
        <f>IF($D215&lt;&gt;"Include","",IFERROR(SUM(Data!P215:R215)-SUM(Data!S215:U215),""))</f>
        <v/>
      </c>
      <c r="I215" t="str">
        <f>IF($D215&lt;&gt;"Include","",SUM(Data!M215:O215))</f>
        <v/>
      </c>
      <c r="J215" s="7" t="str">
        <f>IF($D215&lt;&gt;"Include","",IFERROR(IF(OR(Data!K215&lt;=0,F215&lt;=0),"n/m",($F215/Data!K215)),""))</f>
        <v/>
      </c>
      <c r="K215" s="9" t="str">
        <f>IF($D215&lt;&gt;"Include","",IFERROR(G215/Data!Z215,""))</f>
        <v/>
      </c>
      <c r="L215" s="9" t="str">
        <f t="shared" si="26"/>
        <v/>
      </c>
      <c r="M215" s="7" t="str">
        <f>IF($D215&lt;&gt;"Include","",IFERROR(IF(Data!L215&lt;=0,"n,m",E215/Data!L215),""))</f>
        <v/>
      </c>
      <c r="N215" s="9" t="str">
        <f>IF($D215&lt;&gt;"Include","",IFERROR(IF(OR(Data!I215&lt;=0,Data!J215&lt;=0),"n/m",(Data!I215/Data!J215)^(1/3)-1),""))</f>
        <v/>
      </c>
      <c r="O215" t="str">
        <f t="shared" si="21"/>
        <v/>
      </c>
      <c r="P215" t="str">
        <f t="shared" si="22"/>
        <v/>
      </c>
      <c r="Q215" t="str">
        <f t="shared" si="23"/>
        <v/>
      </c>
      <c r="R215" t="str">
        <f t="shared" si="24"/>
        <v/>
      </c>
      <c r="S215" t="str">
        <f t="shared" si="25"/>
        <v/>
      </c>
      <c r="T215" s="10" t="str">
        <f t="shared" si="27"/>
        <v/>
      </c>
      <c r="U215" t="str">
        <f>IF($D215&lt;&gt;"Include","",_xlfn.RANK.EQ(T215,T$6:T$305,1)+COUNTIFS(T$6:T215,T215)-1)</f>
        <v/>
      </c>
    </row>
    <row r="216" spans="1:21" x14ac:dyDescent="0.4">
      <c r="A216" t="str">
        <f>Data!A216</f>
        <v>SCT</v>
      </c>
      <c r="B216" t="str">
        <f>Data!B216</f>
        <v>Softcat</v>
      </c>
      <c r="C216" t="str">
        <f>Data!D216</f>
        <v>Technology</v>
      </c>
      <c r="D216" t="str">
        <f>Data!E216</f>
        <v>Include</v>
      </c>
      <c r="E216">
        <f>IF($D216&lt;&gt;"Include","",SUM(Data!V216:W216)-SUM(Data!X216))</f>
        <v>0</v>
      </c>
      <c r="F216" t="e">
        <f>IF($D216&lt;&gt;"Include","",SUM(Data!Z216,Data!Y216,Metrics!E216))</f>
        <v>#N/A</v>
      </c>
      <c r="G216" t="str">
        <f>IF($D216&lt;&gt;"Include","",IFERROR(Data!P216-Data!S216,""))</f>
        <v/>
      </c>
      <c r="H216">
        <f>IF($D216&lt;&gt;"Include","",IFERROR(SUM(Data!P216:R216)-SUM(Data!S216:U216),""))</f>
        <v>0</v>
      </c>
      <c r="I216">
        <f>IF($D216&lt;&gt;"Include","",SUM(Data!M216:O216))</f>
        <v>0</v>
      </c>
      <c r="J216" s="7" t="str">
        <f>IF($D216&lt;&gt;"Include","",IFERROR(IF(OR(Data!K216&lt;=0,F216&lt;=0),"n/m",($F216/Data!K216)),""))</f>
        <v/>
      </c>
      <c r="K216" s="9" t="str">
        <f>IF($D216&lt;&gt;"Include","",IFERROR(G216/Data!Z216,""))</f>
        <v/>
      </c>
      <c r="L216" s="9" t="str">
        <f t="shared" si="26"/>
        <v>n/m</v>
      </c>
      <c r="M216" s="7" t="str">
        <f>IF($D216&lt;&gt;"Include","",IFERROR(IF(Data!L216&lt;=0,"n,m",E216/Data!L216),""))</f>
        <v/>
      </c>
      <c r="N216" s="9" t="str">
        <f>IF($D216&lt;&gt;"Include","",IFERROR(IF(OR(Data!I216&lt;=0,Data!J216&lt;=0),"n/m",(Data!I216/Data!J216)^(1/3)-1),""))</f>
        <v/>
      </c>
      <c r="O216">
        <f t="shared" si="21"/>
        <v>119</v>
      </c>
      <c r="P216">
        <f t="shared" si="22"/>
        <v>119</v>
      </c>
      <c r="Q216">
        <f t="shared" si="23"/>
        <v>119</v>
      </c>
      <c r="R216">
        <f t="shared" si="24"/>
        <v>119</v>
      </c>
      <c r="S216">
        <f t="shared" si="25"/>
        <v>119</v>
      </c>
      <c r="T216" s="10">
        <f t="shared" si="27"/>
        <v>119</v>
      </c>
      <c r="U216">
        <f>IF($D216&lt;&gt;"Include","",_xlfn.RANK.EQ(T216,T$6:T$305,1)+COUNTIFS(T$6:T216,T216)-1)</f>
        <v>97</v>
      </c>
    </row>
    <row r="217" spans="1:21" x14ac:dyDescent="0.4">
      <c r="A217" t="str">
        <f>Data!A217</f>
        <v>SPI</v>
      </c>
      <c r="B217" t="str">
        <f>Data!B217</f>
        <v>Spire Healthcare</v>
      </c>
      <c r="C217" t="str">
        <f>Data!D217</f>
        <v>Health Care</v>
      </c>
      <c r="D217" t="str">
        <f>Data!E217</f>
        <v>Include</v>
      </c>
      <c r="E217">
        <f>IF($D217&lt;&gt;"Include","",SUM(Data!V217:W217)-SUM(Data!X217))</f>
        <v>0</v>
      </c>
      <c r="F217" t="e">
        <f>IF($D217&lt;&gt;"Include","",SUM(Data!Z217,Data!Y217,Metrics!E217))</f>
        <v>#N/A</v>
      </c>
      <c r="G217" t="str">
        <f>IF($D217&lt;&gt;"Include","",IFERROR(Data!P217-Data!S217,""))</f>
        <v/>
      </c>
      <c r="H217">
        <f>IF($D217&lt;&gt;"Include","",IFERROR(SUM(Data!P217:R217)-SUM(Data!S217:U217),""))</f>
        <v>0</v>
      </c>
      <c r="I217">
        <f>IF($D217&lt;&gt;"Include","",SUM(Data!M217:O217))</f>
        <v>0</v>
      </c>
      <c r="J217" s="7" t="str">
        <f>IF($D217&lt;&gt;"Include","",IFERROR(IF(OR(Data!K217&lt;=0,F217&lt;=0),"n/m",($F217/Data!K217)),""))</f>
        <v/>
      </c>
      <c r="K217" s="9" t="str">
        <f>IF($D217&lt;&gt;"Include","",IFERROR(G217/Data!Z217,""))</f>
        <v/>
      </c>
      <c r="L217" s="9" t="str">
        <f t="shared" si="26"/>
        <v>n/m</v>
      </c>
      <c r="M217" s="7" t="str">
        <f>IF($D217&lt;&gt;"Include","",IFERROR(IF(Data!L217&lt;=0,"n,m",E217/Data!L217),""))</f>
        <v/>
      </c>
      <c r="N217" s="9" t="str">
        <f>IF($D217&lt;&gt;"Include","",IFERROR(IF(OR(Data!I217&lt;=0,Data!J217&lt;=0),"n/m",(Data!I217/Data!J217)^(1/3)-1),""))</f>
        <v/>
      </c>
      <c r="O217">
        <f t="shared" si="21"/>
        <v>119</v>
      </c>
      <c r="P217">
        <f t="shared" si="22"/>
        <v>119</v>
      </c>
      <c r="Q217">
        <f t="shared" si="23"/>
        <v>119</v>
      </c>
      <c r="R217">
        <f t="shared" si="24"/>
        <v>119</v>
      </c>
      <c r="S217">
        <f t="shared" si="25"/>
        <v>119</v>
      </c>
      <c r="T217" s="10">
        <f t="shared" si="27"/>
        <v>119</v>
      </c>
      <c r="U217">
        <f>IF($D217&lt;&gt;"Include","",_xlfn.RANK.EQ(T217,T$6:T$305,1)+COUNTIFS(T$6:T217,T217)-1)</f>
        <v>98</v>
      </c>
    </row>
    <row r="218" spans="1:21" x14ac:dyDescent="0.4">
      <c r="A218" t="str">
        <f>Data!A218</f>
        <v>SSPG</v>
      </c>
      <c r="B218" t="str">
        <f>Data!B218</f>
        <v>SSP Group</v>
      </c>
      <c r="C218" t="str">
        <f>Data!D218</f>
        <v>Consumer Discretionary</v>
      </c>
      <c r="D218" t="str">
        <f>Data!E218</f>
        <v>Include</v>
      </c>
      <c r="E218">
        <f>IF($D218&lt;&gt;"Include","",SUM(Data!V218:W218)-SUM(Data!X218))</f>
        <v>0</v>
      </c>
      <c r="F218" t="e">
        <f>IF($D218&lt;&gt;"Include","",SUM(Data!Z218,Data!Y218,Metrics!E218))</f>
        <v>#N/A</v>
      </c>
      <c r="G218" t="str">
        <f>IF($D218&lt;&gt;"Include","",IFERROR(Data!P218-Data!S218,""))</f>
        <v/>
      </c>
      <c r="H218">
        <f>IF($D218&lt;&gt;"Include","",IFERROR(SUM(Data!P218:R218)-SUM(Data!S218:U218),""))</f>
        <v>0</v>
      </c>
      <c r="I218">
        <f>IF($D218&lt;&gt;"Include","",SUM(Data!M218:O218))</f>
        <v>0</v>
      </c>
      <c r="J218" s="7" t="str">
        <f>IF($D218&lt;&gt;"Include","",IFERROR(IF(OR(Data!K218&lt;=0,F218&lt;=0),"n/m",($F218/Data!K218)),""))</f>
        <v/>
      </c>
      <c r="K218" s="9" t="str">
        <f>IF($D218&lt;&gt;"Include","",IFERROR(G218/Data!Z218,""))</f>
        <v/>
      </c>
      <c r="L218" s="9" t="str">
        <f t="shared" si="26"/>
        <v>n/m</v>
      </c>
      <c r="M218" s="7" t="str">
        <f>IF($D218&lt;&gt;"Include","",IFERROR(IF(Data!L218&lt;=0,"n,m",E218/Data!L218),""))</f>
        <v/>
      </c>
      <c r="N218" s="9" t="str">
        <f>IF($D218&lt;&gt;"Include","",IFERROR(IF(OR(Data!I218&lt;=0,Data!J218&lt;=0),"n/m",(Data!I218/Data!J218)^(1/3)-1),""))</f>
        <v/>
      </c>
      <c r="O218">
        <f t="shared" si="21"/>
        <v>119</v>
      </c>
      <c r="P218">
        <f t="shared" si="22"/>
        <v>119</v>
      </c>
      <c r="Q218">
        <f t="shared" si="23"/>
        <v>119</v>
      </c>
      <c r="R218">
        <f t="shared" si="24"/>
        <v>119</v>
      </c>
      <c r="S218">
        <f t="shared" si="25"/>
        <v>119</v>
      </c>
      <c r="T218" s="10">
        <f t="shared" si="27"/>
        <v>119</v>
      </c>
      <c r="U218">
        <f>IF($D218&lt;&gt;"Include","",_xlfn.RANK.EQ(T218,T$6:T$305,1)+COUNTIFS(T$6:T218,T218)-1)</f>
        <v>99</v>
      </c>
    </row>
    <row r="219" spans="1:21" x14ac:dyDescent="0.4">
      <c r="A219" t="str">
        <f>Data!A219</f>
        <v>SUPR</v>
      </c>
      <c r="B219" t="str">
        <f>Data!B219</f>
        <v>Supermarket Income REIT</v>
      </c>
      <c r="C219" t="str">
        <f>Data!D219</f>
        <v>Real Estate</v>
      </c>
      <c r="D219" t="str">
        <f>Data!E219</f>
        <v>Exclude</v>
      </c>
      <c r="E219" t="str">
        <f>IF($D219&lt;&gt;"Include","",SUM(Data!V219:W219)-SUM(Data!X219))</f>
        <v/>
      </c>
      <c r="F219" t="str">
        <f>IF($D219&lt;&gt;"Include","",SUM(Data!Z219,Data!Y219,Metrics!E219))</f>
        <v/>
      </c>
      <c r="G219" t="str">
        <f>IF($D219&lt;&gt;"Include","",IFERROR(Data!P219-Data!S219,""))</f>
        <v/>
      </c>
      <c r="H219" t="str">
        <f>IF($D219&lt;&gt;"Include","",IFERROR(SUM(Data!P219:R219)-SUM(Data!S219:U219),""))</f>
        <v/>
      </c>
      <c r="I219" t="str">
        <f>IF($D219&lt;&gt;"Include","",SUM(Data!M219:O219))</f>
        <v/>
      </c>
      <c r="J219" s="7" t="str">
        <f>IF($D219&lt;&gt;"Include","",IFERROR(IF(OR(Data!K219&lt;=0,F219&lt;=0),"n/m",($F219/Data!K219)),""))</f>
        <v/>
      </c>
      <c r="K219" s="9" t="str">
        <f>IF($D219&lt;&gt;"Include","",IFERROR(G219/Data!Z219,""))</f>
        <v/>
      </c>
      <c r="L219" s="9" t="str">
        <f t="shared" si="26"/>
        <v/>
      </c>
      <c r="M219" s="7" t="str">
        <f>IF($D219&lt;&gt;"Include","",IFERROR(IF(Data!L219&lt;=0,"n,m",E219/Data!L219),""))</f>
        <v/>
      </c>
      <c r="N219" s="9" t="str">
        <f>IF($D219&lt;&gt;"Include","",IFERROR(IF(OR(Data!I219&lt;=0,Data!J219&lt;=0),"n/m",(Data!I219/Data!J219)^(1/3)-1),""))</f>
        <v/>
      </c>
      <c r="O219" t="str">
        <f t="shared" si="21"/>
        <v/>
      </c>
      <c r="P219" t="str">
        <f t="shared" si="22"/>
        <v/>
      </c>
      <c r="Q219" t="str">
        <f t="shared" si="23"/>
        <v/>
      </c>
      <c r="R219" t="str">
        <f t="shared" si="24"/>
        <v/>
      </c>
      <c r="S219" t="str">
        <f t="shared" si="25"/>
        <v/>
      </c>
      <c r="T219" s="10" t="str">
        <f t="shared" si="27"/>
        <v/>
      </c>
      <c r="U219" t="str">
        <f>IF($D219&lt;&gt;"Include","",_xlfn.RANK.EQ(T219,T$6:T$305,1)+COUNTIFS(T$6:T219,T219)-1)</f>
        <v/>
      </c>
    </row>
    <row r="220" spans="1:21" x14ac:dyDescent="0.4">
      <c r="A220" t="str">
        <f>Data!A220</f>
        <v>SYNC</v>
      </c>
      <c r="B220" t="str">
        <f>Data!B220</f>
        <v>Syncona</v>
      </c>
      <c r="C220" t="str">
        <f>Data!D220</f>
        <v>Financials</v>
      </c>
      <c r="D220" t="str">
        <f>Data!E220</f>
        <v>Exclude</v>
      </c>
      <c r="E220" t="str">
        <f>IF($D220&lt;&gt;"Include","",SUM(Data!V220:W220)-SUM(Data!X220))</f>
        <v/>
      </c>
      <c r="F220" t="str">
        <f>IF($D220&lt;&gt;"Include","",SUM(Data!Z220,Data!Y220,Metrics!E220))</f>
        <v/>
      </c>
      <c r="G220" t="str">
        <f>IF($D220&lt;&gt;"Include","",IFERROR(Data!P220-Data!S220,""))</f>
        <v/>
      </c>
      <c r="H220" t="str">
        <f>IF($D220&lt;&gt;"Include","",IFERROR(SUM(Data!P220:R220)-SUM(Data!S220:U220),""))</f>
        <v/>
      </c>
      <c r="I220" t="str">
        <f>IF($D220&lt;&gt;"Include","",SUM(Data!M220:O220))</f>
        <v/>
      </c>
      <c r="J220" s="7" t="str">
        <f>IF($D220&lt;&gt;"Include","",IFERROR(IF(OR(Data!K220&lt;=0,F220&lt;=0),"n/m",($F220/Data!K220)),""))</f>
        <v/>
      </c>
      <c r="K220" s="9" t="str">
        <f>IF($D220&lt;&gt;"Include","",IFERROR(G220/Data!Z220,""))</f>
        <v/>
      </c>
      <c r="L220" s="9" t="str">
        <f t="shared" si="26"/>
        <v/>
      </c>
      <c r="M220" s="7" t="str">
        <f>IF($D220&lt;&gt;"Include","",IFERROR(IF(Data!L220&lt;=0,"n,m",E220/Data!L220),""))</f>
        <v/>
      </c>
      <c r="N220" s="9" t="str">
        <f>IF($D220&lt;&gt;"Include","",IFERROR(IF(OR(Data!I220&lt;=0,Data!J220&lt;=0),"n/m",(Data!I220/Data!J220)^(1/3)-1),""))</f>
        <v/>
      </c>
      <c r="O220" t="str">
        <f t="shared" si="21"/>
        <v/>
      </c>
      <c r="P220" t="str">
        <f t="shared" si="22"/>
        <v/>
      </c>
      <c r="Q220" t="str">
        <f t="shared" si="23"/>
        <v/>
      </c>
      <c r="R220" t="str">
        <f t="shared" si="24"/>
        <v/>
      </c>
      <c r="S220" t="str">
        <f t="shared" si="25"/>
        <v/>
      </c>
      <c r="T220" s="10" t="str">
        <f t="shared" si="27"/>
        <v/>
      </c>
      <c r="U220" t="str">
        <f>IF($D220&lt;&gt;"Include","",_xlfn.RANK.EQ(T220,T$6:T$305,1)+COUNTIFS(T$6:T220,T220)-1)</f>
        <v/>
      </c>
    </row>
    <row r="221" spans="1:21" x14ac:dyDescent="0.4">
      <c r="A221" t="str">
        <f>Data!A221</f>
        <v>THRL</v>
      </c>
      <c r="B221" t="str">
        <f>Data!B221</f>
        <v>Target Healthcare REIT</v>
      </c>
      <c r="C221" t="str">
        <f>Data!D221</f>
        <v>Real Estate</v>
      </c>
      <c r="D221" t="str">
        <f>Data!E221</f>
        <v>Exclude</v>
      </c>
      <c r="E221" t="str">
        <f>IF($D221&lt;&gt;"Include","",SUM(Data!V221:W221)-SUM(Data!X221))</f>
        <v/>
      </c>
      <c r="F221" t="str">
        <f>IF($D221&lt;&gt;"Include","",SUM(Data!Z221,Data!Y221,Metrics!E221))</f>
        <v/>
      </c>
      <c r="G221" t="str">
        <f>IF($D221&lt;&gt;"Include","",IFERROR(Data!P221-Data!S221,""))</f>
        <v/>
      </c>
      <c r="H221" t="str">
        <f>IF($D221&lt;&gt;"Include","",IFERROR(SUM(Data!P221:R221)-SUM(Data!S221:U221),""))</f>
        <v/>
      </c>
      <c r="I221" t="str">
        <f>IF($D221&lt;&gt;"Include","",SUM(Data!M221:O221))</f>
        <v/>
      </c>
      <c r="J221" s="7" t="str">
        <f>IF($D221&lt;&gt;"Include","",IFERROR(IF(OR(Data!K221&lt;=0,F221&lt;=0),"n/m",($F221/Data!K221)),""))</f>
        <v/>
      </c>
      <c r="K221" s="9" t="str">
        <f>IF($D221&lt;&gt;"Include","",IFERROR(G221/Data!Z221,""))</f>
        <v/>
      </c>
      <c r="L221" s="9" t="str">
        <f t="shared" si="26"/>
        <v/>
      </c>
      <c r="M221" s="7" t="str">
        <f>IF($D221&lt;&gt;"Include","",IFERROR(IF(Data!L221&lt;=0,"n,m",E221/Data!L221),""))</f>
        <v/>
      </c>
      <c r="N221" s="9" t="str">
        <f>IF($D221&lt;&gt;"Include","",IFERROR(IF(OR(Data!I221&lt;=0,Data!J221&lt;=0),"n/m",(Data!I221/Data!J221)^(1/3)-1),""))</f>
        <v/>
      </c>
      <c r="O221" t="str">
        <f t="shared" si="21"/>
        <v/>
      </c>
      <c r="P221" t="str">
        <f t="shared" si="22"/>
        <v/>
      </c>
      <c r="Q221" t="str">
        <f t="shared" si="23"/>
        <v/>
      </c>
      <c r="R221" t="str">
        <f t="shared" si="24"/>
        <v/>
      </c>
      <c r="S221" t="str">
        <f t="shared" si="25"/>
        <v/>
      </c>
      <c r="T221" s="10" t="str">
        <f t="shared" si="27"/>
        <v/>
      </c>
      <c r="U221" t="str">
        <f>IF($D221&lt;&gt;"Include","",_xlfn.RANK.EQ(T221,T$6:T$305,1)+COUNTIFS(T$6:T221,T221)-1)</f>
        <v/>
      </c>
    </row>
    <row r="222" spans="1:21" x14ac:dyDescent="0.4">
      <c r="A222" t="str">
        <f>Data!A222</f>
        <v>TATE</v>
      </c>
      <c r="B222" t="str">
        <f>Data!B222</f>
        <v>Tate &amp; Lyle</v>
      </c>
      <c r="C222" t="str">
        <f>Data!D222</f>
        <v>Consumer Staples</v>
      </c>
      <c r="D222" t="str">
        <f>Data!E222</f>
        <v>Include</v>
      </c>
      <c r="E222">
        <f>IF($D222&lt;&gt;"Include","",SUM(Data!V222:W222)-SUM(Data!X222))</f>
        <v>0</v>
      </c>
      <c r="F222" t="e">
        <f>IF($D222&lt;&gt;"Include","",SUM(Data!Z222,Data!Y222,Metrics!E222))</f>
        <v>#N/A</v>
      </c>
      <c r="G222" t="str">
        <f>IF($D222&lt;&gt;"Include","",IFERROR(Data!P222-Data!S222,""))</f>
        <v/>
      </c>
      <c r="H222">
        <f>IF($D222&lt;&gt;"Include","",IFERROR(SUM(Data!P222:R222)-SUM(Data!S222:U222),""))</f>
        <v>0</v>
      </c>
      <c r="I222">
        <f>IF($D222&lt;&gt;"Include","",SUM(Data!M222:O222))</f>
        <v>0</v>
      </c>
      <c r="J222" s="7" t="str">
        <f>IF($D222&lt;&gt;"Include","",IFERROR(IF(OR(Data!K222&lt;=0,F222&lt;=0),"n/m",($F222/Data!K222)),""))</f>
        <v/>
      </c>
      <c r="K222" s="9" t="str">
        <f>IF($D222&lt;&gt;"Include","",IFERROR(G222/Data!Z222,""))</f>
        <v/>
      </c>
      <c r="L222" s="9" t="str">
        <f t="shared" si="26"/>
        <v>n/m</v>
      </c>
      <c r="M222" s="7" t="str">
        <f>IF($D222&lt;&gt;"Include","",IFERROR(IF(Data!L222&lt;=0,"n,m",E222/Data!L222),""))</f>
        <v/>
      </c>
      <c r="N222" s="9" t="str">
        <f>IF($D222&lt;&gt;"Include","",IFERROR(IF(OR(Data!I222&lt;=0,Data!J222&lt;=0),"n/m",(Data!I222/Data!J222)^(1/3)-1),""))</f>
        <v/>
      </c>
      <c r="O222">
        <f t="shared" si="21"/>
        <v>119</v>
      </c>
      <c r="P222">
        <f t="shared" si="22"/>
        <v>119</v>
      </c>
      <c r="Q222">
        <f t="shared" si="23"/>
        <v>119</v>
      </c>
      <c r="R222">
        <f t="shared" si="24"/>
        <v>119</v>
      </c>
      <c r="S222">
        <f t="shared" si="25"/>
        <v>119</v>
      </c>
      <c r="T222" s="10">
        <f t="shared" si="27"/>
        <v>119</v>
      </c>
      <c r="U222">
        <f>IF($D222&lt;&gt;"Include","",_xlfn.RANK.EQ(T222,T$6:T$305,1)+COUNTIFS(T$6:T222,T222)-1)</f>
        <v>100</v>
      </c>
    </row>
    <row r="223" spans="1:21" x14ac:dyDescent="0.4">
      <c r="A223" t="str">
        <f>Data!A223</f>
        <v>TW</v>
      </c>
      <c r="B223" t="str">
        <f>Data!B223</f>
        <v>Taylor Wimpey</v>
      </c>
      <c r="C223" t="str">
        <f>Data!D223</f>
        <v>Consumer Discretionary</v>
      </c>
      <c r="D223" t="str">
        <f>Data!E223</f>
        <v>Include</v>
      </c>
      <c r="E223">
        <f>IF($D223&lt;&gt;"Include","",SUM(Data!V223:W223)-SUM(Data!X223))</f>
        <v>0</v>
      </c>
      <c r="F223" t="e">
        <f>IF($D223&lt;&gt;"Include","",SUM(Data!Z223,Data!Y223,Metrics!E223))</f>
        <v>#N/A</v>
      </c>
      <c r="G223" t="str">
        <f>IF($D223&lt;&gt;"Include","",IFERROR(Data!P223-Data!S223,""))</f>
        <v/>
      </c>
      <c r="H223">
        <f>IF($D223&lt;&gt;"Include","",IFERROR(SUM(Data!P223:R223)-SUM(Data!S223:U223),""))</f>
        <v>0</v>
      </c>
      <c r="I223">
        <f>IF($D223&lt;&gt;"Include","",SUM(Data!M223:O223))</f>
        <v>0</v>
      </c>
      <c r="J223" s="7" t="str">
        <f>IF($D223&lt;&gt;"Include","",IFERROR(IF(OR(Data!K223&lt;=0,F223&lt;=0),"n/m",($F223/Data!K223)),""))</f>
        <v/>
      </c>
      <c r="K223" s="9" t="str">
        <f>IF($D223&lt;&gt;"Include","",IFERROR(G223/Data!Z223,""))</f>
        <v/>
      </c>
      <c r="L223" s="9" t="str">
        <f t="shared" si="26"/>
        <v>n/m</v>
      </c>
      <c r="M223" s="7" t="str">
        <f>IF($D223&lt;&gt;"Include","",IFERROR(IF(Data!L223&lt;=0,"n,m",E223/Data!L223),""))</f>
        <v/>
      </c>
      <c r="N223" s="9" t="str">
        <f>IF($D223&lt;&gt;"Include","",IFERROR(IF(OR(Data!I223&lt;=0,Data!J223&lt;=0),"n/m",(Data!I223/Data!J223)^(1/3)-1),""))</f>
        <v/>
      </c>
      <c r="O223">
        <f t="shared" si="21"/>
        <v>119</v>
      </c>
      <c r="P223">
        <f t="shared" si="22"/>
        <v>119</v>
      </c>
      <c r="Q223">
        <f t="shared" si="23"/>
        <v>119</v>
      </c>
      <c r="R223">
        <f t="shared" si="24"/>
        <v>119</v>
      </c>
      <c r="S223">
        <f t="shared" si="25"/>
        <v>119</v>
      </c>
      <c r="T223" s="10">
        <f t="shared" si="27"/>
        <v>119</v>
      </c>
      <c r="U223">
        <f>IF($D223&lt;&gt;"Include","",_xlfn.RANK.EQ(T223,T$6:T$305,1)+COUNTIFS(T$6:T223,T223)-1)</f>
        <v>101</v>
      </c>
    </row>
    <row r="224" spans="1:21" x14ac:dyDescent="0.4">
      <c r="A224" t="str">
        <f>Data!A224</f>
        <v>TBCG</v>
      </c>
      <c r="B224" t="str">
        <f>Data!B224</f>
        <v>TBC Bank</v>
      </c>
      <c r="C224" t="str">
        <f>Data!D224</f>
        <v>Financials</v>
      </c>
      <c r="D224" t="str">
        <f>Data!E224</f>
        <v>Exclude</v>
      </c>
      <c r="E224" t="str">
        <f>IF($D224&lt;&gt;"Include","",SUM(Data!V224:W224)-SUM(Data!X224))</f>
        <v/>
      </c>
      <c r="F224" t="str">
        <f>IF($D224&lt;&gt;"Include","",SUM(Data!Z224,Data!Y224,Metrics!E224))</f>
        <v/>
      </c>
      <c r="G224" t="str">
        <f>IF($D224&lt;&gt;"Include","",IFERROR(Data!P224-Data!S224,""))</f>
        <v/>
      </c>
      <c r="H224" t="str">
        <f>IF($D224&lt;&gt;"Include","",IFERROR(SUM(Data!P224:R224)-SUM(Data!S224:U224),""))</f>
        <v/>
      </c>
      <c r="I224" t="str">
        <f>IF($D224&lt;&gt;"Include","",SUM(Data!M224:O224))</f>
        <v/>
      </c>
      <c r="J224" s="7" t="str">
        <f>IF($D224&lt;&gt;"Include","",IFERROR(IF(OR(Data!K224&lt;=0,F224&lt;=0),"n/m",($F224/Data!K224)),""))</f>
        <v/>
      </c>
      <c r="K224" s="9" t="str">
        <f>IF($D224&lt;&gt;"Include","",IFERROR(G224/Data!Z224,""))</f>
        <v/>
      </c>
      <c r="L224" s="9" t="str">
        <f t="shared" si="26"/>
        <v/>
      </c>
      <c r="M224" s="7" t="str">
        <f>IF($D224&lt;&gt;"Include","",IFERROR(IF(Data!L224&lt;=0,"n,m",E224/Data!L224),""))</f>
        <v/>
      </c>
      <c r="N224" s="9" t="str">
        <f>IF($D224&lt;&gt;"Include","",IFERROR(IF(OR(Data!I224&lt;=0,Data!J224&lt;=0),"n/m",(Data!I224/Data!J224)^(1/3)-1),""))</f>
        <v/>
      </c>
      <c r="O224" t="str">
        <f t="shared" si="21"/>
        <v/>
      </c>
      <c r="P224" t="str">
        <f t="shared" si="22"/>
        <v/>
      </c>
      <c r="Q224" t="str">
        <f t="shared" si="23"/>
        <v/>
      </c>
      <c r="R224" t="str">
        <f t="shared" si="24"/>
        <v/>
      </c>
      <c r="S224" t="str">
        <f t="shared" si="25"/>
        <v/>
      </c>
      <c r="T224" s="10" t="str">
        <f t="shared" si="27"/>
        <v/>
      </c>
      <c r="U224" t="str">
        <f>IF($D224&lt;&gt;"Include","",_xlfn.RANK.EQ(T224,T$6:T$305,1)+COUNTIFS(T$6:T224,T224)-1)</f>
        <v/>
      </c>
    </row>
    <row r="225" spans="1:21" x14ac:dyDescent="0.4">
      <c r="A225" t="str">
        <f>Data!A225</f>
        <v>TEP</v>
      </c>
      <c r="B225" t="str">
        <f>Data!B225</f>
        <v>Telecom Plus</v>
      </c>
      <c r="C225" t="str">
        <f>Data!D225</f>
        <v>Telecommunications</v>
      </c>
      <c r="D225" t="str">
        <f>Data!E225</f>
        <v>Include</v>
      </c>
      <c r="E225">
        <f>IF($D225&lt;&gt;"Include","",SUM(Data!V225:W225)-SUM(Data!X225))</f>
        <v>0</v>
      </c>
      <c r="F225" t="e">
        <f>IF($D225&lt;&gt;"Include","",SUM(Data!Z225,Data!Y225,Metrics!E225))</f>
        <v>#N/A</v>
      </c>
      <c r="G225" t="str">
        <f>IF($D225&lt;&gt;"Include","",IFERROR(Data!P225-Data!S225,""))</f>
        <v/>
      </c>
      <c r="H225">
        <f>IF($D225&lt;&gt;"Include","",IFERROR(SUM(Data!P225:R225)-SUM(Data!S225:U225),""))</f>
        <v>0</v>
      </c>
      <c r="I225">
        <f>IF($D225&lt;&gt;"Include","",SUM(Data!M225:O225))</f>
        <v>0</v>
      </c>
      <c r="J225" s="7" t="str">
        <f>IF($D225&lt;&gt;"Include","",IFERROR(IF(OR(Data!K225&lt;=0,F225&lt;=0),"n/m",($F225/Data!K225)),""))</f>
        <v/>
      </c>
      <c r="K225" s="9" t="str">
        <f>IF($D225&lt;&gt;"Include","",IFERROR(G225/Data!Z225,""))</f>
        <v/>
      </c>
      <c r="L225" s="9" t="str">
        <f t="shared" si="26"/>
        <v>n/m</v>
      </c>
      <c r="M225" s="7" t="str">
        <f>IF($D225&lt;&gt;"Include","",IFERROR(IF(Data!L225&lt;=0,"n,m",E225/Data!L225),""))</f>
        <v/>
      </c>
      <c r="N225" s="9" t="str">
        <f>IF($D225&lt;&gt;"Include","",IFERROR(IF(OR(Data!I225&lt;=0,Data!J225&lt;=0),"n/m",(Data!I225/Data!J225)^(1/3)-1),""))</f>
        <v/>
      </c>
      <c r="O225">
        <f t="shared" si="21"/>
        <v>119</v>
      </c>
      <c r="P225">
        <f t="shared" si="22"/>
        <v>119</v>
      </c>
      <c r="Q225">
        <f t="shared" si="23"/>
        <v>119</v>
      </c>
      <c r="R225">
        <f t="shared" si="24"/>
        <v>119</v>
      </c>
      <c r="S225">
        <f t="shared" si="25"/>
        <v>119</v>
      </c>
      <c r="T225" s="10">
        <f t="shared" si="27"/>
        <v>119</v>
      </c>
      <c r="U225">
        <f>IF($D225&lt;&gt;"Include","",_xlfn.RANK.EQ(T225,T$6:T$305,1)+COUNTIFS(T$6:T225,T225)-1)</f>
        <v>102</v>
      </c>
    </row>
    <row r="226" spans="1:21" x14ac:dyDescent="0.4">
      <c r="A226" t="str">
        <f>Data!A226</f>
        <v>TMPL</v>
      </c>
      <c r="B226" t="str">
        <f>Data!B226</f>
        <v>Temple Bar Investment Trust</v>
      </c>
      <c r="C226" t="str">
        <f>Data!D226</f>
        <v>Financials</v>
      </c>
      <c r="D226" t="str">
        <f>Data!E226</f>
        <v>Exclude</v>
      </c>
      <c r="E226" t="str">
        <f>IF($D226&lt;&gt;"Include","",SUM(Data!V226:W226)-SUM(Data!X226))</f>
        <v/>
      </c>
      <c r="F226" t="str">
        <f>IF($D226&lt;&gt;"Include","",SUM(Data!Z226,Data!Y226,Metrics!E226))</f>
        <v/>
      </c>
      <c r="G226" t="str">
        <f>IF($D226&lt;&gt;"Include","",IFERROR(Data!P226-Data!S226,""))</f>
        <v/>
      </c>
      <c r="H226" t="str">
        <f>IF($D226&lt;&gt;"Include","",IFERROR(SUM(Data!P226:R226)-SUM(Data!S226:U226),""))</f>
        <v/>
      </c>
      <c r="I226" t="str">
        <f>IF($D226&lt;&gt;"Include","",SUM(Data!M226:O226))</f>
        <v/>
      </c>
      <c r="J226" s="7" t="str">
        <f>IF($D226&lt;&gt;"Include","",IFERROR(IF(OR(Data!K226&lt;=0,F226&lt;=0),"n/m",($F226/Data!K226)),""))</f>
        <v/>
      </c>
      <c r="K226" s="9" t="str">
        <f>IF($D226&lt;&gt;"Include","",IFERROR(G226/Data!Z226,""))</f>
        <v/>
      </c>
      <c r="L226" s="9" t="str">
        <f t="shared" si="26"/>
        <v/>
      </c>
      <c r="M226" s="7" t="str">
        <f>IF($D226&lt;&gt;"Include","",IFERROR(IF(Data!L226&lt;=0,"n,m",E226/Data!L226),""))</f>
        <v/>
      </c>
      <c r="N226" s="9" t="str">
        <f>IF($D226&lt;&gt;"Include","",IFERROR(IF(OR(Data!I226&lt;=0,Data!J226&lt;=0),"n/m",(Data!I226/Data!J226)^(1/3)-1),""))</f>
        <v/>
      </c>
      <c r="O226" t="str">
        <f t="shared" si="21"/>
        <v/>
      </c>
      <c r="P226" t="str">
        <f t="shared" si="22"/>
        <v/>
      </c>
      <c r="Q226" t="str">
        <f t="shared" si="23"/>
        <v/>
      </c>
      <c r="R226" t="str">
        <f t="shared" si="24"/>
        <v/>
      </c>
      <c r="S226" t="str">
        <f t="shared" si="25"/>
        <v/>
      </c>
      <c r="T226" s="10" t="str">
        <f t="shared" si="27"/>
        <v/>
      </c>
      <c r="U226" t="str">
        <f>IF($D226&lt;&gt;"Include","",_xlfn.RANK.EQ(T226,T$6:T$305,1)+COUNTIFS(T$6:T226,T226)-1)</f>
        <v/>
      </c>
    </row>
    <row r="227" spans="1:21" x14ac:dyDescent="0.4">
      <c r="A227" t="str">
        <f>Data!A227</f>
        <v>TEM</v>
      </c>
      <c r="B227" t="str">
        <f>Data!B227</f>
        <v>Templeton Emerging Markets Investment Trust</v>
      </c>
      <c r="C227" t="str">
        <f>Data!D227</f>
        <v>Financials</v>
      </c>
      <c r="D227" t="str">
        <f>Data!E227</f>
        <v>Exclude</v>
      </c>
      <c r="E227" t="str">
        <f>IF($D227&lt;&gt;"Include","",SUM(Data!V227:W227)-SUM(Data!X227))</f>
        <v/>
      </c>
      <c r="F227" t="str">
        <f>IF($D227&lt;&gt;"Include","",SUM(Data!Z227,Data!Y227,Metrics!E227))</f>
        <v/>
      </c>
      <c r="G227" t="str">
        <f>IF($D227&lt;&gt;"Include","",IFERROR(Data!P227-Data!S227,""))</f>
        <v/>
      </c>
      <c r="H227" t="str">
        <f>IF($D227&lt;&gt;"Include","",IFERROR(SUM(Data!P227:R227)-SUM(Data!S227:U227),""))</f>
        <v/>
      </c>
      <c r="I227" t="str">
        <f>IF($D227&lt;&gt;"Include","",SUM(Data!M227:O227))</f>
        <v/>
      </c>
      <c r="J227" s="7" t="str">
        <f>IF($D227&lt;&gt;"Include","",IFERROR(IF(OR(Data!K227&lt;=0,F227&lt;=0),"n/m",($F227/Data!K227)),""))</f>
        <v/>
      </c>
      <c r="K227" s="9" t="str">
        <f>IF($D227&lt;&gt;"Include","",IFERROR(G227/Data!Z227,""))</f>
        <v/>
      </c>
      <c r="L227" s="9" t="str">
        <f t="shared" si="26"/>
        <v/>
      </c>
      <c r="M227" s="7" t="str">
        <f>IF($D227&lt;&gt;"Include","",IFERROR(IF(Data!L227&lt;=0,"n,m",E227/Data!L227),""))</f>
        <v/>
      </c>
      <c r="N227" s="9" t="str">
        <f>IF($D227&lt;&gt;"Include","",IFERROR(IF(OR(Data!I227&lt;=0,Data!J227&lt;=0),"n/m",(Data!I227/Data!J227)^(1/3)-1),""))</f>
        <v/>
      </c>
      <c r="O227" t="str">
        <f t="shared" si="21"/>
        <v/>
      </c>
      <c r="P227" t="str">
        <f t="shared" si="22"/>
        <v/>
      </c>
      <c r="Q227" t="str">
        <f t="shared" si="23"/>
        <v/>
      </c>
      <c r="R227" t="str">
        <f t="shared" si="24"/>
        <v/>
      </c>
      <c r="S227" t="str">
        <f t="shared" si="25"/>
        <v/>
      </c>
      <c r="T227" s="10" t="str">
        <f t="shared" si="27"/>
        <v/>
      </c>
      <c r="U227" t="str">
        <f>IF($D227&lt;&gt;"Include","",_xlfn.RANK.EQ(T227,T$6:T$305,1)+COUNTIFS(T$6:T227,T227)-1)</f>
        <v/>
      </c>
    </row>
    <row r="228" spans="1:21" x14ac:dyDescent="0.4">
      <c r="A228" t="str">
        <f>Data!A228</f>
        <v>TRIG</v>
      </c>
      <c r="B228" t="str">
        <f>Data!B228</f>
        <v>The Renewables Infrastructure Group</v>
      </c>
      <c r="C228" t="str">
        <f>Data!D228</f>
        <v>Financials</v>
      </c>
      <c r="D228" t="str">
        <f>Data!E228</f>
        <v>Exclude</v>
      </c>
      <c r="E228" t="str">
        <f>IF($D228&lt;&gt;"Include","",SUM(Data!V228:W228)-SUM(Data!X228))</f>
        <v/>
      </c>
      <c r="F228" t="str">
        <f>IF($D228&lt;&gt;"Include","",SUM(Data!Z228,Data!Y228,Metrics!E228))</f>
        <v/>
      </c>
      <c r="G228" t="str">
        <f>IF($D228&lt;&gt;"Include","",IFERROR(Data!P228-Data!S228,""))</f>
        <v/>
      </c>
      <c r="H228" t="str">
        <f>IF($D228&lt;&gt;"Include","",IFERROR(SUM(Data!P228:R228)-SUM(Data!S228:U228),""))</f>
        <v/>
      </c>
      <c r="I228" t="str">
        <f>IF($D228&lt;&gt;"Include","",SUM(Data!M228:O228))</f>
        <v/>
      </c>
      <c r="J228" s="7" t="str">
        <f>IF($D228&lt;&gt;"Include","",IFERROR(IF(OR(Data!K228&lt;=0,F228&lt;=0),"n/m",($F228/Data!K228)),""))</f>
        <v/>
      </c>
      <c r="K228" s="9" t="str">
        <f>IF($D228&lt;&gt;"Include","",IFERROR(G228/Data!Z228,""))</f>
        <v/>
      </c>
      <c r="L228" s="9" t="str">
        <f t="shared" si="26"/>
        <v/>
      </c>
      <c r="M228" s="7" t="str">
        <f>IF($D228&lt;&gt;"Include","",IFERROR(IF(Data!L228&lt;=0,"n,m",E228/Data!L228),""))</f>
        <v/>
      </c>
      <c r="N228" s="9" t="str">
        <f>IF($D228&lt;&gt;"Include","",IFERROR(IF(OR(Data!I228&lt;=0,Data!J228&lt;=0),"n/m",(Data!I228/Data!J228)^(1/3)-1),""))</f>
        <v/>
      </c>
      <c r="O228" t="str">
        <f t="shared" si="21"/>
        <v/>
      </c>
      <c r="P228" t="str">
        <f t="shared" si="22"/>
        <v/>
      </c>
      <c r="Q228" t="str">
        <f t="shared" si="23"/>
        <v/>
      </c>
      <c r="R228" t="str">
        <f t="shared" si="24"/>
        <v/>
      </c>
      <c r="S228" t="str">
        <f t="shared" si="25"/>
        <v/>
      </c>
      <c r="T228" s="10" t="str">
        <f t="shared" si="27"/>
        <v/>
      </c>
      <c r="U228" t="str">
        <f>IF($D228&lt;&gt;"Include","",_xlfn.RANK.EQ(T228,T$6:T$305,1)+COUNTIFS(T$6:T228,T228)-1)</f>
        <v/>
      </c>
    </row>
    <row r="229" spans="1:21" x14ac:dyDescent="0.4">
      <c r="A229" t="str">
        <f>Data!A229</f>
        <v>THG</v>
      </c>
      <c r="B229" t="str">
        <f>Data!B229</f>
        <v>THG</v>
      </c>
      <c r="C229" t="str">
        <f>Data!D229</f>
        <v>Consumer Discretionary</v>
      </c>
      <c r="D229" t="str">
        <f>Data!E229</f>
        <v>Include</v>
      </c>
      <c r="E229">
        <f>IF($D229&lt;&gt;"Include","",SUM(Data!V229:W229)-SUM(Data!X229))</f>
        <v>0</v>
      </c>
      <c r="F229" t="e">
        <f>IF($D229&lt;&gt;"Include","",SUM(Data!Z229,Data!Y229,Metrics!E229))</f>
        <v>#N/A</v>
      </c>
      <c r="G229" t="str">
        <f>IF($D229&lt;&gt;"Include","",IFERROR(Data!P229-Data!S229,""))</f>
        <v/>
      </c>
      <c r="H229">
        <f>IF($D229&lt;&gt;"Include","",IFERROR(SUM(Data!P229:R229)-SUM(Data!S229:U229),""))</f>
        <v>0</v>
      </c>
      <c r="I229">
        <f>IF($D229&lt;&gt;"Include","",SUM(Data!M229:O229))</f>
        <v>0</v>
      </c>
      <c r="J229" s="7" t="str">
        <f>IF($D229&lt;&gt;"Include","",IFERROR(IF(OR(Data!K229&lt;=0,F229&lt;=0),"n/m",($F229/Data!K229)),""))</f>
        <v/>
      </c>
      <c r="K229" s="9" t="str">
        <f>IF($D229&lt;&gt;"Include","",IFERROR(G229/Data!Z229,""))</f>
        <v/>
      </c>
      <c r="L229" s="9" t="str">
        <f t="shared" si="26"/>
        <v>n/m</v>
      </c>
      <c r="M229" s="7" t="str">
        <f>IF($D229&lt;&gt;"Include","",IFERROR(IF(Data!L229&lt;=0,"n,m",E229/Data!L229),""))</f>
        <v/>
      </c>
      <c r="N229" s="9" t="str">
        <f>IF($D229&lt;&gt;"Include","",IFERROR(IF(OR(Data!I229&lt;=0,Data!J229&lt;=0),"n/m",(Data!I229/Data!J229)^(1/3)-1),""))</f>
        <v/>
      </c>
      <c r="O229">
        <f t="shared" si="21"/>
        <v>119</v>
      </c>
      <c r="P229">
        <f t="shared" si="22"/>
        <v>119</v>
      </c>
      <c r="Q229">
        <f t="shared" si="23"/>
        <v>119</v>
      </c>
      <c r="R229">
        <f t="shared" si="24"/>
        <v>119</v>
      </c>
      <c r="S229">
        <f t="shared" si="25"/>
        <v>119</v>
      </c>
      <c r="T229" s="10">
        <f t="shared" si="27"/>
        <v>119</v>
      </c>
      <c r="U229">
        <f>IF($D229&lt;&gt;"Include","",_xlfn.RANK.EQ(T229,T$6:T$305,1)+COUNTIFS(T$6:T229,T229)-1)</f>
        <v>103</v>
      </c>
    </row>
    <row r="230" spans="1:21" x14ac:dyDescent="0.4">
      <c r="A230" t="str">
        <f>Data!A230</f>
        <v>TCAP</v>
      </c>
      <c r="B230" t="str">
        <f>Data!B230</f>
        <v>TP ICAP</v>
      </c>
      <c r="C230" t="str">
        <f>Data!D230</f>
        <v>Financials</v>
      </c>
      <c r="D230" t="str">
        <f>Data!E230</f>
        <v>Exclude</v>
      </c>
      <c r="E230" t="str">
        <f>IF($D230&lt;&gt;"Include","",SUM(Data!V230:W230)-SUM(Data!X230))</f>
        <v/>
      </c>
      <c r="F230" t="str">
        <f>IF($D230&lt;&gt;"Include","",SUM(Data!Z230,Data!Y230,Metrics!E230))</f>
        <v/>
      </c>
      <c r="G230" t="str">
        <f>IF($D230&lt;&gt;"Include","",IFERROR(Data!P230-Data!S230,""))</f>
        <v/>
      </c>
      <c r="H230" t="str">
        <f>IF($D230&lt;&gt;"Include","",IFERROR(SUM(Data!P230:R230)-SUM(Data!S230:U230),""))</f>
        <v/>
      </c>
      <c r="I230" t="str">
        <f>IF($D230&lt;&gt;"Include","",SUM(Data!M230:O230))</f>
        <v/>
      </c>
      <c r="J230" s="7" t="str">
        <f>IF($D230&lt;&gt;"Include","",IFERROR(IF(OR(Data!K230&lt;=0,F230&lt;=0),"n/m",($F230/Data!K230)),""))</f>
        <v/>
      </c>
      <c r="K230" s="9" t="str">
        <f>IF($D230&lt;&gt;"Include","",IFERROR(G230/Data!Z230,""))</f>
        <v/>
      </c>
      <c r="L230" s="9" t="str">
        <f t="shared" si="26"/>
        <v/>
      </c>
      <c r="M230" s="7" t="str">
        <f>IF($D230&lt;&gt;"Include","",IFERROR(IF(Data!L230&lt;=0,"n,m",E230/Data!L230),""))</f>
        <v/>
      </c>
      <c r="N230" s="9" t="str">
        <f>IF($D230&lt;&gt;"Include","",IFERROR(IF(OR(Data!I230&lt;=0,Data!J230&lt;=0),"n/m",(Data!I230/Data!J230)^(1/3)-1),""))</f>
        <v/>
      </c>
      <c r="O230" t="str">
        <f t="shared" si="21"/>
        <v/>
      </c>
      <c r="P230" t="str">
        <f t="shared" si="22"/>
        <v/>
      </c>
      <c r="Q230" t="str">
        <f t="shared" si="23"/>
        <v/>
      </c>
      <c r="R230" t="str">
        <f t="shared" si="24"/>
        <v/>
      </c>
      <c r="S230" t="str">
        <f t="shared" si="25"/>
        <v/>
      </c>
      <c r="T230" s="10" t="str">
        <f t="shared" si="27"/>
        <v/>
      </c>
      <c r="U230" t="str">
        <f>IF($D230&lt;&gt;"Include","",_xlfn.RANK.EQ(T230,T$6:T$305,1)+COUNTIFS(T$6:T230,T230)-1)</f>
        <v/>
      </c>
    </row>
    <row r="231" spans="1:21" x14ac:dyDescent="0.4">
      <c r="A231" t="str">
        <f>Data!A231</f>
        <v>TRN</v>
      </c>
      <c r="B231" t="str">
        <f>Data!B231</f>
        <v>Trainline</v>
      </c>
      <c r="C231" t="str">
        <f>Data!D231</f>
        <v>Consumer Discretionary</v>
      </c>
      <c r="D231" t="str">
        <f>Data!E231</f>
        <v>Include</v>
      </c>
      <c r="E231">
        <f>IF($D231&lt;&gt;"Include","",SUM(Data!V231:W231)-SUM(Data!X231))</f>
        <v>0</v>
      </c>
      <c r="F231" t="e">
        <f>IF($D231&lt;&gt;"Include","",SUM(Data!Z231,Data!Y231,Metrics!E231))</f>
        <v>#N/A</v>
      </c>
      <c r="G231" t="str">
        <f>IF($D231&lt;&gt;"Include","",IFERROR(Data!P231-Data!S231,""))</f>
        <v/>
      </c>
      <c r="H231">
        <f>IF($D231&lt;&gt;"Include","",IFERROR(SUM(Data!P231:R231)-SUM(Data!S231:U231),""))</f>
        <v>0</v>
      </c>
      <c r="I231">
        <f>IF($D231&lt;&gt;"Include","",SUM(Data!M231:O231))</f>
        <v>0</v>
      </c>
      <c r="J231" s="7" t="str">
        <f>IF($D231&lt;&gt;"Include","",IFERROR(IF(OR(Data!K231&lt;=0,F231&lt;=0),"n/m",($F231/Data!K231)),""))</f>
        <v/>
      </c>
      <c r="K231" s="9" t="str">
        <f>IF($D231&lt;&gt;"Include","",IFERROR(G231/Data!Z231,""))</f>
        <v/>
      </c>
      <c r="L231" s="9" t="str">
        <f t="shared" si="26"/>
        <v>n/m</v>
      </c>
      <c r="M231" s="7" t="str">
        <f>IF($D231&lt;&gt;"Include","",IFERROR(IF(Data!L231&lt;=0,"n,m",E231/Data!L231),""))</f>
        <v/>
      </c>
      <c r="N231" s="9" t="str">
        <f>IF($D231&lt;&gt;"Include","",IFERROR(IF(OR(Data!I231&lt;=0,Data!J231&lt;=0),"n/m",(Data!I231/Data!J231)^(1/3)-1),""))</f>
        <v/>
      </c>
      <c r="O231">
        <f t="shared" si="21"/>
        <v>119</v>
      </c>
      <c r="P231">
        <f t="shared" si="22"/>
        <v>119</v>
      </c>
      <c r="Q231">
        <f t="shared" si="23"/>
        <v>119</v>
      </c>
      <c r="R231">
        <f t="shared" si="24"/>
        <v>119</v>
      </c>
      <c r="S231">
        <f t="shared" si="25"/>
        <v>119</v>
      </c>
      <c r="T231" s="10">
        <f t="shared" si="27"/>
        <v>119</v>
      </c>
      <c r="U231">
        <f>IF($D231&lt;&gt;"Include","",_xlfn.RANK.EQ(T231,T$6:T$305,1)+COUNTIFS(T$6:T231,T231)-1)</f>
        <v>104</v>
      </c>
    </row>
    <row r="232" spans="1:21" x14ac:dyDescent="0.4">
      <c r="A232" t="str">
        <f>Data!A232</f>
        <v>TPK</v>
      </c>
      <c r="B232" t="str">
        <f>Data!B232</f>
        <v>Travis Perkins</v>
      </c>
      <c r="C232" t="str">
        <f>Data!D232</f>
        <v>Industrials</v>
      </c>
      <c r="D232" t="str">
        <f>Data!E232</f>
        <v>Include</v>
      </c>
      <c r="E232">
        <f>IF($D232&lt;&gt;"Include","",SUM(Data!V232:W232)-SUM(Data!X232))</f>
        <v>0</v>
      </c>
      <c r="F232" t="e">
        <f>IF($D232&lt;&gt;"Include","",SUM(Data!Z232,Data!Y232,Metrics!E232))</f>
        <v>#N/A</v>
      </c>
      <c r="G232" t="str">
        <f>IF($D232&lt;&gt;"Include","",IFERROR(Data!P232-Data!S232,""))</f>
        <v/>
      </c>
      <c r="H232">
        <f>IF($D232&lt;&gt;"Include","",IFERROR(SUM(Data!P232:R232)-SUM(Data!S232:U232),""))</f>
        <v>0</v>
      </c>
      <c r="I232">
        <f>IF($D232&lt;&gt;"Include","",SUM(Data!M232:O232))</f>
        <v>0</v>
      </c>
      <c r="J232" s="7" t="str">
        <f>IF($D232&lt;&gt;"Include","",IFERROR(IF(OR(Data!K232&lt;=0,F232&lt;=0),"n/m",($F232/Data!K232)),""))</f>
        <v/>
      </c>
      <c r="K232" s="9" t="str">
        <f>IF($D232&lt;&gt;"Include","",IFERROR(G232/Data!Z232,""))</f>
        <v/>
      </c>
      <c r="L232" s="9" t="str">
        <f t="shared" si="26"/>
        <v>n/m</v>
      </c>
      <c r="M232" s="7" t="str">
        <f>IF($D232&lt;&gt;"Include","",IFERROR(IF(Data!L232&lt;=0,"n,m",E232/Data!L232),""))</f>
        <v/>
      </c>
      <c r="N232" s="9" t="str">
        <f>IF($D232&lt;&gt;"Include","",IFERROR(IF(OR(Data!I232&lt;=0,Data!J232&lt;=0),"n/m",(Data!I232/Data!J232)^(1/3)-1),""))</f>
        <v/>
      </c>
      <c r="O232">
        <f t="shared" si="21"/>
        <v>119</v>
      </c>
      <c r="P232">
        <f t="shared" si="22"/>
        <v>119</v>
      </c>
      <c r="Q232">
        <f t="shared" si="23"/>
        <v>119</v>
      </c>
      <c r="R232">
        <f t="shared" si="24"/>
        <v>119</v>
      </c>
      <c r="S232">
        <f t="shared" si="25"/>
        <v>119</v>
      </c>
      <c r="T232" s="10">
        <f t="shared" si="27"/>
        <v>119</v>
      </c>
      <c r="U232">
        <f>IF($D232&lt;&gt;"Include","",_xlfn.RANK.EQ(T232,T$6:T$305,1)+COUNTIFS(T$6:T232,T232)-1)</f>
        <v>105</v>
      </c>
    </row>
    <row r="233" spans="1:21" x14ac:dyDescent="0.4">
      <c r="A233" t="str">
        <f>Data!A233</f>
        <v>TRY</v>
      </c>
      <c r="B233" t="str">
        <f>Data!B233</f>
        <v>TR Property Investment Trust</v>
      </c>
      <c r="C233" t="str">
        <f>Data!D233</f>
        <v>Financials</v>
      </c>
      <c r="D233" t="str">
        <f>Data!E233</f>
        <v>Exclude</v>
      </c>
      <c r="E233" t="str">
        <f>IF($D233&lt;&gt;"Include","",SUM(Data!V233:W233)-SUM(Data!X233))</f>
        <v/>
      </c>
      <c r="F233" t="str">
        <f>IF($D233&lt;&gt;"Include","",SUM(Data!Z233,Data!Y233,Metrics!E233))</f>
        <v/>
      </c>
      <c r="G233" t="str">
        <f>IF($D233&lt;&gt;"Include","",IFERROR(Data!P233-Data!S233,""))</f>
        <v/>
      </c>
      <c r="H233" t="str">
        <f>IF($D233&lt;&gt;"Include","",IFERROR(SUM(Data!P233:R233)-SUM(Data!S233:U233),""))</f>
        <v/>
      </c>
      <c r="I233" t="str">
        <f>IF($D233&lt;&gt;"Include","",SUM(Data!M233:O233))</f>
        <v/>
      </c>
      <c r="J233" s="7" t="str">
        <f>IF($D233&lt;&gt;"Include","",IFERROR(IF(OR(Data!K233&lt;=0,F233&lt;=0),"n/m",($F233/Data!K233)),""))</f>
        <v/>
      </c>
      <c r="K233" s="9" t="str">
        <f>IF($D233&lt;&gt;"Include","",IFERROR(G233/Data!Z233,""))</f>
        <v/>
      </c>
      <c r="L233" s="9" t="str">
        <f t="shared" si="26"/>
        <v/>
      </c>
      <c r="M233" s="7" t="str">
        <f>IF($D233&lt;&gt;"Include","",IFERROR(IF(Data!L233&lt;=0,"n,m",E233/Data!L233),""))</f>
        <v/>
      </c>
      <c r="N233" s="9" t="str">
        <f>IF($D233&lt;&gt;"Include","",IFERROR(IF(OR(Data!I233&lt;=0,Data!J233&lt;=0),"n/m",(Data!I233/Data!J233)^(1/3)-1),""))</f>
        <v/>
      </c>
      <c r="O233" t="str">
        <f t="shared" si="21"/>
        <v/>
      </c>
      <c r="P233" t="str">
        <f t="shared" si="22"/>
        <v/>
      </c>
      <c r="Q233" t="str">
        <f t="shared" si="23"/>
        <v/>
      </c>
      <c r="R233" t="str">
        <f t="shared" si="24"/>
        <v/>
      </c>
      <c r="S233" t="str">
        <f t="shared" si="25"/>
        <v/>
      </c>
      <c r="T233" s="10" t="str">
        <f t="shared" si="27"/>
        <v/>
      </c>
      <c r="U233" t="str">
        <f>IF($D233&lt;&gt;"Include","",_xlfn.RANK.EQ(T233,T$6:T$305,1)+COUNTIFS(T$6:T233,T233)-1)</f>
        <v/>
      </c>
    </row>
    <row r="234" spans="1:21" x14ac:dyDescent="0.4">
      <c r="A234" t="str">
        <f>Data!A234</f>
        <v>TRST</v>
      </c>
      <c r="B234" t="str">
        <f>Data!B234</f>
        <v>Trustpilot</v>
      </c>
      <c r="C234" t="str">
        <f>Data!D234</f>
        <v>Technology</v>
      </c>
      <c r="D234" t="str">
        <f>Data!E234</f>
        <v>Include</v>
      </c>
      <c r="E234">
        <f>IF($D234&lt;&gt;"Include","",SUM(Data!V234:W234)-SUM(Data!X234))</f>
        <v>0</v>
      </c>
      <c r="F234" t="e">
        <f>IF($D234&lt;&gt;"Include","",SUM(Data!Z234,Data!Y234,Metrics!E234))</f>
        <v>#N/A</v>
      </c>
      <c r="G234" t="str">
        <f>IF($D234&lt;&gt;"Include","",IFERROR(Data!P234-Data!S234,""))</f>
        <v/>
      </c>
      <c r="H234">
        <f>IF($D234&lt;&gt;"Include","",IFERROR(SUM(Data!P234:R234)-SUM(Data!S234:U234),""))</f>
        <v>0</v>
      </c>
      <c r="I234">
        <f>IF($D234&lt;&gt;"Include","",SUM(Data!M234:O234))</f>
        <v>0</v>
      </c>
      <c r="J234" s="7" t="str">
        <f>IF($D234&lt;&gt;"Include","",IFERROR(IF(OR(Data!K234&lt;=0,F234&lt;=0),"n/m",($F234/Data!K234)),""))</f>
        <v/>
      </c>
      <c r="K234" s="9" t="str">
        <f>IF($D234&lt;&gt;"Include","",IFERROR(G234/Data!Z234,""))</f>
        <v/>
      </c>
      <c r="L234" s="9" t="str">
        <f t="shared" si="26"/>
        <v>n/m</v>
      </c>
      <c r="M234" s="7" t="str">
        <f>IF($D234&lt;&gt;"Include","",IFERROR(IF(Data!L234&lt;=0,"n,m",E234/Data!L234),""))</f>
        <v/>
      </c>
      <c r="N234" s="9" t="str">
        <f>IF($D234&lt;&gt;"Include","",IFERROR(IF(OR(Data!I234&lt;=0,Data!J234&lt;=0),"n/m",(Data!I234/Data!J234)^(1/3)-1),""))</f>
        <v/>
      </c>
      <c r="O234">
        <f t="shared" si="21"/>
        <v>119</v>
      </c>
      <c r="P234">
        <f t="shared" si="22"/>
        <v>119</v>
      </c>
      <c r="Q234">
        <f t="shared" si="23"/>
        <v>119</v>
      </c>
      <c r="R234">
        <f t="shared" si="24"/>
        <v>119</v>
      </c>
      <c r="S234">
        <f t="shared" si="25"/>
        <v>119</v>
      </c>
      <c r="T234" s="10">
        <f t="shared" si="27"/>
        <v>119</v>
      </c>
      <c r="U234">
        <f>IF($D234&lt;&gt;"Include","",_xlfn.RANK.EQ(T234,T$6:T$305,1)+COUNTIFS(T$6:T234,T234)-1)</f>
        <v>106</v>
      </c>
    </row>
    <row r="235" spans="1:21" x14ac:dyDescent="0.4">
      <c r="A235" t="str">
        <f>Data!A235</f>
        <v>TFIF</v>
      </c>
      <c r="B235" t="str">
        <f>Data!B235</f>
        <v>Twentyfour Income Fund</v>
      </c>
      <c r="C235" t="str">
        <f>Data!D235</f>
        <v>Financials</v>
      </c>
      <c r="D235" t="str">
        <f>Data!E235</f>
        <v>Exclude</v>
      </c>
      <c r="E235" t="str">
        <f>IF($D235&lt;&gt;"Include","",SUM(Data!V235:W235)-SUM(Data!X235))</f>
        <v/>
      </c>
      <c r="F235" t="str">
        <f>IF($D235&lt;&gt;"Include","",SUM(Data!Z235,Data!Y235,Metrics!E235))</f>
        <v/>
      </c>
      <c r="G235" t="str">
        <f>IF($D235&lt;&gt;"Include","",IFERROR(Data!P235-Data!S235,""))</f>
        <v/>
      </c>
      <c r="H235" t="str">
        <f>IF($D235&lt;&gt;"Include","",IFERROR(SUM(Data!P235:R235)-SUM(Data!S235:U235),""))</f>
        <v/>
      </c>
      <c r="I235" t="str">
        <f>IF($D235&lt;&gt;"Include","",SUM(Data!M235:O235))</f>
        <v/>
      </c>
      <c r="J235" s="7" t="str">
        <f>IF($D235&lt;&gt;"Include","",IFERROR(IF(OR(Data!K235&lt;=0,F235&lt;=0),"n/m",($F235/Data!K235)),""))</f>
        <v/>
      </c>
      <c r="K235" s="9" t="str">
        <f>IF($D235&lt;&gt;"Include","",IFERROR(G235/Data!Z235,""))</f>
        <v/>
      </c>
      <c r="L235" s="9" t="str">
        <f t="shared" si="26"/>
        <v/>
      </c>
      <c r="M235" s="7" t="str">
        <f>IF($D235&lt;&gt;"Include","",IFERROR(IF(Data!L235&lt;=0,"n,m",E235/Data!L235),""))</f>
        <v/>
      </c>
      <c r="N235" s="9" t="str">
        <f>IF($D235&lt;&gt;"Include","",IFERROR(IF(OR(Data!I235&lt;=0,Data!J235&lt;=0),"n/m",(Data!I235/Data!J235)^(1/3)-1),""))</f>
        <v/>
      </c>
      <c r="O235" t="str">
        <f t="shared" si="21"/>
        <v/>
      </c>
      <c r="P235" t="str">
        <f t="shared" si="22"/>
        <v/>
      </c>
      <c r="Q235" t="str">
        <f t="shared" si="23"/>
        <v/>
      </c>
      <c r="R235" t="str">
        <f t="shared" si="24"/>
        <v/>
      </c>
      <c r="S235" t="str">
        <f t="shared" si="25"/>
        <v/>
      </c>
      <c r="T235" s="10" t="str">
        <f t="shared" si="27"/>
        <v/>
      </c>
      <c r="U235" t="str">
        <f>IF($D235&lt;&gt;"Include","",_xlfn.RANK.EQ(T235,T$6:T$305,1)+COUNTIFS(T$6:T235,T235)-1)</f>
        <v/>
      </c>
    </row>
    <row r="236" spans="1:21" x14ac:dyDescent="0.4">
      <c r="A236" t="str">
        <f>Data!A236</f>
        <v>UTG</v>
      </c>
      <c r="B236" t="str">
        <f>Data!B236</f>
        <v>Unite Group</v>
      </c>
      <c r="C236" t="str">
        <f>Data!D236</f>
        <v>Real Estate</v>
      </c>
      <c r="D236" t="str">
        <f>Data!E236</f>
        <v>Exclude</v>
      </c>
      <c r="E236" t="str">
        <f>IF($D236&lt;&gt;"Include","",SUM(Data!V236:W236)-SUM(Data!X236))</f>
        <v/>
      </c>
      <c r="F236" t="str">
        <f>IF($D236&lt;&gt;"Include","",SUM(Data!Z236,Data!Y236,Metrics!E236))</f>
        <v/>
      </c>
      <c r="G236" t="str">
        <f>IF($D236&lt;&gt;"Include","",IFERROR(Data!P236-Data!S236,""))</f>
        <v/>
      </c>
      <c r="H236" t="str">
        <f>IF($D236&lt;&gt;"Include","",IFERROR(SUM(Data!P236:R236)-SUM(Data!S236:U236),""))</f>
        <v/>
      </c>
      <c r="I236" t="str">
        <f>IF($D236&lt;&gt;"Include","",SUM(Data!M236:O236))</f>
        <v/>
      </c>
      <c r="J236" s="7" t="str">
        <f>IF($D236&lt;&gt;"Include","",IFERROR(IF(OR(Data!K236&lt;=0,F236&lt;=0),"n/m",($F236/Data!K236)),""))</f>
        <v/>
      </c>
      <c r="K236" s="9" t="str">
        <f>IF($D236&lt;&gt;"Include","",IFERROR(G236/Data!Z236,""))</f>
        <v/>
      </c>
      <c r="L236" s="9" t="str">
        <f t="shared" si="26"/>
        <v/>
      </c>
      <c r="M236" s="7" t="str">
        <f>IF($D236&lt;&gt;"Include","",IFERROR(IF(Data!L236&lt;=0,"n,m",E236/Data!L236),""))</f>
        <v/>
      </c>
      <c r="N236" s="9" t="str">
        <f>IF($D236&lt;&gt;"Include","",IFERROR(IF(OR(Data!I236&lt;=0,Data!J236&lt;=0),"n/m",(Data!I236/Data!J236)^(1/3)-1),""))</f>
        <v/>
      </c>
      <c r="O236" t="str">
        <f t="shared" si="21"/>
        <v/>
      </c>
      <c r="P236" t="str">
        <f t="shared" si="22"/>
        <v/>
      </c>
      <c r="Q236" t="str">
        <f t="shared" si="23"/>
        <v/>
      </c>
      <c r="R236" t="str">
        <f t="shared" si="24"/>
        <v/>
      </c>
      <c r="S236" t="str">
        <f t="shared" si="25"/>
        <v/>
      </c>
      <c r="T236" s="10" t="str">
        <f t="shared" si="27"/>
        <v/>
      </c>
      <c r="U236" t="str">
        <f>IF($D236&lt;&gt;"Include","",_xlfn.RANK.EQ(T236,T$6:T$305,1)+COUNTIFS(T$6:T236,T236)-1)</f>
        <v/>
      </c>
    </row>
    <row r="237" spans="1:21" x14ac:dyDescent="0.4">
      <c r="A237" t="str">
        <f>Data!A237</f>
        <v>UEM</v>
      </c>
      <c r="B237" t="str">
        <f>Data!B237</f>
        <v>Utilico Emerging Markets</v>
      </c>
      <c r="C237" t="str">
        <f>Data!D237</f>
        <v>Financials</v>
      </c>
      <c r="D237" t="str">
        <f>Data!E237</f>
        <v>Exclude</v>
      </c>
      <c r="E237" t="str">
        <f>IF($D237&lt;&gt;"Include","",SUM(Data!V237:W237)-SUM(Data!X237))</f>
        <v/>
      </c>
      <c r="F237" t="str">
        <f>IF($D237&lt;&gt;"Include","",SUM(Data!Z237,Data!Y237,Metrics!E237))</f>
        <v/>
      </c>
      <c r="G237" t="str">
        <f>IF($D237&lt;&gt;"Include","",IFERROR(Data!P237-Data!S237,""))</f>
        <v/>
      </c>
      <c r="H237" t="str">
        <f>IF($D237&lt;&gt;"Include","",IFERROR(SUM(Data!P237:R237)-SUM(Data!S237:U237),""))</f>
        <v/>
      </c>
      <c r="I237" t="str">
        <f>IF($D237&lt;&gt;"Include","",SUM(Data!M237:O237))</f>
        <v/>
      </c>
      <c r="J237" s="7" t="str">
        <f>IF($D237&lt;&gt;"Include","",IFERROR(IF(OR(Data!K237&lt;=0,F237&lt;=0),"n/m",($F237/Data!K237)),""))</f>
        <v/>
      </c>
      <c r="K237" s="9" t="str">
        <f>IF($D237&lt;&gt;"Include","",IFERROR(G237/Data!Z237,""))</f>
        <v/>
      </c>
      <c r="L237" s="9" t="str">
        <f t="shared" si="26"/>
        <v/>
      </c>
      <c r="M237" s="7" t="str">
        <f>IF($D237&lt;&gt;"Include","",IFERROR(IF(Data!L237&lt;=0,"n,m",E237/Data!L237),""))</f>
        <v/>
      </c>
      <c r="N237" s="9" t="str">
        <f>IF($D237&lt;&gt;"Include","",IFERROR(IF(OR(Data!I237&lt;=0,Data!J237&lt;=0),"n/m",(Data!I237/Data!J237)^(1/3)-1),""))</f>
        <v/>
      </c>
      <c r="O237" t="str">
        <f t="shared" si="21"/>
        <v/>
      </c>
      <c r="P237" t="str">
        <f t="shared" si="22"/>
        <v/>
      </c>
      <c r="Q237" t="str">
        <f t="shared" si="23"/>
        <v/>
      </c>
      <c r="R237" t="str">
        <f t="shared" si="24"/>
        <v/>
      </c>
      <c r="S237" t="str">
        <f t="shared" si="25"/>
        <v/>
      </c>
      <c r="T237" s="10" t="str">
        <f t="shared" si="27"/>
        <v/>
      </c>
      <c r="U237" t="str">
        <f>IF($D237&lt;&gt;"Include","",_xlfn.RANK.EQ(T237,T$6:T$305,1)+COUNTIFS(T$6:T237,T237)-1)</f>
        <v/>
      </c>
    </row>
    <row r="238" spans="1:21" x14ac:dyDescent="0.4">
      <c r="A238" t="str">
        <f>Data!A238</f>
        <v>VSVS</v>
      </c>
      <c r="B238" t="str">
        <f>Data!B238</f>
        <v>Vesuvius</v>
      </c>
      <c r="C238" t="str">
        <f>Data!D238</f>
        <v>Industrials</v>
      </c>
      <c r="D238" t="str">
        <f>Data!E238</f>
        <v>Include</v>
      </c>
      <c r="E238">
        <f>IF($D238&lt;&gt;"Include","",SUM(Data!V238:W238)-SUM(Data!X238))</f>
        <v>0</v>
      </c>
      <c r="F238" t="e">
        <f>IF($D238&lt;&gt;"Include","",SUM(Data!Z238,Data!Y238,Metrics!E238))</f>
        <v>#N/A</v>
      </c>
      <c r="G238" t="str">
        <f>IF($D238&lt;&gt;"Include","",IFERROR(Data!P238-Data!S238,""))</f>
        <v/>
      </c>
      <c r="H238">
        <f>IF($D238&lt;&gt;"Include","",IFERROR(SUM(Data!P238:R238)-SUM(Data!S238:U238),""))</f>
        <v>0</v>
      </c>
      <c r="I238">
        <f>IF($D238&lt;&gt;"Include","",SUM(Data!M238:O238))</f>
        <v>0</v>
      </c>
      <c r="J238" s="7" t="str">
        <f>IF($D238&lt;&gt;"Include","",IFERROR(IF(OR(Data!K238&lt;=0,F238&lt;=0),"n/m",($F238/Data!K238)),""))</f>
        <v/>
      </c>
      <c r="K238" s="9" t="str">
        <f>IF($D238&lt;&gt;"Include","",IFERROR(G238/Data!Z238,""))</f>
        <v/>
      </c>
      <c r="L238" s="9" t="str">
        <f t="shared" si="26"/>
        <v>n/m</v>
      </c>
      <c r="M238" s="7" t="str">
        <f>IF($D238&lt;&gt;"Include","",IFERROR(IF(Data!L238&lt;=0,"n,m",E238/Data!L238),""))</f>
        <v/>
      </c>
      <c r="N238" s="9" t="str">
        <f>IF($D238&lt;&gt;"Include","",IFERROR(IF(OR(Data!I238&lt;=0,Data!J238&lt;=0),"n/m",(Data!I238/Data!J238)^(1/3)-1),""))</f>
        <v/>
      </c>
      <c r="O238">
        <f t="shared" si="21"/>
        <v>119</v>
      </c>
      <c r="P238">
        <f t="shared" si="22"/>
        <v>119</v>
      </c>
      <c r="Q238">
        <f t="shared" si="23"/>
        <v>119</v>
      </c>
      <c r="R238">
        <f t="shared" si="24"/>
        <v>119</v>
      </c>
      <c r="S238">
        <f t="shared" si="25"/>
        <v>119</v>
      </c>
      <c r="T238" s="10">
        <f t="shared" si="27"/>
        <v>119</v>
      </c>
      <c r="U238">
        <f>IF($D238&lt;&gt;"Include","",_xlfn.RANK.EQ(T238,T$6:T$305,1)+COUNTIFS(T$6:T238,T238)-1)</f>
        <v>107</v>
      </c>
    </row>
    <row r="239" spans="1:21" x14ac:dyDescent="0.4">
      <c r="A239" t="str">
        <f>Data!A239</f>
        <v>VCT</v>
      </c>
      <c r="B239" t="str">
        <f>Data!B239</f>
        <v>Victrex</v>
      </c>
      <c r="C239" t="str">
        <f>Data!D239</f>
        <v>Basic Materials</v>
      </c>
      <c r="D239" t="str">
        <f>Data!E239</f>
        <v>Include</v>
      </c>
      <c r="E239">
        <f>IF($D239&lt;&gt;"Include","",SUM(Data!V239:W239)-SUM(Data!X239))</f>
        <v>0</v>
      </c>
      <c r="F239" t="e">
        <f>IF($D239&lt;&gt;"Include","",SUM(Data!Z239,Data!Y239,Metrics!E239))</f>
        <v>#N/A</v>
      </c>
      <c r="G239" t="str">
        <f>IF($D239&lt;&gt;"Include","",IFERROR(Data!P239-Data!S239,""))</f>
        <v/>
      </c>
      <c r="H239">
        <f>IF($D239&lt;&gt;"Include","",IFERROR(SUM(Data!P239:R239)-SUM(Data!S239:U239),""))</f>
        <v>0</v>
      </c>
      <c r="I239">
        <f>IF($D239&lt;&gt;"Include","",SUM(Data!M239:O239))</f>
        <v>0</v>
      </c>
      <c r="J239" s="7" t="str">
        <f>IF($D239&lt;&gt;"Include","",IFERROR(IF(OR(Data!K239&lt;=0,F239&lt;=0),"n/m",($F239/Data!K239)),""))</f>
        <v/>
      </c>
      <c r="K239" s="9" t="str">
        <f>IF($D239&lt;&gt;"Include","",IFERROR(G239/Data!Z239,""))</f>
        <v/>
      </c>
      <c r="L239" s="9" t="str">
        <f t="shared" si="26"/>
        <v>n/m</v>
      </c>
      <c r="M239" s="7" t="str">
        <f>IF($D239&lt;&gt;"Include","",IFERROR(IF(Data!L239&lt;=0,"n,m",E239/Data!L239),""))</f>
        <v/>
      </c>
      <c r="N239" s="9" t="str">
        <f>IF($D239&lt;&gt;"Include","",IFERROR(IF(OR(Data!I239&lt;=0,Data!J239&lt;=0),"n/m",(Data!I239/Data!J239)^(1/3)-1),""))</f>
        <v/>
      </c>
      <c r="O239">
        <f t="shared" si="21"/>
        <v>119</v>
      </c>
      <c r="P239">
        <f t="shared" si="22"/>
        <v>119</v>
      </c>
      <c r="Q239">
        <f t="shared" si="23"/>
        <v>119</v>
      </c>
      <c r="R239">
        <f t="shared" si="24"/>
        <v>119</v>
      </c>
      <c r="S239">
        <f t="shared" si="25"/>
        <v>119</v>
      </c>
      <c r="T239" s="10">
        <f t="shared" si="27"/>
        <v>119</v>
      </c>
      <c r="U239">
        <f>IF($D239&lt;&gt;"Include","",_xlfn.RANK.EQ(T239,T$6:T$305,1)+COUNTIFS(T$6:T239,T239)-1)</f>
        <v>108</v>
      </c>
    </row>
    <row r="240" spans="1:21" x14ac:dyDescent="0.4">
      <c r="A240" t="str">
        <f>Data!A240</f>
        <v>VEIL</v>
      </c>
      <c r="B240" t="str">
        <f>Data!B240</f>
        <v>Vietnam Enterprise Investments</v>
      </c>
      <c r="C240" t="str">
        <f>Data!D240</f>
        <v>Financials</v>
      </c>
      <c r="D240" t="str">
        <f>Data!E240</f>
        <v>Exclude</v>
      </c>
      <c r="E240" t="str">
        <f>IF($D240&lt;&gt;"Include","",SUM(Data!V240:W240)-SUM(Data!X240))</f>
        <v/>
      </c>
      <c r="F240" t="str">
        <f>IF($D240&lt;&gt;"Include","",SUM(Data!Z240,Data!Y240,Metrics!E240))</f>
        <v/>
      </c>
      <c r="G240" t="str">
        <f>IF($D240&lt;&gt;"Include","",IFERROR(Data!P240-Data!S240,""))</f>
        <v/>
      </c>
      <c r="H240" t="str">
        <f>IF($D240&lt;&gt;"Include","",IFERROR(SUM(Data!P240:R240)-SUM(Data!S240:U240),""))</f>
        <v/>
      </c>
      <c r="I240" t="str">
        <f>IF($D240&lt;&gt;"Include","",SUM(Data!M240:O240))</f>
        <v/>
      </c>
      <c r="J240" s="7" t="str">
        <f>IF($D240&lt;&gt;"Include","",IFERROR(IF(OR(Data!K240&lt;=0,F240&lt;=0),"n/m",($F240/Data!K240)),""))</f>
        <v/>
      </c>
      <c r="K240" s="9" t="str">
        <f>IF($D240&lt;&gt;"Include","",IFERROR(G240/Data!Z240,""))</f>
        <v/>
      </c>
      <c r="L240" s="9" t="str">
        <f t="shared" si="26"/>
        <v/>
      </c>
      <c r="M240" s="7" t="str">
        <f>IF($D240&lt;&gt;"Include","",IFERROR(IF(Data!L240&lt;=0,"n,m",E240/Data!L240),""))</f>
        <v/>
      </c>
      <c r="N240" s="9" t="str">
        <f>IF($D240&lt;&gt;"Include","",IFERROR(IF(OR(Data!I240&lt;=0,Data!J240&lt;=0),"n/m",(Data!I240/Data!J240)^(1/3)-1),""))</f>
        <v/>
      </c>
      <c r="O240" t="str">
        <f t="shared" si="21"/>
        <v/>
      </c>
      <c r="P240" t="str">
        <f t="shared" si="22"/>
        <v/>
      </c>
      <c r="Q240" t="str">
        <f t="shared" si="23"/>
        <v/>
      </c>
      <c r="R240" t="str">
        <f t="shared" si="24"/>
        <v/>
      </c>
      <c r="S240" t="str">
        <f t="shared" si="25"/>
        <v/>
      </c>
      <c r="T240" s="10" t="str">
        <f t="shared" si="27"/>
        <v/>
      </c>
      <c r="U240" t="str">
        <f>IF($D240&lt;&gt;"Include","",_xlfn.RANK.EQ(T240,T$6:T$305,1)+COUNTIFS(T$6:T240,T240)-1)</f>
        <v/>
      </c>
    </row>
    <row r="241" spans="1:21" x14ac:dyDescent="0.4">
      <c r="A241" t="str">
        <f>Data!A241</f>
        <v>VOF</v>
      </c>
      <c r="B241" t="str">
        <f>Data!B241</f>
        <v>VinaCapital Vietnam Opportunity Fund</v>
      </c>
      <c r="C241" t="str">
        <f>Data!D241</f>
        <v>Financials</v>
      </c>
      <c r="D241" t="str">
        <f>Data!E241</f>
        <v>Exclude</v>
      </c>
      <c r="E241" t="str">
        <f>IF($D241&lt;&gt;"Include","",SUM(Data!V241:W241)-SUM(Data!X241))</f>
        <v/>
      </c>
      <c r="F241" t="str">
        <f>IF($D241&lt;&gt;"Include","",SUM(Data!Z241,Data!Y241,Metrics!E241))</f>
        <v/>
      </c>
      <c r="G241" t="str">
        <f>IF($D241&lt;&gt;"Include","",IFERROR(Data!P241-Data!S241,""))</f>
        <v/>
      </c>
      <c r="H241" t="str">
        <f>IF($D241&lt;&gt;"Include","",IFERROR(SUM(Data!P241:R241)-SUM(Data!S241:U241),""))</f>
        <v/>
      </c>
      <c r="I241" t="str">
        <f>IF($D241&lt;&gt;"Include","",SUM(Data!M241:O241))</f>
        <v/>
      </c>
      <c r="J241" s="7" t="str">
        <f>IF($D241&lt;&gt;"Include","",IFERROR(IF(OR(Data!K241&lt;=0,F241&lt;=0),"n/m",($F241/Data!K241)),""))</f>
        <v/>
      </c>
      <c r="K241" s="9" t="str">
        <f>IF($D241&lt;&gt;"Include","",IFERROR(G241/Data!Z241,""))</f>
        <v/>
      </c>
      <c r="L241" s="9" t="str">
        <f t="shared" si="26"/>
        <v/>
      </c>
      <c r="M241" s="7" t="str">
        <f>IF($D241&lt;&gt;"Include","",IFERROR(IF(Data!L241&lt;=0,"n,m",E241/Data!L241),""))</f>
        <v/>
      </c>
      <c r="N241" s="9" t="str">
        <f>IF($D241&lt;&gt;"Include","",IFERROR(IF(OR(Data!I241&lt;=0,Data!J241&lt;=0),"n/m",(Data!I241/Data!J241)^(1/3)-1),""))</f>
        <v/>
      </c>
      <c r="O241" t="str">
        <f t="shared" si="21"/>
        <v/>
      </c>
      <c r="P241" t="str">
        <f t="shared" si="22"/>
        <v/>
      </c>
      <c r="Q241" t="str">
        <f t="shared" si="23"/>
        <v/>
      </c>
      <c r="R241" t="str">
        <f t="shared" si="24"/>
        <v/>
      </c>
      <c r="S241" t="str">
        <f t="shared" si="25"/>
        <v/>
      </c>
      <c r="T241" s="10" t="str">
        <f t="shared" si="27"/>
        <v/>
      </c>
      <c r="U241" t="str">
        <f>IF($D241&lt;&gt;"Include","",_xlfn.RANK.EQ(T241,T$6:T$305,1)+COUNTIFS(T$6:T241,T241)-1)</f>
        <v/>
      </c>
    </row>
    <row r="242" spans="1:21" x14ac:dyDescent="0.4">
      <c r="A242" t="str">
        <f>Data!A242</f>
        <v>VTY</v>
      </c>
      <c r="B242" t="str">
        <f>Data!B242</f>
        <v>Vistry Group</v>
      </c>
      <c r="C242" t="str">
        <f>Data!D242</f>
        <v>Consumer Discretionary</v>
      </c>
      <c r="D242" t="str">
        <f>Data!E242</f>
        <v>Include</v>
      </c>
      <c r="E242">
        <f>IF($D242&lt;&gt;"Include","",SUM(Data!V242:W242)-SUM(Data!X242))</f>
        <v>0</v>
      </c>
      <c r="F242" t="e">
        <f>IF($D242&lt;&gt;"Include","",SUM(Data!Z242,Data!Y242,Metrics!E242))</f>
        <v>#N/A</v>
      </c>
      <c r="G242" t="str">
        <f>IF($D242&lt;&gt;"Include","",IFERROR(Data!P242-Data!S242,""))</f>
        <v/>
      </c>
      <c r="H242">
        <f>IF($D242&lt;&gt;"Include","",IFERROR(SUM(Data!P242:R242)-SUM(Data!S242:U242),""))</f>
        <v>0</v>
      </c>
      <c r="I242">
        <f>IF($D242&lt;&gt;"Include","",SUM(Data!M242:O242))</f>
        <v>0</v>
      </c>
      <c r="J242" s="7" t="str">
        <f>IF($D242&lt;&gt;"Include","",IFERROR(IF(OR(Data!K242&lt;=0,F242&lt;=0),"n/m",($F242/Data!K242)),""))</f>
        <v/>
      </c>
      <c r="K242" s="9" t="str">
        <f>IF($D242&lt;&gt;"Include","",IFERROR(G242/Data!Z242,""))</f>
        <v/>
      </c>
      <c r="L242" s="9" t="str">
        <f t="shared" si="26"/>
        <v>n/m</v>
      </c>
      <c r="M242" s="7" t="str">
        <f>IF($D242&lt;&gt;"Include","",IFERROR(IF(Data!L242&lt;=0,"n,m",E242/Data!L242),""))</f>
        <v/>
      </c>
      <c r="N242" s="9" t="str">
        <f>IF($D242&lt;&gt;"Include","",IFERROR(IF(OR(Data!I242&lt;=0,Data!J242&lt;=0),"n/m",(Data!I242/Data!J242)^(1/3)-1),""))</f>
        <v/>
      </c>
      <c r="O242">
        <f t="shared" si="21"/>
        <v>119</v>
      </c>
      <c r="P242">
        <f t="shared" si="22"/>
        <v>119</v>
      </c>
      <c r="Q242">
        <f t="shared" si="23"/>
        <v>119</v>
      </c>
      <c r="R242">
        <f t="shared" si="24"/>
        <v>119</v>
      </c>
      <c r="S242">
        <f t="shared" si="25"/>
        <v>119</v>
      </c>
      <c r="T242" s="10">
        <f t="shared" si="27"/>
        <v>119</v>
      </c>
      <c r="U242">
        <f>IF($D242&lt;&gt;"Include","",_xlfn.RANK.EQ(T242,T$6:T$305,1)+COUNTIFS(T$6:T242,T242)-1)</f>
        <v>109</v>
      </c>
    </row>
    <row r="243" spans="1:21" x14ac:dyDescent="0.4">
      <c r="A243" t="str">
        <f>Data!A243</f>
        <v>VLX</v>
      </c>
      <c r="B243" t="str">
        <f>Data!B243</f>
        <v>Volex</v>
      </c>
      <c r="C243" t="str">
        <f>Data!D243</f>
        <v>Industrials</v>
      </c>
      <c r="D243" t="str">
        <f>Data!E243</f>
        <v>Include</v>
      </c>
      <c r="E243">
        <f>IF($D243&lt;&gt;"Include","",SUM(Data!V243:W243)-SUM(Data!X243))</f>
        <v>0</v>
      </c>
      <c r="F243" t="e">
        <f>IF($D243&lt;&gt;"Include","",SUM(Data!Z243,Data!Y243,Metrics!E243))</f>
        <v>#N/A</v>
      </c>
      <c r="G243" t="str">
        <f>IF($D243&lt;&gt;"Include","",IFERROR(Data!P243-Data!S243,""))</f>
        <v/>
      </c>
      <c r="H243">
        <f>IF($D243&lt;&gt;"Include","",IFERROR(SUM(Data!P243:R243)-SUM(Data!S243:U243),""))</f>
        <v>0</v>
      </c>
      <c r="I243">
        <f>IF($D243&lt;&gt;"Include","",SUM(Data!M243:O243))</f>
        <v>0</v>
      </c>
      <c r="J243" s="7" t="str">
        <f>IF($D243&lt;&gt;"Include","",IFERROR(IF(OR(Data!K243&lt;=0,F243&lt;=0),"n/m",($F243/Data!K243)),""))</f>
        <v/>
      </c>
      <c r="K243" s="9" t="str">
        <f>IF($D243&lt;&gt;"Include","",IFERROR(G243/Data!Z243,""))</f>
        <v/>
      </c>
      <c r="L243" s="9" t="str">
        <f t="shared" si="26"/>
        <v>n/m</v>
      </c>
      <c r="M243" s="7" t="str">
        <f>IF($D243&lt;&gt;"Include","",IFERROR(IF(Data!L243&lt;=0,"n,m",E243/Data!L243),""))</f>
        <v/>
      </c>
      <c r="N243" s="9" t="str">
        <f>IF($D243&lt;&gt;"Include","",IFERROR(IF(OR(Data!I243&lt;=0,Data!J243&lt;=0),"n/m",(Data!I243/Data!J243)^(1/3)-1),""))</f>
        <v/>
      </c>
      <c r="O243">
        <f t="shared" si="21"/>
        <v>119</v>
      </c>
      <c r="P243">
        <f t="shared" si="22"/>
        <v>119</v>
      </c>
      <c r="Q243">
        <f t="shared" si="23"/>
        <v>119</v>
      </c>
      <c r="R243">
        <f t="shared" si="24"/>
        <v>119</v>
      </c>
      <c r="S243">
        <f t="shared" si="25"/>
        <v>119</v>
      </c>
      <c r="T243" s="10">
        <f t="shared" si="27"/>
        <v>119</v>
      </c>
      <c r="U243">
        <f>IF($D243&lt;&gt;"Include","",_xlfn.RANK.EQ(T243,T$6:T$305,1)+COUNTIFS(T$6:T243,T243)-1)</f>
        <v>110</v>
      </c>
    </row>
    <row r="244" spans="1:21" x14ac:dyDescent="0.4">
      <c r="A244" t="str">
        <f>Data!A244</f>
        <v>FAN</v>
      </c>
      <c r="B244" t="str">
        <f>Data!B244</f>
        <v>Volution Group</v>
      </c>
      <c r="C244" t="str">
        <f>Data!D244</f>
        <v>Industrials</v>
      </c>
      <c r="D244" t="str">
        <f>Data!E244</f>
        <v>Include</v>
      </c>
      <c r="E244">
        <f>IF($D244&lt;&gt;"Include","",SUM(Data!V244:W244)-SUM(Data!X244))</f>
        <v>0</v>
      </c>
      <c r="F244" t="e">
        <f>IF($D244&lt;&gt;"Include","",SUM(Data!Z244,Data!Y244,Metrics!E244))</f>
        <v>#N/A</v>
      </c>
      <c r="G244" t="str">
        <f>IF($D244&lt;&gt;"Include","",IFERROR(Data!P244-Data!S244,""))</f>
        <v/>
      </c>
      <c r="H244">
        <f>IF($D244&lt;&gt;"Include","",IFERROR(SUM(Data!P244:R244)-SUM(Data!S244:U244),""))</f>
        <v>0</v>
      </c>
      <c r="I244">
        <f>IF($D244&lt;&gt;"Include","",SUM(Data!M244:O244))</f>
        <v>0</v>
      </c>
      <c r="J244" s="7" t="str">
        <f>IF($D244&lt;&gt;"Include","",IFERROR(IF(OR(Data!K244&lt;=0,F244&lt;=0),"n/m",($F244/Data!K244)),""))</f>
        <v/>
      </c>
      <c r="K244" s="9" t="str">
        <f>IF($D244&lt;&gt;"Include","",IFERROR(G244/Data!Z244,""))</f>
        <v/>
      </c>
      <c r="L244" s="9" t="str">
        <f t="shared" si="26"/>
        <v>n/m</v>
      </c>
      <c r="M244" s="7" t="str">
        <f>IF($D244&lt;&gt;"Include","",IFERROR(IF(Data!L244&lt;=0,"n,m",E244/Data!L244),""))</f>
        <v/>
      </c>
      <c r="N244" s="9" t="str">
        <f>IF($D244&lt;&gt;"Include","",IFERROR(IF(OR(Data!I244&lt;=0,Data!J244&lt;=0),"n/m",(Data!I244/Data!J244)^(1/3)-1),""))</f>
        <v/>
      </c>
      <c r="O244">
        <f t="shared" si="21"/>
        <v>119</v>
      </c>
      <c r="P244">
        <f t="shared" si="22"/>
        <v>119</v>
      </c>
      <c r="Q244">
        <f t="shared" si="23"/>
        <v>119</v>
      </c>
      <c r="R244">
        <f t="shared" si="24"/>
        <v>119</v>
      </c>
      <c r="S244">
        <f t="shared" si="25"/>
        <v>119</v>
      </c>
      <c r="T244" s="10">
        <f t="shared" si="27"/>
        <v>119</v>
      </c>
      <c r="U244">
        <f>IF($D244&lt;&gt;"Include","",_xlfn.RANK.EQ(T244,T$6:T$305,1)+COUNTIFS(T$6:T244,T244)-1)</f>
        <v>111</v>
      </c>
    </row>
    <row r="245" spans="1:21" x14ac:dyDescent="0.4">
      <c r="A245" t="str">
        <f>Data!A245</f>
        <v>WOSG</v>
      </c>
      <c r="B245" t="str">
        <f>Data!B245</f>
        <v>Watches of Switzerland</v>
      </c>
      <c r="C245" t="str">
        <f>Data!D245</f>
        <v>Consumer Discretionary</v>
      </c>
      <c r="D245" t="str">
        <f>Data!E245</f>
        <v>Include</v>
      </c>
      <c r="E245">
        <f>IF($D245&lt;&gt;"Include","",SUM(Data!V245:W245)-SUM(Data!X245))</f>
        <v>0</v>
      </c>
      <c r="F245" t="e">
        <f>IF($D245&lt;&gt;"Include","",SUM(Data!Z245,Data!Y245,Metrics!E245))</f>
        <v>#N/A</v>
      </c>
      <c r="G245" t="str">
        <f>IF($D245&lt;&gt;"Include","",IFERROR(Data!P245-Data!S245,""))</f>
        <v/>
      </c>
      <c r="H245">
        <f>IF($D245&lt;&gt;"Include","",IFERROR(SUM(Data!P245:R245)-SUM(Data!S245:U245),""))</f>
        <v>0</v>
      </c>
      <c r="I245">
        <f>IF($D245&lt;&gt;"Include","",SUM(Data!M245:O245))</f>
        <v>0</v>
      </c>
      <c r="J245" s="7" t="str">
        <f>IF($D245&lt;&gt;"Include","",IFERROR(IF(OR(Data!K245&lt;=0,F245&lt;=0),"n/m",($F245/Data!K245)),""))</f>
        <v/>
      </c>
      <c r="K245" s="9" t="str">
        <f>IF($D245&lt;&gt;"Include","",IFERROR(G245/Data!Z245,""))</f>
        <v/>
      </c>
      <c r="L245" s="9" t="str">
        <f t="shared" si="26"/>
        <v>n/m</v>
      </c>
      <c r="M245" s="7" t="str">
        <f>IF($D245&lt;&gt;"Include","",IFERROR(IF(Data!L245&lt;=0,"n,m",E245/Data!L245),""))</f>
        <v/>
      </c>
      <c r="N245" s="9" t="str">
        <f>IF($D245&lt;&gt;"Include","",IFERROR(IF(OR(Data!I245&lt;=0,Data!J245&lt;=0),"n/m",(Data!I245/Data!J245)^(1/3)-1),""))</f>
        <v/>
      </c>
      <c r="O245">
        <f t="shared" si="21"/>
        <v>119</v>
      </c>
      <c r="P245">
        <f t="shared" si="22"/>
        <v>119</v>
      </c>
      <c r="Q245">
        <f t="shared" si="23"/>
        <v>119</v>
      </c>
      <c r="R245">
        <f t="shared" si="24"/>
        <v>119</v>
      </c>
      <c r="S245">
        <f t="shared" si="25"/>
        <v>119</v>
      </c>
      <c r="T245" s="10">
        <f t="shared" si="27"/>
        <v>119</v>
      </c>
      <c r="U245">
        <f>IF($D245&lt;&gt;"Include","",_xlfn.RANK.EQ(T245,T$6:T$305,1)+COUNTIFS(T$6:T245,T245)-1)</f>
        <v>112</v>
      </c>
    </row>
    <row r="246" spans="1:21" x14ac:dyDescent="0.4">
      <c r="A246" t="str">
        <f>Data!A246</f>
        <v>JDW</v>
      </c>
      <c r="B246" t="str">
        <f>Data!B246</f>
        <v>Wetherspoons</v>
      </c>
      <c r="C246" t="str">
        <f>Data!D246</f>
        <v>Consumer Discretionary</v>
      </c>
      <c r="D246" t="str">
        <f>Data!E246</f>
        <v>Include</v>
      </c>
      <c r="E246">
        <f>IF($D246&lt;&gt;"Include","",SUM(Data!V246:W246)-SUM(Data!X246))</f>
        <v>0</v>
      </c>
      <c r="F246" t="e">
        <f>IF($D246&lt;&gt;"Include","",SUM(Data!Z246,Data!Y246,Metrics!E246))</f>
        <v>#N/A</v>
      </c>
      <c r="G246" t="str">
        <f>IF($D246&lt;&gt;"Include","",IFERROR(Data!P246-Data!S246,""))</f>
        <v/>
      </c>
      <c r="H246">
        <f>IF($D246&lt;&gt;"Include","",IFERROR(SUM(Data!P246:R246)-SUM(Data!S246:U246),""))</f>
        <v>0</v>
      </c>
      <c r="I246">
        <f>IF($D246&lt;&gt;"Include","",SUM(Data!M246:O246))</f>
        <v>0</v>
      </c>
      <c r="J246" s="7" t="str">
        <f>IF($D246&lt;&gt;"Include","",IFERROR(IF(OR(Data!K246&lt;=0,F246&lt;=0),"n/m",($F246/Data!K246)),""))</f>
        <v/>
      </c>
      <c r="K246" s="9" t="str">
        <f>IF($D246&lt;&gt;"Include","",IFERROR(G246/Data!Z246,""))</f>
        <v/>
      </c>
      <c r="L246" s="9" t="str">
        <f t="shared" si="26"/>
        <v>n/m</v>
      </c>
      <c r="M246" s="7" t="str">
        <f>IF($D246&lt;&gt;"Include","",IFERROR(IF(Data!L246&lt;=0,"n,m",E246/Data!L246),""))</f>
        <v/>
      </c>
      <c r="N246" s="9" t="str">
        <f>IF($D246&lt;&gt;"Include","",IFERROR(IF(OR(Data!I246&lt;=0,Data!J246&lt;=0),"n/m",(Data!I246/Data!J246)^(1/3)-1),""))</f>
        <v/>
      </c>
      <c r="O246">
        <f t="shared" si="21"/>
        <v>119</v>
      </c>
      <c r="P246">
        <f t="shared" si="22"/>
        <v>119</v>
      </c>
      <c r="Q246">
        <f t="shared" si="23"/>
        <v>119</v>
      </c>
      <c r="R246">
        <f t="shared" si="24"/>
        <v>119</v>
      </c>
      <c r="S246">
        <f t="shared" si="25"/>
        <v>119</v>
      </c>
      <c r="T246" s="10">
        <f t="shared" si="27"/>
        <v>119</v>
      </c>
      <c r="U246">
        <f>IF($D246&lt;&gt;"Include","",_xlfn.RANK.EQ(T246,T$6:T$305,1)+COUNTIFS(T$6:T246,T246)-1)</f>
        <v>113</v>
      </c>
    </row>
    <row r="247" spans="1:21" x14ac:dyDescent="0.4">
      <c r="A247" t="str">
        <f>Data!A247</f>
        <v>SMWH</v>
      </c>
      <c r="B247" t="str">
        <f>Data!B247</f>
        <v>WHSmith</v>
      </c>
      <c r="C247" t="str">
        <f>Data!D247</f>
        <v>Consumer Discretionary</v>
      </c>
      <c r="D247" t="str">
        <f>Data!E247</f>
        <v>Include</v>
      </c>
      <c r="E247">
        <f>IF($D247&lt;&gt;"Include","",SUM(Data!V247:W247)-SUM(Data!X247))</f>
        <v>0</v>
      </c>
      <c r="F247" t="e">
        <f>IF($D247&lt;&gt;"Include","",SUM(Data!Z247,Data!Y247,Metrics!E247))</f>
        <v>#N/A</v>
      </c>
      <c r="G247" t="str">
        <f>IF($D247&lt;&gt;"Include","",IFERROR(Data!P247-Data!S247,""))</f>
        <v/>
      </c>
      <c r="H247">
        <f>IF($D247&lt;&gt;"Include","",IFERROR(SUM(Data!P247:R247)-SUM(Data!S247:U247),""))</f>
        <v>0</v>
      </c>
      <c r="I247">
        <f>IF($D247&lt;&gt;"Include","",SUM(Data!M247:O247))</f>
        <v>0</v>
      </c>
      <c r="J247" s="7" t="str">
        <f>IF($D247&lt;&gt;"Include","",IFERROR(IF(OR(Data!K247&lt;=0,F247&lt;=0),"n/m",($F247/Data!K247)),""))</f>
        <v/>
      </c>
      <c r="K247" s="9" t="str">
        <f>IF($D247&lt;&gt;"Include","",IFERROR(G247/Data!Z247,""))</f>
        <v/>
      </c>
      <c r="L247" s="9" t="str">
        <f t="shared" si="26"/>
        <v>n/m</v>
      </c>
      <c r="M247" s="7" t="str">
        <f>IF($D247&lt;&gt;"Include","",IFERROR(IF(Data!L247&lt;=0,"n,m",E247/Data!L247),""))</f>
        <v/>
      </c>
      <c r="N247" s="9" t="str">
        <f>IF($D247&lt;&gt;"Include","",IFERROR(IF(OR(Data!I247&lt;=0,Data!J247&lt;=0),"n/m",(Data!I247/Data!J247)^(1/3)-1),""))</f>
        <v/>
      </c>
      <c r="O247">
        <f t="shared" si="21"/>
        <v>119</v>
      </c>
      <c r="P247">
        <f t="shared" si="22"/>
        <v>119</v>
      </c>
      <c r="Q247">
        <f t="shared" si="23"/>
        <v>119</v>
      </c>
      <c r="R247">
        <f t="shared" si="24"/>
        <v>119</v>
      </c>
      <c r="S247">
        <f t="shared" si="25"/>
        <v>119</v>
      </c>
      <c r="T247" s="10">
        <f t="shared" si="27"/>
        <v>119</v>
      </c>
      <c r="U247">
        <f>IF($D247&lt;&gt;"Include","",_xlfn.RANK.EQ(T247,T$6:T$305,1)+COUNTIFS(T$6:T247,T247)-1)</f>
        <v>114</v>
      </c>
    </row>
    <row r="248" spans="1:21" x14ac:dyDescent="0.4">
      <c r="A248" t="str">
        <f>Data!A248</f>
        <v>WIX</v>
      </c>
      <c r="B248" t="str">
        <f>Data!B248</f>
        <v>Wickes</v>
      </c>
      <c r="C248" t="str">
        <f>Data!D248</f>
        <v>Consumer Discretionary</v>
      </c>
      <c r="D248" t="str">
        <f>Data!E248</f>
        <v>Include</v>
      </c>
      <c r="E248">
        <f>IF($D248&lt;&gt;"Include","",SUM(Data!V248:W248)-SUM(Data!X248))</f>
        <v>0</v>
      </c>
      <c r="F248" t="e">
        <f>IF($D248&lt;&gt;"Include","",SUM(Data!Z248,Data!Y248,Metrics!E248))</f>
        <v>#N/A</v>
      </c>
      <c r="G248" t="str">
        <f>IF($D248&lt;&gt;"Include","",IFERROR(Data!P248-Data!S248,""))</f>
        <v/>
      </c>
      <c r="H248">
        <f>IF($D248&lt;&gt;"Include","",IFERROR(SUM(Data!P248:R248)-SUM(Data!S248:U248),""))</f>
        <v>0</v>
      </c>
      <c r="I248">
        <f>IF($D248&lt;&gt;"Include","",SUM(Data!M248:O248))</f>
        <v>0</v>
      </c>
      <c r="J248" s="7" t="str">
        <f>IF($D248&lt;&gt;"Include","",IFERROR(IF(OR(Data!K248&lt;=0,F248&lt;=0),"n/m",($F248/Data!K248)),""))</f>
        <v/>
      </c>
      <c r="K248" s="9" t="str">
        <f>IF($D248&lt;&gt;"Include","",IFERROR(G248/Data!Z248,""))</f>
        <v/>
      </c>
      <c r="L248" s="9" t="str">
        <f t="shared" si="26"/>
        <v>n/m</v>
      </c>
      <c r="M248" s="7" t="str">
        <f>IF($D248&lt;&gt;"Include","",IFERROR(IF(Data!L248&lt;=0,"n,m",E248/Data!L248),""))</f>
        <v/>
      </c>
      <c r="N248" s="9" t="str">
        <f>IF($D248&lt;&gt;"Include","",IFERROR(IF(OR(Data!I248&lt;=0,Data!J248&lt;=0),"n/m",(Data!I248/Data!J248)^(1/3)-1),""))</f>
        <v/>
      </c>
      <c r="O248">
        <f t="shared" si="21"/>
        <v>119</v>
      </c>
      <c r="P248">
        <f t="shared" si="22"/>
        <v>119</v>
      </c>
      <c r="Q248">
        <f t="shared" si="23"/>
        <v>119</v>
      </c>
      <c r="R248">
        <f t="shared" si="24"/>
        <v>119</v>
      </c>
      <c r="S248">
        <f t="shared" si="25"/>
        <v>119</v>
      </c>
      <c r="T248" s="10">
        <f t="shared" si="27"/>
        <v>119</v>
      </c>
      <c r="U248">
        <f>IF($D248&lt;&gt;"Include","",_xlfn.RANK.EQ(T248,T$6:T$305,1)+COUNTIFS(T$6:T248,T248)-1)</f>
        <v>115</v>
      </c>
    </row>
    <row r="249" spans="1:21" x14ac:dyDescent="0.4">
      <c r="A249" t="str">
        <f>Data!A249</f>
        <v>WIZZ</v>
      </c>
      <c r="B249" t="str">
        <f>Data!B249</f>
        <v>Wizz Air</v>
      </c>
      <c r="C249" t="str">
        <f>Data!D249</f>
        <v>Consumer Discretionary</v>
      </c>
      <c r="D249" t="str">
        <f>Data!E249</f>
        <v>Include</v>
      </c>
      <c r="E249">
        <f>IF($D249&lt;&gt;"Include","",SUM(Data!V249:W249)-SUM(Data!X249))</f>
        <v>0</v>
      </c>
      <c r="F249" t="e">
        <f>IF($D249&lt;&gt;"Include","",SUM(Data!Z249,Data!Y249,Metrics!E249))</f>
        <v>#N/A</v>
      </c>
      <c r="G249" t="str">
        <f>IF($D249&lt;&gt;"Include","",IFERROR(Data!P249-Data!S249,""))</f>
        <v/>
      </c>
      <c r="H249">
        <f>IF($D249&lt;&gt;"Include","",IFERROR(SUM(Data!P249:R249)-SUM(Data!S249:U249),""))</f>
        <v>0</v>
      </c>
      <c r="I249">
        <f>IF($D249&lt;&gt;"Include","",SUM(Data!M249:O249))</f>
        <v>0</v>
      </c>
      <c r="J249" s="7" t="str">
        <f>IF($D249&lt;&gt;"Include","",IFERROR(IF(OR(Data!K249&lt;=0,F249&lt;=0),"n/m",($F249/Data!K249)),""))</f>
        <v/>
      </c>
      <c r="K249" s="9" t="str">
        <f>IF($D249&lt;&gt;"Include","",IFERROR(G249/Data!Z249,""))</f>
        <v/>
      </c>
      <c r="L249" s="9" t="str">
        <f t="shared" si="26"/>
        <v>n/m</v>
      </c>
      <c r="M249" s="7" t="str">
        <f>IF($D249&lt;&gt;"Include","",IFERROR(IF(Data!L249&lt;=0,"n,m",E249/Data!L249),""))</f>
        <v/>
      </c>
      <c r="N249" s="9" t="str">
        <f>IF($D249&lt;&gt;"Include","",IFERROR(IF(OR(Data!I249&lt;=0,Data!J249&lt;=0),"n/m",(Data!I249/Data!J249)^(1/3)-1),""))</f>
        <v/>
      </c>
      <c r="O249">
        <f t="shared" si="21"/>
        <v>119</v>
      </c>
      <c r="P249">
        <f t="shared" si="22"/>
        <v>119</v>
      </c>
      <c r="Q249">
        <f t="shared" si="23"/>
        <v>119</v>
      </c>
      <c r="R249">
        <f t="shared" si="24"/>
        <v>119</v>
      </c>
      <c r="S249">
        <f t="shared" si="25"/>
        <v>119</v>
      </c>
      <c r="T249" s="10">
        <f t="shared" si="27"/>
        <v>119</v>
      </c>
      <c r="U249">
        <f>IF($D249&lt;&gt;"Include","",_xlfn.RANK.EQ(T249,T$6:T$305,1)+COUNTIFS(T$6:T249,T249)-1)</f>
        <v>116</v>
      </c>
    </row>
    <row r="250" spans="1:21" x14ac:dyDescent="0.4">
      <c r="A250" t="str">
        <f>Data!A250</f>
        <v>WKP</v>
      </c>
      <c r="B250" t="str">
        <f>Data!B250</f>
        <v>Workspace Group</v>
      </c>
      <c r="C250" t="str">
        <f>Data!D250</f>
        <v>Real Estate</v>
      </c>
      <c r="D250" t="str">
        <f>Data!E250</f>
        <v>Exclude</v>
      </c>
      <c r="E250" t="str">
        <f>IF($D250&lt;&gt;"Include","",SUM(Data!V250:W250)-SUM(Data!X250))</f>
        <v/>
      </c>
      <c r="F250" t="str">
        <f>IF($D250&lt;&gt;"Include","",SUM(Data!Z250,Data!Y250,Metrics!E250))</f>
        <v/>
      </c>
      <c r="G250" t="str">
        <f>IF($D250&lt;&gt;"Include","",IFERROR(Data!P250-Data!S250,""))</f>
        <v/>
      </c>
      <c r="H250" t="str">
        <f>IF($D250&lt;&gt;"Include","",IFERROR(SUM(Data!P250:R250)-SUM(Data!S250:U250),""))</f>
        <v/>
      </c>
      <c r="I250" t="str">
        <f>IF($D250&lt;&gt;"Include","",SUM(Data!M250:O250))</f>
        <v/>
      </c>
      <c r="J250" s="7" t="str">
        <f>IF($D250&lt;&gt;"Include","",IFERROR(IF(OR(Data!K250&lt;=0,F250&lt;=0),"n/m",($F250/Data!K250)),""))</f>
        <v/>
      </c>
      <c r="K250" s="9" t="str">
        <f>IF($D250&lt;&gt;"Include","",IFERROR(G250/Data!Z250,""))</f>
        <v/>
      </c>
      <c r="L250" s="9" t="str">
        <f t="shared" si="26"/>
        <v/>
      </c>
      <c r="M250" s="7" t="str">
        <f>IF($D250&lt;&gt;"Include","",IFERROR(IF(Data!L250&lt;=0,"n,m",E250/Data!L250),""))</f>
        <v/>
      </c>
      <c r="N250" s="9" t="str">
        <f>IF($D250&lt;&gt;"Include","",IFERROR(IF(OR(Data!I250&lt;=0,Data!J250&lt;=0),"n/m",(Data!I250/Data!J250)^(1/3)-1),""))</f>
        <v/>
      </c>
      <c r="O250" t="str">
        <f t="shared" si="21"/>
        <v/>
      </c>
      <c r="P250" t="str">
        <f t="shared" si="22"/>
        <v/>
      </c>
      <c r="Q250" t="str">
        <f t="shared" si="23"/>
        <v/>
      </c>
      <c r="R250" t="str">
        <f t="shared" si="24"/>
        <v/>
      </c>
      <c r="S250" t="str">
        <f t="shared" si="25"/>
        <v/>
      </c>
      <c r="T250" s="10" t="str">
        <f t="shared" si="27"/>
        <v/>
      </c>
      <c r="U250" t="str">
        <f>IF($D250&lt;&gt;"Include","",_xlfn.RANK.EQ(T250,T$6:T$305,1)+COUNTIFS(T$6:T250,T250)-1)</f>
        <v/>
      </c>
    </row>
    <row r="251" spans="1:21" x14ac:dyDescent="0.4">
      <c r="A251" t="str">
        <f>Data!A251</f>
        <v>WWH</v>
      </c>
      <c r="B251" t="str">
        <f>Data!B251</f>
        <v>Worldwide Healthcare Trust</v>
      </c>
      <c r="C251" t="str">
        <f>Data!D251</f>
        <v>Financials</v>
      </c>
      <c r="D251" t="str">
        <f>Data!E251</f>
        <v>Exclude</v>
      </c>
      <c r="E251" t="str">
        <f>IF($D251&lt;&gt;"Include","",SUM(Data!V251:W251)-SUM(Data!X251))</f>
        <v/>
      </c>
      <c r="F251" t="str">
        <f>IF($D251&lt;&gt;"Include","",SUM(Data!Z251,Data!Y251,Metrics!E251))</f>
        <v/>
      </c>
      <c r="G251" t="str">
        <f>IF($D251&lt;&gt;"Include","",IFERROR(Data!P251-Data!S251,""))</f>
        <v/>
      </c>
      <c r="H251" t="str">
        <f>IF($D251&lt;&gt;"Include","",IFERROR(SUM(Data!P251:R251)-SUM(Data!S251:U251),""))</f>
        <v/>
      </c>
      <c r="I251" t="str">
        <f>IF($D251&lt;&gt;"Include","",SUM(Data!M251:O251))</f>
        <v/>
      </c>
      <c r="J251" s="7" t="str">
        <f>IF($D251&lt;&gt;"Include","",IFERROR(IF(OR(Data!K251&lt;=0,F251&lt;=0),"n/m",($F251/Data!K251)),""))</f>
        <v/>
      </c>
      <c r="K251" s="9" t="str">
        <f>IF($D251&lt;&gt;"Include","",IFERROR(G251/Data!Z251,""))</f>
        <v/>
      </c>
      <c r="L251" s="9" t="str">
        <f t="shared" si="26"/>
        <v/>
      </c>
      <c r="M251" s="7" t="str">
        <f>IF($D251&lt;&gt;"Include","",IFERROR(IF(Data!L251&lt;=0,"n,m",E251/Data!L251),""))</f>
        <v/>
      </c>
      <c r="N251" s="9" t="str">
        <f>IF($D251&lt;&gt;"Include","",IFERROR(IF(OR(Data!I251&lt;=0,Data!J251&lt;=0),"n/m",(Data!I251/Data!J251)^(1/3)-1),""))</f>
        <v/>
      </c>
      <c r="O251" t="str">
        <f t="shared" si="21"/>
        <v/>
      </c>
      <c r="P251" t="str">
        <f t="shared" si="22"/>
        <v/>
      </c>
      <c r="Q251" t="str">
        <f t="shared" si="23"/>
        <v/>
      </c>
      <c r="R251" t="str">
        <f t="shared" si="24"/>
        <v/>
      </c>
      <c r="S251" t="str">
        <f t="shared" si="25"/>
        <v/>
      </c>
      <c r="T251" s="10" t="str">
        <f t="shared" si="27"/>
        <v/>
      </c>
      <c r="U251" t="str">
        <f>IF($D251&lt;&gt;"Include","",_xlfn.RANK.EQ(T251,T$6:T$305,1)+COUNTIFS(T$6:T251,T251)-1)</f>
        <v/>
      </c>
    </row>
    <row r="252" spans="1:21" x14ac:dyDescent="0.4">
      <c r="A252" t="str">
        <f>Data!A252</f>
        <v>XPP</v>
      </c>
      <c r="B252" t="str">
        <f>Data!B252</f>
        <v>XP Power</v>
      </c>
      <c r="C252" t="str">
        <f>Data!D252</f>
        <v>Industrials</v>
      </c>
      <c r="D252" t="str">
        <f>Data!E252</f>
        <v>Include</v>
      </c>
      <c r="E252">
        <f>IF($D252&lt;&gt;"Include","",SUM(Data!V252:W252)-SUM(Data!X252))</f>
        <v>0</v>
      </c>
      <c r="F252" t="e">
        <f>IF($D252&lt;&gt;"Include","",SUM(Data!Z252,Data!Y252,Metrics!E252))</f>
        <v>#N/A</v>
      </c>
      <c r="G252" t="str">
        <f>IF($D252&lt;&gt;"Include","",IFERROR(Data!P252-Data!S252,""))</f>
        <v/>
      </c>
      <c r="H252">
        <f>IF($D252&lt;&gt;"Include","",IFERROR(SUM(Data!P252:R252)-SUM(Data!S252:U252),""))</f>
        <v>0</v>
      </c>
      <c r="I252">
        <f>IF($D252&lt;&gt;"Include","",SUM(Data!M252:O252))</f>
        <v>0</v>
      </c>
      <c r="J252" s="7" t="str">
        <f>IF($D252&lt;&gt;"Include","",IFERROR(IF(OR(Data!K252&lt;=0,F252&lt;=0),"n/m",($F252/Data!K252)),""))</f>
        <v/>
      </c>
      <c r="K252" s="9" t="str">
        <f>IF($D252&lt;&gt;"Include","",IFERROR(G252/Data!Z252,""))</f>
        <v/>
      </c>
      <c r="L252" s="9" t="str">
        <f t="shared" si="26"/>
        <v>n/m</v>
      </c>
      <c r="M252" s="7" t="str">
        <f>IF($D252&lt;&gt;"Include","",IFERROR(IF(Data!L252&lt;=0,"n,m",E252/Data!L252),""))</f>
        <v/>
      </c>
      <c r="N252" s="9" t="str">
        <f>IF($D252&lt;&gt;"Include","",IFERROR(IF(OR(Data!I252&lt;=0,Data!J252&lt;=0),"n/m",(Data!I252/Data!J252)^(1/3)-1),""))</f>
        <v/>
      </c>
      <c r="O252">
        <f t="shared" si="21"/>
        <v>119</v>
      </c>
      <c r="P252">
        <f t="shared" si="22"/>
        <v>119</v>
      </c>
      <c r="Q252">
        <f t="shared" si="23"/>
        <v>119</v>
      </c>
      <c r="R252">
        <f t="shared" si="24"/>
        <v>119</v>
      </c>
      <c r="S252">
        <f t="shared" si="25"/>
        <v>119</v>
      </c>
      <c r="T252" s="10">
        <f t="shared" si="27"/>
        <v>119</v>
      </c>
      <c r="U252">
        <f>IF($D252&lt;&gt;"Include","",_xlfn.RANK.EQ(T252,T$6:T$305,1)+COUNTIFS(T$6:T252,T252)-1)</f>
        <v>117</v>
      </c>
    </row>
    <row r="253" spans="1:21" x14ac:dyDescent="0.4">
      <c r="A253" t="str">
        <f>Data!A253</f>
        <v>XPS</v>
      </c>
      <c r="B253" t="str">
        <f>Data!B253</f>
        <v>XPS Pensions</v>
      </c>
      <c r="C253" t="str">
        <f>Data!D253</f>
        <v>Financials</v>
      </c>
      <c r="D253" t="str">
        <f>Data!E253</f>
        <v>Exclude</v>
      </c>
      <c r="E253" t="str">
        <f>IF($D253&lt;&gt;"Include","",SUM(Data!V253:W253)-SUM(Data!X253))</f>
        <v/>
      </c>
      <c r="F253" t="str">
        <f>IF($D253&lt;&gt;"Include","",SUM(Data!Z253,Data!Y253,Metrics!E253))</f>
        <v/>
      </c>
      <c r="G253" t="str">
        <f>IF($D253&lt;&gt;"Include","",IFERROR(Data!P253-Data!S253,""))</f>
        <v/>
      </c>
      <c r="H253" t="str">
        <f>IF($D253&lt;&gt;"Include","",IFERROR(SUM(Data!P253:R253)-SUM(Data!S253:U253),""))</f>
        <v/>
      </c>
      <c r="I253" t="str">
        <f>IF($D253&lt;&gt;"Include","",SUM(Data!M253:O253))</f>
        <v/>
      </c>
      <c r="J253" s="7" t="str">
        <f>IF($D253&lt;&gt;"Include","",IFERROR(IF(OR(Data!K253&lt;=0,F253&lt;=0),"n/m",($F253/Data!K253)),""))</f>
        <v/>
      </c>
      <c r="K253" s="9" t="str">
        <f>IF($D253&lt;&gt;"Include","",IFERROR(G253/Data!Z253,""))</f>
        <v/>
      </c>
      <c r="L253" s="9" t="str">
        <f t="shared" si="26"/>
        <v/>
      </c>
      <c r="M253" s="7" t="str">
        <f>IF($D253&lt;&gt;"Include","",IFERROR(IF(Data!L253&lt;=0,"n,m",E253/Data!L253),""))</f>
        <v/>
      </c>
      <c r="N253" s="9" t="str">
        <f>IF($D253&lt;&gt;"Include","",IFERROR(IF(OR(Data!I253&lt;=0,Data!J253&lt;=0),"n/m",(Data!I253/Data!J253)^(1/3)-1),""))</f>
        <v/>
      </c>
      <c r="O253" t="str">
        <f t="shared" si="21"/>
        <v/>
      </c>
      <c r="P253" t="str">
        <f t="shared" si="22"/>
        <v/>
      </c>
      <c r="Q253" t="str">
        <f t="shared" si="23"/>
        <v/>
      </c>
      <c r="R253" t="str">
        <f t="shared" si="24"/>
        <v/>
      </c>
      <c r="S253" t="str">
        <f t="shared" si="25"/>
        <v/>
      </c>
      <c r="T253" s="10" t="str">
        <f t="shared" si="27"/>
        <v/>
      </c>
      <c r="U253" t="str">
        <f>IF($D253&lt;&gt;"Include","",_xlfn.RANK.EQ(T253,T$6:T$305,1)+COUNTIFS(T$6:T253,T253)-1)</f>
        <v/>
      </c>
    </row>
    <row r="254" spans="1:21" x14ac:dyDescent="0.4">
      <c r="A254" t="str">
        <f>Data!A254</f>
        <v>YNGA</v>
      </c>
      <c r="B254" t="str">
        <f>Data!B254</f>
        <v>Young's</v>
      </c>
      <c r="C254" t="str">
        <f>Data!D254</f>
        <v>Consumer Discretionary</v>
      </c>
      <c r="D254" t="str">
        <f>Data!E254</f>
        <v>Include</v>
      </c>
      <c r="E254">
        <f>IF($D254&lt;&gt;"Include","",SUM(Data!V254:W254)-SUM(Data!X254))</f>
        <v>0</v>
      </c>
      <c r="F254" t="e">
        <f>IF($D254&lt;&gt;"Include","",SUM(Data!Z254,Data!Y254,Metrics!E254))</f>
        <v>#N/A</v>
      </c>
      <c r="G254" t="str">
        <f>IF($D254&lt;&gt;"Include","",IFERROR(Data!P254-Data!S254,""))</f>
        <v/>
      </c>
      <c r="H254">
        <f>IF($D254&lt;&gt;"Include","",IFERROR(SUM(Data!P254:R254)-SUM(Data!S254:U254),""))</f>
        <v>0</v>
      </c>
      <c r="I254">
        <f>IF($D254&lt;&gt;"Include","",SUM(Data!M254:O254))</f>
        <v>0</v>
      </c>
      <c r="J254" s="7" t="str">
        <f>IF($D254&lt;&gt;"Include","",IFERROR(IF(OR(Data!K254&lt;=0,F254&lt;=0),"n/m",($F254/Data!K254)),""))</f>
        <v/>
      </c>
      <c r="K254" s="9" t="str">
        <f>IF($D254&lt;&gt;"Include","",IFERROR(G254/Data!Z254,""))</f>
        <v/>
      </c>
      <c r="L254" s="9" t="str">
        <f t="shared" si="26"/>
        <v>n/m</v>
      </c>
      <c r="M254" s="7" t="str">
        <f>IF($D254&lt;&gt;"Include","",IFERROR(IF(Data!L254&lt;=0,"n,m",E254/Data!L254),""))</f>
        <v/>
      </c>
      <c r="N254" s="9" t="str">
        <f>IF($D254&lt;&gt;"Include","",IFERROR(IF(OR(Data!I254&lt;=0,Data!J254&lt;=0),"n/m",(Data!I254/Data!J254)^(1/3)-1),""))</f>
        <v/>
      </c>
      <c r="O254">
        <f t="shared" si="21"/>
        <v>119</v>
      </c>
      <c r="P254">
        <f t="shared" si="22"/>
        <v>119</v>
      </c>
      <c r="Q254">
        <f t="shared" si="23"/>
        <v>119</v>
      </c>
      <c r="R254">
        <f t="shared" si="24"/>
        <v>119</v>
      </c>
      <c r="S254">
        <f t="shared" si="25"/>
        <v>119</v>
      </c>
      <c r="T254" s="10">
        <f t="shared" si="27"/>
        <v>119</v>
      </c>
      <c r="U254">
        <f>IF($D254&lt;&gt;"Include","",_xlfn.RANK.EQ(T254,T$6:T$305,1)+COUNTIFS(T$6:T254,T254)-1)</f>
        <v>118</v>
      </c>
    </row>
    <row r="255" spans="1:21" x14ac:dyDescent="0.4">
      <c r="A255" t="str">
        <f>Data!A255</f>
        <v>ZIG</v>
      </c>
      <c r="B255" t="str">
        <f>Data!B255</f>
        <v>Zigup</v>
      </c>
      <c r="C255" t="str">
        <f>Data!D255</f>
        <v>Industrials</v>
      </c>
      <c r="D255" t="str">
        <f>Data!E255</f>
        <v>Include</v>
      </c>
      <c r="E255">
        <f>IF($D255&lt;&gt;"Include","",SUM(Data!V255:W255)-SUM(Data!X255))</f>
        <v>0</v>
      </c>
      <c r="F255" t="e">
        <f>IF($D255&lt;&gt;"Include","",SUM(Data!Z255,Data!Y255,Metrics!E255))</f>
        <v>#N/A</v>
      </c>
      <c r="G255" t="str">
        <f>IF($D255&lt;&gt;"Include","",IFERROR(Data!P255-Data!S255,""))</f>
        <v/>
      </c>
      <c r="H255">
        <f>IF($D255&lt;&gt;"Include","",IFERROR(SUM(Data!P255:R255)-SUM(Data!S255:U255),""))</f>
        <v>0</v>
      </c>
      <c r="I255">
        <f>IF($D255&lt;&gt;"Include","",SUM(Data!M255:O255))</f>
        <v>0</v>
      </c>
      <c r="J255" s="7" t="str">
        <f>IF($D255&lt;&gt;"Include","",IFERROR(IF(OR(Data!K255&lt;=0,F255&lt;=0),"n/m",($F255/Data!K255)),""))</f>
        <v/>
      </c>
      <c r="K255" s="9" t="str">
        <f>IF($D255&lt;&gt;"Include","",IFERROR(G255/Data!Z255,""))</f>
        <v/>
      </c>
      <c r="L255" s="9" t="str">
        <f t="shared" si="26"/>
        <v>n/m</v>
      </c>
      <c r="M255" s="7" t="str">
        <f>IF($D255&lt;&gt;"Include","",IFERROR(IF(Data!L255&lt;=0,"n,m",E255/Data!L255),""))</f>
        <v/>
      </c>
      <c r="N255" s="9" t="str">
        <f>IF($D255&lt;&gt;"Include","",IFERROR(IF(OR(Data!I255&lt;=0,Data!J255&lt;=0),"n/m",(Data!I255/Data!J255)^(1/3)-1),""))</f>
        <v/>
      </c>
      <c r="O255">
        <f t="shared" si="21"/>
        <v>119</v>
      </c>
      <c r="P255">
        <f t="shared" si="22"/>
        <v>119</v>
      </c>
      <c r="Q255">
        <f t="shared" si="23"/>
        <v>119</v>
      </c>
      <c r="R255">
        <f t="shared" si="24"/>
        <v>119</v>
      </c>
      <c r="S255">
        <f t="shared" si="25"/>
        <v>119</v>
      </c>
      <c r="T255" s="10">
        <f t="shared" si="27"/>
        <v>119</v>
      </c>
      <c r="U255">
        <f>IF($D255&lt;&gt;"Include","",_xlfn.RANK.EQ(T255,T$6:T$305,1)+COUNTIFS(T$6:T255,T255)-1)</f>
        <v>119</v>
      </c>
    </row>
    <row r="256" spans="1:21" x14ac:dyDescent="0.4">
      <c r="A256" t="str">
        <f>Data!A256</f>
        <v/>
      </c>
      <c r="B256" t="str">
        <f>Data!B256</f>
        <v/>
      </c>
      <c r="C256" t="str">
        <f>Data!D256</f>
        <v/>
      </c>
      <c r="D256" t="str">
        <f>Data!E256</f>
        <v/>
      </c>
      <c r="E256" t="str">
        <f>IF($D256&lt;&gt;"Include","",SUM(Data!V256:W256)-SUM(Data!X256))</f>
        <v/>
      </c>
      <c r="F256" t="str">
        <f>IF($D256&lt;&gt;"Include","",SUM(Data!Z256,Data!Y256,Metrics!E256))</f>
        <v/>
      </c>
      <c r="G256" t="str">
        <f>IF($D256&lt;&gt;"Include","",IFERROR(Data!P256-Data!S256,""))</f>
        <v/>
      </c>
      <c r="H256" t="str">
        <f>IF($D256&lt;&gt;"Include","",IFERROR(SUM(Data!P256:R256)-SUM(Data!S256:U256),""))</f>
        <v/>
      </c>
      <c r="I256" t="str">
        <f>IF($D256&lt;&gt;"Include","",SUM(Data!M256:O256))</f>
        <v/>
      </c>
      <c r="J256" s="7" t="str">
        <f>IF($D256&lt;&gt;"Include","",IFERROR(IF(OR(Data!K256&lt;=0,F256&lt;=0),"n/m",($F256/Data!K256)),""))</f>
        <v/>
      </c>
      <c r="K256" s="9" t="str">
        <f>IF($D256&lt;&gt;"Include","",IFERROR(G256/Data!Z256,""))</f>
        <v/>
      </c>
      <c r="L256" s="9" t="str">
        <f t="shared" si="26"/>
        <v/>
      </c>
      <c r="M256" s="7" t="str">
        <f>IF($D256&lt;&gt;"Include","",IFERROR(IF(Data!L256&lt;=0,"n,m",E256/Data!L256),""))</f>
        <v/>
      </c>
      <c r="N256" s="9" t="str">
        <f>IF($D256&lt;&gt;"Include","",IFERROR(IF(OR(Data!I256&lt;=0,Data!J256&lt;=0),"n/m",(Data!I256/Data!J256)^(1/3)-1),""))</f>
        <v/>
      </c>
      <c r="O256" t="str">
        <f t="shared" si="21"/>
        <v/>
      </c>
      <c r="P256" t="str">
        <f t="shared" si="22"/>
        <v/>
      </c>
      <c r="Q256" t="str">
        <f t="shared" si="23"/>
        <v/>
      </c>
      <c r="R256" t="str">
        <f t="shared" si="24"/>
        <v/>
      </c>
      <c r="S256" t="str">
        <f t="shared" si="25"/>
        <v/>
      </c>
      <c r="T256" s="10" t="str">
        <f t="shared" si="27"/>
        <v/>
      </c>
      <c r="U256" t="str">
        <f>IF($D256&lt;&gt;"Include","",_xlfn.RANK.EQ(T256,T$6:T$305,1)+COUNTIFS(T$6:T256,T256)-1)</f>
        <v/>
      </c>
    </row>
    <row r="257" spans="1:21" x14ac:dyDescent="0.4">
      <c r="A257" t="str">
        <f>Data!A257</f>
        <v/>
      </c>
      <c r="B257" t="str">
        <f>Data!B257</f>
        <v/>
      </c>
      <c r="C257" t="str">
        <f>Data!D257</f>
        <v/>
      </c>
      <c r="D257" t="str">
        <f>Data!E257</f>
        <v/>
      </c>
      <c r="E257" t="str">
        <f>IF($D257&lt;&gt;"Include","",SUM(Data!V257:W257)-SUM(Data!X257))</f>
        <v/>
      </c>
      <c r="F257" t="str">
        <f>IF($D257&lt;&gt;"Include","",SUM(Data!Z257,Data!Y257,Metrics!E257))</f>
        <v/>
      </c>
      <c r="G257" t="str">
        <f>IF($D257&lt;&gt;"Include","",IFERROR(Data!P257-Data!S257,""))</f>
        <v/>
      </c>
      <c r="H257" t="str">
        <f>IF($D257&lt;&gt;"Include","",IFERROR(SUM(Data!P257:R257)-SUM(Data!S257:U257),""))</f>
        <v/>
      </c>
      <c r="I257" t="str">
        <f>IF($D257&lt;&gt;"Include","",SUM(Data!M257:O257))</f>
        <v/>
      </c>
      <c r="J257" s="7" t="str">
        <f>IF($D257&lt;&gt;"Include","",IFERROR(IF(OR(Data!K257&lt;=0,F257&lt;=0),"n/m",($F257/Data!K257)),""))</f>
        <v/>
      </c>
      <c r="K257" s="9" t="str">
        <f>IF($D257&lt;&gt;"Include","",IFERROR(G257/Data!Z257,""))</f>
        <v/>
      </c>
      <c r="L257" s="9" t="str">
        <f t="shared" si="26"/>
        <v/>
      </c>
      <c r="M257" s="7" t="str">
        <f>IF($D257&lt;&gt;"Include","",IFERROR(IF(Data!L257&lt;=0,"n,m",E257/Data!L257),""))</f>
        <v/>
      </c>
      <c r="N257" s="9" t="str">
        <f>IF($D257&lt;&gt;"Include","",IFERROR(IF(OR(Data!I257&lt;=0,Data!J257&lt;=0),"n/m",(Data!I257/Data!J257)^(1/3)-1),""))</f>
        <v/>
      </c>
      <c r="O257" t="str">
        <f t="shared" si="21"/>
        <v/>
      </c>
      <c r="P257" t="str">
        <f t="shared" si="22"/>
        <v/>
      </c>
      <c r="Q257" t="str">
        <f t="shared" si="23"/>
        <v/>
      </c>
      <c r="R257" t="str">
        <f t="shared" si="24"/>
        <v/>
      </c>
      <c r="S257" t="str">
        <f t="shared" si="25"/>
        <v/>
      </c>
      <c r="T257" s="10" t="str">
        <f t="shared" si="27"/>
        <v/>
      </c>
      <c r="U257" t="str">
        <f>IF($D257&lt;&gt;"Include","",_xlfn.RANK.EQ(T257,T$6:T$305,1)+COUNTIFS(T$6:T257,T257)-1)</f>
        <v/>
      </c>
    </row>
    <row r="258" spans="1:21" x14ac:dyDescent="0.4">
      <c r="A258" t="str">
        <f>Data!A258</f>
        <v/>
      </c>
      <c r="B258" t="str">
        <f>Data!B258</f>
        <v/>
      </c>
      <c r="C258" t="str">
        <f>Data!D258</f>
        <v/>
      </c>
      <c r="D258" t="str">
        <f>Data!E258</f>
        <v/>
      </c>
      <c r="E258" t="str">
        <f>IF($D258&lt;&gt;"Include","",SUM(Data!V258:W258)-SUM(Data!X258))</f>
        <v/>
      </c>
      <c r="F258" t="str">
        <f>IF($D258&lt;&gt;"Include","",SUM(Data!Z258,Data!Y258,Metrics!E258))</f>
        <v/>
      </c>
      <c r="G258" t="str">
        <f>IF($D258&lt;&gt;"Include","",IFERROR(Data!P258-Data!S258,""))</f>
        <v/>
      </c>
      <c r="H258" t="str">
        <f>IF($D258&lt;&gt;"Include","",IFERROR(SUM(Data!P258:R258)-SUM(Data!S258:U258),""))</f>
        <v/>
      </c>
      <c r="I258" t="str">
        <f>IF($D258&lt;&gt;"Include","",SUM(Data!M258:O258))</f>
        <v/>
      </c>
      <c r="J258" s="7" t="str">
        <f>IF($D258&lt;&gt;"Include","",IFERROR(IF(OR(Data!K258&lt;=0,F258&lt;=0),"n/m",($F258/Data!K258)),""))</f>
        <v/>
      </c>
      <c r="K258" s="9" t="str">
        <f>IF($D258&lt;&gt;"Include","",IFERROR(G258/Data!Z258,""))</f>
        <v/>
      </c>
      <c r="L258" s="9" t="str">
        <f t="shared" si="26"/>
        <v/>
      </c>
      <c r="M258" s="7" t="str">
        <f>IF($D258&lt;&gt;"Include","",IFERROR(IF(Data!L258&lt;=0,"n,m",E258/Data!L258),""))</f>
        <v/>
      </c>
      <c r="N258" s="9" t="str">
        <f>IF($D258&lt;&gt;"Include","",IFERROR(IF(OR(Data!I258&lt;=0,Data!J258&lt;=0),"n/m",(Data!I258/Data!J258)^(1/3)-1),""))</f>
        <v/>
      </c>
      <c r="O258" t="str">
        <f t="shared" si="21"/>
        <v/>
      </c>
      <c r="P258" t="str">
        <f t="shared" si="22"/>
        <v/>
      </c>
      <c r="Q258" t="str">
        <f t="shared" si="23"/>
        <v/>
      </c>
      <c r="R258" t="str">
        <f t="shared" si="24"/>
        <v/>
      </c>
      <c r="S258" t="str">
        <f t="shared" si="25"/>
        <v/>
      </c>
      <c r="T258" s="10" t="str">
        <f t="shared" si="27"/>
        <v/>
      </c>
      <c r="U258" t="str">
        <f>IF($D258&lt;&gt;"Include","",_xlfn.RANK.EQ(T258,T$6:T$305,1)+COUNTIFS(T$6:T258,T258)-1)</f>
        <v/>
      </c>
    </row>
    <row r="259" spans="1:21" x14ac:dyDescent="0.4">
      <c r="A259" t="str">
        <f>Data!A259</f>
        <v/>
      </c>
      <c r="B259" t="str">
        <f>Data!B259</f>
        <v/>
      </c>
      <c r="C259" t="str">
        <f>Data!D259</f>
        <v/>
      </c>
      <c r="D259" t="str">
        <f>Data!E259</f>
        <v/>
      </c>
      <c r="E259" t="str">
        <f>IF($D259&lt;&gt;"Include","",SUM(Data!V259:W259)-SUM(Data!X259))</f>
        <v/>
      </c>
      <c r="F259" t="str">
        <f>IF($D259&lt;&gt;"Include","",SUM(Data!Z259,Data!Y259,Metrics!E259))</f>
        <v/>
      </c>
      <c r="G259" t="str">
        <f>IF($D259&lt;&gt;"Include","",IFERROR(Data!P259-Data!S259,""))</f>
        <v/>
      </c>
      <c r="H259" t="str">
        <f>IF($D259&lt;&gt;"Include","",IFERROR(SUM(Data!P259:R259)-SUM(Data!S259:U259),""))</f>
        <v/>
      </c>
      <c r="I259" t="str">
        <f>IF($D259&lt;&gt;"Include","",SUM(Data!M259:O259))</f>
        <v/>
      </c>
      <c r="J259" s="7" t="str">
        <f>IF($D259&lt;&gt;"Include","",IFERROR(IF(OR(Data!K259&lt;=0,F259&lt;=0),"n/m",($F259/Data!K259)),""))</f>
        <v/>
      </c>
      <c r="K259" s="9" t="str">
        <f>IF($D259&lt;&gt;"Include","",IFERROR(G259/Data!Z259,""))</f>
        <v/>
      </c>
      <c r="L259" s="9" t="str">
        <f t="shared" si="26"/>
        <v/>
      </c>
      <c r="M259" s="7" t="str">
        <f>IF($D259&lt;&gt;"Include","",IFERROR(IF(Data!L259&lt;=0,"n,m",E259/Data!L259),""))</f>
        <v/>
      </c>
      <c r="N259" s="9" t="str">
        <f>IF($D259&lt;&gt;"Include","",IFERROR(IF(OR(Data!I259&lt;=0,Data!J259&lt;=0),"n/m",(Data!I259/Data!J259)^(1/3)-1),""))</f>
        <v/>
      </c>
      <c r="O259" t="str">
        <f t="shared" si="21"/>
        <v/>
      </c>
      <c r="P259" t="str">
        <f t="shared" si="22"/>
        <v/>
      </c>
      <c r="Q259" t="str">
        <f t="shared" si="23"/>
        <v/>
      </c>
      <c r="R259" t="str">
        <f t="shared" si="24"/>
        <v/>
      </c>
      <c r="S259" t="str">
        <f t="shared" si="25"/>
        <v/>
      </c>
      <c r="T259" s="10" t="str">
        <f t="shared" si="27"/>
        <v/>
      </c>
      <c r="U259" t="str">
        <f>IF($D259&lt;&gt;"Include","",_xlfn.RANK.EQ(T259,T$6:T$305,1)+COUNTIFS(T$6:T259,T259)-1)</f>
        <v/>
      </c>
    </row>
    <row r="260" spans="1:21" x14ac:dyDescent="0.4">
      <c r="A260" t="str">
        <f>Data!A260</f>
        <v/>
      </c>
      <c r="B260" t="str">
        <f>Data!B260</f>
        <v/>
      </c>
      <c r="C260" t="str">
        <f>Data!D260</f>
        <v/>
      </c>
      <c r="D260" t="str">
        <f>Data!E260</f>
        <v/>
      </c>
      <c r="E260" t="str">
        <f>IF($D260&lt;&gt;"Include","",SUM(Data!V260:W260)-SUM(Data!X260))</f>
        <v/>
      </c>
      <c r="F260" t="str">
        <f>IF($D260&lt;&gt;"Include","",SUM(Data!Z260,Data!Y260,Metrics!E260))</f>
        <v/>
      </c>
      <c r="G260" t="str">
        <f>IF($D260&lt;&gt;"Include","",IFERROR(Data!P260-Data!S260,""))</f>
        <v/>
      </c>
      <c r="H260" t="str">
        <f>IF($D260&lt;&gt;"Include","",IFERROR(SUM(Data!P260:R260)-SUM(Data!S260:U260),""))</f>
        <v/>
      </c>
      <c r="I260" t="str">
        <f>IF($D260&lt;&gt;"Include","",SUM(Data!M260:O260))</f>
        <v/>
      </c>
      <c r="J260" s="7" t="str">
        <f>IF($D260&lt;&gt;"Include","",IFERROR(IF(OR(Data!K260&lt;=0,F260&lt;=0),"n/m",($F260/Data!K260)),""))</f>
        <v/>
      </c>
      <c r="K260" s="9" t="str">
        <f>IF($D260&lt;&gt;"Include","",IFERROR(G260/Data!Z260,""))</f>
        <v/>
      </c>
      <c r="L260" s="9" t="str">
        <f t="shared" si="26"/>
        <v/>
      </c>
      <c r="M260" s="7" t="str">
        <f>IF($D260&lt;&gt;"Include","",IFERROR(IF(Data!L260&lt;=0,"n,m",E260/Data!L260),""))</f>
        <v/>
      </c>
      <c r="N260" s="9" t="str">
        <f>IF($D260&lt;&gt;"Include","",IFERROR(IF(OR(Data!I260&lt;=0,Data!J260&lt;=0),"n/m",(Data!I260/Data!J260)^(1/3)-1),""))</f>
        <v/>
      </c>
      <c r="O260" t="str">
        <f t="shared" si="21"/>
        <v/>
      </c>
      <c r="P260" t="str">
        <f t="shared" si="22"/>
        <v/>
      </c>
      <c r="Q260" t="str">
        <f t="shared" si="23"/>
        <v/>
      </c>
      <c r="R260" t="str">
        <f t="shared" si="24"/>
        <v/>
      </c>
      <c r="S260" t="str">
        <f t="shared" si="25"/>
        <v/>
      </c>
      <c r="T260" s="10" t="str">
        <f t="shared" si="27"/>
        <v/>
      </c>
      <c r="U260" t="str">
        <f>IF($D260&lt;&gt;"Include","",_xlfn.RANK.EQ(T260,T$6:T$305,1)+COUNTIFS(T$6:T260,T260)-1)</f>
        <v/>
      </c>
    </row>
    <row r="261" spans="1:21" x14ac:dyDescent="0.4">
      <c r="A261" t="str">
        <f>Data!A261</f>
        <v/>
      </c>
      <c r="B261" t="str">
        <f>Data!B261</f>
        <v/>
      </c>
      <c r="C261" t="str">
        <f>Data!D261</f>
        <v/>
      </c>
      <c r="D261" t="str">
        <f>Data!E261</f>
        <v/>
      </c>
      <c r="E261" t="str">
        <f>IF($D261&lt;&gt;"Include","",SUM(Data!V261:W261)-SUM(Data!X261))</f>
        <v/>
      </c>
      <c r="F261" t="str">
        <f>IF($D261&lt;&gt;"Include","",SUM(Data!Z261,Data!Y261,Metrics!E261))</f>
        <v/>
      </c>
      <c r="G261" t="str">
        <f>IF($D261&lt;&gt;"Include","",IFERROR(Data!P261-Data!S261,""))</f>
        <v/>
      </c>
      <c r="H261" t="str">
        <f>IF($D261&lt;&gt;"Include","",IFERROR(SUM(Data!P261:R261)-SUM(Data!S261:U261),""))</f>
        <v/>
      </c>
      <c r="I261" t="str">
        <f>IF($D261&lt;&gt;"Include","",SUM(Data!M261:O261))</f>
        <v/>
      </c>
      <c r="J261" s="7" t="str">
        <f>IF($D261&lt;&gt;"Include","",IFERROR(IF(OR(Data!K261&lt;=0,F261&lt;=0),"n/m",($F261/Data!K261)),""))</f>
        <v/>
      </c>
      <c r="K261" s="9" t="str">
        <f>IF($D261&lt;&gt;"Include","",IFERROR(G261/Data!Z261,""))</f>
        <v/>
      </c>
      <c r="L261" s="9" t="str">
        <f t="shared" si="26"/>
        <v/>
      </c>
      <c r="M261" s="7" t="str">
        <f>IF($D261&lt;&gt;"Include","",IFERROR(IF(Data!L261&lt;=0,"n,m",E261/Data!L261),""))</f>
        <v/>
      </c>
      <c r="N261" s="9" t="str">
        <f>IF($D261&lt;&gt;"Include","",IFERROR(IF(OR(Data!I261&lt;=0,Data!J261&lt;=0),"n/m",(Data!I261/Data!J261)^(1/3)-1),""))</f>
        <v/>
      </c>
      <c r="O261" t="str">
        <f t="shared" si="21"/>
        <v/>
      </c>
      <c r="P261" t="str">
        <f t="shared" si="22"/>
        <v/>
      </c>
      <c r="Q261" t="str">
        <f t="shared" si="23"/>
        <v/>
      </c>
      <c r="R261" t="str">
        <f t="shared" si="24"/>
        <v/>
      </c>
      <c r="S261" t="str">
        <f t="shared" si="25"/>
        <v/>
      </c>
      <c r="T261" s="10" t="str">
        <f t="shared" si="27"/>
        <v/>
      </c>
      <c r="U261" t="str">
        <f>IF($D261&lt;&gt;"Include","",_xlfn.RANK.EQ(T261,T$6:T$305,1)+COUNTIFS(T$6:T261,T261)-1)</f>
        <v/>
      </c>
    </row>
    <row r="262" spans="1:21" x14ac:dyDescent="0.4">
      <c r="A262" t="str">
        <f>Data!A262</f>
        <v/>
      </c>
      <c r="B262" t="str">
        <f>Data!B262</f>
        <v/>
      </c>
      <c r="C262" t="str">
        <f>Data!D262</f>
        <v/>
      </c>
      <c r="D262" t="str">
        <f>Data!E262</f>
        <v/>
      </c>
      <c r="E262" t="str">
        <f>IF($D262&lt;&gt;"Include","",SUM(Data!V262:W262)-SUM(Data!X262))</f>
        <v/>
      </c>
      <c r="F262" t="str">
        <f>IF($D262&lt;&gt;"Include","",SUM(Data!Z262,Data!Y262,Metrics!E262))</f>
        <v/>
      </c>
      <c r="G262" t="str">
        <f>IF($D262&lt;&gt;"Include","",IFERROR(Data!P262-Data!S262,""))</f>
        <v/>
      </c>
      <c r="H262" t="str">
        <f>IF($D262&lt;&gt;"Include","",IFERROR(SUM(Data!P262:R262)-SUM(Data!S262:U262),""))</f>
        <v/>
      </c>
      <c r="I262" t="str">
        <f>IF($D262&lt;&gt;"Include","",SUM(Data!M262:O262))</f>
        <v/>
      </c>
      <c r="J262" s="7" t="str">
        <f>IF($D262&lt;&gt;"Include","",IFERROR(IF(OR(Data!K262&lt;=0,F262&lt;=0),"n/m",($F262/Data!K262)),""))</f>
        <v/>
      </c>
      <c r="K262" s="9" t="str">
        <f>IF($D262&lt;&gt;"Include","",IFERROR(G262/Data!Z262,""))</f>
        <v/>
      </c>
      <c r="L262" s="9" t="str">
        <f t="shared" si="26"/>
        <v/>
      </c>
      <c r="M262" s="7" t="str">
        <f>IF($D262&lt;&gt;"Include","",IFERROR(IF(Data!L262&lt;=0,"n,m",E262/Data!L262),""))</f>
        <v/>
      </c>
      <c r="N262" s="9" t="str">
        <f>IF($D262&lt;&gt;"Include","",IFERROR(IF(OR(Data!I262&lt;=0,Data!J262&lt;=0),"n/m",(Data!I262/Data!J262)^(1/3)-1),""))</f>
        <v/>
      </c>
      <c r="O262" t="str">
        <f t="shared" ref="O262:O305" si="28">IF($D262&lt;&gt;"Include","",IF(ISNUMBER(J262),_xlfn.RANK.EQ(J262,J$6:J$305,O$4),N_Co))</f>
        <v/>
      </c>
      <c r="P262" t="str">
        <f t="shared" ref="P262:P305" si="29">IF($D262&lt;&gt;"Include","",IF(ISNUMBER(K262),_xlfn.RANK.EQ(K262,K$6:K$305,P$4),N_Co))</f>
        <v/>
      </c>
      <c r="Q262" t="str">
        <f t="shared" ref="Q262:Q305" si="30">IF($D262&lt;&gt;"Include","",IF(ISNUMBER(L262),_xlfn.RANK.EQ(L262,L$6:L$305,Q$4),N_Co))</f>
        <v/>
      </c>
      <c r="R262" t="str">
        <f t="shared" ref="R262:R305" si="31">IF($D262&lt;&gt;"Include","",IF(ISNUMBER(M262),_xlfn.RANK.EQ(M262,M$6:M$305,R$4),N_Co))</f>
        <v/>
      </c>
      <c r="S262" t="str">
        <f t="shared" ref="S262:S305" si="32">IF($D262&lt;&gt;"Include","",IF(ISNUMBER(N262),_xlfn.RANK.EQ(N262,N$6:N$305,S$4),N_Co))</f>
        <v/>
      </c>
      <c r="T262" s="10" t="str">
        <f t="shared" si="27"/>
        <v/>
      </c>
      <c r="U262" t="str">
        <f>IF($D262&lt;&gt;"Include","",_xlfn.RANK.EQ(T262,T$6:T$305,1)+COUNTIFS(T$6:T262,T262)-1)</f>
        <v/>
      </c>
    </row>
    <row r="263" spans="1:21" x14ac:dyDescent="0.4">
      <c r="A263" t="str">
        <f>Data!A263</f>
        <v/>
      </c>
      <c r="B263" t="str">
        <f>Data!B263</f>
        <v/>
      </c>
      <c r="C263" t="str">
        <f>Data!D263</f>
        <v/>
      </c>
      <c r="D263" t="str">
        <f>Data!E263</f>
        <v/>
      </c>
      <c r="E263" t="str">
        <f>IF($D263&lt;&gt;"Include","",SUM(Data!V263:W263)-SUM(Data!X263))</f>
        <v/>
      </c>
      <c r="F263" t="str">
        <f>IF($D263&lt;&gt;"Include","",SUM(Data!Z263,Data!Y263,Metrics!E263))</f>
        <v/>
      </c>
      <c r="G263" t="str">
        <f>IF($D263&lt;&gt;"Include","",IFERROR(Data!P263-Data!S263,""))</f>
        <v/>
      </c>
      <c r="H263" t="str">
        <f>IF($D263&lt;&gt;"Include","",IFERROR(SUM(Data!P263:R263)-SUM(Data!S263:U263),""))</f>
        <v/>
      </c>
      <c r="I263" t="str">
        <f>IF($D263&lt;&gt;"Include","",SUM(Data!M263:O263))</f>
        <v/>
      </c>
      <c r="J263" s="7" t="str">
        <f>IF($D263&lt;&gt;"Include","",IFERROR(IF(OR(Data!K263&lt;=0,F263&lt;=0),"n/m",($F263/Data!K263)),""))</f>
        <v/>
      </c>
      <c r="K263" s="9" t="str">
        <f>IF($D263&lt;&gt;"Include","",IFERROR(G263/Data!Z263,""))</f>
        <v/>
      </c>
      <c r="L263" s="9" t="str">
        <f t="shared" ref="L263:L305" si="33">IF($D263&lt;&gt;"Include","",IFERROR(IF(I263&lt;=0,"n/m",H263/I263),""))</f>
        <v/>
      </c>
      <c r="M263" s="7" t="str">
        <f>IF($D263&lt;&gt;"Include","",IFERROR(IF(Data!L263&lt;=0,"n,m",E263/Data!L263),""))</f>
        <v/>
      </c>
      <c r="N263" s="9" t="str">
        <f>IF($D263&lt;&gt;"Include","",IFERROR(IF(OR(Data!I263&lt;=0,Data!J263&lt;=0),"n/m",(Data!I263/Data!J263)^(1/3)-1),""))</f>
        <v/>
      </c>
      <c r="O263" t="str">
        <f t="shared" si="28"/>
        <v/>
      </c>
      <c r="P263" t="str">
        <f t="shared" si="29"/>
        <v/>
      </c>
      <c r="Q263" t="str">
        <f t="shared" si="30"/>
        <v/>
      </c>
      <c r="R263" t="str">
        <f t="shared" si="31"/>
        <v/>
      </c>
      <c r="S263" t="str">
        <f t="shared" si="32"/>
        <v/>
      </c>
      <c r="T263" s="10" t="str">
        <f t="shared" ref="T263:T305" si="34">IF($D263&lt;&gt;"Include","",ROUND(SUMPRODUCT(O263:S263,$O$3:$S$3),6))</f>
        <v/>
      </c>
      <c r="U263" t="str">
        <f>IF($D263&lt;&gt;"Include","",_xlfn.RANK.EQ(T263,T$6:T$305,1)+COUNTIFS(T$6:T263,T263)-1)</f>
        <v/>
      </c>
    </row>
    <row r="264" spans="1:21" x14ac:dyDescent="0.4">
      <c r="A264" t="str">
        <f>Data!A264</f>
        <v/>
      </c>
      <c r="B264" t="str">
        <f>Data!B264</f>
        <v/>
      </c>
      <c r="C264" t="str">
        <f>Data!D264</f>
        <v/>
      </c>
      <c r="D264" t="str">
        <f>Data!E264</f>
        <v/>
      </c>
      <c r="E264" t="str">
        <f>IF($D264&lt;&gt;"Include","",SUM(Data!V264:W264)-SUM(Data!X264))</f>
        <v/>
      </c>
      <c r="F264" t="str">
        <f>IF($D264&lt;&gt;"Include","",SUM(Data!Z264,Data!Y264,Metrics!E264))</f>
        <v/>
      </c>
      <c r="G264" t="str">
        <f>IF($D264&lt;&gt;"Include","",IFERROR(Data!P264-Data!S264,""))</f>
        <v/>
      </c>
      <c r="H264" t="str">
        <f>IF($D264&lt;&gt;"Include","",IFERROR(SUM(Data!P264:R264)-SUM(Data!S264:U264),""))</f>
        <v/>
      </c>
      <c r="I264" t="str">
        <f>IF($D264&lt;&gt;"Include","",SUM(Data!M264:O264))</f>
        <v/>
      </c>
      <c r="J264" s="7" t="str">
        <f>IF($D264&lt;&gt;"Include","",IFERROR(IF(OR(Data!K264&lt;=0,F264&lt;=0),"n/m",($F264/Data!K264)),""))</f>
        <v/>
      </c>
      <c r="K264" s="9" t="str">
        <f>IF($D264&lt;&gt;"Include","",IFERROR(G264/Data!Z264,""))</f>
        <v/>
      </c>
      <c r="L264" s="9" t="str">
        <f t="shared" si="33"/>
        <v/>
      </c>
      <c r="M264" s="7" t="str">
        <f>IF($D264&lt;&gt;"Include","",IFERROR(IF(Data!L264&lt;=0,"n,m",E264/Data!L264),""))</f>
        <v/>
      </c>
      <c r="N264" s="9" t="str">
        <f>IF($D264&lt;&gt;"Include","",IFERROR(IF(OR(Data!I264&lt;=0,Data!J264&lt;=0),"n/m",(Data!I264/Data!J264)^(1/3)-1),""))</f>
        <v/>
      </c>
      <c r="O264" t="str">
        <f t="shared" si="28"/>
        <v/>
      </c>
      <c r="P264" t="str">
        <f t="shared" si="29"/>
        <v/>
      </c>
      <c r="Q264" t="str">
        <f t="shared" si="30"/>
        <v/>
      </c>
      <c r="R264" t="str">
        <f t="shared" si="31"/>
        <v/>
      </c>
      <c r="S264" t="str">
        <f t="shared" si="32"/>
        <v/>
      </c>
      <c r="T264" s="10" t="str">
        <f t="shared" si="34"/>
        <v/>
      </c>
      <c r="U264" t="str">
        <f>IF($D264&lt;&gt;"Include","",_xlfn.RANK.EQ(T264,T$6:T$305,1)+COUNTIFS(T$6:T264,T264)-1)</f>
        <v/>
      </c>
    </row>
    <row r="265" spans="1:21" x14ac:dyDescent="0.4">
      <c r="A265" t="str">
        <f>Data!A265</f>
        <v/>
      </c>
      <c r="B265" t="str">
        <f>Data!B265</f>
        <v/>
      </c>
      <c r="C265" t="str">
        <f>Data!D265</f>
        <v/>
      </c>
      <c r="D265" t="str">
        <f>Data!E265</f>
        <v/>
      </c>
      <c r="E265" t="str">
        <f>IF($D265&lt;&gt;"Include","",SUM(Data!V265:W265)-SUM(Data!X265))</f>
        <v/>
      </c>
      <c r="F265" t="str">
        <f>IF($D265&lt;&gt;"Include","",SUM(Data!Z265,Data!Y265,Metrics!E265))</f>
        <v/>
      </c>
      <c r="G265" t="str">
        <f>IF($D265&lt;&gt;"Include","",IFERROR(Data!P265-Data!S265,""))</f>
        <v/>
      </c>
      <c r="H265" t="str">
        <f>IF($D265&lt;&gt;"Include","",IFERROR(SUM(Data!P265:R265)-SUM(Data!S265:U265),""))</f>
        <v/>
      </c>
      <c r="I265" t="str">
        <f>IF($D265&lt;&gt;"Include","",SUM(Data!M265:O265))</f>
        <v/>
      </c>
      <c r="J265" s="7" t="str">
        <f>IF($D265&lt;&gt;"Include","",IFERROR(IF(OR(Data!K265&lt;=0,F265&lt;=0),"n/m",($F265/Data!K265)),""))</f>
        <v/>
      </c>
      <c r="K265" s="9" t="str">
        <f>IF($D265&lt;&gt;"Include","",IFERROR(G265/Data!Z265,""))</f>
        <v/>
      </c>
      <c r="L265" s="9" t="str">
        <f t="shared" si="33"/>
        <v/>
      </c>
      <c r="M265" s="7" t="str">
        <f>IF($D265&lt;&gt;"Include","",IFERROR(IF(Data!L265&lt;=0,"n,m",E265/Data!L265),""))</f>
        <v/>
      </c>
      <c r="N265" s="9" t="str">
        <f>IF($D265&lt;&gt;"Include","",IFERROR(IF(OR(Data!I265&lt;=0,Data!J265&lt;=0),"n/m",(Data!I265/Data!J265)^(1/3)-1),""))</f>
        <v/>
      </c>
      <c r="O265" t="str">
        <f t="shared" si="28"/>
        <v/>
      </c>
      <c r="P265" t="str">
        <f t="shared" si="29"/>
        <v/>
      </c>
      <c r="Q265" t="str">
        <f t="shared" si="30"/>
        <v/>
      </c>
      <c r="R265" t="str">
        <f t="shared" si="31"/>
        <v/>
      </c>
      <c r="S265" t="str">
        <f t="shared" si="32"/>
        <v/>
      </c>
      <c r="T265" s="10" t="str">
        <f t="shared" si="34"/>
        <v/>
      </c>
      <c r="U265" t="str">
        <f>IF($D265&lt;&gt;"Include","",_xlfn.RANK.EQ(T265,T$6:T$305,1)+COUNTIFS(T$6:T265,T265)-1)</f>
        <v/>
      </c>
    </row>
    <row r="266" spans="1:21" x14ac:dyDescent="0.4">
      <c r="A266" t="str">
        <f>Data!A266</f>
        <v/>
      </c>
      <c r="B266" t="str">
        <f>Data!B266</f>
        <v/>
      </c>
      <c r="C266" t="str">
        <f>Data!D266</f>
        <v/>
      </c>
      <c r="D266" t="str">
        <f>Data!E266</f>
        <v/>
      </c>
      <c r="E266" t="str">
        <f>IF($D266&lt;&gt;"Include","",SUM(Data!V266:W266)-SUM(Data!X266))</f>
        <v/>
      </c>
      <c r="F266" t="str">
        <f>IF($D266&lt;&gt;"Include","",SUM(Data!Z266,Data!Y266,Metrics!E266))</f>
        <v/>
      </c>
      <c r="G266" t="str">
        <f>IF($D266&lt;&gt;"Include","",IFERROR(Data!P266-Data!S266,""))</f>
        <v/>
      </c>
      <c r="H266" t="str">
        <f>IF($D266&lt;&gt;"Include","",IFERROR(SUM(Data!P266:R266)-SUM(Data!S266:U266),""))</f>
        <v/>
      </c>
      <c r="I266" t="str">
        <f>IF($D266&lt;&gt;"Include","",SUM(Data!M266:O266))</f>
        <v/>
      </c>
      <c r="J266" s="7" t="str">
        <f>IF($D266&lt;&gt;"Include","",IFERROR(IF(OR(Data!K266&lt;=0,F266&lt;=0),"n/m",($F266/Data!K266)),""))</f>
        <v/>
      </c>
      <c r="K266" s="9" t="str">
        <f>IF($D266&lt;&gt;"Include","",IFERROR(G266/Data!Z266,""))</f>
        <v/>
      </c>
      <c r="L266" s="9" t="str">
        <f t="shared" si="33"/>
        <v/>
      </c>
      <c r="M266" s="7" t="str">
        <f>IF($D266&lt;&gt;"Include","",IFERROR(IF(Data!L266&lt;=0,"n,m",E266/Data!L266),""))</f>
        <v/>
      </c>
      <c r="N266" s="9" t="str">
        <f>IF($D266&lt;&gt;"Include","",IFERROR(IF(OR(Data!I266&lt;=0,Data!J266&lt;=0),"n/m",(Data!I266/Data!J266)^(1/3)-1),""))</f>
        <v/>
      </c>
      <c r="O266" t="str">
        <f t="shared" si="28"/>
        <v/>
      </c>
      <c r="P266" t="str">
        <f t="shared" si="29"/>
        <v/>
      </c>
      <c r="Q266" t="str">
        <f t="shared" si="30"/>
        <v/>
      </c>
      <c r="R266" t="str">
        <f t="shared" si="31"/>
        <v/>
      </c>
      <c r="S266" t="str">
        <f t="shared" si="32"/>
        <v/>
      </c>
      <c r="T266" s="10" t="str">
        <f t="shared" si="34"/>
        <v/>
      </c>
      <c r="U266" t="str">
        <f>IF($D266&lt;&gt;"Include","",_xlfn.RANK.EQ(T266,T$6:T$305,1)+COUNTIFS(T$6:T266,T266)-1)</f>
        <v/>
      </c>
    </row>
    <row r="267" spans="1:21" x14ac:dyDescent="0.4">
      <c r="A267" t="str">
        <f>Data!A267</f>
        <v/>
      </c>
      <c r="B267" t="str">
        <f>Data!B267</f>
        <v/>
      </c>
      <c r="C267" t="str">
        <f>Data!D267</f>
        <v/>
      </c>
      <c r="D267" t="str">
        <f>Data!E267</f>
        <v/>
      </c>
      <c r="E267" t="str">
        <f>IF($D267&lt;&gt;"Include","",SUM(Data!V267:W267)-SUM(Data!X267))</f>
        <v/>
      </c>
      <c r="F267" t="str">
        <f>IF($D267&lt;&gt;"Include","",SUM(Data!Z267,Data!Y267,Metrics!E267))</f>
        <v/>
      </c>
      <c r="G267" t="str">
        <f>IF($D267&lt;&gt;"Include","",IFERROR(Data!P267-Data!S267,""))</f>
        <v/>
      </c>
      <c r="H267" t="str">
        <f>IF($D267&lt;&gt;"Include","",IFERROR(SUM(Data!P267:R267)-SUM(Data!S267:U267),""))</f>
        <v/>
      </c>
      <c r="I267" t="str">
        <f>IF($D267&lt;&gt;"Include","",SUM(Data!M267:O267))</f>
        <v/>
      </c>
      <c r="J267" s="7" t="str">
        <f>IF($D267&lt;&gt;"Include","",IFERROR(IF(OR(Data!K267&lt;=0,F267&lt;=0),"n/m",($F267/Data!K267)),""))</f>
        <v/>
      </c>
      <c r="K267" s="9" t="str">
        <f>IF($D267&lt;&gt;"Include","",IFERROR(G267/Data!Z267,""))</f>
        <v/>
      </c>
      <c r="L267" s="9" t="str">
        <f t="shared" si="33"/>
        <v/>
      </c>
      <c r="M267" s="7" t="str">
        <f>IF($D267&lt;&gt;"Include","",IFERROR(IF(Data!L267&lt;=0,"n,m",E267/Data!L267),""))</f>
        <v/>
      </c>
      <c r="N267" s="9" t="str">
        <f>IF($D267&lt;&gt;"Include","",IFERROR(IF(OR(Data!I267&lt;=0,Data!J267&lt;=0),"n/m",(Data!I267/Data!J267)^(1/3)-1),""))</f>
        <v/>
      </c>
      <c r="O267" t="str">
        <f t="shared" si="28"/>
        <v/>
      </c>
      <c r="P267" t="str">
        <f t="shared" si="29"/>
        <v/>
      </c>
      <c r="Q267" t="str">
        <f t="shared" si="30"/>
        <v/>
      </c>
      <c r="R267" t="str">
        <f t="shared" si="31"/>
        <v/>
      </c>
      <c r="S267" t="str">
        <f t="shared" si="32"/>
        <v/>
      </c>
      <c r="T267" s="10" t="str">
        <f t="shared" si="34"/>
        <v/>
      </c>
      <c r="U267" t="str">
        <f>IF($D267&lt;&gt;"Include","",_xlfn.RANK.EQ(T267,T$6:T$305,1)+COUNTIFS(T$6:T267,T267)-1)</f>
        <v/>
      </c>
    </row>
    <row r="268" spans="1:21" x14ac:dyDescent="0.4">
      <c r="A268" t="str">
        <f>Data!A268</f>
        <v/>
      </c>
      <c r="B268" t="str">
        <f>Data!B268</f>
        <v/>
      </c>
      <c r="C268" t="str">
        <f>Data!D268</f>
        <v/>
      </c>
      <c r="D268" t="str">
        <f>Data!E268</f>
        <v/>
      </c>
      <c r="E268" t="str">
        <f>IF($D268&lt;&gt;"Include","",SUM(Data!V268:W268)-SUM(Data!X268))</f>
        <v/>
      </c>
      <c r="F268" t="str">
        <f>IF($D268&lt;&gt;"Include","",SUM(Data!Z268,Data!Y268,Metrics!E268))</f>
        <v/>
      </c>
      <c r="G268" t="str">
        <f>IF($D268&lt;&gt;"Include","",IFERROR(Data!P268-Data!S268,""))</f>
        <v/>
      </c>
      <c r="H268" t="str">
        <f>IF($D268&lt;&gt;"Include","",IFERROR(SUM(Data!P268:R268)-SUM(Data!S268:U268),""))</f>
        <v/>
      </c>
      <c r="I268" t="str">
        <f>IF($D268&lt;&gt;"Include","",SUM(Data!M268:O268))</f>
        <v/>
      </c>
      <c r="J268" s="7" t="str">
        <f>IF($D268&lt;&gt;"Include","",IFERROR(IF(OR(Data!K268&lt;=0,F268&lt;=0),"n/m",($F268/Data!K268)),""))</f>
        <v/>
      </c>
      <c r="K268" s="9" t="str">
        <f>IF($D268&lt;&gt;"Include","",IFERROR(G268/Data!Z268,""))</f>
        <v/>
      </c>
      <c r="L268" s="9" t="str">
        <f t="shared" si="33"/>
        <v/>
      </c>
      <c r="M268" s="7" t="str">
        <f>IF($D268&lt;&gt;"Include","",IFERROR(IF(Data!L268&lt;=0,"n,m",E268/Data!L268),""))</f>
        <v/>
      </c>
      <c r="N268" s="9" t="str">
        <f>IF($D268&lt;&gt;"Include","",IFERROR(IF(OR(Data!I268&lt;=0,Data!J268&lt;=0),"n/m",(Data!I268/Data!J268)^(1/3)-1),""))</f>
        <v/>
      </c>
      <c r="O268" t="str">
        <f t="shared" si="28"/>
        <v/>
      </c>
      <c r="P268" t="str">
        <f t="shared" si="29"/>
        <v/>
      </c>
      <c r="Q268" t="str">
        <f t="shared" si="30"/>
        <v/>
      </c>
      <c r="R268" t="str">
        <f t="shared" si="31"/>
        <v/>
      </c>
      <c r="S268" t="str">
        <f t="shared" si="32"/>
        <v/>
      </c>
      <c r="T268" s="10" t="str">
        <f t="shared" si="34"/>
        <v/>
      </c>
      <c r="U268" t="str">
        <f>IF($D268&lt;&gt;"Include","",_xlfn.RANK.EQ(T268,T$6:T$305,1)+COUNTIFS(T$6:T268,T268)-1)</f>
        <v/>
      </c>
    </row>
    <row r="269" spans="1:21" x14ac:dyDescent="0.4">
      <c r="A269" t="str">
        <f>Data!A269</f>
        <v/>
      </c>
      <c r="B269" t="str">
        <f>Data!B269</f>
        <v/>
      </c>
      <c r="C269" t="str">
        <f>Data!D269</f>
        <v/>
      </c>
      <c r="D269" t="str">
        <f>Data!E269</f>
        <v/>
      </c>
      <c r="E269" t="str">
        <f>IF($D269&lt;&gt;"Include","",SUM(Data!V269:W269)-SUM(Data!X269))</f>
        <v/>
      </c>
      <c r="F269" t="str">
        <f>IF($D269&lt;&gt;"Include","",SUM(Data!Z269,Data!Y269,Metrics!E269))</f>
        <v/>
      </c>
      <c r="G269" t="str">
        <f>IF($D269&lt;&gt;"Include","",IFERROR(Data!P269-Data!S269,""))</f>
        <v/>
      </c>
      <c r="H269" t="str">
        <f>IF($D269&lt;&gt;"Include","",IFERROR(SUM(Data!P269:R269)-SUM(Data!S269:U269),""))</f>
        <v/>
      </c>
      <c r="I269" t="str">
        <f>IF($D269&lt;&gt;"Include","",SUM(Data!M269:O269))</f>
        <v/>
      </c>
      <c r="J269" s="7" t="str">
        <f>IF($D269&lt;&gt;"Include","",IFERROR(IF(OR(Data!K269&lt;=0,F269&lt;=0),"n/m",($F269/Data!K269)),""))</f>
        <v/>
      </c>
      <c r="K269" s="9" t="str">
        <f>IF($D269&lt;&gt;"Include","",IFERROR(G269/Data!Z269,""))</f>
        <v/>
      </c>
      <c r="L269" s="9" t="str">
        <f t="shared" si="33"/>
        <v/>
      </c>
      <c r="M269" s="7" t="str">
        <f>IF($D269&lt;&gt;"Include","",IFERROR(IF(Data!L269&lt;=0,"n,m",E269/Data!L269),""))</f>
        <v/>
      </c>
      <c r="N269" s="9" t="str">
        <f>IF($D269&lt;&gt;"Include","",IFERROR(IF(OR(Data!I269&lt;=0,Data!J269&lt;=0),"n/m",(Data!I269/Data!J269)^(1/3)-1),""))</f>
        <v/>
      </c>
      <c r="O269" t="str">
        <f t="shared" si="28"/>
        <v/>
      </c>
      <c r="P269" t="str">
        <f t="shared" si="29"/>
        <v/>
      </c>
      <c r="Q269" t="str">
        <f t="shared" si="30"/>
        <v/>
      </c>
      <c r="R269" t="str">
        <f t="shared" si="31"/>
        <v/>
      </c>
      <c r="S269" t="str">
        <f t="shared" si="32"/>
        <v/>
      </c>
      <c r="T269" s="10" t="str">
        <f t="shared" si="34"/>
        <v/>
      </c>
      <c r="U269" t="str">
        <f>IF($D269&lt;&gt;"Include","",_xlfn.RANK.EQ(T269,T$6:T$305,1)+COUNTIFS(T$6:T269,T269)-1)</f>
        <v/>
      </c>
    </row>
    <row r="270" spans="1:21" x14ac:dyDescent="0.4">
      <c r="A270" t="str">
        <f>Data!A270</f>
        <v/>
      </c>
      <c r="B270" t="str">
        <f>Data!B270</f>
        <v/>
      </c>
      <c r="C270" t="str">
        <f>Data!D270</f>
        <v/>
      </c>
      <c r="D270" t="str">
        <f>Data!E270</f>
        <v/>
      </c>
      <c r="E270" t="str">
        <f>IF($D270&lt;&gt;"Include","",SUM(Data!V270:W270)-SUM(Data!X270))</f>
        <v/>
      </c>
      <c r="F270" t="str">
        <f>IF($D270&lt;&gt;"Include","",SUM(Data!Z270,Data!Y270,Metrics!E270))</f>
        <v/>
      </c>
      <c r="G270" t="str">
        <f>IF($D270&lt;&gt;"Include","",IFERROR(Data!P270-Data!S270,""))</f>
        <v/>
      </c>
      <c r="H270" t="str">
        <f>IF($D270&lt;&gt;"Include","",IFERROR(SUM(Data!P270:R270)-SUM(Data!S270:U270),""))</f>
        <v/>
      </c>
      <c r="I270" t="str">
        <f>IF($D270&lt;&gt;"Include","",SUM(Data!M270:O270))</f>
        <v/>
      </c>
      <c r="J270" s="7" t="str">
        <f>IF($D270&lt;&gt;"Include","",IFERROR(IF(OR(Data!K270&lt;=0,F270&lt;=0),"n/m",($F270/Data!K270)),""))</f>
        <v/>
      </c>
      <c r="K270" s="9" t="str">
        <f>IF($D270&lt;&gt;"Include","",IFERROR(G270/Data!Z270,""))</f>
        <v/>
      </c>
      <c r="L270" s="9" t="str">
        <f t="shared" si="33"/>
        <v/>
      </c>
      <c r="M270" s="7" t="str">
        <f>IF($D270&lt;&gt;"Include","",IFERROR(IF(Data!L270&lt;=0,"n,m",E270/Data!L270),""))</f>
        <v/>
      </c>
      <c r="N270" s="9" t="str">
        <f>IF($D270&lt;&gt;"Include","",IFERROR(IF(OR(Data!I270&lt;=0,Data!J270&lt;=0),"n/m",(Data!I270/Data!J270)^(1/3)-1),""))</f>
        <v/>
      </c>
      <c r="O270" t="str">
        <f t="shared" si="28"/>
        <v/>
      </c>
      <c r="P270" t="str">
        <f t="shared" si="29"/>
        <v/>
      </c>
      <c r="Q270" t="str">
        <f t="shared" si="30"/>
        <v/>
      </c>
      <c r="R270" t="str">
        <f t="shared" si="31"/>
        <v/>
      </c>
      <c r="S270" t="str">
        <f t="shared" si="32"/>
        <v/>
      </c>
      <c r="T270" s="10" t="str">
        <f t="shared" si="34"/>
        <v/>
      </c>
      <c r="U270" t="str">
        <f>IF($D270&lt;&gt;"Include","",_xlfn.RANK.EQ(T270,T$6:T$305,1)+COUNTIFS(T$6:T270,T270)-1)</f>
        <v/>
      </c>
    </row>
    <row r="271" spans="1:21" x14ac:dyDescent="0.4">
      <c r="A271" t="str">
        <f>Data!A271</f>
        <v/>
      </c>
      <c r="B271" t="str">
        <f>Data!B271</f>
        <v/>
      </c>
      <c r="C271" t="str">
        <f>Data!D271</f>
        <v/>
      </c>
      <c r="D271" t="str">
        <f>Data!E271</f>
        <v/>
      </c>
      <c r="E271" t="str">
        <f>IF($D271&lt;&gt;"Include","",SUM(Data!V271:W271)-SUM(Data!X271))</f>
        <v/>
      </c>
      <c r="F271" t="str">
        <f>IF($D271&lt;&gt;"Include","",SUM(Data!Z271,Data!Y271,Metrics!E271))</f>
        <v/>
      </c>
      <c r="G271" t="str">
        <f>IF($D271&lt;&gt;"Include","",IFERROR(Data!P271-Data!S271,""))</f>
        <v/>
      </c>
      <c r="H271" t="str">
        <f>IF($D271&lt;&gt;"Include","",IFERROR(SUM(Data!P271:R271)-SUM(Data!S271:U271),""))</f>
        <v/>
      </c>
      <c r="I271" t="str">
        <f>IF($D271&lt;&gt;"Include","",SUM(Data!M271:O271))</f>
        <v/>
      </c>
      <c r="J271" s="7" t="str">
        <f>IF($D271&lt;&gt;"Include","",IFERROR(IF(OR(Data!K271&lt;=0,F271&lt;=0),"n/m",($F271/Data!K271)),""))</f>
        <v/>
      </c>
      <c r="K271" s="9" t="str">
        <f>IF($D271&lt;&gt;"Include","",IFERROR(G271/Data!Z271,""))</f>
        <v/>
      </c>
      <c r="L271" s="9" t="str">
        <f t="shared" si="33"/>
        <v/>
      </c>
      <c r="M271" s="7" t="str">
        <f>IF($D271&lt;&gt;"Include","",IFERROR(IF(Data!L271&lt;=0,"n,m",E271/Data!L271),""))</f>
        <v/>
      </c>
      <c r="N271" s="9" t="str">
        <f>IF($D271&lt;&gt;"Include","",IFERROR(IF(OR(Data!I271&lt;=0,Data!J271&lt;=0),"n/m",(Data!I271/Data!J271)^(1/3)-1),""))</f>
        <v/>
      </c>
      <c r="O271" t="str">
        <f t="shared" si="28"/>
        <v/>
      </c>
      <c r="P271" t="str">
        <f t="shared" si="29"/>
        <v/>
      </c>
      <c r="Q271" t="str">
        <f t="shared" si="30"/>
        <v/>
      </c>
      <c r="R271" t="str">
        <f t="shared" si="31"/>
        <v/>
      </c>
      <c r="S271" t="str">
        <f t="shared" si="32"/>
        <v/>
      </c>
      <c r="T271" s="10" t="str">
        <f t="shared" si="34"/>
        <v/>
      </c>
      <c r="U271" t="str">
        <f>IF($D271&lt;&gt;"Include","",_xlfn.RANK.EQ(T271,T$6:T$305,1)+COUNTIFS(T$6:T271,T271)-1)</f>
        <v/>
      </c>
    </row>
    <row r="272" spans="1:21" x14ac:dyDescent="0.4">
      <c r="A272" t="str">
        <f>Data!A272</f>
        <v/>
      </c>
      <c r="B272" t="str">
        <f>Data!B272</f>
        <v/>
      </c>
      <c r="C272" t="str">
        <f>Data!D272</f>
        <v/>
      </c>
      <c r="D272" t="str">
        <f>Data!E272</f>
        <v/>
      </c>
      <c r="E272" t="str">
        <f>IF($D272&lt;&gt;"Include","",SUM(Data!V272:W272)-SUM(Data!X272))</f>
        <v/>
      </c>
      <c r="F272" t="str">
        <f>IF($D272&lt;&gt;"Include","",SUM(Data!Z272,Data!Y272,Metrics!E272))</f>
        <v/>
      </c>
      <c r="G272" t="str">
        <f>IF($D272&lt;&gt;"Include","",IFERROR(Data!P272-Data!S272,""))</f>
        <v/>
      </c>
      <c r="H272" t="str">
        <f>IF($D272&lt;&gt;"Include","",IFERROR(SUM(Data!P272:R272)-SUM(Data!S272:U272),""))</f>
        <v/>
      </c>
      <c r="I272" t="str">
        <f>IF($D272&lt;&gt;"Include","",SUM(Data!M272:O272))</f>
        <v/>
      </c>
      <c r="J272" s="7" t="str">
        <f>IF($D272&lt;&gt;"Include","",IFERROR(IF(OR(Data!K272&lt;=0,F272&lt;=0),"n/m",($F272/Data!K272)),""))</f>
        <v/>
      </c>
      <c r="K272" s="9" t="str">
        <f>IF($D272&lt;&gt;"Include","",IFERROR(G272/Data!Z272,""))</f>
        <v/>
      </c>
      <c r="L272" s="9" t="str">
        <f t="shared" si="33"/>
        <v/>
      </c>
      <c r="M272" s="7" t="str">
        <f>IF($D272&lt;&gt;"Include","",IFERROR(IF(Data!L272&lt;=0,"n,m",E272/Data!L272),""))</f>
        <v/>
      </c>
      <c r="N272" s="9" t="str">
        <f>IF($D272&lt;&gt;"Include","",IFERROR(IF(OR(Data!I272&lt;=0,Data!J272&lt;=0),"n/m",(Data!I272/Data!J272)^(1/3)-1),""))</f>
        <v/>
      </c>
      <c r="O272" t="str">
        <f t="shared" si="28"/>
        <v/>
      </c>
      <c r="P272" t="str">
        <f t="shared" si="29"/>
        <v/>
      </c>
      <c r="Q272" t="str">
        <f t="shared" si="30"/>
        <v/>
      </c>
      <c r="R272" t="str">
        <f t="shared" si="31"/>
        <v/>
      </c>
      <c r="S272" t="str">
        <f t="shared" si="32"/>
        <v/>
      </c>
      <c r="T272" s="10" t="str">
        <f t="shared" si="34"/>
        <v/>
      </c>
      <c r="U272" t="str">
        <f>IF($D272&lt;&gt;"Include","",_xlfn.RANK.EQ(T272,T$6:T$305,1)+COUNTIFS(T$6:T272,T272)-1)</f>
        <v/>
      </c>
    </row>
    <row r="273" spans="1:21" x14ac:dyDescent="0.4">
      <c r="A273" t="str">
        <f>Data!A273</f>
        <v/>
      </c>
      <c r="B273" t="str">
        <f>Data!B273</f>
        <v/>
      </c>
      <c r="C273" t="str">
        <f>Data!D273</f>
        <v/>
      </c>
      <c r="D273" t="str">
        <f>Data!E273</f>
        <v/>
      </c>
      <c r="E273" t="str">
        <f>IF($D273&lt;&gt;"Include","",SUM(Data!V273:W273)-SUM(Data!X273))</f>
        <v/>
      </c>
      <c r="F273" t="str">
        <f>IF($D273&lt;&gt;"Include","",SUM(Data!Z273,Data!Y273,Metrics!E273))</f>
        <v/>
      </c>
      <c r="G273" t="str">
        <f>IF($D273&lt;&gt;"Include","",IFERROR(Data!P273-Data!S273,""))</f>
        <v/>
      </c>
      <c r="H273" t="str">
        <f>IF($D273&lt;&gt;"Include","",IFERROR(SUM(Data!P273:R273)-SUM(Data!S273:U273),""))</f>
        <v/>
      </c>
      <c r="I273" t="str">
        <f>IF($D273&lt;&gt;"Include","",SUM(Data!M273:O273))</f>
        <v/>
      </c>
      <c r="J273" s="7" t="str">
        <f>IF($D273&lt;&gt;"Include","",IFERROR(IF(OR(Data!K273&lt;=0,F273&lt;=0),"n/m",($F273/Data!K273)),""))</f>
        <v/>
      </c>
      <c r="K273" s="9" t="str">
        <f>IF($D273&lt;&gt;"Include","",IFERROR(G273/Data!Z273,""))</f>
        <v/>
      </c>
      <c r="L273" s="9" t="str">
        <f t="shared" si="33"/>
        <v/>
      </c>
      <c r="M273" s="7" t="str">
        <f>IF($D273&lt;&gt;"Include","",IFERROR(IF(Data!L273&lt;=0,"n,m",E273/Data!L273),""))</f>
        <v/>
      </c>
      <c r="N273" s="9" t="str">
        <f>IF($D273&lt;&gt;"Include","",IFERROR(IF(OR(Data!I273&lt;=0,Data!J273&lt;=0),"n/m",(Data!I273/Data!J273)^(1/3)-1),""))</f>
        <v/>
      </c>
      <c r="O273" t="str">
        <f t="shared" si="28"/>
        <v/>
      </c>
      <c r="P273" t="str">
        <f t="shared" si="29"/>
        <v/>
      </c>
      <c r="Q273" t="str">
        <f t="shared" si="30"/>
        <v/>
      </c>
      <c r="R273" t="str">
        <f t="shared" si="31"/>
        <v/>
      </c>
      <c r="S273" t="str">
        <f t="shared" si="32"/>
        <v/>
      </c>
      <c r="T273" s="10" t="str">
        <f t="shared" si="34"/>
        <v/>
      </c>
      <c r="U273" t="str">
        <f>IF($D273&lt;&gt;"Include","",_xlfn.RANK.EQ(T273,T$6:T$305,1)+COUNTIFS(T$6:T273,T273)-1)</f>
        <v/>
      </c>
    </row>
    <row r="274" spans="1:21" x14ac:dyDescent="0.4">
      <c r="A274" t="str">
        <f>Data!A274</f>
        <v/>
      </c>
      <c r="B274" t="str">
        <f>Data!B274</f>
        <v/>
      </c>
      <c r="C274" t="str">
        <f>Data!D274</f>
        <v/>
      </c>
      <c r="D274" t="str">
        <f>Data!E274</f>
        <v/>
      </c>
      <c r="E274" t="str">
        <f>IF($D274&lt;&gt;"Include","",SUM(Data!V274:W274)-SUM(Data!X274))</f>
        <v/>
      </c>
      <c r="F274" t="str">
        <f>IF($D274&lt;&gt;"Include","",SUM(Data!Z274,Data!Y274,Metrics!E274))</f>
        <v/>
      </c>
      <c r="G274" t="str">
        <f>IF($D274&lt;&gt;"Include","",IFERROR(Data!P274-Data!S274,""))</f>
        <v/>
      </c>
      <c r="H274" t="str">
        <f>IF($D274&lt;&gt;"Include","",IFERROR(SUM(Data!P274:R274)-SUM(Data!S274:U274),""))</f>
        <v/>
      </c>
      <c r="I274" t="str">
        <f>IF($D274&lt;&gt;"Include","",SUM(Data!M274:O274))</f>
        <v/>
      </c>
      <c r="J274" s="7" t="str">
        <f>IF($D274&lt;&gt;"Include","",IFERROR(IF(OR(Data!K274&lt;=0,F274&lt;=0),"n/m",($F274/Data!K274)),""))</f>
        <v/>
      </c>
      <c r="K274" s="9" t="str">
        <f>IF($D274&lt;&gt;"Include","",IFERROR(G274/Data!Z274,""))</f>
        <v/>
      </c>
      <c r="L274" s="9" t="str">
        <f t="shared" si="33"/>
        <v/>
      </c>
      <c r="M274" s="7" t="str">
        <f>IF($D274&lt;&gt;"Include","",IFERROR(IF(Data!L274&lt;=0,"n,m",E274/Data!L274),""))</f>
        <v/>
      </c>
      <c r="N274" s="9" t="str">
        <f>IF($D274&lt;&gt;"Include","",IFERROR(IF(OR(Data!I274&lt;=0,Data!J274&lt;=0),"n/m",(Data!I274/Data!J274)^(1/3)-1),""))</f>
        <v/>
      </c>
      <c r="O274" t="str">
        <f t="shared" si="28"/>
        <v/>
      </c>
      <c r="P274" t="str">
        <f t="shared" si="29"/>
        <v/>
      </c>
      <c r="Q274" t="str">
        <f t="shared" si="30"/>
        <v/>
      </c>
      <c r="R274" t="str">
        <f t="shared" si="31"/>
        <v/>
      </c>
      <c r="S274" t="str">
        <f t="shared" si="32"/>
        <v/>
      </c>
      <c r="T274" s="10" t="str">
        <f t="shared" si="34"/>
        <v/>
      </c>
      <c r="U274" t="str">
        <f>IF($D274&lt;&gt;"Include","",_xlfn.RANK.EQ(T274,T$6:T$305,1)+COUNTIFS(T$6:T274,T274)-1)</f>
        <v/>
      </c>
    </row>
    <row r="275" spans="1:21" x14ac:dyDescent="0.4">
      <c r="A275" t="str">
        <f>Data!A275</f>
        <v/>
      </c>
      <c r="B275" t="str">
        <f>Data!B275</f>
        <v/>
      </c>
      <c r="C275" t="str">
        <f>Data!D275</f>
        <v/>
      </c>
      <c r="D275" t="str">
        <f>Data!E275</f>
        <v/>
      </c>
      <c r="E275" t="str">
        <f>IF($D275&lt;&gt;"Include","",SUM(Data!V275:W275)-SUM(Data!X275))</f>
        <v/>
      </c>
      <c r="F275" t="str">
        <f>IF($D275&lt;&gt;"Include","",SUM(Data!Z275,Data!Y275,Metrics!E275))</f>
        <v/>
      </c>
      <c r="G275" t="str">
        <f>IF($D275&lt;&gt;"Include","",IFERROR(Data!P275-Data!S275,""))</f>
        <v/>
      </c>
      <c r="H275" t="str">
        <f>IF($D275&lt;&gt;"Include","",IFERROR(SUM(Data!P275:R275)-SUM(Data!S275:U275),""))</f>
        <v/>
      </c>
      <c r="I275" t="str">
        <f>IF($D275&lt;&gt;"Include","",SUM(Data!M275:O275))</f>
        <v/>
      </c>
      <c r="J275" s="7" t="str">
        <f>IF($D275&lt;&gt;"Include","",IFERROR(IF(OR(Data!K275&lt;=0,F275&lt;=0),"n/m",($F275/Data!K275)),""))</f>
        <v/>
      </c>
      <c r="K275" s="9" t="str">
        <f>IF($D275&lt;&gt;"Include","",IFERROR(G275/Data!Z275,""))</f>
        <v/>
      </c>
      <c r="L275" s="9" t="str">
        <f t="shared" si="33"/>
        <v/>
      </c>
      <c r="M275" s="7" t="str">
        <f>IF($D275&lt;&gt;"Include","",IFERROR(IF(Data!L275&lt;=0,"n,m",E275/Data!L275),""))</f>
        <v/>
      </c>
      <c r="N275" s="9" t="str">
        <f>IF($D275&lt;&gt;"Include","",IFERROR(IF(OR(Data!I275&lt;=0,Data!J275&lt;=0),"n/m",(Data!I275/Data!J275)^(1/3)-1),""))</f>
        <v/>
      </c>
      <c r="O275" t="str">
        <f t="shared" si="28"/>
        <v/>
      </c>
      <c r="P275" t="str">
        <f t="shared" si="29"/>
        <v/>
      </c>
      <c r="Q275" t="str">
        <f t="shared" si="30"/>
        <v/>
      </c>
      <c r="R275" t="str">
        <f t="shared" si="31"/>
        <v/>
      </c>
      <c r="S275" t="str">
        <f t="shared" si="32"/>
        <v/>
      </c>
      <c r="T275" s="10" t="str">
        <f t="shared" si="34"/>
        <v/>
      </c>
      <c r="U275" t="str">
        <f>IF($D275&lt;&gt;"Include","",_xlfn.RANK.EQ(T275,T$6:T$305,1)+COUNTIFS(T$6:T275,T275)-1)</f>
        <v/>
      </c>
    </row>
    <row r="276" spans="1:21" x14ac:dyDescent="0.4">
      <c r="A276" t="str">
        <f>Data!A276</f>
        <v/>
      </c>
      <c r="B276" t="str">
        <f>Data!B276</f>
        <v/>
      </c>
      <c r="C276" t="str">
        <f>Data!D276</f>
        <v/>
      </c>
      <c r="D276" t="str">
        <f>Data!E276</f>
        <v/>
      </c>
      <c r="E276" t="str">
        <f>IF($D276&lt;&gt;"Include","",SUM(Data!V276:W276)-SUM(Data!X276))</f>
        <v/>
      </c>
      <c r="F276" t="str">
        <f>IF($D276&lt;&gt;"Include","",SUM(Data!Z276,Data!Y276,Metrics!E276))</f>
        <v/>
      </c>
      <c r="G276" t="str">
        <f>IF($D276&lt;&gt;"Include","",IFERROR(Data!P276-Data!S276,""))</f>
        <v/>
      </c>
      <c r="H276" t="str">
        <f>IF($D276&lt;&gt;"Include","",IFERROR(SUM(Data!P276:R276)-SUM(Data!S276:U276),""))</f>
        <v/>
      </c>
      <c r="I276" t="str">
        <f>IF($D276&lt;&gt;"Include","",SUM(Data!M276:O276))</f>
        <v/>
      </c>
      <c r="J276" s="7" t="str">
        <f>IF($D276&lt;&gt;"Include","",IFERROR(IF(OR(Data!K276&lt;=0,F276&lt;=0),"n/m",($F276/Data!K276)),""))</f>
        <v/>
      </c>
      <c r="K276" s="9" t="str">
        <f>IF($D276&lt;&gt;"Include","",IFERROR(G276/Data!Z276,""))</f>
        <v/>
      </c>
      <c r="L276" s="9" t="str">
        <f t="shared" si="33"/>
        <v/>
      </c>
      <c r="M276" s="7" t="str">
        <f>IF($D276&lt;&gt;"Include","",IFERROR(IF(Data!L276&lt;=0,"n,m",E276/Data!L276),""))</f>
        <v/>
      </c>
      <c r="N276" s="9" t="str">
        <f>IF($D276&lt;&gt;"Include","",IFERROR(IF(OR(Data!I276&lt;=0,Data!J276&lt;=0),"n/m",(Data!I276/Data!J276)^(1/3)-1),""))</f>
        <v/>
      </c>
      <c r="O276" t="str">
        <f t="shared" si="28"/>
        <v/>
      </c>
      <c r="P276" t="str">
        <f t="shared" si="29"/>
        <v/>
      </c>
      <c r="Q276" t="str">
        <f t="shared" si="30"/>
        <v/>
      </c>
      <c r="R276" t="str">
        <f t="shared" si="31"/>
        <v/>
      </c>
      <c r="S276" t="str">
        <f t="shared" si="32"/>
        <v/>
      </c>
      <c r="T276" s="10" t="str">
        <f t="shared" si="34"/>
        <v/>
      </c>
      <c r="U276" t="str">
        <f>IF($D276&lt;&gt;"Include","",_xlfn.RANK.EQ(T276,T$6:T$305,1)+COUNTIFS(T$6:T276,T276)-1)</f>
        <v/>
      </c>
    </row>
    <row r="277" spans="1:21" x14ac:dyDescent="0.4">
      <c r="A277" t="str">
        <f>Data!A277</f>
        <v/>
      </c>
      <c r="B277" t="str">
        <f>Data!B277</f>
        <v/>
      </c>
      <c r="C277" t="str">
        <f>Data!D277</f>
        <v/>
      </c>
      <c r="D277" t="str">
        <f>Data!E277</f>
        <v/>
      </c>
      <c r="E277" t="str">
        <f>IF($D277&lt;&gt;"Include","",SUM(Data!V277:W277)-SUM(Data!X277))</f>
        <v/>
      </c>
      <c r="F277" t="str">
        <f>IF($D277&lt;&gt;"Include","",SUM(Data!Z277,Data!Y277,Metrics!E277))</f>
        <v/>
      </c>
      <c r="G277" t="str">
        <f>IF($D277&lt;&gt;"Include","",IFERROR(Data!P277-Data!S277,""))</f>
        <v/>
      </c>
      <c r="H277" t="str">
        <f>IF($D277&lt;&gt;"Include","",IFERROR(SUM(Data!P277:R277)-SUM(Data!S277:U277),""))</f>
        <v/>
      </c>
      <c r="I277" t="str">
        <f>IF($D277&lt;&gt;"Include","",SUM(Data!M277:O277))</f>
        <v/>
      </c>
      <c r="J277" s="7" t="str">
        <f>IF($D277&lt;&gt;"Include","",IFERROR(IF(OR(Data!K277&lt;=0,F277&lt;=0),"n/m",($F277/Data!K277)),""))</f>
        <v/>
      </c>
      <c r="K277" s="9" t="str">
        <f>IF($D277&lt;&gt;"Include","",IFERROR(G277/Data!Z277,""))</f>
        <v/>
      </c>
      <c r="L277" s="9" t="str">
        <f t="shared" si="33"/>
        <v/>
      </c>
      <c r="M277" s="7" t="str">
        <f>IF($D277&lt;&gt;"Include","",IFERROR(IF(Data!L277&lt;=0,"n,m",E277/Data!L277),""))</f>
        <v/>
      </c>
      <c r="N277" s="9" t="str">
        <f>IF($D277&lt;&gt;"Include","",IFERROR(IF(OR(Data!I277&lt;=0,Data!J277&lt;=0),"n/m",(Data!I277/Data!J277)^(1/3)-1),""))</f>
        <v/>
      </c>
      <c r="O277" t="str">
        <f t="shared" si="28"/>
        <v/>
      </c>
      <c r="P277" t="str">
        <f t="shared" si="29"/>
        <v/>
      </c>
      <c r="Q277" t="str">
        <f t="shared" si="30"/>
        <v/>
      </c>
      <c r="R277" t="str">
        <f t="shared" si="31"/>
        <v/>
      </c>
      <c r="S277" t="str">
        <f t="shared" si="32"/>
        <v/>
      </c>
      <c r="T277" s="10" t="str">
        <f t="shared" si="34"/>
        <v/>
      </c>
      <c r="U277" t="str">
        <f>IF($D277&lt;&gt;"Include","",_xlfn.RANK.EQ(T277,T$6:T$305,1)+COUNTIFS(T$6:T277,T277)-1)</f>
        <v/>
      </c>
    </row>
    <row r="278" spans="1:21" x14ac:dyDescent="0.4">
      <c r="A278" t="str">
        <f>Data!A278</f>
        <v/>
      </c>
      <c r="B278" t="str">
        <f>Data!B278</f>
        <v/>
      </c>
      <c r="C278" t="str">
        <f>Data!D278</f>
        <v/>
      </c>
      <c r="D278" t="str">
        <f>Data!E278</f>
        <v/>
      </c>
      <c r="E278" t="str">
        <f>IF($D278&lt;&gt;"Include","",SUM(Data!V278:W278)-SUM(Data!X278))</f>
        <v/>
      </c>
      <c r="F278" t="str">
        <f>IF($D278&lt;&gt;"Include","",SUM(Data!Z278,Data!Y278,Metrics!E278))</f>
        <v/>
      </c>
      <c r="G278" t="str">
        <f>IF($D278&lt;&gt;"Include","",IFERROR(Data!P278-Data!S278,""))</f>
        <v/>
      </c>
      <c r="H278" t="str">
        <f>IF($D278&lt;&gt;"Include","",IFERROR(SUM(Data!P278:R278)-SUM(Data!S278:U278),""))</f>
        <v/>
      </c>
      <c r="I278" t="str">
        <f>IF($D278&lt;&gt;"Include","",SUM(Data!M278:O278))</f>
        <v/>
      </c>
      <c r="J278" s="7" t="str">
        <f>IF($D278&lt;&gt;"Include","",IFERROR(IF(OR(Data!K278&lt;=0,F278&lt;=0),"n/m",($F278/Data!K278)),""))</f>
        <v/>
      </c>
      <c r="K278" s="9" t="str">
        <f>IF($D278&lt;&gt;"Include","",IFERROR(G278/Data!Z278,""))</f>
        <v/>
      </c>
      <c r="L278" s="9" t="str">
        <f t="shared" si="33"/>
        <v/>
      </c>
      <c r="M278" s="7" t="str">
        <f>IF($D278&lt;&gt;"Include","",IFERROR(IF(Data!L278&lt;=0,"n,m",E278/Data!L278),""))</f>
        <v/>
      </c>
      <c r="N278" s="9" t="str">
        <f>IF($D278&lt;&gt;"Include","",IFERROR(IF(OR(Data!I278&lt;=0,Data!J278&lt;=0),"n/m",(Data!I278/Data!J278)^(1/3)-1),""))</f>
        <v/>
      </c>
      <c r="O278" t="str">
        <f t="shared" si="28"/>
        <v/>
      </c>
      <c r="P278" t="str">
        <f t="shared" si="29"/>
        <v/>
      </c>
      <c r="Q278" t="str">
        <f t="shared" si="30"/>
        <v/>
      </c>
      <c r="R278" t="str">
        <f t="shared" si="31"/>
        <v/>
      </c>
      <c r="S278" t="str">
        <f t="shared" si="32"/>
        <v/>
      </c>
      <c r="T278" s="10" t="str">
        <f t="shared" si="34"/>
        <v/>
      </c>
      <c r="U278" t="str">
        <f>IF($D278&lt;&gt;"Include","",_xlfn.RANK.EQ(T278,T$6:T$305,1)+COUNTIFS(T$6:T278,T278)-1)</f>
        <v/>
      </c>
    </row>
    <row r="279" spans="1:21" x14ac:dyDescent="0.4">
      <c r="A279" t="str">
        <f>Data!A279</f>
        <v/>
      </c>
      <c r="B279" t="str">
        <f>Data!B279</f>
        <v/>
      </c>
      <c r="C279" t="str">
        <f>Data!D279</f>
        <v/>
      </c>
      <c r="D279" t="str">
        <f>Data!E279</f>
        <v/>
      </c>
      <c r="E279" t="str">
        <f>IF($D279&lt;&gt;"Include","",SUM(Data!V279:W279)-SUM(Data!X279))</f>
        <v/>
      </c>
      <c r="F279" t="str">
        <f>IF($D279&lt;&gt;"Include","",SUM(Data!Z279,Data!Y279,Metrics!E279))</f>
        <v/>
      </c>
      <c r="G279" t="str">
        <f>IF($D279&lt;&gt;"Include","",IFERROR(Data!P279-Data!S279,""))</f>
        <v/>
      </c>
      <c r="H279" t="str">
        <f>IF($D279&lt;&gt;"Include","",IFERROR(SUM(Data!P279:R279)-SUM(Data!S279:U279),""))</f>
        <v/>
      </c>
      <c r="I279" t="str">
        <f>IF($D279&lt;&gt;"Include","",SUM(Data!M279:O279))</f>
        <v/>
      </c>
      <c r="J279" s="7" t="str">
        <f>IF($D279&lt;&gt;"Include","",IFERROR(IF(OR(Data!K279&lt;=0,F279&lt;=0),"n/m",($F279/Data!K279)),""))</f>
        <v/>
      </c>
      <c r="K279" s="9" t="str">
        <f>IF($D279&lt;&gt;"Include","",IFERROR(G279/Data!Z279,""))</f>
        <v/>
      </c>
      <c r="L279" s="9" t="str">
        <f t="shared" si="33"/>
        <v/>
      </c>
      <c r="M279" s="7" t="str">
        <f>IF($D279&lt;&gt;"Include","",IFERROR(IF(Data!L279&lt;=0,"n,m",E279/Data!L279),""))</f>
        <v/>
      </c>
      <c r="N279" s="9" t="str">
        <f>IF($D279&lt;&gt;"Include","",IFERROR(IF(OR(Data!I279&lt;=0,Data!J279&lt;=0),"n/m",(Data!I279/Data!J279)^(1/3)-1),""))</f>
        <v/>
      </c>
      <c r="O279" t="str">
        <f t="shared" si="28"/>
        <v/>
      </c>
      <c r="P279" t="str">
        <f t="shared" si="29"/>
        <v/>
      </c>
      <c r="Q279" t="str">
        <f t="shared" si="30"/>
        <v/>
      </c>
      <c r="R279" t="str">
        <f t="shared" si="31"/>
        <v/>
      </c>
      <c r="S279" t="str">
        <f t="shared" si="32"/>
        <v/>
      </c>
      <c r="T279" s="10" t="str">
        <f t="shared" si="34"/>
        <v/>
      </c>
      <c r="U279" t="str">
        <f>IF($D279&lt;&gt;"Include","",_xlfn.RANK.EQ(T279,T$6:T$305,1)+COUNTIFS(T$6:T279,T279)-1)</f>
        <v/>
      </c>
    </row>
    <row r="280" spans="1:21" x14ac:dyDescent="0.4">
      <c r="A280" t="str">
        <f>Data!A280</f>
        <v/>
      </c>
      <c r="B280" t="str">
        <f>Data!B280</f>
        <v/>
      </c>
      <c r="C280" t="str">
        <f>Data!D280</f>
        <v/>
      </c>
      <c r="D280" t="str">
        <f>Data!E280</f>
        <v/>
      </c>
      <c r="E280" t="str">
        <f>IF($D280&lt;&gt;"Include","",SUM(Data!V280:W280)-SUM(Data!X280))</f>
        <v/>
      </c>
      <c r="F280" t="str">
        <f>IF($D280&lt;&gt;"Include","",SUM(Data!Z280,Data!Y280,Metrics!E280))</f>
        <v/>
      </c>
      <c r="G280" t="str">
        <f>IF($D280&lt;&gt;"Include","",IFERROR(Data!P280-Data!S280,""))</f>
        <v/>
      </c>
      <c r="H280" t="str">
        <f>IF($D280&lt;&gt;"Include","",IFERROR(SUM(Data!P280:R280)-SUM(Data!S280:U280),""))</f>
        <v/>
      </c>
      <c r="I280" t="str">
        <f>IF($D280&lt;&gt;"Include","",SUM(Data!M280:O280))</f>
        <v/>
      </c>
      <c r="J280" s="7" t="str">
        <f>IF($D280&lt;&gt;"Include","",IFERROR(IF(OR(Data!K280&lt;=0,F280&lt;=0),"n/m",($F280/Data!K280)),""))</f>
        <v/>
      </c>
      <c r="K280" s="9" t="str">
        <f>IF($D280&lt;&gt;"Include","",IFERROR(G280/Data!Z280,""))</f>
        <v/>
      </c>
      <c r="L280" s="9" t="str">
        <f t="shared" si="33"/>
        <v/>
      </c>
      <c r="M280" s="7" t="str">
        <f>IF($D280&lt;&gt;"Include","",IFERROR(IF(Data!L280&lt;=0,"n,m",E280/Data!L280),""))</f>
        <v/>
      </c>
      <c r="N280" s="9" t="str">
        <f>IF($D280&lt;&gt;"Include","",IFERROR(IF(OR(Data!I280&lt;=0,Data!J280&lt;=0),"n/m",(Data!I280/Data!J280)^(1/3)-1),""))</f>
        <v/>
      </c>
      <c r="O280" t="str">
        <f t="shared" si="28"/>
        <v/>
      </c>
      <c r="P280" t="str">
        <f t="shared" si="29"/>
        <v/>
      </c>
      <c r="Q280" t="str">
        <f t="shared" si="30"/>
        <v/>
      </c>
      <c r="R280" t="str">
        <f t="shared" si="31"/>
        <v/>
      </c>
      <c r="S280" t="str">
        <f t="shared" si="32"/>
        <v/>
      </c>
      <c r="T280" s="10" t="str">
        <f t="shared" si="34"/>
        <v/>
      </c>
      <c r="U280" t="str">
        <f>IF($D280&lt;&gt;"Include","",_xlfn.RANK.EQ(T280,T$6:T$305,1)+COUNTIFS(T$6:T280,T280)-1)</f>
        <v/>
      </c>
    </row>
    <row r="281" spans="1:21" x14ac:dyDescent="0.4">
      <c r="A281" t="str">
        <f>Data!A281</f>
        <v/>
      </c>
      <c r="B281" t="str">
        <f>Data!B281</f>
        <v/>
      </c>
      <c r="C281" t="str">
        <f>Data!D281</f>
        <v/>
      </c>
      <c r="D281" t="str">
        <f>Data!E281</f>
        <v/>
      </c>
      <c r="E281" t="str">
        <f>IF($D281&lt;&gt;"Include","",SUM(Data!V281:W281)-SUM(Data!X281))</f>
        <v/>
      </c>
      <c r="F281" t="str">
        <f>IF($D281&lt;&gt;"Include","",SUM(Data!Z281,Data!Y281,Metrics!E281))</f>
        <v/>
      </c>
      <c r="G281" t="str">
        <f>IF($D281&lt;&gt;"Include","",IFERROR(Data!P281-Data!S281,""))</f>
        <v/>
      </c>
      <c r="H281" t="str">
        <f>IF($D281&lt;&gt;"Include","",IFERROR(SUM(Data!P281:R281)-SUM(Data!S281:U281),""))</f>
        <v/>
      </c>
      <c r="I281" t="str">
        <f>IF($D281&lt;&gt;"Include","",SUM(Data!M281:O281))</f>
        <v/>
      </c>
      <c r="J281" s="7" t="str">
        <f>IF($D281&lt;&gt;"Include","",IFERROR(IF(OR(Data!K281&lt;=0,F281&lt;=0),"n/m",($F281/Data!K281)),""))</f>
        <v/>
      </c>
      <c r="K281" s="9" t="str">
        <f>IF($D281&lt;&gt;"Include","",IFERROR(G281/Data!Z281,""))</f>
        <v/>
      </c>
      <c r="L281" s="9" t="str">
        <f t="shared" si="33"/>
        <v/>
      </c>
      <c r="M281" s="7" t="str">
        <f>IF($D281&lt;&gt;"Include","",IFERROR(IF(Data!L281&lt;=0,"n,m",E281/Data!L281),""))</f>
        <v/>
      </c>
      <c r="N281" s="9" t="str">
        <f>IF($D281&lt;&gt;"Include","",IFERROR(IF(OR(Data!I281&lt;=0,Data!J281&lt;=0),"n/m",(Data!I281/Data!J281)^(1/3)-1),""))</f>
        <v/>
      </c>
      <c r="O281" t="str">
        <f t="shared" si="28"/>
        <v/>
      </c>
      <c r="P281" t="str">
        <f t="shared" si="29"/>
        <v/>
      </c>
      <c r="Q281" t="str">
        <f t="shared" si="30"/>
        <v/>
      </c>
      <c r="R281" t="str">
        <f t="shared" si="31"/>
        <v/>
      </c>
      <c r="S281" t="str">
        <f t="shared" si="32"/>
        <v/>
      </c>
      <c r="T281" s="10" t="str">
        <f t="shared" si="34"/>
        <v/>
      </c>
      <c r="U281" t="str">
        <f>IF($D281&lt;&gt;"Include","",_xlfn.RANK.EQ(T281,T$6:T$305,1)+COUNTIFS(T$6:T281,T281)-1)</f>
        <v/>
      </c>
    </row>
    <row r="282" spans="1:21" x14ac:dyDescent="0.4">
      <c r="A282" t="str">
        <f>Data!A282</f>
        <v/>
      </c>
      <c r="B282" t="str">
        <f>Data!B282</f>
        <v/>
      </c>
      <c r="C282" t="str">
        <f>Data!D282</f>
        <v/>
      </c>
      <c r="D282" t="str">
        <f>Data!E282</f>
        <v/>
      </c>
      <c r="E282" t="str">
        <f>IF($D282&lt;&gt;"Include","",SUM(Data!V282:W282)-SUM(Data!X282))</f>
        <v/>
      </c>
      <c r="F282" t="str">
        <f>IF($D282&lt;&gt;"Include","",SUM(Data!Z282,Data!Y282,Metrics!E282))</f>
        <v/>
      </c>
      <c r="G282" t="str">
        <f>IF($D282&lt;&gt;"Include","",IFERROR(Data!P282-Data!S282,""))</f>
        <v/>
      </c>
      <c r="H282" t="str">
        <f>IF($D282&lt;&gt;"Include","",IFERROR(SUM(Data!P282:R282)-SUM(Data!S282:U282),""))</f>
        <v/>
      </c>
      <c r="I282" t="str">
        <f>IF($D282&lt;&gt;"Include","",SUM(Data!M282:O282))</f>
        <v/>
      </c>
      <c r="J282" s="7" t="str">
        <f>IF($D282&lt;&gt;"Include","",IFERROR(IF(OR(Data!K282&lt;=0,F282&lt;=0),"n/m",($F282/Data!K282)),""))</f>
        <v/>
      </c>
      <c r="K282" s="9" t="str">
        <f>IF($D282&lt;&gt;"Include","",IFERROR(G282/Data!Z282,""))</f>
        <v/>
      </c>
      <c r="L282" s="9" t="str">
        <f t="shared" si="33"/>
        <v/>
      </c>
      <c r="M282" s="7" t="str">
        <f>IF($D282&lt;&gt;"Include","",IFERROR(IF(Data!L282&lt;=0,"n,m",E282/Data!L282),""))</f>
        <v/>
      </c>
      <c r="N282" s="9" t="str">
        <f>IF($D282&lt;&gt;"Include","",IFERROR(IF(OR(Data!I282&lt;=0,Data!J282&lt;=0),"n/m",(Data!I282/Data!J282)^(1/3)-1),""))</f>
        <v/>
      </c>
      <c r="O282" t="str">
        <f t="shared" si="28"/>
        <v/>
      </c>
      <c r="P282" t="str">
        <f t="shared" si="29"/>
        <v/>
      </c>
      <c r="Q282" t="str">
        <f t="shared" si="30"/>
        <v/>
      </c>
      <c r="R282" t="str">
        <f t="shared" si="31"/>
        <v/>
      </c>
      <c r="S282" t="str">
        <f t="shared" si="32"/>
        <v/>
      </c>
      <c r="T282" s="10" t="str">
        <f t="shared" si="34"/>
        <v/>
      </c>
      <c r="U282" t="str">
        <f>IF($D282&lt;&gt;"Include","",_xlfn.RANK.EQ(T282,T$6:T$305,1)+COUNTIFS(T$6:T282,T282)-1)</f>
        <v/>
      </c>
    </row>
    <row r="283" spans="1:21" x14ac:dyDescent="0.4">
      <c r="A283" t="str">
        <f>Data!A283</f>
        <v/>
      </c>
      <c r="B283" t="str">
        <f>Data!B283</f>
        <v/>
      </c>
      <c r="C283" t="str">
        <f>Data!D283</f>
        <v/>
      </c>
      <c r="D283" t="str">
        <f>Data!E283</f>
        <v/>
      </c>
      <c r="E283" t="str">
        <f>IF($D283&lt;&gt;"Include","",SUM(Data!V283:W283)-SUM(Data!X283))</f>
        <v/>
      </c>
      <c r="F283" t="str">
        <f>IF($D283&lt;&gt;"Include","",SUM(Data!Z283,Data!Y283,Metrics!E283))</f>
        <v/>
      </c>
      <c r="G283" t="str">
        <f>IF($D283&lt;&gt;"Include","",IFERROR(Data!P283-Data!S283,""))</f>
        <v/>
      </c>
      <c r="H283" t="str">
        <f>IF($D283&lt;&gt;"Include","",IFERROR(SUM(Data!P283:R283)-SUM(Data!S283:U283),""))</f>
        <v/>
      </c>
      <c r="I283" t="str">
        <f>IF($D283&lt;&gt;"Include","",SUM(Data!M283:O283))</f>
        <v/>
      </c>
      <c r="J283" s="7" t="str">
        <f>IF($D283&lt;&gt;"Include","",IFERROR(IF(OR(Data!K283&lt;=0,F283&lt;=0),"n/m",($F283/Data!K283)),""))</f>
        <v/>
      </c>
      <c r="K283" s="9" t="str">
        <f>IF($D283&lt;&gt;"Include","",IFERROR(G283/Data!Z283,""))</f>
        <v/>
      </c>
      <c r="L283" s="9" t="str">
        <f t="shared" si="33"/>
        <v/>
      </c>
      <c r="M283" s="7" t="str">
        <f>IF($D283&lt;&gt;"Include","",IFERROR(IF(Data!L283&lt;=0,"n,m",E283/Data!L283),""))</f>
        <v/>
      </c>
      <c r="N283" s="9" t="str">
        <f>IF($D283&lt;&gt;"Include","",IFERROR(IF(OR(Data!I283&lt;=0,Data!J283&lt;=0),"n/m",(Data!I283/Data!J283)^(1/3)-1),""))</f>
        <v/>
      </c>
      <c r="O283" t="str">
        <f t="shared" si="28"/>
        <v/>
      </c>
      <c r="P283" t="str">
        <f t="shared" si="29"/>
        <v/>
      </c>
      <c r="Q283" t="str">
        <f t="shared" si="30"/>
        <v/>
      </c>
      <c r="R283" t="str">
        <f t="shared" si="31"/>
        <v/>
      </c>
      <c r="S283" t="str">
        <f t="shared" si="32"/>
        <v/>
      </c>
      <c r="T283" s="10" t="str">
        <f t="shared" si="34"/>
        <v/>
      </c>
      <c r="U283" t="str">
        <f>IF($D283&lt;&gt;"Include","",_xlfn.RANK.EQ(T283,T$6:T$305,1)+COUNTIFS(T$6:T283,T283)-1)</f>
        <v/>
      </c>
    </row>
    <row r="284" spans="1:21" x14ac:dyDescent="0.4">
      <c r="A284" t="str">
        <f>Data!A284</f>
        <v/>
      </c>
      <c r="B284" t="str">
        <f>Data!B284</f>
        <v/>
      </c>
      <c r="C284" t="str">
        <f>Data!D284</f>
        <v/>
      </c>
      <c r="D284" t="str">
        <f>Data!E284</f>
        <v/>
      </c>
      <c r="E284" t="str">
        <f>IF($D284&lt;&gt;"Include","",SUM(Data!V284:W284)-SUM(Data!X284))</f>
        <v/>
      </c>
      <c r="F284" t="str">
        <f>IF($D284&lt;&gt;"Include","",SUM(Data!Z284,Data!Y284,Metrics!E284))</f>
        <v/>
      </c>
      <c r="G284" t="str">
        <f>IF($D284&lt;&gt;"Include","",IFERROR(Data!P284-Data!S284,""))</f>
        <v/>
      </c>
      <c r="H284" t="str">
        <f>IF($D284&lt;&gt;"Include","",IFERROR(SUM(Data!P284:R284)-SUM(Data!S284:U284),""))</f>
        <v/>
      </c>
      <c r="I284" t="str">
        <f>IF($D284&lt;&gt;"Include","",SUM(Data!M284:O284))</f>
        <v/>
      </c>
      <c r="J284" s="7" t="str">
        <f>IF($D284&lt;&gt;"Include","",IFERROR(IF(OR(Data!K284&lt;=0,F284&lt;=0),"n/m",($F284/Data!K284)),""))</f>
        <v/>
      </c>
      <c r="K284" s="9" t="str">
        <f>IF($D284&lt;&gt;"Include","",IFERROR(G284/Data!Z284,""))</f>
        <v/>
      </c>
      <c r="L284" s="9" t="str">
        <f t="shared" si="33"/>
        <v/>
      </c>
      <c r="M284" s="7" t="str">
        <f>IF($D284&lt;&gt;"Include","",IFERROR(IF(Data!L284&lt;=0,"n,m",E284/Data!L284),""))</f>
        <v/>
      </c>
      <c r="N284" s="9" t="str">
        <f>IF($D284&lt;&gt;"Include","",IFERROR(IF(OR(Data!I284&lt;=0,Data!J284&lt;=0),"n/m",(Data!I284/Data!J284)^(1/3)-1),""))</f>
        <v/>
      </c>
      <c r="O284" t="str">
        <f t="shared" si="28"/>
        <v/>
      </c>
      <c r="P284" t="str">
        <f t="shared" si="29"/>
        <v/>
      </c>
      <c r="Q284" t="str">
        <f t="shared" si="30"/>
        <v/>
      </c>
      <c r="R284" t="str">
        <f t="shared" si="31"/>
        <v/>
      </c>
      <c r="S284" t="str">
        <f t="shared" si="32"/>
        <v/>
      </c>
      <c r="T284" s="10" t="str">
        <f t="shared" si="34"/>
        <v/>
      </c>
      <c r="U284" t="str">
        <f>IF($D284&lt;&gt;"Include","",_xlfn.RANK.EQ(T284,T$6:T$305,1)+COUNTIFS(T$6:T284,T284)-1)</f>
        <v/>
      </c>
    </row>
    <row r="285" spans="1:21" x14ac:dyDescent="0.4">
      <c r="A285" t="str">
        <f>Data!A285</f>
        <v/>
      </c>
      <c r="B285" t="str">
        <f>Data!B285</f>
        <v/>
      </c>
      <c r="C285" t="str">
        <f>Data!D285</f>
        <v/>
      </c>
      <c r="D285" t="str">
        <f>Data!E285</f>
        <v/>
      </c>
      <c r="E285" t="str">
        <f>IF($D285&lt;&gt;"Include","",SUM(Data!V285:W285)-SUM(Data!X285))</f>
        <v/>
      </c>
      <c r="F285" t="str">
        <f>IF($D285&lt;&gt;"Include","",SUM(Data!Z285,Data!Y285,Metrics!E285))</f>
        <v/>
      </c>
      <c r="G285" t="str">
        <f>IF($D285&lt;&gt;"Include","",IFERROR(Data!P285-Data!S285,""))</f>
        <v/>
      </c>
      <c r="H285" t="str">
        <f>IF($D285&lt;&gt;"Include","",IFERROR(SUM(Data!P285:R285)-SUM(Data!S285:U285),""))</f>
        <v/>
      </c>
      <c r="I285" t="str">
        <f>IF($D285&lt;&gt;"Include","",SUM(Data!M285:O285))</f>
        <v/>
      </c>
      <c r="J285" s="7" t="str">
        <f>IF($D285&lt;&gt;"Include","",IFERROR(IF(OR(Data!K285&lt;=0,F285&lt;=0),"n/m",($F285/Data!K285)),""))</f>
        <v/>
      </c>
      <c r="K285" s="9" t="str">
        <f>IF($D285&lt;&gt;"Include","",IFERROR(G285/Data!Z285,""))</f>
        <v/>
      </c>
      <c r="L285" s="9" t="str">
        <f t="shared" si="33"/>
        <v/>
      </c>
      <c r="M285" s="7" t="str">
        <f>IF($D285&lt;&gt;"Include","",IFERROR(IF(Data!L285&lt;=0,"n,m",E285/Data!L285),""))</f>
        <v/>
      </c>
      <c r="N285" s="9" t="str">
        <f>IF($D285&lt;&gt;"Include","",IFERROR(IF(OR(Data!I285&lt;=0,Data!J285&lt;=0),"n/m",(Data!I285/Data!J285)^(1/3)-1),""))</f>
        <v/>
      </c>
      <c r="O285" t="str">
        <f t="shared" si="28"/>
        <v/>
      </c>
      <c r="P285" t="str">
        <f t="shared" si="29"/>
        <v/>
      </c>
      <c r="Q285" t="str">
        <f t="shared" si="30"/>
        <v/>
      </c>
      <c r="R285" t="str">
        <f t="shared" si="31"/>
        <v/>
      </c>
      <c r="S285" t="str">
        <f t="shared" si="32"/>
        <v/>
      </c>
      <c r="T285" s="10" t="str">
        <f t="shared" si="34"/>
        <v/>
      </c>
      <c r="U285" t="str">
        <f>IF($D285&lt;&gt;"Include","",_xlfn.RANK.EQ(T285,T$6:T$305,1)+COUNTIFS(T$6:T285,T285)-1)</f>
        <v/>
      </c>
    </row>
    <row r="286" spans="1:21" x14ac:dyDescent="0.4">
      <c r="A286" t="str">
        <f>Data!A286</f>
        <v/>
      </c>
      <c r="B286" t="str">
        <f>Data!B286</f>
        <v/>
      </c>
      <c r="C286" t="str">
        <f>Data!D286</f>
        <v/>
      </c>
      <c r="D286" t="str">
        <f>Data!E286</f>
        <v/>
      </c>
      <c r="E286" t="str">
        <f>IF($D286&lt;&gt;"Include","",SUM(Data!V286:W286)-SUM(Data!X286))</f>
        <v/>
      </c>
      <c r="F286" t="str">
        <f>IF($D286&lt;&gt;"Include","",SUM(Data!Z286,Data!Y286,Metrics!E286))</f>
        <v/>
      </c>
      <c r="G286" t="str">
        <f>IF($D286&lt;&gt;"Include","",IFERROR(Data!P286-Data!S286,""))</f>
        <v/>
      </c>
      <c r="H286" t="str">
        <f>IF($D286&lt;&gt;"Include","",IFERROR(SUM(Data!P286:R286)-SUM(Data!S286:U286),""))</f>
        <v/>
      </c>
      <c r="I286" t="str">
        <f>IF($D286&lt;&gt;"Include","",SUM(Data!M286:O286))</f>
        <v/>
      </c>
      <c r="J286" s="7" t="str">
        <f>IF($D286&lt;&gt;"Include","",IFERROR(IF(OR(Data!K286&lt;=0,F286&lt;=0),"n/m",($F286/Data!K286)),""))</f>
        <v/>
      </c>
      <c r="K286" s="9" t="str">
        <f>IF($D286&lt;&gt;"Include","",IFERROR(G286/Data!Z286,""))</f>
        <v/>
      </c>
      <c r="L286" s="9" t="str">
        <f t="shared" si="33"/>
        <v/>
      </c>
      <c r="M286" s="7" t="str">
        <f>IF($D286&lt;&gt;"Include","",IFERROR(IF(Data!L286&lt;=0,"n,m",E286/Data!L286),""))</f>
        <v/>
      </c>
      <c r="N286" s="9" t="str">
        <f>IF($D286&lt;&gt;"Include","",IFERROR(IF(OR(Data!I286&lt;=0,Data!J286&lt;=0),"n/m",(Data!I286/Data!J286)^(1/3)-1),""))</f>
        <v/>
      </c>
      <c r="O286" t="str">
        <f t="shared" si="28"/>
        <v/>
      </c>
      <c r="P286" t="str">
        <f t="shared" si="29"/>
        <v/>
      </c>
      <c r="Q286" t="str">
        <f t="shared" si="30"/>
        <v/>
      </c>
      <c r="R286" t="str">
        <f t="shared" si="31"/>
        <v/>
      </c>
      <c r="S286" t="str">
        <f t="shared" si="32"/>
        <v/>
      </c>
      <c r="T286" s="10" t="str">
        <f t="shared" si="34"/>
        <v/>
      </c>
      <c r="U286" t="str">
        <f>IF($D286&lt;&gt;"Include","",_xlfn.RANK.EQ(T286,T$6:T$305,1)+COUNTIFS(T$6:T286,T286)-1)</f>
        <v/>
      </c>
    </row>
    <row r="287" spans="1:21" x14ac:dyDescent="0.4">
      <c r="A287" t="str">
        <f>Data!A287</f>
        <v/>
      </c>
      <c r="B287" t="str">
        <f>Data!B287</f>
        <v/>
      </c>
      <c r="C287" t="str">
        <f>Data!D287</f>
        <v/>
      </c>
      <c r="D287" t="str">
        <f>Data!E287</f>
        <v/>
      </c>
      <c r="E287" t="str">
        <f>IF($D287&lt;&gt;"Include","",SUM(Data!V287:W287)-SUM(Data!X287))</f>
        <v/>
      </c>
      <c r="F287" t="str">
        <f>IF($D287&lt;&gt;"Include","",SUM(Data!Z287,Data!Y287,Metrics!E287))</f>
        <v/>
      </c>
      <c r="G287" t="str">
        <f>IF($D287&lt;&gt;"Include","",IFERROR(Data!P287-Data!S287,""))</f>
        <v/>
      </c>
      <c r="H287" t="str">
        <f>IF($D287&lt;&gt;"Include","",IFERROR(SUM(Data!P287:R287)-SUM(Data!S287:U287),""))</f>
        <v/>
      </c>
      <c r="I287" t="str">
        <f>IF($D287&lt;&gt;"Include","",SUM(Data!M287:O287))</f>
        <v/>
      </c>
      <c r="J287" s="7" t="str">
        <f>IF($D287&lt;&gt;"Include","",IFERROR(IF(OR(Data!K287&lt;=0,F287&lt;=0),"n/m",($F287/Data!K287)),""))</f>
        <v/>
      </c>
      <c r="K287" s="9" t="str">
        <f>IF($D287&lt;&gt;"Include","",IFERROR(G287/Data!Z287,""))</f>
        <v/>
      </c>
      <c r="L287" s="9" t="str">
        <f t="shared" si="33"/>
        <v/>
      </c>
      <c r="M287" s="7" t="str">
        <f>IF($D287&lt;&gt;"Include","",IFERROR(IF(Data!L287&lt;=0,"n,m",E287/Data!L287),""))</f>
        <v/>
      </c>
      <c r="N287" s="9" t="str">
        <f>IF($D287&lt;&gt;"Include","",IFERROR(IF(OR(Data!I287&lt;=0,Data!J287&lt;=0),"n/m",(Data!I287/Data!J287)^(1/3)-1),""))</f>
        <v/>
      </c>
      <c r="O287" t="str">
        <f t="shared" si="28"/>
        <v/>
      </c>
      <c r="P287" t="str">
        <f t="shared" si="29"/>
        <v/>
      </c>
      <c r="Q287" t="str">
        <f t="shared" si="30"/>
        <v/>
      </c>
      <c r="R287" t="str">
        <f t="shared" si="31"/>
        <v/>
      </c>
      <c r="S287" t="str">
        <f t="shared" si="32"/>
        <v/>
      </c>
      <c r="T287" s="10" t="str">
        <f t="shared" si="34"/>
        <v/>
      </c>
      <c r="U287" t="str">
        <f>IF($D287&lt;&gt;"Include","",_xlfn.RANK.EQ(T287,T$6:T$305,1)+COUNTIFS(T$6:T287,T287)-1)</f>
        <v/>
      </c>
    </row>
    <row r="288" spans="1:21" x14ac:dyDescent="0.4">
      <c r="A288" t="str">
        <f>Data!A288</f>
        <v/>
      </c>
      <c r="B288" t="str">
        <f>Data!B288</f>
        <v/>
      </c>
      <c r="C288" t="str">
        <f>Data!D288</f>
        <v/>
      </c>
      <c r="D288" t="str">
        <f>Data!E288</f>
        <v/>
      </c>
      <c r="E288" t="str">
        <f>IF($D288&lt;&gt;"Include","",SUM(Data!V288:W288)-SUM(Data!X288))</f>
        <v/>
      </c>
      <c r="F288" t="str">
        <f>IF($D288&lt;&gt;"Include","",SUM(Data!Z288,Data!Y288,Metrics!E288))</f>
        <v/>
      </c>
      <c r="G288" t="str">
        <f>IF($D288&lt;&gt;"Include","",IFERROR(Data!P288-Data!S288,""))</f>
        <v/>
      </c>
      <c r="H288" t="str">
        <f>IF($D288&lt;&gt;"Include","",IFERROR(SUM(Data!P288:R288)-SUM(Data!S288:U288),""))</f>
        <v/>
      </c>
      <c r="I288" t="str">
        <f>IF($D288&lt;&gt;"Include","",SUM(Data!M288:O288))</f>
        <v/>
      </c>
      <c r="J288" s="7" t="str">
        <f>IF($D288&lt;&gt;"Include","",IFERROR(IF(OR(Data!K288&lt;=0,F288&lt;=0),"n/m",($F288/Data!K288)),""))</f>
        <v/>
      </c>
      <c r="K288" s="9" t="str">
        <f>IF($D288&lt;&gt;"Include","",IFERROR(G288/Data!Z288,""))</f>
        <v/>
      </c>
      <c r="L288" s="9" t="str">
        <f t="shared" si="33"/>
        <v/>
      </c>
      <c r="M288" s="7" t="str">
        <f>IF($D288&lt;&gt;"Include","",IFERROR(IF(Data!L288&lt;=0,"n,m",E288/Data!L288),""))</f>
        <v/>
      </c>
      <c r="N288" s="9" t="str">
        <f>IF($D288&lt;&gt;"Include","",IFERROR(IF(OR(Data!I288&lt;=0,Data!J288&lt;=0),"n/m",(Data!I288/Data!J288)^(1/3)-1),""))</f>
        <v/>
      </c>
      <c r="O288" t="str">
        <f t="shared" si="28"/>
        <v/>
      </c>
      <c r="P288" t="str">
        <f t="shared" si="29"/>
        <v/>
      </c>
      <c r="Q288" t="str">
        <f t="shared" si="30"/>
        <v/>
      </c>
      <c r="R288" t="str">
        <f t="shared" si="31"/>
        <v/>
      </c>
      <c r="S288" t="str">
        <f t="shared" si="32"/>
        <v/>
      </c>
      <c r="T288" s="10" t="str">
        <f t="shared" si="34"/>
        <v/>
      </c>
      <c r="U288" t="str">
        <f>IF($D288&lt;&gt;"Include","",_xlfn.RANK.EQ(T288,T$6:T$305,1)+COUNTIFS(T$6:T288,T288)-1)</f>
        <v/>
      </c>
    </row>
    <row r="289" spans="1:21" x14ac:dyDescent="0.4">
      <c r="A289" t="str">
        <f>Data!A289</f>
        <v/>
      </c>
      <c r="B289" t="str">
        <f>Data!B289</f>
        <v/>
      </c>
      <c r="C289" t="str">
        <f>Data!D289</f>
        <v/>
      </c>
      <c r="D289" t="str">
        <f>Data!E289</f>
        <v/>
      </c>
      <c r="E289" t="str">
        <f>IF($D289&lt;&gt;"Include","",SUM(Data!V289:W289)-SUM(Data!X289))</f>
        <v/>
      </c>
      <c r="F289" t="str">
        <f>IF($D289&lt;&gt;"Include","",SUM(Data!Z289,Data!Y289,Metrics!E289))</f>
        <v/>
      </c>
      <c r="G289" t="str">
        <f>IF($D289&lt;&gt;"Include","",IFERROR(Data!P289-Data!S289,""))</f>
        <v/>
      </c>
      <c r="H289" t="str">
        <f>IF($D289&lt;&gt;"Include","",IFERROR(SUM(Data!P289:R289)-SUM(Data!S289:U289),""))</f>
        <v/>
      </c>
      <c r="I289" t="str">
        <f>IF($D289&lt;&gt;"Include","",SUM(Data!M289:O289))</f>
        <v/>
      </c>
      <c r="J289" s="7" t="str">
        <f>IF($D289&lt;&gt;"Include","",IFERROR(IF(OR(Data!K289&lt;=0,F289&lt;=0),"n/m",($F289/Data!K289)),""))</f>
        <v/>
      </c>
      <c r="K289" s="9" t="str">
        <f>IF($D289&lt;&gt;"Include","",IFERROR(G289/Data!Z289,""))</f>
        <v/>
      </c>
      <c r="L289" s="9" t="str">
        <f t="shared" si="33"/>
        <v/>
      </c>
      <c r="M289" s="7" t="str">
        <f>IF($D289&lt;&gt;"Include","",IFERROR(IF(Data!L289&lt;=0,"n,m",E289/Data!L289),""))</f>
        <v/>
      </c>
      <c r="N289" s="9" t="str">
        <f>IF($D289&lt;&gt;"Include","",IFERROR(IF(OR(Data!I289&lt;=0,Data!J289&lt;=0),"n/m",(Data!I289/Data!J289)^(1/3)-1),""))</f>
        <v/>
      </c>
      <c r="O289" t="str">
        <f t="shared" si="28"/>
        <v/>
      </c>
      <c r="P289" t="str">
        <f t="shared" si="29"/>
        <v/>
      </c>
      <c r="Q289" t="str">
        <f t="shared" si="30"/>
        <v/>
      </c>
      <c r="R289" t="str">
        <f t="shared" si="31"/>
        <v/>
      </c>
      <c r="S289" t="str">
        <f t="shared" si="32"/>
        <v/>
      </c>
      <c r="T289" s="10" t="str">
        <f t="shared" si="34"/>
        <v/>
      </c>
      <c r="U289" t="str">
        <f>IF($D289&lt;&gt;"Include","",_xlfn.RANK.EQ(T289,T$6:T$305,1)+COUNTIFS(T$6:T289,T289)-1)</f>
        <v/>
      </c>
    </row>
    <row r="290" spans="1:21" x14ac:dyDescent="0.4">
      <c r="A290" t="str">
        <f>Data!A290</f>
        <v/>
      </c>
      <c r="B290" t="str">
        <f>Data!B290</f>
        <v/>
      </c>
      <c r="C290" t="str">
        <f>Data!D290</f>
        <v/>
      </c>
      <c r="D290" t="str">
        <f>Data!E290</f>
        <v/>
      </c>
      <c r="E290" t="str">
        <f>IF($D290&lt;&gt;"Include","",SUM(Data!V290:W290)-SUM(Data!X290))</f>
        <v/>
      </c>
      <c r="F290" t="str">
        <f>IF($D290&lt;&gt;"Include","",SUM(Data!Z290,Data!Y290,Metrics!E290))</f>
        <v/>
      </c>
      <c r="G290" t="str">
        <f>IF($D290&lt;&gt;"Include","",IFERROR(Data!P290-Data!S290,""))</f>
        <v/>
      </c>
      <c r="H290" t="str">
        <f>IF($D290&lt;&gt;"Include","",IFERROR(SUM(Data!P290:R290)-SUM(Data!S290:U290),""))</f>
        <v/>
      </c>
      <c r="I290" t="str">
        <f>IF($D290&lt;&gt;"Include","",SUM(Data!M290:O290))</f>
        <v/>
      </c>
      <c r="J290" s="7" t="str">
        <f>IF($D290&lt;&gt;"Include","",IFERROR(IF(OR(Data!K290&lt;=0,F290&lt;=0),"n/m",($F290/Data!K290)),""))</f>
        <v/>
      </c>
      <c r="K290" s="9" t="str">
        <f>IF($D290&lt;&gt;"Include","",IFERROR(G290/Data!Z290,""))</f>
        <v/>
      </c>
      <c r="L290" s="9" t="str">
        <f t="shared" si="33"/>
        <v/>
      </c>
      <c r="M290" s="7" t="str">
        <f>IF($D290&lt;&gt;"Include","",IFERROR(IF(Data!L290&lt;=0,"n,m",E290/Data!L290),""))</f>
        <v/>
      </c>
      <c r="N290" s="9" t="str">
        <f>IF($D290&lt;&gt;"Include","",IFERROR(IF(OR(Data!I290&lt;=0,Data!J290&lt;=0),"n/m",(Data!I290/Data!J290)^(1/3)-1),""))</f>
        <v/>
      </c>
      <c r="O290" t="str">
        <f t="shared" si="28"/>
        <v/>
      </c>
      <c r="P290" t="str">
        <f t="shared" si="29"/>
        <v/>
      </c>
      <c r="Q290" t="str">
        <f t="shared" si="30"/>
        <v/>
      </c>
      <c r="R290" t="str">
        <f t="shared" si="31"/>
        <v/>
      </c>
      <c r="S290" t="str">
        <f t="shared" si="32"/>
        <v/>
      </c>
      <c r="T290" s="10" t="str">
        <f t="shared" si="34"/>
        <v/>
      </c>
      <c r="U290" t="str">
        <f>IF($D290&lt;&gt;"Include","",_xlfn.RANK.EQ(T290,T$6:T$305,1)+COUNTIFS(T$6:T290,T290)-1)</f>
        <v/>
      </c>
    </row>
    <row r="291" spans="1:21" x14ac:dyDescent="0.4">
      <c r="A291" t="str">
        <f>Data!A291</f>
        <v/>
      </c>
      <c r="B291" t="str">
        <f>Data!B291</f>
        <v/>
      </c>
      <c r="C291" t="str">
        <f>Data!D291</f>
        <v/>
      </c>
      <c r="D291" t="str">
        <f>Data!E291</f>
        <v/>
      </c>
      <c r="E291" t="str">
        <f>IF($D291&lt;&gt;"Include","",SUM(Data!V291:W291)-SUM(Data!X291))</f>
        <v/>
      </c>
      <c r="F291" t="str">
        <f>IF($D291&lt;&gt;"Include","",SUM(Data!Z291,Data!Y291,Metrics!E291))</f>
        <v/>
      </c>
      <c r="G291" t="str">
        <f>IF($D291&lt;&gt;"Include","",IFERROR(Data!P291-Data!S291,""))</f>
        <v/>
      </c>
      <c r="H291" t="str">
        <f>IF($D291&lt;&gt;"Include","",IFERROR(SUM(Data!P291:R291)-SUM(Data!S291:U291),""))</f>
        <v/>
      </c>
      <c r="I291" t="str">
        <f>IF($D291&lt;&gt;"Include","",SUM(Data!M291:O291))</f>
        <v/>
      </c>
      <c r="J291" s="7" t="str">
        <f>IF($D291&lt;&gt;"Include","",IFERROR(IF(OR(Data!K291&lt;=0,F291&lt;=0),"n/m",($F291/Data!K291)),""))</f>
        <v/>
      </c>
      <c r="K291" s="9" t="str">
        <f>IF($D291&lt;&gt;"Include","",IFERROR(G291/Data!Z291,""))</f>
        <v/>
      </c>
      <c r="L291" s="9" t="str">
        <f t="shared" si="33"/>
        <v/>
      </c>
      <c r="M291" s="7" t="str">
        <f>IF($D291&lt;&gt;"Include","",IFERROR(IF(Data!L291&lt;=0,"n,m",E291/Data!L291),""))</f>
        <v/>
      </c>
      <c r="N291" s="9" t="str">
        <f>IF($D291&lt;&gt;"Include","",IFERROR(IF(OR(Data!I291&lt;=0,Data!J291&lt;=0),"n/m",(Data!I291/Data!J291)^(1/3)-1),""))</f>
        <v/>
      </c>
      <c r="O291" t="str">
        <f t="shared" si="28"/>
        <v/>
      </c>
      <c r="P291" t="str">
        <f t="shared" si="29"/>
        <v/>
      </c>
      <c r="Q291" t="str">
        <f t="shared" si="30"/>
        <v/>
      </c>
      <c r="R291" t="str">
        <f t="shared" si="31"/>
        <v/>
      </c>
      <c r="S291" t="str">
        <f t="shared" si="32"/>
        <v/>
      </c>
      <c r="T291" s="10" t="str">
        <f t="shared" si="34"/>
        <v/>
      </c>
      <c r="U291" t="str">
        <f>IF($D291&lt;&gt;"Include","",_xlfn.RANK.EQ(T291,T$6:T$305,1)+COUNTIFS(T$6:T291,T291)-1)</f>
        <v/>
      </c>
    </row>
    <row r="292" spans="1:21" x14ac:dyDescent="0.4">
      <c r="A292" t="str">
        <f>Data!A292</f>
        <v/>
      </c>
      <c r="B292" t="str">
        <f>Data!B292</f>
        <v/>
      </c>
      <c r="C292" t="str">
        <f>Data!D292</f>
        <v/>
      </c>
      <c r="D292" t="str">
        <f>Data!E292</f>
        <v/>
      </c>
      <c r="E292" t="str">
        <f>IF($D292&lt;&gt;"Include","",SUM(Data!V292:W292)-SUM(Data!X292))</f>
        <v/>
      </c>
      <c r="F292" t="str">
        <f>IF($D292&lt;&gt;"Include","",SUM(Data!Z292,Data!Y292,Metrics!E292))</f>
        <v/>
      </c>
      <c r="G292" t="str">
        <f>IF($D292&lt;&gt;"Include","",IFERROR(Data!P292-Data!S292,""))</f>
        <v/>
      </c>
      <c r="H292" t="str">
        <f>IF($D292&lt;&gt;"Include","",IFERROR(SUM(Data!P292:R292)-SUM(Data!S292:U292),""))</f>
        <v/>
      </c>
      <c r="I292" t="str">
        <f>IF($D292&lt;&gt;"Include","",SUM(Data!M292:O292))</f>
        <v/>
      </c>
      <c r="J292" s="7" t="str">
        <f>IF($D292&lt;&gt;"Include","",IFERROR(IF(OR(Data!K292&lt;=0,F292&lt;=0),"n/m",($F292/Data!K292)),""))</f>
        <v/>
      </c>
      <c r="K292" s="9" t="str">
        <f>IF($D292&lt;&gt;"Include","",IFERROR(G292/Data!Z292,""))</f>
        <v/>
      </c>
      <c r="L292" s="9" t="str">
        <f t="shared" si="33"/>
        <v/>
      </c>
      <c r="M292" s="7" t="str">
        <f>IF($D292&lt;&gt;"Include","",IFERROR(IF(Data!L292&lt;=0,"n,m",E292/Data!L292),""))</f>
        <v/>
      </c>
      <c r="N292" s="9" t="str">
        <f>IF($D292&lt;&gt;"Include","",IFERROR(IF(OR(Data!I292&lt;=0,Data!J292&lt;=0),"n/m",(Data!I292/Data!J292)^(1/3)-1),""))</f>
        <v/>
      </c>
      <c r="O292" t="str">
        <f t="shared" si="28"/>
        <v/>
      </c>
      <c r="P292" t="str">
        <f t="shared" si="29"/>
        <v/>
      </c>
      <c r="Q292" t="str">
        <f t="shared" si="30"/>
        <v/>
      </c>
      <c r="R292" t="str">
        <f t="shared" si="31"/>
        <v/>
      </c>
      <c r="S292" t="str">
        <f t="shared" si="32"/>
        <v/>
      </c>
      <c r="T292" s="10" t="str">
        <f t="shared" si="34"/>
        <v/>
      </c>
      <c r="U292" t="str">
        <f>IF($D292&lt;&gt;"Include","",_xlfn.RANK.EQ(T292,T$6:T$305,1)+COUNTIFS(T$6:T292,T292)-1)</f>
        <v/>
      </c>
    </row>
    <row r="293" spans="1:21" x14ac:dyDescent="0.4">
      <c r="A293" t="str">
        <f>Data!A293</f>
        <v/>
      </c>
      <c r="B293" t="str">
        <f>Data!B293</f>
        <v/>
      </c>
      <c r="C293" t="str">
        <f>Data!D293</f>
        <v/>
      </c>
      <c r="D293" t="str">
        <f>Data!E293</f>
        <v/>
      </c>
      <c r="E293" t="str">
        <f>IF($D293&lt;&gt;"Include","",SUM(Data!V293:W293)-SUM(Data!X293))</f>
        <v/>
      </c>
      <c r="F293" t="str">
        <f>IF($D293&lt;&gt;"Include","",SUM(Data!Z293,Data!Y293,Metrics!E293))</f>
        <v/>
      </c>
      <c r="G293" t="str">
        <f>IF($D293&lt;&gt;"Include","",IFERROR(Data!P293-Data!S293,""))</f>
        <v/>
      </c>
      <c r="H293" t="str">
        <f>IF($D293&lt;&gt;"Include","",IFERROR(SUM(Data!P293:R293)-SUM(Data!S293:U293),""))</f>
        <v/>
      </c>
      <c r="I293" t="str">
        <f>IF($D293&lt;&gt;"Include","",SUM(Data!M293:O293))</f>
        <v/>
      </c>
      <c r="J293" s="7" t="str">
        <f>IF($D293&lt;&gt;"Include","",IFERROR(IF(OR(Data!K293&lt;=0,F293&lt;=0),"n/m",($F293/Data!K293)),""))</f>
        <v/>
      </c>
      <c r="K293" s="9" t="str">
        <f>IF($D293&lt;&gt;"Include","",IFERROR(G293/Data!Z293,""))</f>
        <v/>
      </c>
      <c r="L293" s="9" t="str">
        <f t="shared" si="33"/>
        <v/>
      </c>
      <c r="M293" s="7" t="str">
        <f>IF($D293&lt;&gt;"Include","",IFERROR(IF(Data!L293&lt;=0,"n,m",E293/Data!L293),""))</f>
        <v/>
      </c>
      <c r="N293" s="9" t="str">
        <f>IF($D293&lt;&gt;"Include","",IFERROR(IF(OR(Data!I293&lt;=0,Data!J293&lt;=0),"n/m",(Data!I293/Data!J293)^(1/3)-1),""))</f>
        <v/>
      </c>
      <c r="O293" t="str">
        <f t="shared" si="28"/>
        <v/>
      </c>
      <c r="P293" t="str">
        <f t="shared" si="29"/>
        <v/>
      </c>
      <c r="Q293" t="str">
        <f t="shared" si="30"/>
        <v/>
      </c>
      <c r="R293" t="str">
        <f t="shared" si="31"/>
        <v/>
      </c>
      <c r="S293" t="str">
        <f t="shared" si="32"/>
        <v/>
      </c>
      <c r="T293" s="10" t="str">
        <f t="shared" si="34"/>
        <v/>
      </c>
      <c r="U293" t="str">
        <f>IF($D293&lt;&gt;"Include","",_xlfn.RANK.EQ(T293,T$6:T$305,1)+COUNTIFS(T$6:T293,T293)-1)</f>
        <v/>
      </c>
    </row>
    <row r="294" spans="1:21" x14ac:dyDescent="0.4">
      <c r="A294" t="str">
        <f>Data!A294</f>
        <v/>
      </c>
      <c r="B294" t="str">
        <f>Data!B294</f>
        <v/>
      </c>
      <c r="C294" t="str">
        <f>Data!D294</f>
        <v/>
      </c>
      <c r="D294" t="str">
        <f>Data!E294</f>
        <v/>
      </c>
      <c r="E294" t="str">
        <f>IF($D294&lt;&gt;"Include","",SUM(Data!V294:W294)-SUM(Data!X294))</f>
        <v/>
      </c>
      <c r="F294" t="str">
        <f>IF($D294&lt;&gt;"Include","",SUM(Data!Z294,Data!Y294,Metrics!E294))</f>
        <v/>
      </c>
      <c r="G294" t="str">
        <f>IF($D294&lt;&gt;"Include","",IFERROR(Data!P294-Data!S294,""))</f>
        <v/>
      </c>
      <c r="H294" t="str">
        <f>IF($D294&lt;&gt;"Include","",IFERROR(SUM(Data!P294:R294)-SUM(Data!S294:U294),""))</f>
        <v/>
      </c>
      <c r="I294" t="str">
        <f>IF($D294&lt;&gt;"Include","",SUM(Data!M294:O294))</f>
        <v/>
      </c>
      <c r="J294" s="7" t="str">
        <f>IF($D294&lt;&gt;"Include","",IFERROR(IF(OR(Data!K294&lt;=0,F294&lt;=0),"n/m",($F294/Data!K294)),""))</f>
        <v/>
      </c>
      <c r="K294" s="9" t="str">
        <f>IF($D294&lt;&gt;"Include","",IFERROR(G294/Data!Z294,""))</f>
        <v/>
      </c>
      <c r="L294" s="9" t="str">
        <f t="shared" si="33"/>
        <v/>
      </c>
      <c r="M294" s="7" t="str">
        <f>IF($D294&lt;&gt;"Include","",IFERROR(IF(Data!L294&lt;=0,"n,m",E294/Data!L294),""))</f>
        <v/>
      </c>
      <c r="N294" s="9" t="str">
        <f>IF($D294&lt;&gt;"Include","",IFERROR(IF(OR(Data!I294&lt;=0,Data!J294&lt;=0),"n/m",(Data!I294/Data!J294)^(1/3)-1),""))</f>
        <v/>
      </c>
      <c r="O294" t="str">
        <f t="shared" si="28"/>
        <v/>
      </c>
      <c r="P294" t="str">
        <f t="shared" si="29"/>
        <v/>
      </c>
      <c r="Q294" t="str">
        <f t="shared" si="30"/>
        <v/>
      </c>
      <c r="R294" t="str">
        <f t="shared" si="31"/>
        <v/>
      </c>
      <c r="S294" t="str">
        <f t="shared" si="32"/>
        <v/>
      </c>
      <c r="T294" s="10" t="str">
        <f t="shared" si="34"/>
        <v/>
      </c>
      <c r="U294" t="str">
        <f>IF($D294&lt;&gt;"Include","",_xlfn.RANK.EQ(T294,T$6:T$305,1)+COUNTIFS(T$6:T294,T294)-1)</f>
        <v/>
      </c>
    </row>
    <row r="295" spans="1:21" x14ac:dyDescent="0.4">
      <c r="A295" t="str">
        <f>Data!A295</f>
        <v/>
      </c>
      <c r="B295" t="str">
        <f>Data!B295</f>
        <v/>
      </c>
      <c r="C295" t="str">
        <f>Data!D295</f>
        <v/>
      </c>
      <c r="D295" t="str">
        <f>Data!E295</f>
        <v/>
      </c>
      <c r="E295" t="str">
        <f>IF($D295&lt;&gt;"Include","",SUM(Data!V295:W295)-SUM(Data!X295))</f>
        <v/>
      </c>
      <c r="F295" t="str">
        <f>IF($D295&lt;&gt;"Include","",SUM(Data!Z295,Data!Y295,Metrics!E295))</f>
        <v/>
      </c>
      <c r="G295" t="str">
        <f>IF($D295&lt;&gt;"Include","",IFERROR(Data!P295-Data!S295,""))</f>
        <v/>
      </c>
      <c r="H295" t="str">
        <f>IF($D295&lt;&gt;"Include","",IFERROR(SUM(Data!P295:R295)-SUM(Data!S295:U295),""))</f>
        <v/>
      </c>
      <c r="I295" t="str">
        <f>IF($D295&lt;&gt;"Include","",SUM(Data!M295:O295))</f>
        <v/>
      </c>
      <c r="J295" s="7" t="str">
        <f>IF($D295&lt;&gt;"Include","",IFERROR(IF(OR(Data!K295&lt;=0,F295&lt;=0),"n/m",($F295/Data!K295)),""))</f>
        <v/>
      </c>
      <c r="K295" s="9" t="str">
        <f>IF($D295&lt;&gt;"Include","",IFERROR(G295/Data!Z295,""))</f>
        <v/>
      </c>
      <c r="L295" s="9" t="str">
        <f t="shared" si="33"/>
        <v/>
      </c>
      <c r="M295" s="7" t="str">
        <f>IF($D295&lt;&gt;"Include","",IFERROR(IF(Data!L295&lt;=0,"n,m",E295/Data!L295),""))</f>
        <v/>
      </c>
      <c r="N295" s="9" t="str">
        <f>IF($D295&lt;&gt;"Include","",IFERROR(IF(OR(Data!I295&lt;=0,Data!J295&lt;=0),"n/m",(Data!I295/Data!J295)^(1/3)-1),""))</f>
        <v/>
      </c>
      <c r="O295" t="str">
        <f t="shared" si="28"/>
        <v/>
      </c>
      <c r="P295" t="str">
        <f t="shared" si="29"/>
        <v/>
      </c>
      <c r="Q295" t="str">
        <f t="shared" si="30"/>
        <v/>
      </c>
      <c r="R295" t="str">
        <f t="shared" si="31"/>
        <v/>
      </c>
      <c r="S295" t="str">
        <f t="shared" si="32"/>
        <v/>
      </c>
      <c r="T295" s="10" t="str">
        <f t="shared" si="34"/>
        <v/>
      </c>
      <c r="U295" t="str">
        <f>IF($D295&lt;&gt;"Include","",_xlfn.RANK.EQ(T295,T$6:T$305,1)+COUNTIFS(T$6:T295,T295)-1)</f>
        <v/>
      </c>
    </row>
    <row r="296" spans="1:21" x14ac:dyDescent="0.4">
      <c r="A296" t="str">
        <f>Data!A296</f>
        <v/>
      </c>
      <c r="B296" t="str">
        <f>Data!B296</f>
        <v/>
      </c>
      <c r="C296" t="str">
        <f>Data!D296</f>
        <v/>
      </c>
      <c r="D296" t="str">
        <f>Data!E296</f>
        <v/>
      </c>
      <c r="E296" t="str">
        <f>IF($D296&lt;&gt;"Include","",SUM(Data!V296:W296)-SUM(Data!X296))</f>
        <v/>
      </c>
      <c r="F296" t="str">
        <f>IF($D296&lt;&gt;"Include","",SUM(Data!Z296,Data!Y296,Metrics!E296))</f>
        <v/>
      </c>
      <c r="G296" t="str">
        <f>IF($D296&lt;&gt;"Include","",IFERROR(Data!P296-Data!S296,""))</f>
        <v/>
      </c>
      <c r="H296" t="str">
        <f>IF($D296&lt;&gt;"Include","",IFERROR(SUM(Data!P296:R296)-SUM(Data!S296:U296),""))</f>
        <v/>
      </c>
      <c r="I296" t="str">
        <f>IF($D296&lt;&gt;"Include","",SUM(Data!M296:O296))</f>
        <v/>
      </c>
      <c r="J296" s="7" t="str">
        <f>IF($D296&lt;&gt;"Include","",IFERROR(IF(OR(Data!K296&lt;=0,F296&lt;=0),"n/m",($F296/Data!K296)),""))</f>
        <v/>
      </c>
      <c r="K296" s="9" t="str">
        <f>IF($D296&lt;&gt;"Include","",IFERROR(G296/Data!Z296,""))</f>
        <v/>
      </c>
      <c r="L296" s="9" t="str">
        <f t="shared" si="33"/>
        <v/>
      </c>
      <c r="M296" s="7" t="str">
        <f>IF($D296&lt;&gt;"Include","",IFERROR(IF(Data!L296&lt;=0,"n,m",E296/Data!L296),""))</f>
        <v/>
      </c>
      <c r="N296" s="9" t="str">
        <f>IF($D296&lt;&gt;"Include","",IFERROR(IF(OR(Data!I296&lt;=0,Data!J296&lt;=0),"n/m",(Data!I296/Data!J296)^(1/3)-1),""))</f>
        <v/>
      </c>
      <c r="O296" t="str">
        <f t="shared" si="28"/>
        <v/>
      </c>
      <c r="P296" t="str">
        <f t="shared" si="29"/>
        <v/>
      </c>
      <c r="Q296" t="str">
        <f t="shared" si="30"/>
        <v/>
      </c>
      <c r="R296" t="str">
        <f t="shared" si="31"/>
        <v/>
      </c>
      <c r="S296" t="str">
        <f t="shared" si="32"/>
        <v/>
      </c>
      <c r="T296" s="10" t="str">
        <f t="shared" si="34"/>
        <v/>
      </c>
      <c r="U296" t="str">
        <f>IF($D296&lt;&gt;"Include","",_xlfn.RANK.EQ(T296,T$6:T$305,1)+COUNTIFS(T$6:T296,T296)-1)</f>
        <v/>
      </c>
    </row>
    <row r="297" spans="1:21" x14ac:dyDescent="0.4">
      <c r="A297" t="str">
        <f>Data!A297</f>
        <v/>
      </c>
      <c r="B297" t="str">
        <f>Data!B297</f>
        <v/>
      </c>
      <c r="C297" t="str">
        <f>Data!D297</f>
        <v/>
      </c>
      <c r="D297" t="str">
        <f>Data!E297</f>
        <v/>
      </c>
      <c r="E297" t="str">
        <f>IF($D297&lt;&gt;"Include","",SUM(Data!V297:W297)-SUM(Data!X297))</f>
        <v/>
      </c>
      <c r="F297" t="str">
        <f>IF($D297&lt;&gt;"Include","",SUM(Data!Z297,Data!Y297,Metrics!E297))</f>
        <v/>
      </c>
      <c r="G297" t="str">
        <f>IF($D297&lt;&gt;"Include","",IFERROR(Data!P297-Data!S297,""))</f>
        <v/>
      </c>
      <c r="H297" t="str">
        <f>IF($D297&lt;&gt;"Include","",IFERROR(SUM(Data!P297:R297)-SUM(Data!S297:U297),""))</f>
        <v/>
      </c>
      <c r="I297" t="str">
        <f>IF($D297&lt;&gt;"Include","",SUM(Data!M297:O297))</f>
        <v/>
      </c>
      <c r="J297" s="7" t="str">
        <f>IF($D297&lt;&gt;"Include","",IFERROR(IF(OR(Data!K297&lt;=0,F297&lt;=0),"n/m",($F297/Data!K297)),""))</f>
        <v/>
      </c>
      <c r="K297" s="9" t="str">
        <f>IF($D297&lt;&gt;"Include","",IFERROR(G297/Data!Z297,""))</f>
        <v/>
      </c>
      <c r="L297" s="9" t="str">
        <f t="shared" si="33"/>
        <v/>
      </c>
      <c r="M297" s="7" t="str">
        <f>IF($D297&lt;&gt;"Include","",IFERROR(IF(Data!L297&lt;=0,"n,m",E297/Data!L297),""))</f>
        <v/>
      </c>
      <c r="N297" s="9" t="str">
        <f>IF($D297&lt;&gt;"Include","",IFERROR(IF(OR(Data!I297&lt;=0,Data!J297&lt;=0),"n/m",(Data!I297/Data!J297)^(1/3)-1),""))</f>
        <v/>
      </c>
      <c r="O297" t="str">
        <f t="shared" si="28"/>
        <v/>
      </c>
      <c r="P297" t="str">
        <f t="shared" si="29"/>
        <v/>
      </c>
      <c r="Q297" t="str">
        <f t="shared" si="30"/>
        <v/>
      </c>
      <c r="R297" t="str">
        <f t="shared" si="31"/>
        <v/>
      </c>
      <c r="S297" t="str">
        <f t="shared" si="32"/>
        <v/>
      </c>
      <c r="T297" s="10" t="str">
        <f t="shared" si="34"/>
        <v/>
      </c>
      <c r="U297" t="str">
        <f>IF($D297&lt;&gt;"Include","",_xlfn.RANK.EQ(T297,T$6:T$305,1)+COUNTIFS(T$6:T297,T297)-1)</f>
        <v/>
      </c>
    </row>
    <row r="298" spans="1:21" x14ac:dyDescent="0.4">
      <c r="A298" t="str">
        <f>Data!A298</f>
        <v/>
      </c>
      <c r="B298" t="str">
        <f>Data!B298</f>
        <v/>
      </c>
      <c r="C298" t="str">
        <f>Data!D298</f>
        <v/>
      </c>
      <c r="D298" t="str">
        <f>Data!E298</f>
        <v/>
      </c>
      <c r="E298" t="str">
        <f>IF($D298&lt;&gt;"Include","",SUM(Data!V298:W298)-SUM(Data!X298))</f>
        <v/>
      </c>
      <c r="F298" t="str">
        <f>IF($D298&lt;&gt;"Include","",SUM(Data!Z298,Data!Y298,Metrics!E298))</f>
        <v/>
      </c>
      <c r="G298" t="str">
        <f>IF($D298&lt;&gt;"Include","",IFERROR(Data!P298-Data!S298,""))</f>
        <v/>
      </c>
      <c r="H298" t="str">
        <f>IF($D298&lt;&gt;"Include","",IFERROR(SUM(Data!P298:R298)-SUM(Data!S298:U298),""))</f>
        <v/>
      </c>
      <c r="I298" t="str">
        <f>IF($D298&lt;&gt;"Include","",SUM(Data!M298:O298))</f>
        <v/>
      </c>
      <c r="J298" s="7" t="str">
        <f>IF($D298&lt;&gt;"Include","",IFERROR(IF(OR(Data!K298&lt;=0,F298&lt;=0),"n/m",($F298/Data!K298)),""))</f>
        <v/>
      </c>
      <c r="K298" s="9" t="str">
        <f>IF($D298&lt;&gt;"Include","",IFERROR(G298/Data!Z298,""))</f>
        <v/>
      </c>
      <c r="L298" s="9" t="str">
        <f t="shared" si="33"/>
        <v/>
      </c>
      <c r="M298" s="7" t="str">
        <f>IF($D298&lt;&gt;"Include","",IFERROR(IF(Data!L298&lt;=0,"n,m",E298/Data!L298),""))</f>
        <v/>
      </c>
      <c r="N298" s="9" t="str">
        <f>IF($D298&lt;&gt;"Include","",IFERROR(IF(OR(Data!I298&lt;=0,Data!J298&lt;=0),"n/m",(Data!I298/Data!J298)^(1/3)-1),""))</f>
        <v/>
      </c>
      <c r="O298" t="str">
        <f t="shared" si="28"/>
        <v/>
      </c>
      <c r="P298" t="str">
        <f t="shared" si="29"/>
        <v/>
      </c>
      <c r="Q298" t="str">
        <f t="shared" si="30"/>
        <v/>
      </c>
      <c r="R298" t="str">
        <f t="shared" si="31"/>
        <v/>
      </c>
      <c r="S298" t="str">
        <f t="shared" si="32"/>
        <v/>
      </c>
      <c r="T298" s="10" t="str">
        <f t="shared" si="34"/>
        <v/>
      </c>
      <c r="U298" t="str">
        <f>IF($D298&lt;&gt;"Include","",_xlfn.RANK.EQ(T298,T$6:T$305,1)+COUNTIFS(T$6:T298,T298)-1)</f>
        <v/>
      </c>
    </row>
    <row r="299" spans="1:21" x14ac:dyDescent="0.4">
      <c r="A299" t="str">
        <f>Data!A299</f>
        <v/>
      </c>
      <c r="B299" t="str">
        <f>Data!B299</f>
        <v/>
      </c>
      <c r="C299" t="str">
        <f>Data!D299</f>
        <v/>
      </c>
      <c r="D299" t="str">
        <f>Data!E299</f>
        <v/>
      </c>
      <c r="E299" t="str">
        <f>IF($D299&lt;&gt;"Include","",SUM(Data!V299:W299)-SUM(Data!X299))</f>
        <v/>
      </c>
      <c r="F299" t="str">
        <f>IF($D299&lt;&gt;"Include","",SUM(Data!Z299,Data!Y299,Metrics!E299))</f>
        <v/>
      </c>
      <c r="G299" t="str">
        <f>IF($D299&lt;&gt;"Include","",IFERROR(Data!P299-Data!S299,""))</f>
        <v/>
      </c>
      <c r="H299" t="str">
        <f>IF($D299&lt;&gt;"Include","",IFERROR(SUM(Data!P299:R299)-SUM(Data!S299:U299),""))</f>
        <v/>
      </c>
      <c r="I299" t="str">
        <f>IF($D299&lt;&gt;"Include","",SUM(Data!M299:O299))</f>
        <v/>
      </c>
      <c r="J299" s="7" t="str">
        <f>IF($D299&lt;&gt;"Include","",IFERROR(IF(OR(Data!K299&lt;=0,F299&lt;=0),"n/m",($F299/Data!K299)),""))</f>
        <v/>
      </c>
      <c r="K299" s="9" t="str">
        <f>IF($D299&lt;&gt;"Include","",IFERROR(G299/Data!Z299,""))</f>
        <v/>
      </c>
      <c r="L299" s="9" t="str">
        <f t="shared" si="33"/>
        <v/>
      </c>
      <c r="M299" s="7" t="str">
        <f>IF($D299&lt;&gt;"Include","",IFERROR(IF(Data!L299&lt;=0,"n,m",E299/Data!L299),""))</f>
        <v/>
      </c>
      <c r="N299" s="9" t="str">
        <f>IF($D299&lt;&gt;"Include","",IFERROR(IF(OR(Data!I299&lt;=0,Data!J299&lt;=0),"n/m",(Data!I299/Data!J299)^(1/3)-1),""))</f>
        <v/>
      </c>
      <c r="O299" t="str">
        <f t="shared" si="28"/>
        <v/>
      </c>
      <c r="P299" t="str">
        <f t="shared" si="29"/>
        <v/>
      </c>
      <c r="Q299" t="str">
        <f t="shared" si="30"/>
        <v/>
      </c>
      <c r="R299" t="str">
        <f t="shared" si="31"/>
        <v/>
      </c>
      <c r="S299" t="str">
        <f t="shared" si="32"/>
        <v/>
      </c>
      <c r="T299" s="10" t="str">
        <f t="shared" si="34"/>
        <v/>
      </c>
      <c r="U299" t="str">
        <f>IF($D299&lt;&gt;"Include","",_xlfn.RANK.EQ(T299,T$6:T$305,1)+COUNTIFS(T$6:T299,T299)-1)</f>
        <v/>
      </c>
    </row>
    <row r="300" spans="1:21" x14ac:dyDescent="0.4">
      <c r="A300" t="str">
        <f>Data!A300</f>
        <v/>
      </c>
      <c r="B300" t="str">
        <f>Data!B300</f>
        <v/>
      </c>
      <c r="C300" t="str">
        <f>Data!D300</f>
        <v/>
      </c>
      <c r="D300" t="str">
        <f>Data!E300</f>
        <v/>
      </c>
      <c r="E300" t="str">
        <f>IF($D300&lt;&gt;"Include","",SUM(Data!V300:W300)-SUM(Data!X300))</f>
        <v/>
      </c>
      <c r="F300" t="str">
        <f>IF($D300&lt;&gt;"Include","",SUM(Data!Z300,Data!Y300,Metrics!E300))</f>
        <v/>
      </c>
      <c r="G300" t="str">
        <f>IF($D300&lt;&gt;"Include","",IFERROR(Data!P300-Data!S300,""))</f>
        <v/>
      </c>
      <c r="H300" t="str">
        <f>IF($D300&lt;&gt;"Include","",IFERROR(SUM(Data!P300:R300)-SUM(Data!S300:U300),""))</f>
        <v/>
      </c>
      <c r="I300" t="str">
        <f>IF($D300&lt;&gt;"Include","",SUM(Data!M300:O300))</f>
        <v/>
      </c>
      <c r="J300" s="7" t="str">
        <f>IF($D300&lt;&gt;"Include","",IFERROR(IF(OR(Data!K300&lt;=0,F300&lt;=0),"n/m",($F300/Data!K300)),""))</f>
        <v/>
      </c>
      <c r="K300" s="9" t="str">
        <f>IF($D300&lt;&gt;"Include","",IFERROR(G300/Data!Z300,""))</f>
        <v/>
      </c>
      <c r="L300" s="9" t="str">
        <f t="shared" si="33"/>
        <v/>
      </c>
      <c r="M300" s="7" t="str">
        <f>IF($D300&lt;&gt;"Include","",IFERROR(IF(Data!L300&lt;=0,"n,m",E300/Data!L300),""))</f>
        <v/>
      </c>
      <c r="N300" s="9" t="str">
        <f>IF($D300&lt;&gt;"Include","",IFERROR(IF(OR(Data!I300&lt;=0,Data!J300&lt;=0),"n/m",(Data!I300/Data!J300)^(1/3)-1),""))</f>
        <v/>
      </c>
      <c r="O300" t="str">
        <f t="shared" si="28"/>
        <v/>
      </c>
      <c r="P300" t="str">
        <f t="shared" si="29"/>
        <v/>
      </c>
      <c r="Q300" t="str">
        <f t="shared" si="30"/>
        <v/>
      </c>
      <c r="R300" t="str">
        <f t="shared" si="31"/>
        <v/>
      </c>
      <c r="S300" t="str">
        <f t="shared" si="32"/>
        <v/>
      </c>
      <c r="T300" s="10" t="str">
        <f t="shared" si="34"/>
        <v/>
      </c>
      <c r="U300" t="str">
        <f>IF($D300&lt;&gt;"Include","",_xlfn.RANK.EQ(T300,T$6:T$305,1)+COUNTIFS(T$6:T300,T300)-1)</f>
        <v/>
      </c>
    </row>
    <row r="301" spans="1:21" x14ac:dyDescent="0.4">
      <c r="A301" t="str">
        <f>Data!A301</f>
        <v/>
      </c>
      <c r="B301" t="str">
        <f>Data!B301</f>
        <v/>
      </c>
      <c r="C301" t="str">
        <f>Data!D301</f>
        <v/>
      </c>
      <c r="D301" t="str">
        <f>Data!E301</f>
        <v/>
      </c>
      <c r="E301" t="str">
        <f>IF($D301&lt;&gt;"Include","",SUM(Data!V301:W301)-SUM(Data!X301))</f>
        <v/>
      </c>
      <c r="F301" t="str">
        <f>IF($D301&lt;&gt;"Include","",SUM(Data!Z301,Data!Y301,Metrics!E301))</f>
        <v/>
      </c>
      <c r="G301" t="str">
        <f>IF($D301&lt;&gt;"Include","",IFERROR(Data!P301-Data!S301,""))</f>
        <v/>
      </c>
      <c r="H301" t="str">
        <f>IF($D301&lt;&gt;"Include","",IFERROR(SUM(Data!P301:R301)-SUM(Data!S301:U301),""))</f>
        <v/>
      </c>
      <c r="I301" t="str">
        <f>IF($D301&lt;&gt;"Include","",SUM(Data!M301:O301))</f>
        <v/>
      </c>
      <c r="J301" s="7" t="str">
        <f>IF($D301&lt;&gt;"Include","",IFERROR(IF(OR(Data!K301&lt;=0,F301&lt;=0),"n/m",($F301/Data!K301)),""))</f>
        <v/>
      </c>
      <c r="K301" s="9" t="str">
        <f>IF($D301&lt;&gt;"Include","",IFERROR(G301/Data!Z301,""))</f>
        <v/>
      </c>
      <c r="L301" s="9" t="str">
        <f t="shared" si="33"/>
        <v/>
      </c>
      <c r="M301" s="7" t="str">
        <f>IF($D301&lt;&gt;"Include","",IFERROR(IF(Data!L301&lt;=0,"n,m",E301/Data!L301),""))</f>
        <v/>
      </c>
      <c r="N301" s="9" t="str">
        <f>IF($D301&lt;&gt;"Include","",IFERROR(IF(OR(Data!I301&lt;=0,Data!J301&lt;=0),"n/m",(Data!I301/Data!J301)^(1/3)-1),""))</f>
        <v/>
      </c>
      <c r="O301" t="str">
        <f t="shared" si="28"/>
        <v/>
      </c>
      <c r="P301" t="str">
        <f t="shared" si="29"/>
        <v/>
      </c>
      <c r="Q301" t="str">
        <f t="shared" si="30"/>
        <v/>
      </c>
      <c r="R301" t="str">
        <f t="shared" si="31"/>
        <v/>
      </c>
      <c r="S301" t="str">
        <f t="shared" si="32"/>
        <v/>
      </c>
      <c r="T301" s="10" t="str">
        <f t="shared" si="34"/>
        <v/>
      </c>
      <c r="U301" t="str">
        <f>IF($D301&lt;&gt;"Include","",_xlfn.RANK.EQ(T301,T$6:T$305,1)+COUNTIFS(T$6:T301,T301)-1)</f>
        <v/>
      </c>
    </row>
    <row r="302" spans="1:21" x14ac:dyDescent="0.4">
      <c r="A302" t="str">
        <f>Data!A302</f>
        <v/>
      </c>
      <c r="B302" t="str">
        <f>Data!B302</f>
        <v/>
      </c>
      <c r="C302" t="str">
        <f>Data!D302</f>
        <v/>
      </c>
      <c r="D302" t="str">
        <f>Data!E302</f>
        <v/>
      </c>
      <c r="E302" t="str">
        <f>IF($D302&lt;&gt;"Include","",SUM(Data!V302:W302)-SUM(Data!X302))</f>
        <v/>
      </c>
      <c r="F302" t="str">
        <f>IF($D302&lt;&gt;"Include","",SUM(Data!Z302,Data!Y302,Metrics!E302))</f>
        <v/>
      </c>
      <c r="G302" t="str">
        <f>IF($D302&lt;&gt;"Include","",IFERROR(Data!P302-Data!S302,""))</f>
        <v/>
      </c>
      <c r="H302" t="str">
        <f>IF($D302&lt;&gt;"Include","",IFERROR(SUM(Data!P302:R302)-SUM(Data!S302:U302),""))</f>
        <v/>
      </c>
      <c r="I302" t="str">
        <f>IF($D302&lt;&gt;"Include","",SUM(Data!M302:O302))</f>
        <v/>
      </c>
      <c r="J302" s="7" t="str">
        <f>IF($D302&lt;&gt;"Include","",IFERROR(IF(OR(Data!K302&lt;=0,F302&lt;=0),"n/m",($F302/Data!K302)),""))</f>
        <v/>
      </c>
      <c r="K302" s="9" t="str">
        <f>IF($D302&lt;&gt;"Include","",IFERROR(G302/Data!Z302,""))</f>
        <v/>
      </c>
      <c r="L302" s="9" t="str">
        <f t="shared" si="33"/>
        <v/>
      </c>
      <c r="M302" s="7" t="str">
        <f>IF($D302&lt;&gt;"Include","",IFERROR(IF(Data!L302&lt;=0,"n,m",E302/Data!L302),""))</f>
        <v/>
      </c>
      <c r="N302" s="9" t="str">
        <f>IF($D302&lt;&gt;"Include","",IFERROR(IF(OR(Data!I302&lt;=0,Data!J302&lt;=0),"n/m",(Data!I302/Data!J302)^(1/3)-1),""))</f>
        <v/>
      </c>
      <c r="O302" t="str">
        <f t="shared" si="28"/>
        <v/>
      </c>
      <c r="P302" t="str">
        <f t="shared" si="29"/>
        <v/>
      </c>
      <c r="Q302" t="str">
        <f t="shared" si="30"/>
        <v/>
      </c>
      <c r="R302" t="str">
        <f t="shared" si="31"/>
        <v/>
      </c>
      <c r="S302" t="str">
        <f t="shared" si="32"/>
        <v/>
      </c>
      <c r="T302" s="10" t="str">
        <f t="shared" si="34"/>
        <v/>
      </c>
      <c r="U302" t="str">
        <f>IF($D302&lt;&gt;"Include","",_xlfn.RANK.EQ(T302,T$6:T$305,1)+COUNTIFS(T$6:T302,T302)-1)</f>
        <v/>
      </c>
    </row>
    <row r="303" spans="1:21" x14ac:dyDescent="0.4">
      <c r="A303" t="str">
        <f>Data!A303</f>
        <v/>
      </c>
      <c r="B303" t="str">
        <f>Data!B303</f>
        <v/>
      </c>
      <c r="C303" t="str">
        <f>Data!D303</f>
        <v/>
      </c>
      <c r="D303" t="str">
        <f>Data!E303</f>
        <v/>
      </c>
      <c r="E303" t="str">
        <f>IF($D303&lt;&gt;"Include","",SUM(Data!V303:W303)-SUM(Data!X303))</f>
        <v/>
      </c>
      <c r="F303" t="str">
        <f>IF($D303&lt;&gt;"Include","",SUM(Data!Z303,Data!Y303,Metrics!E303))</f>
        <v/>
      </c>
      <c r="G303" t="str">
        <f>IF($D303&lt;&gt;"Include","",IFERROR(Data!P303-Data!S303,""))</f>
        <v/>
      </c>
      <c r="H303" t="str">
        <f>IF($D303&lt;&gt;"Include","",IFERROR(SUM(Data!P303:R303)-SUM(Data!S303:U303),""))</f>
        <v/>
      </c>
      <c r="I303" t="str">
        <f>IF($D303&lt;&gt;"Include","",SUM(Data!M303:O303))</f>
        <v/>
      </c>
      <c r="J303" s="7" t="str">
        <f>IF($D303&lt;&gt;"Include","",IFERROR(IF(OR(Data!K303&lt;=0,F303&lt;=0),"n/m",($F303/Data!K303)),""))</f>
        <v/>
      </c>
      <c r="K303" s="9" t="str">
        <f>IF($D303&lt;&gt;"Include","",IFERROR(G303/Data!Z303,""))</f>
        <v/>
      </c>
      <c r="L303" s="9" t="str">
        <f t="shared" si="33"/>
        <v/>
      </c>
      <c r="M303" s="7" t="str">
        <f>IF($D303&lt;&gt;"Include","",IFERROR(IF(Data!L303&lt;=0,"n,m",E303/Data!L303),""))</f>
        <v/>
      </c>
      <c r="N303" s="9" t="str">
        <f>IF($D303&lt;&gt;"Include","",IFERROR(IF(OR(Data!I303&lt;=0,Data!J303&lt;=0),"n/m",(Data!I303/Data!J303)^(1/3)-1),""))</f>
        <v/>
      </c>
      <c r="O303" t="str">
        <f t="shared" si="28"/>
        <v/>
      </c>
      <c r="P303" t="str">
        <f t="shared" si="29"/>
        <v/>
      </c>
      <c r="Q303" t="str">
        <f t="shared" si="30"/>
        <v/>
      </c>
      <c r="R303" t="str">
        <f t="shared" si="31"/>
        <v/>
      </c>
      <c r="S303" t="str">
        <f t="shared" si="32"/>
        <v/>
      </c>
      <c r="T303" s="10" t="str">
        <f t="shared" si="34"/>
        <v/>
      </c>
      <c r="U303" t="str">
        <f>IF($D303&lt;&gt;"Include","",_xlfn.RANK.EQ(T303,T$6:T$305,1)+COUNTIFS(T$6:T303,T303)-1)</f>
        <v/>
      </c>
    </row>
    <row r="304" spans="1:21" x14ac:dyDescent="0.4">
      <c r="A304" t="str">
        <f>Data!A304</f>
        <v/>
      </c>
      <c r="B304" t="str">
        <f>Data!B304</f>
        <v/>
      </c>
      <c r="C304" t="str">
        <f>Data!D304</f>
        <v/>
      </c>
      <c r="D304" t="str">
        <f>Data!E304</f>
        <v/>
      </c>
      <c r="E304" t="str">
        <f>IF($D304&lt;&gt;"Include","",SUM(Data!V304:W304)-SUM(Data!X304))</f>
        <v/>
      </c>
      <c r="F304" t="str">
        <f>IF($D304&lt;&gt;"Include","",SUM(Data!Z304,Data!Y304,Metrics!E304))</f>
        <v/>
      </c>
      <c r="G304" t="str">
        <f>IF($D304&lt;&gt;"Include","",IFERROR(Data!P304-Data!S304,""))</f>
        <v/>
      </c>
      <c r="H304" t="str">
        <f>IF($D304&lt;&gt;"Include","",IFERROR(SUM(Data!P304:R304)-SUM(Data!S304:U304),""))</f>
        <v/>
      </c>
      <c r="I304" t="str">
        <f>IF($D304&lt;&gt;"Include","",SUM(Data!M304:O304))</f>
        <v/>
      </c>
      <c r="J304" s="7" t="str">
        <f>IF($D304&lt;&gt;"Include","",IFERROR(IF(OR(Data!K304&lt;=0,F304&lt;=0),"n/m",($F304/Data!K304)),""))</f>
        <v/>
      </c>
      <c r="K304" s="9" t="str">
        <f>IF($D304&lt;&gt;"Include","",IFERROR(G304/Data!Z304,""))</f>
        <v/>
      </c>
      <c r="L304" s="9" t="str">
        <f t="shared" si="33"/>
        <v/>
      </c>
      <c r="M304" s="7" t="str">
        <f>IF($D304&lt;&gt;"Include","",IFERROR(IF(Data!L304&lt;=0,"n,m",E304/Data!L304),""))</f>
        <v/>
      </c>
      <c r="N304" s="9" t="str">
        <f>IF($D304&lt;&gt;"Include","",IFERROR(IF(OR(Data!I304&lt;=0,Data!J304&lt;=0),"n/m",(Data!I304/Data!J304)^(1/3)-1),""))</f>
        <v/>
      </c>
      <c r="O304" t="str">
        <f t="shared" si="28"/>
        <v/>
      </c>
      <c r="P304" t="str">
        <f t="shared" si="29"/>
        <v/>
      </c>
      <c r="Q304" t="str">
        <f t="shared" si="30"/>
        <v/>
      </c>
      <c r="R304" t="str">
        <f t="shared" si="31"/>
        <v/>
      </c>
      <c r="S304" t="str">
        <f t="shared" si="32"/>
        <v/>
      </c>
      <c r="T304" s="10" t="str">
        <f t="shared" si="34"/>
        <v/>
      </c>
      <c r="U304" t="str">
        <f>IF($D304&lt;&gt;"Include","",_xlfn.RANK.EQ(T304,T$6:T$305,1)+COUNTIFS(T$6:T304,T304)-1)</f>
        <v/>
      </c>
    </row>
    <row r="305" spans="1:21" x14ac:dyDescent="0.4">
      <c r="A305" t="str">
        <f>Data!A305</f>
        <v/>
      </c>
      <c r="B305" t="str">
        <f>Data!B305</f>
        <v/>
      </c>
      <c r="C305" t="str">
        <f>Data!D305</f>
        <v/>
      </c>
      <c r="D305" t="str">
        <f>Data!E305</f>
        <v/>
      </c>
      <c r="E305" t="str">
        <f>IF($D305&lt;&gt;"Include","",SUM(Data!V305:W305)-SUM(Data!X305))</f>
        <v/>
      </c>
      <c r="F305" t="str">
        <f>IF($D305&lt;&gt;"Include","",SUM(Data!Z305,Data!Y305,Metrics!E305))</f>
        <v/>
      </c>
      <c r="G305" t="str">
        <f>IF($D305&lt;&gt;"Include","",IFERROR(Data!P305-Data!S305,""))</f>
        <v/>
      </c>
      <c r="H305" t="str">
        <f>IF($D305&lt;&gt;"Include","",IFERROR(SUM(Data!P305:R305)-SUM(Data!S305:U305),""))</f>
        <v/>
      </c>
      <c r="I305" t="str">
        <f>IF($D305&lt;&gt;"Include","",SUM(Data!M305:O305))</f>
        <v/>
      </c>
      <c r="J305" s="7" t="str">
        <f>IF($D305&lt;&gt;"Include","",IFERROR(IF(OR(Data!K305&lt;=0,F305&lt;=0),"n/m",($F305/Data!K305)),""))</f>
        <v/>
      </c>
      <c r="K305" s="9" t="str">
        <f>IF($D305&lt;&gt;"Include","",IFERROR(G305/Data!Z305,""))</f>
        <v/>
      </c>
      <c r="L305" s="9" t="str">
        <f t="shared" si="33"/>
        <v/>
      </c>
      <c r="M305" s="7" t="str">
        <f>IF($D305&lt;&gt;"Include","",IFERROR(IF(Data!L305&lt;=0,"n,m",E305/Data!L305),""))</f>
        <v/>
      </c>
      <c r="N305" s="9" t="str">
        <f>IF($D305&lt;&gt;"Include","",IFERROR(IF(OR(Data!I305&lt;=0,Data!J305&lt;=0),"n/m",(Data!I305/Data!J305)^(1/3)-1),""))</f>
        <v/>
      </c>
      <c r="O305" t="str">
        <f t="shared" si="28"/>
        <v/>
      </c>
      <c r="P305" t="str">
        <f t="shared" si="29"/>
        <v/>
      </c>
      <c r="Q305" t="str">
        <f t="shared" si="30"/>
        <v/>
      </c>
      <c r="R305" t="str">
        <f t="shared" si="31"/>
        <v/>
      </c>
      <c r="S305" t="str">
        <f t="shared" si="32"/>
        <v/>
      </c>
      <c r="T305" s="10" t="str">
        <f t="shared" si="34"/>
        <v/>
      </c>
      <c r="U305" t="str">
        <f>IF($D305&lt;&gt;"Include","",_xlfn.RANK.EQ(T305,T$6:T$305,1)+COUNTIFS(T$6:T305,T305)-1)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9279-AFFD-4F25-A6AC-7CAC7EFB50CA}">
  <dimension ref="A1:P305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23" sqref="F23"/>
    </sheetView>
  </sheetViews>
  <sheetFormatPr defaultRowHeight="14.6" x14ac:dyDescent="0.4"/>
  <cols>
    <col min="3" max="3" width="25.69140625" bestFit="1" customWidth="1"/>
  </cols>
  <sheetData>
    <row r="1" spans="1:16" x14ac:dyDescent="0.4">
      <c r="A1" s="8" t="s">
        <v>101</v>
      </c>
    </row>
    <row r="2" spans="1:16" x14ac:dyDescent="0.4">
      <c r="B2" t="str">
        <f>Checks!C3</f>
        <v>Fix issues on Checks sheet</v>
      </c>
    </row>
    <row r="3" spans="1:16" x14ac:dyDescent="0.4">
      <c r="B3" t="str">
        <f>"Prices as at "&amp;TEXT(ScreenDate,"dd mmm yyyy")&amp;", "&amp; N_Co&amp;" companies ranked"</f>
        <v>Prices as at 30 Sep 2026, 119 companies ranked</v>
      </c>
    </row>
    <row r="5" spans="1:16" x14ac:dyDescent="0.4">
      <c r="A5" t="s">
        <v>102</v>
      </c>
      <c r="B5" t="s">
        <v>22</v>
      </c>
      <c r="C5" t="s">
        <v>23</v>
      </c>
      <c r="D5" t="s">
        <v>25</v>
      </c>
      <c r="E5" t="s">
        <v>83</v>
      </c>
      <c r="F5" t="s">
        <v>4</v>
      </c>
      <c r="G5" t="s">
        <v>5</v>
      </c>
      <c r="H5" t="s">
        <v>91</v>
      </c>
      <c r="I5" t="s">
        <v>92</v>
      </c>
      <c r="J5" t="s">
        <v>7</v>
      </c>
      <c r="K5" t="s">
        <v>103</v>
      </c>
      <c r="L5" t="s">
        <v>93</v>
      </c>
      <c r="M5" t="s">
        <v>94</v>
      </c>
      <c r="N5" t="s">
        <v>104</v>
      </c>
      <c r="O5" t="s">
        <v>105</v>
      </c>
      <c r="P5" t="s">
        <v>106</v>
      </c>
    </row>
    <row r="6" spans="1:16" x14ac:dyDescent="0.4">
      <c r="A6">
        <f>IF(N_Co&gt;=1,1,"")</f>
        <v>1</v>
      </c>
      <c r="B6" t="str">
        <f>IF($A6="","",INDEX(Metrics!$A$6:$U$305,MATCH($A6,Metrics!$U$6:$U$305,0),MATCH(B$5,Metrics!$A$5:$U$5,0)))</f>
        <v>FOUR</v>
      </c>
      <c r="C6" t="str">
        <f>IF($A6="","",INDEX(Metrics!$A$6:$U$305,MATCH($A6,Metrics!$U$6:$U$305,0),MATCH(C$5,Metrics!$A$5:$U$5,0)))</f>
        <v>4imprint</v>
      </c>
      <c r="D6" t="str">
        <f>IF($A6="","",INDEX(Metrics!$A$6:$U$305,MATCH($A6,Metrics!$U$6:$U$305,0),MATCH(D$5,Metrics!$A$5:$U$5,0)))</f>
        <v>Consumer Discretionary</v>
      </c>
      <c r="E6" s="14" t="e">
        <f>IF($A6="","",INDEX(Metrics!$A$6:$U$305,MATCH($A6,Metrics!$U$6:$U$305,0),MATCH(E$5,Metrics!$A$5:$U$5,0)))</f>
        <v>#N/A</v>
      </c>
      <c r="F6" s="7" t="str">
        <f>IF($A6="","",INDEX(Metrics!$A$6:$U$305,MATCH($A6,Metrics!$U$6:$U$305,0),MATCH(F$5,Metrics!$A$5:$U$5,0)))</f>
        <v/>
      </c>
      <c r="G6" s="9" t="str">
        <f>IF($A6="","",INDEX(Metrics!$A$6:$U$305,MATCH($A6,Metrics!$U$6:$U$305,0),MATCH(G$5,Metrics!$A$5:$U$5,0)))</f>
        <v/>
      </c>
      <c r="H6" s="9" t="str">
        <f>IF($A6="","",INDEX(Metrics!$A$6:$U$305,MATCH($A6,Metrics!$U$6:$U$305,0),MATCH(H$5,Metrics!$A$5:$U$5,0)))</f>
        <v>n/m</v>
      </c>
      <c r="I6" s="7" t="str">
        <f>IF($A6="","",INDEX(Metrics!$A$6:$U$305,MATCH($A6,Metrics!$U$6:$U$305,0),MATCH(I$5,Metrics!$A$5:$U$5,0)))</f>
        <v/>
      </c>
      <c r="J6" s="9" t="str">
        <f>IF($A6="","",INDEX(Metrics!$A$6:$U$305,MATCH($A6,Metrics!$U$6:$U$305,0),MATCH(J$5,Metrics!$A$5:$U$5,0)))</f>
        <v/>
      </c>
      <c r="K6" s="10">
        <f>IF($A6="","",INDEX(Metrics!$A$6:$U$305,MATCH($A6,Metrics!$U$6:$U$305,0),MATCH(K$5,Metrics!$A$5:$U$5,0)))</f>
        <v>119</v>
      </c>
      <c r="L6">
        <f>IF($A6="","",INDEX(Metrics!$A$6:$U$305,MATCH($A6,Metrics!$U$6:$U$305,0),MATCH(L$5,Metrics!$A$5:$U$5,0)))</f>
        <v>119</v>
      </c>
      <c r="M6">
        <f>IF($A6="","",INDEX(Metrics!$A$6:$U$305,MATCH($A6,Metrics!$U$6:$U$305,0),MATCH(M$5,Metrics!$A$5:$U$5,0)))</f>
        <v>119</v>
      </c>
      <c r="N6">
        <f>IF($A6="","",INDEX(Metrics!$A$6:$U$305,MATCH($A6,Metrics!$U$6:$U$305,0),MATCH(N$5,Metrics!$A$5:$U$5,0)))</f>
        <v>119</v>
      </c>
      <c r="O6">
        <f>IF($A6="","",INDEX(Metrics!$A$6:$U$305,MATCH($A6,Metrics!$U$6:$U$305,0),MATCH(O$5,Metrics!$A$5:$U$5,0)))</f>
        <v>119</v>
      </c>
      <c r="P6">
        <f>IF($A6="","",INDEX(Metrics!$A$6:$U$305,MATCH($A6,Metrics!$U$6:$U$305,0),MATCH(P$5,Metrics!$A$5:$U$5,0)))</f>
        <v>119</v>
      </c>
    </row>
    <row r="7" spans="1:16" x14ac:dyDescent="0.4">
      <c r="A7">
        <f t="shared" ref="A7:A70" si="0">IF($A6="","",IF($A6+1&gt;N_Co,"",$A6+1))</f>
        <v>2</v>
      </c>
      <c r="B7" t="str">
        <f>IF($A7="","",INDEX(Metrics!$A$6:$U$305,MATCH($A7,Metrics!$U$6:$U$305,0),MATCH(B$5,Metrics!$A$5:$U$5,0)))</f>
        <v>AEP</v>
      </c>
      <c r="C7" t="str">
        <f>IF($A7="","",INDEX(Metrics!$A$6:$U$305,MATCH($A7,Metrics!$U$6:$U$305,0),MATCH(C$5,Metrics!$A$5:$U$5,0)))</f>
        <v>AEP Plantations</v>
      </c>
      <c r="D7" t="str">
        <f>IF($A7="","",INDEX(Metrics!$A$6:$U$305,MATCH($A7,Metrics!$U$6:$U$305,0),MATCH(D$5,Metrics!$A$5:$U$5,0)))</f>
        <v>Consumer Staples</v>
      </c>
      <c r="E7" s="14" t="e">
        <f>IF($A7="","",INDEX(Metrics!$A$6:$U$305,MATCH($A7,Metrics!$U$6:$U$305,0),MATCH(E$5,Metrics!$A$5:$U$5,0)))</f>
        <v>#N/A</v>
      </c>
      <c r="F7" s="7" t="str">
        <f>IF($A7="","",INDEX(Metrics!$A$6:$U$305,MATCH($A7,Metrics!$U$6:$U$305,0),MATCH(F$5,Metrics!$A$5:$U$5,0)))</f>
        <v/>
      </c>
      <c r="G7" s="9" t="str">
        <f>IF($A7="","",INDEX(Metrics!$A$6:$U$305,MATCH($A7,Metrics!$U$6:$U$305,0),MATCH(G$5,Metrics!$A$5:$U$5,0)))</f>
        <v/>
      </c>
      <c r="H7" s="9" t="str">
        <f>IF($A7="","",INDEX(Metrics!$A$6:$U$305,MATCH($A7,Metrics!$U$6:$U$305,0),MATCH(H$5,Metrics!$A$5:$U$5,0)))</f>
        <v>n/m</v>
      </c>
      <c r="I7" s="7" t="str">
        <f>IF($A7="","",INDEX(Metrics!$A$6:$U$305,MATCH($A7,Metrics!$U$6:$U$305,0),MATCH(I$5,Metrics!$A$5:$U$5,0)))</f>
        <v/>
      </c>
      <c r="J7" s="9" t="str">
        <f>IF($A7="","",INDEX(Metrics!$A$6:$U$305,MATCH($A7,Metrics!$U$6:$U$305,0),MATCH(J$5,Metrics!$A$5:$U$5,0)))</f>
        <v/>
      </c>
      <c r="K7" s="10">
        <f>IF($A7="","",INDEX(Metrics!$A$6:$U$305,MATCH($A7,Metrics!$U$6:$U$305,0),MATCH(K$5,Metrics!$A$5:$U$5,0)))</f>
        <v>119</v>
      </c>
      <c r="L7">
        <f>IF($A7="","",INDEX(Metrics!$A$6:$U$305,MATCH($A7,Metrics!$U$6:$U$305,0),MATCH(L$5,Metrics!$A$5:$U$5,0)))</f>
        <v>119</v>
      </c>
      <c r="M7">
        <f>IF($A7="","",INDEX(Metrics!$A$6:$U$305,MATCH($A7,Metrics!$U$6:$U$305,0),MATCH(M$5,Metrics!$A$5:$U$5,0)))</f>
        <v>119</v>
      </c>
      <c r="N7">
        <f>IF($A7="","",INDEX(Metrics!$A$6:$U$305,MATCH($A7,Metrics!$U$6:$U$305,0),MATCH(N$5,Metrics!$A$5:$U$5,0)))</f>
        <v>119</v>
      </c>
      <c r="O7">
        <f>IF($A7="","",INDEX(Metrics!$A$6:$U$305,MATCH($A7,Metrics!$U$6:$U$305,0),MATCH(O$5,Metrics!$A$5:$U$5,0)))</f>
        <v>119</v>
      </c>
      <c r="P7">
        <f>IF($A7="","",INDEX(Metrics!$A$6:$U$305,MATCH($A7,Metrics!$U$6:$U$305,0),MATCH(P$5,Metrics!$A$5:$U$5,0)))</f>
        <v>119</v>
      </c>
    </row>
    <row r="8" spans="1:16" x14ac:dyDescent="0.4">
      <c r="A8">
        <f t="shared" si="0"/>
        <v>3</v>
      </c>
      <c r="B8" t="str">
        <f>IF($A8="","",INDEX(Metrics!$A$6:$U$305,MATCH($A8,Metrics!$U$6:$U$305,0),MATCH(B$5,Metrics!$A$5:$U$5,0)))</f>
        <v>ALFA</v>
      </c>
      <c r="C8" t="str">
        <f>IF($A8="","",INDEX(Metrics!$A$6:$U$305,MATCH($A8,Metrics!$U$6:$U$305,0),MATCH(C$5,Metrics!$A$5:$U$5,0)))</f>
        <v>Alfa Financial Software</v>
      </c>
      <c r="D8" t="str">
        <f>IF($A8="","",INDEX(Metrics!$A$6:$U$305,MATCH($A8,Metrics!$U$6:$U$305,0),MATCH(D$5,Metrics!$A$5:$U$5,0)))</f>
        <v>Technology</v>
      </c>
      <c r="E8" s="14" t="e">
        <f>IF($A8="","",INDEX(Metrics!$A$6:$U$305,MATCH($A8,Metrics!$U$6:$U$305,0),MATCH(E$5,Metrics!$A$5:$U$5,0)))</f>
        <v>#N/A</v>
      </c>
      <c r="F8" s="7" t="str">
        <f>IF($A8="","",INDEX(Metrics!$A$6:$U$305,MATCH($A8,Metrics!$U$6:$U$305,0),MATCH(F$5,Metrics!$A$5:$U$5,0)))</f>
        <v/>
      </c>
      <c r="G8" s="9" t="str">
        <f>IF($A8="","",INDEX(Metrics!$A$6:$U$305,MATCH($A8,Metrics!$U$6:$U$305,0),MATCH(G$5,Metrics!$A$5:$U$5,0)))</f>
        <v/>
      </c>
      <c r="H8" s="9" t="str">
        <f>IF($A8="","",INDEX(Metrics!$A$6:$U$305,MATCH($A8,Metrics!$U$6:$U$305,0),MATCH(H$5,Metrics!$A$5:$U$5,0)))</f>
        <v>n/m</v>
      </c>
      <c r="I8" s="7" t="str">
        <f>IF($A8="","",INDEX(Metrics!$A$6:$U$305,MATCH($A8,Metrics!$U$6:$U$305,0),MATCH(I$5,Metrics!$A$5:$U$5,0)))</f>
        <v/>
      </c>
      <c r="J8" s="9" t="str">
        <f>IF($A8="","",INDEX(Metrics!$A$6:$U$305,MATCH($A8,Metrics!$U$6:$U$305,0),MATCH(J$5,Metrics!$A$5:$U$5,0)))</f>
        <v/>
      </c>
      <c r="K8" s="10">
        <f>IF($A8="","",INDEX(Metrics!$A$6:$U$305,MATCH($A8,Metrics!$U$6:$U$305,0),MATCH(K$5,Metrics!$A$5:$U$5,0)))</f>
        <v>119</v>
      </c>
      <c r="L8">
        <f>IF($A8="","",INDEX(Metrics!$A$6:$U$305,MATCH($A8,Metrics!$U$6:$U$305,0),MATCH(L$5,Metrics!$A$5:$U$5,0)))</f>
        <v>119</v>
      </c>
      <c r="M8">
        <f>IF($A8="","",INDEX(Metrics!$A$6:$U$305,MATCH($A8,Metrics!$U$6:$U$305,0),MATCH(M$5,Metrics!$A$5:$U$5,0)))</f>
        <v>119</v>
      </c>
      <c r="N8">
        <f>IF($A8="","",INDEX(Metrics!$A$6:$U$305,MATCH($A8,Metrics!$U$6:$U$305,0),MATCH(N$5,Metrics!$A$5:$U$5,0)))</f>
        <v>119</v>
      </c>
      <c r="O8">
        <f>IF($A8="","",INDEX(Metrics!$A$6:$U$305,MATCH($A8,Metrics!$U$6:$U$305,0),MATCH(O$5,Metrics!$A$5:$U$5,0)))</f>
        <v>119</v>
      </c>
      <c r="P8">
        <f>IF($A8="","",INDEX(Metrics!$A$6:$U$305,MATCH($A8,Metrics!$U$6:$U$305,0),MATCH(P$5,Metrics!$A$5:$U$5,0)))</f>
        <v>119</v>
      </c>
    </row>
    <row r="9" spans="1:16" x14ac:dyDescent="0.4">
      <c r="A9">
        <f t="shared" si="0"/>
        <v>4</v>
      </c>
      <c r="B9" t="str">
        <f>IF($A9="","",INDEX(Metrics!$A$6:$U$305,MATCH($A9,Metrics!$U$6:$U$305,0),MATCH(B$5,Metrics!$A$5:$U$5,0)))</f>
        <v>AO</v>
      </c>
      <c r="C9" t="str">
        <f>IF($A9="","",INDEX(Metrics!$A$6:$U$305,MATCH($A9,Metrics!$U$6:$U$305,0),MATCH(C$5,Metrics!$A$5:$U$5,0)))</f>
        <v>AO World</v>
      </c>
      <c r="D9" t="str">
        <f>IF($A9="","",INDEX(Metrics!$A$6:$U$305,MATCH($A9,Metrics!$U$6:$U$305,0),MATCH(D$5,Metrics!$A$5:$U$5,0)))</f>
        <v>Consumer Discretionary</v>
      </c>
      <c r="E9" s="14" t="e">
        <f>IF($A9="","",INDEX(Metrics!$A$6:$U$305,MATCH($A9,Metrics!$U$6:$U$305,0),MATCH(E$5,Metrics!$A$5:$U$5,0)))</f>
        <v>#N/A</v>
      </c>
      <c r="F9" s="7" t="str">
        <f>IF($A9="","",INDEX(Metrics!$A$6:$U$305,MATCH($A9,Metrics!$U$6:$U$305,0),MATCH(F$5,Metrics!$A$5:$U$5,0)))</f>
        <v/>
      </c>
      <c r="G9" s="9" t="str">
        <f>IF($A9="","",INDEX(Metrics!$A$6:$U$305,MATCH($A9,Metrics!$U$6:$U$305,0),MATCH(G$5,Metrics!$A$5:$U$5,0)))</f>
        <v/>
      </c>
      <c r="H9" s="9" t="str">
        <f>IF($A9="","",INDEX(Metrics!$A$6:$U$305,MATCH($A9,Metrics!$U$6:$U$305,0),MATCH(H$5,Metrics!$A$5:$U$5,0)))</f>
        <v>n/m</v>
      </c>
      <c r="I9" s="7" t="str">
        <f>IF($A9="","",INDEX(Metrics!$A$6:$U$305,MATCH($A9,Metrics!$U$6:$U$305,0),MATCH(I$5,Metrics!$A$5:$U$5,0)))</f>
        <v/>
      </c>
      <c r="J9" s="9" t="str">
        <f>IF($A9="","",INDEX(Metrics!$A$6:$U$305,MATCH($A9,Metrics!$U$6:$U$305,0),MATCH(J$5,Metrics!$A$5:$U$5,0)))</f>
        <v/>
      </c>
      <c r="K9" s="10">
        <f>IF($A9="","",INDEX(Metrics!$A$6:$U$305,MATCH($A9,Metrics!$U$6:$U$305,0),MATCH(K$5,Metrics!$A$5:$U$5,0)))</f>
        <v>119</v>
      </c>
      <c r="L9">
        <f>IF($A9="","",INDEX(Metrics!$A$6:$U$305,MATCH($A9,Metrics!$U$6:$U$305,0),MATCH(L$5,Metrics!$A$5:$U$5,0)))</f>
        <v>119</v>
      </c>
      <c r="M9">
        <f>IF($A9="","",INDEX(Metrics!$A$6:$U$305,MATCH($A9,Metrics!$U$6:$U$305,0),MATCH(M$5,Metrics!$A$5:$U$5,0)))</f>
        <v>119</v>
      </c>
      <c r="N9">
        <f>IF($A9="","",INDEX(Metrics!$A$6:$U$305,MATCH($A9,Metrics!$U$6:$U$305,0),MATCH(N$5,Metrics!$A$5:$U$5,0)))</f>
        <v>119</v>
      </c>
      <c r="O9">
        <f>IF($A9="","",INDEX(Metrics!$A$6:$U$305,MATCH($A9,Metrics!$U$6:$U$305,0),MATCH(O$5,Metrics!$A$5:$U$5,0)))</f>
        <v>119</v>
      </c>
      <c r="P9">
        <f>IF($A9="","",INDEX(Metrics!$A$6:$U$305,MATCH($A9,Metrics!$U$6:$U$305,0),MATCH(P$5,Metrics!$A$5:$U$5,0)))</f>
        <v>119</v>
      </c>
    </row>
    <row r="10" spans="1:16" x14ac:dyDescent="0.4">
      <c r="A10">
        <f t="shared" si="0"/>
        <v>5</v>
      </c>
      <c r="B10" t="str">
        <f>IF($A10="","",INDEX(Metrics!$A$6:$U$305,MATCH($A10,Metrics!$U$6:$U$305,0),MATCH(B$5,Metrics!$A$5:$U$5,0)))</f>
        <v>APN</v>
      </c>
      <c r="C10" t="str">
        <f>IF($A10="","",INDEX(Metrics!$A$6:$U$305,MATCH($A10,Metrics!$U$6:$U$305,0),MATCH(C$5,Metrics!$A$5:$U$5,0)))</f>
        <v>Applied Nutrition</v>
      </c>
      <c r="D10" t="str">
        <f>IF($A10="","",INDEX(Metrics!$A$6:$U$305,MATCH($A10,Metrics!$U$6:$U$305,0),MATCH(D$5,Metrics!$A$5:$U$5,0)))</f>
        <v>Consumer Staples</v>
      </c>
      <c r="E10" s="14" t="e">
        <f>IF($A10="","",INDEX(Metrics!$A$6:$U$305,MATCH($A10,Metrics!$U$6:$U$305,0),MATCH(E$5,Metrics!$A$5:$U$5,0)))</f>
        <v>#N/A</v>
      </c>
      <c r="F10" s="7" t="str">
        <f>IF($A10="","",INDEX(Metrics!$A$6:$U$305,MATCH($A10,Metrics!$U$6:$U$305,0),MATCH(F$5,Metrics!$A$5:$U$5,0)))</f>
        <v/>
      </c>
      <c r="G10" s="9" t="str">
        <f>IF($A10="","",INDEX(Metrics!$A$6:$U$305,MATCH($A10,Metrics!$U$6:$U$305,0),MATCH(G$5,Metrics!$A$5:$U$5,0)))</f>
        <v/>
      </c>
      <c r="H10" s="9" t="str">
        <f>IF($A10="","",INDEX(Metrics!$A$6:$U$305,MATCH($A10,Metrics!$U$6:$U$305,0),MATCH(H$5,Metrics!$A$5:$U$5,0)))</f>
        <v>n/m</v>
      </c>
      <c r="I10" s="7" t="str">
        <f>IF($A10="","",INDEX(Metrics!$A$6:$U$305,MATCH($A10,Metrics!$U$6:$U$305,0),MATCH(I$5,Metrics!$A$5:$U$5,0)))</f>
        <v/>
      </c>
      <c r="J10" s="9" t="str">
        <f>IF($A10="","",INDEX(Metrics!$A$6:$U$305,MATCH($A10,Metrics!$U$6:$U$305,0),MATCH(J$5,Metrics!$A$5:$U$5,0)))</f>
        <v/>
      </c>
      <c r="K10" s="10">
        <f>IF($A10="","",INDEX(Metrics!$A$6:$U$305,MATCH($A10,Metrics!$U$6:$U$305,0),MATCH(K$5,Metrics!$A$5:$U$5,0)))</f>
        <v>119</v>
      </c>
      <c r="L10">
        <f>IF($A10="","",INDEX(Metrics!$A$6:$U$305,MATCH($A10,Metrics!$U$6:$U$305,0),MATCH(L$5,Metrics!$A$5:$U$5,0)))</f>
        <v>119</v>
      </c>
      <c r="M10">
        <f>IF($A10="","",INDEX(Metrics!$A$6:$U$305,MATCH($A10,Metrics!$U$6:$U$305,0),MATCH(M$5,Metrics!$A$5:$U$5,0)))</f>
        <v>119</v>
      </c>
      <c r="N10">
        <f>IF($A10="","",INDEX(Metrics!$A$6:$U$305,MATCH($A10,Metrics!$U$6:$U$305,0),MATCH(N$5,Metrics!$A$5:$U$5,0)))</f>
        <v>119</v>
      </c>
      <c r="O10">
        <f>IF($A10="","",INDEX(Metrics!$A$6:$U$305,MATCH($A10,Metrics!$U$6:$U$305,0),MATCH(O$5,Metrics!$A$5:$U$5,0)))</f>
        <v>119</v>
      </c>
      <c r="P10">
        <f>IF($A10="","",INDEX(Metrics!$A$6:$U$305,MATCH($A10,Metrics!$U$6:$U$305,0),MATCH(P$5,Metrics!$A$5:$U$5,0)))</f>
        <v>119</v>
      </c>
    </row>
    <row r="11" spans="1:16" x14ac:dyDescent="0.4">
      <c r="A11">
        <f t="shared" si="0"/>
        <v>6</v>
      </c>
      <c r="B11" t="str">
        <f>IF($A11="","",INDEX(Metrics!$A$6:$U$305,MATCH($A11,Metrics!$U$6:$U$305,0),MATCH(B$5,Metrics!$A$5:$U$5,0)))</f>
        <v>ASC</v>
      </c>
      <c r="C11" t="str">
        <f>IF($A11="","",INDEX(Metrics!$A$6:$U$305,MATCH($A11,Metrics!$U$6:$U$305,0),MATCH(C$5,Metrics!$A$5:$U$5,0)))</f>
        <v>ASOS</v>
      </c>
      <c r="D11" t="str">
        <f>IF($A11="","",INDEX(Metrics!$A$6:$U$305,MATCH($A11,Metrics!$U$6:$U$305,0),MATCH(D$5,Metrics!$A$5:$U$5,0)))</f>
        <v>Consumer Discretionary</v>
      </c>
      <c r="E11" s="14" t="e">
        <f>IF($A11="","",INDEX(Metrics!$A$6:$U$305,MATCH($A11,Metrics!$U$6:$U$305,0),MATCH(E$5,Metrics!$A$5:$U$5,0)))</f>
        <v>#N/A</v>
      </c>
      <c r="F11" s="7" t="str">
        <f>IF($A11="","",INDEX(Metrics!$A$6:$U$305,MATCH($A11,Metrics!$U$6:$U$305,0),MATCH(F$5,Metrics!$A$5:$U$5,0)))</f>
        <v/>
      </c>
      <c r="G11" s="9" t="str">
        <f>IF($A11="","",INDEX(Metrics!$A$6:$U$305,MATCH($A11,Metrics!$U$6:$U$305,0),MATCH(G$5,Metrics!$A$5:$U$5,0)))</f>
        <v/>
      </c>
      <c r="H11" s="9" t="str">
        <f>IF($A11="","",INDEX(Metrics!$A$6:$U$305,MATCH($A11,Metrics!$U$6:$U$305,0),MATCH(H$5,Metrics!$A$5:$U$5,0)))</f>
        <v>n/m</v>
      </c>
      <c r="I11" s="7" t="str">
        <f>IF($A11="","",INDEX(Metrics!$A$6:$U$305,MATCH($A11,Metrics!$U$6:$U$305,0),MATCH(I$5,Metrics!$A$5:$U$5,0)))</f>
        <v/>
      </c>
      <c r="J11" s="9" t="str">
        <f>IF($A11="","",INDEX(Metrics!$A$6:$U$305,MATCH($A11,Metrics!$U$6:$U$305,0),MATCH(J$5,Metrics!$A$5:$U$5,0)))</f>
        <v/>
      </c>
      <c r="K11" s="10">
        <f>IF($A11="","",INDEX(Metrics!$A$6:$U$305,MATCH($A11,Metrics!$U$6:$U$305,0),MATCH(K$5,Metrics!$A$5:$U$5,0)))</f>
        <v>119</v>
      </c>
      <c r="L11">
        <f>IF($A11="","",INDEX(Metrics!$A$6:$U$305,MATCH($A11,Metrics!$U$6:$U$305,0),MATCH(L$5,Metrics!$A$5:$U$5,0)))</f>
        <v>119</v>
      </c>
      <c r="M11">
        <f>IF($A11="","",INDEX(Metrics!$A$6:$U$305,MATCH($A11,Metrics!$U$6:$U$305,0),MATCH(M$5,Metrics!$A$5:$U$5,0)))</f>
        <v>119</v>
      </c>
      <c r="N11">
        <f>IF($A11="","",INDEX(Metrics!$A$6:$U$305,MATCH($A11,Metrics!$U$6:$U$305,0),MATCH(N$5,Metrics!$A$5:$U$5,0)))</f>
        <v>119</v>
      </c>
      <c r="O11">
        <f>IF($A11="","",INDEX(Metrics!$A$6:$U$305,MATCH($A11,Metrics!$U$6:$U$305,0),MATCH(O$5,Metrics!$A$5:$U$5,0)))</f>
        <v>119</v>
      </c>
      <c r="P11">
        <f>IF($A11="","",INDEX(Metrics!$A$6:$U$305,MATCH($A11,Metrics!$U$6:$U$305,0),MATCH(P$5,Metrics!$A$5:$U$5,0)))</f>
        <v>119</v>
      </c>
    </row>
    <row r="12" spans="1:16" x14ac:dyDescent="0.4">
      <c r="A12">
        <f t="shared" si="0"/>
        <v>7</v>
      </c>
      <c r="B12" t="str">
        <f>IF($A12="","",INDEX(Metrics!$A$6:$U$305,MATCH($A12,Metrics!$U$6:$U$305,0),MATCH(B$5,Metrics!$A$5:$U$5,0)))</f>
        <v>ATYM</v>
      </c>
      <c r="C12" t="str">
        <f>IF($A12="","",INDEX(Metrics!$A$6:$U$305,MATCH($A12,Metrics!$U$6:$U$305,0),MATCH(C$5,Metrics!$A$5:$U$5,0)))</f>
        <v>Atalaya Mining</v>
      </c>
      <c r="D12" t="str">
        <f>IF($A12="","",INDEX(Metrics!$A$6:$U$305,MATCH($A12,Metrics!$U$6:$U$305,0),MATCH(D$5,Metrics!$A$5:$U$5,0)))</f>
        <v>Basic Materials</v>
      </c>
      <c r="E12" s="14" t="e">
        <f>IF($A12="","",INDEX(Metrics!$A$6:$U$305,MATCH($A12,Metrics!$U$6:$U$305,0),MATCH(E$5,Metrics!$A$5:$U$5,0)))</f>
        <v>#N/A</v>
      </c>
      <c r="F12" s="7" t="str">
        <f>IF($A12="","",INDEX(Metrics!$A$6:$U$305,MATCH($A12,Metrics!$U$6:$U$305,0),MATCH(F$5,Metrics!$A$5:$U$5,0)))</f>
        <v/>
      </c>
      <c r="G12" s="9" t="str">
        <f>IF($A12="","",INDEX(Metrics!$A$6:$U$305,MATCH($A12,Metrics!$U$6:$U$305,0),MATCH(G$5,Metrics!$A$5:$U$5,0)))</f>
        <v/>
      </c>
      <c r="H12" s="9" t="str">
        <f>IF($A12="","",INDEX(Metrics!$A$6:$U$305,MATCH($A12,Metrics!$U$6:$U$305,0),MATCH(H$5,Metrics!$A$5:$U$5,0)))</f>
        <v>n/m</v>
      </c>
      <c r="I12" s="7" t="str">
        <f>IF($A12="","",INDEX(Metrics!$A$6:$U$305,MATCH($A12,Metrics!$U$6:$U$305,0),MATCH(I$5,Metrics!$A$5:$U$5,0)))</f>
        <v/>
      </c>
      <c r="J12" s="9" t="str">
        <f>IF($A12="","",INDEX(Metrics!$A$6:$U$305,MATCH($A12,Metrics!$U$6:$U$305,0),MATCH(J$5,Metrics!$A$5:$U$5,0)))</f>
        <v/>
      </c>
      <c r="K12" s="10">
        <f>IF($A12="","",INDEX(Metrics!$A$6:$U$305,MATCH($A12,Metrics!$U$6:$U$305,0),MATCH(K$5,Metrics!$A$5:$U$5,0)))</f>
        <v>119</v>
      </c>
      <c r="L12">
        <f>IF($A12="","",INDEX(Metrics!$A$6:$U$305,MATCH($A12,Metrics!$U$6:$U$305,0),MATCH(L$5,Metrics!$A$5:$U$5,0)))</f>
        <v>119</v>
      </c>
      <c r="M12">
        <f>IF($A12="","",INDEX(Metrics!$A$6:$U$305,MATCH($A12,Metrics!$U$6:$U$305,0),MATCH(M$5,Metrics!$A$5:$U$5,0)))</f>
        <v>119</v>
      </c>
      <c r="N12">
        <f>IF($A12="","",INDEX(Metrics!$A$6:$U$305,MATCH($A12,Metrics!$U$6:$U$305,0),MATCH(N$5,Metrics!$A$5:$U$5,0)))</f>
        <v>119</v>
      </c>
      <c r="O12">
        <f>IF($A12="","",INDEX(Metrics!$A$6:$U$305,MATCH($A12,Metrics!$U$6:$U$305,0),MATCH(O$5,Metrics!$A$5:$U$5,0)))</f>
        <v>119</v>
      </c>
      <c r="P12">
        <f>IF($A12="","",INDEX(Metrics!$A$6:$U$305,MATCH($A12,Metrics!$U$6:$U$305,0),MATCH(P$5,Metrics!$A$5:$U$5,0)))</f>
        <v>119</v>
      </c>
    </row>
    <row r="13" spans="1:16" x14ac:dyDescent="0.4">
      <c r="A13">
        <f t="shared" si="0"/>
        <v>8</v>
      </c>
      <c r="B13" t="str">
        <f>IF($A13="","",INDEX(Metrics!$A$6:$U$305,MATCH($A13,Metrics!$U$6:$U$305,0),MATCH(B$5,Metrics!$A$5:$U$5,0)))</f>
        <v>ATG</v>
      </c>
      <c r="C13" t="str">
        <f>IF($A13="","",INDEX(Metrics!$A$6:$U$305,MATCH($A13,Metrics!$U$6:$U$305,0),MATCH(C$5,Metrics!$A$5:$U$5,0)))</f>
        <v>Auction Technology Group</v>
      </c>
      <c r="D13" t="str">
        <f>IF($A13="","",INDEX(Metrics!$A$6:$U$305,MATCH($A13,Metrics!$U$6:$U$305,0),MATCH(D$5,Metrics!$A$5:$U$5,0)))</f>
        <v>Technology</v>
      </c>
      <c r="E13" s="14" t="e">
        <f>IF($A13="","",INDEX(Metrics!$A$6:$U$305,MATCH($A13,Metrics!$U$6:$U$305,0),MATCH(E$5,Metrics!$A$5:$U$5,0)))</f>
        <v>#N/A</v>
      </c>
      <c r="F13" s="7" t="str">
        <f>IF($A13="","",INDEX(Metrics!$A$6:$U$305,MATCH($A13,Metrics!$U$6:$U$305,0),MATCH(F$5,Metrics!$A$5:$U$5,0)))</f>
        <v/>
      </c>
      <c r="G13" s="9" t="str">
        <f>IF($A13="","",INDEX(Metrics!$A$6:$U$305,MATCH($A13,Metrics!$U$6:$U$305,0),MATCH(G$5,Metrics!$A$5:$U$5,0)))</f>
        <v/>
      </c>
      <c r="H13" s="9" t="str">
        <f>IF($A13="","",INDEX(Metrics!$A$6:$U$305,MATCH($A13,Metrics!$U$6:$U$305,0),MATCH(H$5,Metrics!$A$5:$U$5,0)))</f>
        <v>n/m</v>
      </c>
      <c r="I13" s="7" t="str">
        <f>IF($A13="","",INDEX(Metrics!$A$6:$U$305,MATCH($A13,Metrics!$U$6:$U$305,0),MATCH(I$5,Metrics!$A$5:$U$5,0)))</f>
        <v/>
      </c>
      <c r="J13" s="9" t="str">
        <f>IF($A13="","",INDEX(Metrics!$A$6:$U$305,MATCH($A13,Metrics!$U$6:$U$305,0),MATCH(J$5,Metrics!$A$5:$U$5,0)))</f>
        <v/>
      </c>
      <c r="K13" s="10">
        <f>IF($A13="","",INDEX(Metrics!$A$6:$U$305,MATCH($A13,Metrics!$U$6:$U$305,0),MATCH(K$5,Metrics!$A$5:$U$5,0)))</f>
        <v>119</v>
      </c>
      <c r="L13">
        <f>IF($A13="","",INDEX(Metrics!$A$6:$U$305,MATCH($A13,Metrics!$U$6:$U$305,0),MATCH(L$5,Metrics!$A$5:$U$5,0)))</f>
        <v>119</v>
      </c>
      <c r="M13">
        <f>IF($A13="","",INDEX(Metrics!$A$6:$U$305,MATCH($A13,Metrics!$U$6:$U$305,0),MATCH(M$5,Metrics!$A$5:$U$5,0)))</f>
        <v>119</v>
      </c>
      <c r="N13">
        <f>IF($A13="","",INDEX(Metrics!$A$6:$U$305,MATCH($A13,Metrics!$U$6:$U$305,0),MATCH(N$5,Metrics!$A$5:$U$5,0)))</f>
        <v>119</v>
      </c>
      <c r="O13">
        <f>IF($A13="","",INDEX(Metrics!$A$6:$U$305,MATCH($A13,Metrics!$U$6:$U$305,0),MATCH(O$5,Metrics!$A$5:$U$5,0)))</f>
        <v>119</v>
      </c>
      <c r="P13">
        <f>IF($A13="","",INDEX(Metrics!$A$6:$U$305,MATCH($A13,Metrics!$U$6:$U$305,0),MATCH(P$5,Metrics!$A$5:$U$5,0)))</f>
        <v>119</v>
      </c>
    </row>
    <row r="14" spans="1:16" x14ac:dyDescent="0.4">
      <c r="A14">
        <f t="shared" si="0"/>
        <v>9</v>
      </c>
      <c r="B14" t="str">
        <f>IF($A14="","",INDEX(Metrics!$A$6:$U$305,MATCH($A14,Metrics!$U$6:$U$305,0),MATCH(B$5,Metrics!$A$5:$U$5,0)))</f>
        <v>AVON</v>
      </c>
      <c r="C14" t="str">
        <f>IF($A14="","",INDEX(Metrics!$A$6:$U$305,MATCH($A14,Metrics!$U$6:$U$305,0),MATCH(C$5,Metrics!$A$5:$U$5,0)))</f>
        <v>Avon Technologies</v>
      </c>
      <c r="D14" t="str">
        <f>IF($A14="","",INDEX(Metrics!$A$6:$U$305,MATCH($A14,Metrics!$U$6:$U$305,0),MATCH(D$5,Metrics!$A$5:$U$5,0)))</f>
        <v>Industrials</v>
      </c>
      <c r="E14" s="14" t="e">
        <f>IF($A14="","",INDEX(Metrics!$A$6:$U$305,MATCH($A14,Metrics!$U$6:$U$305,0),MATCH(E$5,Metrics!$A$5:$U$5,0)))</f>
        <v>#N/A</v>
      </c>
      <c r="F14" s="7" t="str">
        <f>IF($A14="","",INDEX(Metrics!$A$6:$U$305,MATCH($A14,Metrics!$U$6:$U$305,0),MATCH(F$5,Metrics!$A$5:$U$5,0)))</f>
        <v/>
      </c>
      <c r="G14" s="9" t="str">
        <f>IF($A14="","",INDEX(Metrics!$A$6:$U$305,MATCH($A14,Metrics!$U$6:$U$305,0),MATCH(G$5,Metrics!$A$5:$U$5,0)))</f>
        <v/>
      </c>
      <c r="H14" s="9" t="str">
        <f>IF($A14="","",INDEX(Metrics!$A$6:$U$305,MATCH($A14,Metrics!$U$6:$U$305,0),MATCH(H$5,Metrics!$A$5:$U$5,0)))</f>
        <v>n/m</v>
      </c>
      <c r="I14" s="7" t="str">
        <f>IF($A14="","",INDEX(Metrics!$A$6:$U$305,MATCH($A14,Metrics!$U$6:$U$305,0),MATCH(I$5,Metrics!$A$5:$U$5,0)))</f>
        <v/>
      </c>
      <c r="J14" s="9" t="str">
        <f>IF($A14="","",INDEX(Metrics!$A$6:$U$305,MATCH($A14,Metrics!$U$6:$U$305,0),MATCH(J$5,Metrics!$A$5:$U$5,0)))</f>
        <v/>
      </c>
      <c r="K14" s="10">
        <f>IF($A14="","",INDEX(Metrics!$A$6:$U$305,MATCH($A14,Metrics!$U$6:$U$305,0),MATCH(K$5,Metrics!$A$5:$U$5,0)))</f>
        <v>119</v>
      </c>
      <c r="L14">
        <f>IF($A14="","",INDEX(Metrics!$A$6:$U$305,MATCH($A14,Metrics!$U$6:$U$305,0),MATCH(L$5,Metrics!$A$5:$U$5,0)))</f>
        <v>119</v>
      </c>
      <c r="M14">
        <f>IF($A14="","",INDEX(Metrics!$A$6:$U$305,MATCH($A14,Metrics!$U$6:$U$305,0),MATCH(M$5,Metrics!$A$5:$U$5,0)))</f>
        <v>119</v>
      </c>
      <c r="N14">
        <f>IF($A14="","",INDEX(Metrics!$A$6:$U$305,MATCH($A14,Metrics!$U$6:$U$305,0),MATCH(N$5,Metrics!$A$5:$U$5,0)))</f>
        <v>119</v>
      </c>
      <c r="O14">
        <f>IF($A14="","",INDEX(Metrics!$A$6:$U$305,MATCH($A14,Metrics!$U$6:$U$305,0),MATCH(O$5,Metrics!$A$5:$U$5,0)))</f>
        <v>119</v>
      </c>
      <c r="P14">
        <f>IF($A14="","",INDEX(Metrics!$A$6:$U$305,MATCH($A14,Metrics!$U$6:$U$305,0),MATCH(P$5,Metrics!$A$5:$U$5,0)))</f>
        <v>119</v>
      </c>
    </row>
    <row r="15" spans="1:16" x14ac:dyDescent="0.4">
      <c r="A15">
        <f t="shared" si="0"/>
        <v>10</v>
      </c>
      <c r="B15" t="str">
        <f>IF($A15="","",INDEX(Metrics!$A$6:$U$305,MATCH($A15,Metrics!$U$6:$U$305,0),MATCH(B$5,Metrics!$A$5:$U$5,0)))</f>
        <v>BME</v>
      </c>
      <c r="C15" t="str">
        <f>IF($A15="","",INDEX(Metrics!$A$6:$U$305,MATCH($A15,Metrics!$U$6:$U$305,0),MATCH(C$5,Metrics!$A$5:$U$5,0)))</f>
        <v>B&amp;M</v>
      </c>
      <c r="D15" t="str">
        <f>IF($A15="","",INDEX(Metrics!$A$6:$U$305,MATCH($A15,Metrics!$U$6:$U$305,0),MATCH(D$5,Metrics!$A$5:$U$5,0)))</f>
        <v>Consumer Discretionary</v>
      </c>
      <c r="E15" s="14" t="e">
        <f>IF($A15="","",INDEX(Metrics!$A$6:$U$305,MATCH($A15,Metrics!$U$6:$U$305,0),MATCH(E$5,Metrics!$A$5:$U$5,0)))</f>
        <v>#N/A</v>
      </c>
      <c r="F15" s="7" t="str">
        <f>IF($A15="","",INDEX(Metrics!$A$6:$U$305,MATCH($A15,Metrics!$U$6:$U$305,0),MATCH(F$5,Metrics!$A$5:$U$5,0)))</f>
        <v/>
      </c>
      <c r="G15" s="9" t="str">
        <f>IF($A15="","",INDEX(Metrics!$A$6:$U$305,MATCH($A15,Metrics!$U$6:$U$305,0),MATCH(G$5,Metrics!$A$5:$U$5,0)))</f>
        <v/>
      </c>
      <c r="H15" s="9" t="str">
        <f>IF($A15="","",INDEX(Metrics!$A$6:$U$305,MATCH($A15,Metrics!$U$6:$U$305,0),MATCH(H$5,Metrics!$A$5:$U$5,0)))</f>
        <v>n/m</v>
      </c>
      <c r="I15" s="7" t="str">
        <f>IF($A15="","",INDEX(Metrics!$A$6:$U$305,MATCH($A15,Metrics!$U$6:$U$305,0),MATCH(I$5,Metrics!$A$5:$U$5,0)))</f>
        <v/>
      </c>
      <c r="J15" s="9" t="str">
        <f>IF($A15="","",INDEX(Metrics!$A$6:$U$305,MATCH($A15,Metrics!$U$6:$U$305,0),MATCH(J$5,Metrics!$A$5:$U$5,0)))</f>
        <v/>
      </c>
      <c r="K15" s="10">
        <f>IF($A15="","",INDEX(Metrics!$A$6:$U$305,MATCH($A15,Metrics!$U$6:$U$305,0),MATCH(K$5,Metrics!$A$5:$U$5,0)))</f>
        <v>119</v>
      </c>
      <c r="L15">
        <f>IF($A15="","",INDEX(Metrics!$A$6:$U$305,MATCH($A15,Metrics!$U$6:$U$305,0),MATCH(L$5,Metrics!$A$5:$U$5,0)))</f>
        <v>119</v>
      </c>
      <c r="M15">
        <f>IF($A15="","",INDEX(Metrics!$A$6:$U$305,MATCH($A15,Metrics!$U$6:$U$305,0),MATCH(M$5,Metrics!$A$5:$U$5,0)))</f>
        <v>119</v>
      </c>
      <c r="N15">
        <f>IF($A15="","",INDEX(Metrics!$A$6:$U$305,MATCH($A15,Metrics!$U$6:$U$305,0),MATCH(N$5,Metrics!$A$5:$U$5,0)))</f>
        <v>119</v>
      </c>
      <c r="O15">
        <f>IF($A15="","",INDEX(Metrics!$A$6:$U$305,MATCH($A15,Metrics!$U$6:$U$305,0),MATCH(O$5,Metrics!$A$5:$U$5,0)))</f>
        <v>119</v>
      </c>
      <c r="P15">
        <f>IF($A15="","",INDEX(Metrics!$A$6:$U$305,MATCH($A15,Metrics!$U$6:$U$305,0),MATCH(P$5,Metrics!$A$5:$U$5,0)))</f>
        <v>119</v>
      </c>
    </row>
    <row r="16" spans="1:16" x14ac:dyDescent="0.4">
      <c r="A16">
        <f t="shared" si="0"/>
        <v>11</v>
      </c>
      <c r="B16" t="str">
        <f>IF($A16="","",INDEX(Metrics!$A$6:$U$305,MATCH($A16,Metrics!$U$6:$U$305,0),MATCH(B$5,Metrics!$A$5:$U$5,0)))</f>
        <v>BCG</v>
      </c>
      <c r="C16" t="str">
        <f>IF($A16="","",INDEX(Metrics!$A$6:$U$305,MATCH($A16,Metrics!$U$6:$U$305,0),MATCH(C$5,Metrics!$A$5:$U$5,0)))</f>
        <v>Baltic Classifieds</v>
      </c>
      <c r="D16" t="str">
        <f>IF($A16="","",INDEX(Metrics!$A$6:$U$305,MATCH($A16,Metrics!$U$6:$U$305,0),MATCH(D$5,Metrics!$A$5:$U$5,0)))</f>
        <v>Consumer Discretionary</v>
      </c>
      <c r="E16" s="14" t="e">
        <f>IF($A16="","",INDEX(Metrics!$A$6:$U$305,MATCH($A16,Metrics!$U$6:$U$305,0),MATCH(E$5,Metrics!$A$5:$U$5,0)))</f>
        <v>#N/A</v>
      </c>
      <c r="F16" s="7" t="str">
        <f>IF($A16="","",INDEX(Metrics!$A$6:$U$305,MATCH($A16,Metrics!$U$6:$U$305,0),MATCH(F$5,Metrics!$A$5:$U$5,0)))</f>
        <v/>
      </c>
      <c r="G16" s="9" t="str">
        <f>IF($A16="","",INDEX(Metrics!$A$6:$U$305,MATCH($A16,Metrics!$U$6:$U$305,0),MATCH(G$5,Metrics!$A$5:$U$5,0)))</f>
        <v/>
      </c>
      <c r="H16" s="9" t="str">
        <f>IF($A16="","",INDEX(Metrics!$A$6:$U$305,MATCH($A16,Metrics!$U$6:$U$305,0),MATCH(H$5,Metrics!$A$5:$U$5,0)))</f>
        <v>n/m</v>
      </c>
      <c r="I16" s="7" t="str">
        <f>IF($A16="","",INDEX(Metrics!$A$6:$U$305,MATCH($A16,Metrics!$U$6:$U$305,0),MATCH(I$5,Metrics!$A$5:$U$5,0)))</f>
        <v/>
      </c>
      <c r="J16" s="9" t="str">
        <f>IF($A16="","",INDEX(Metrics!$A$6:$U$305,MATCH($A16,Metrics!$U$6:$U$305,0),MATCH(J$5,Metrics!$A$5:$U$5,0)))</f>
        <v/>
      </c>
      <c r="K16" s="10">
        <f>IF($A16="","",INDEX(Metrics!$A$6:$U$305,MATCH($A16,Metrics!$U$6:$U$305,0),MATCH(K$5,Metrics!$A$5:$U$5,0)))</f>
        <v>119</v>
      </c>
      <c r="L16">
        <f>IF($A16="","",INDEX(Metrics!$A$6:$U$305,MATCH($A16,Metrics!$U$6:$U$305,0),MATCH(L$5,Metrics!$A$5:$U$5,0)))</f>
        <v>119</v>
      </c>
      <c r="M16">
        <f>IF($A16="","",INDEX(Metrics!$A$6:$U$305,MATCH($A16,Metrics!$U$6:$U$305,0),MATCH(M$5,Metrics!$A$5:$U$5,0)))</f>
        <v>119</v>
      </c>
      <c r="N16">
        <f>IF($A16="","",INDEX(Metrics!$A$6:$U$305,MATCH($A16,Metrics!$U$6:$U$305,0),MATCH(N$5,Metrics!$A$5:$U$5,0)))</f>
        <v>119</v>
      </c>
      <c r="O16">
        <f>IF($A16="","",INDEX(Metrics!$A$6:$U$305,MATCH($A16,Metrics!$U$6:$U$305,0),MATCH(O$5,Metrics!$A$5:$U$5,0)))</f>
        <v>119</v>
      </c>
      <c r="P16">
        <f>IF($A16="","",INDEX(Metrics!$A$6:$U$305,MATCH($A16,Metrics!$U$6:$U$305,0),MATCH(P$5,Metrics!$A$5:$U$5,0)))</f>
        <v>119</v>
      </c>
    </row>
    <row r="17" spans="1:16" x14ac:dyDescent="0.4">
      <c r="A17">
        <f t="shared" si="0"/>
        <v>12</v>
      </c>
      <c r="B17" t="str">
        <f>IF($A17="","",INDEX(Metrics!$A$6:$U$305,MATCH($A17,Metrics!$U$6:$U$305,0),MATCH(B$5,Metrics!$A$5:$U$5,0)))</f>
        <v>BAG</v>
      </c>
      <c r="C17" t="str">
        <f>IF($A17="","",INDEX(Metrics!$A$6:$U$305,MATCH($A17,Metrics!$U$6:$U$305,0),MATCH(C$5,Metrics!$A$5:$U$5,0)))</f>
        <v>A.G. Barr</v>
      </c>
      <c r="D17" t="str">
        <f>IF($A17="","",INDEX(Metrics!$A$6:$U$305,MATCH($A17,Metrics!$U$6:$U$305,0),MATCH(D$5,Metrics!$A$5:$U$5,0)))</f>
        <v>Consumer Staples</v>
      </c>
      <c r="E17" s="14" t="e">
        <f>IF($A17="","",INDEX(Metrics!$A$6:$U$305,MATCH($A17,Metrics!$U$6:$U$305,0),MATCH(E$5,Metrics!$A$5:$U$5,0)))</f>
        <v>#N/A</v>
      </c>
      <c r="F17" s="7" t="str">
        <f>IF($A17="","",INDEX(Metrics!$A$6:$U$305,MATCH($A17,Metrics!$U$6:$U$305,0),MATCH(F$5,Metrics!$A$5:$U$5,0)))</f>
        <v/>
      </c>
      <c r="G17" s="9" t="str">
        <f>IF($A17="","",INDEX(Metrics!$A$6:$U$305,MATCH($A17,Metrics!$U$6:$U$305,0),MATCH(G$5,Metrics!$A$5:$U$5,0)))</f>
        <v/>
      </c>
      <c r="H17" s="9" t="str">
        <f>IF($A17="","",INDEX(Metrics!$A$6:$U$305,MATCH($A17,Metrics!$U$6:$U$305,0),MATCH(H$5,Metrics!$A$5:$U$5,0)))</f>
        <v>n/m</v>
      </c>
      <c r="I17" s="7" t="str">
        <f>IF($A17="","",INDEX(Metrics!$A$6:$U$305,MATCH($A17,Metrics!$U$6:$U$305,0),MATCH(I$5,Metrics!$A$5:$U$5,0)))</f>
        <v/>
      </c>
      <c r="J17" s="9" t="str">
        <f>IF($A17="","",INDEX(Metrics!$A$6:$U$305,MATCH($A17,Metrics!$U$6:$U$305,0),MATCH(J$5,Metrics!$A$5:$U$5,0)))</f>
        <v/>
      </c>
      <c r="K17" s="10">
        <f>IF($A17="","",INDEX(Metrics!$A$6:$U$305,MATCH($A17,Metrics!$U$6:$U$305,0),MATCH(K$5,Metrics!$A$5:$U$5,0)))</f>
        <v>119</v>
      </c>
      <c r="L17">
        <f>IF($A17="","",INDEX(Metrics!$A$6:$U$305,MATCH($A17,Metrics!$U$6:$U$305,0),MATCH(L$5,Metrics!$A$5:$U$5,0)))</f>
        <v>119</v>
      </c>
      <c r="M17">
        <f>IF($A17="","",INDEX(Metrics!$A$6:$U$305,MATCH($A17,Metrics!$U$6:$U$305,0),MATCH(M$5,Metrics!$A$5:$U$5,0)))</f>
        <v>119</v>
      </c>
      <c r="N17">
        <f>IF($A17="","",INDEX(Metrics!$A$6:$U$305,MATCH($A17,Metrics!$U$6:$U$305,0),MATCH(N$5,Metrics!$A$5:$U$5,0)))</f>
        <v>119</v>
      </c>
      <c r="O17">
        <f>IF($A17="","",INDEX(Metrics!$A$6:$U$305,MATCH($A17,Metrics!$U$6:$U$305,0),MATCH(O$5,Metrics!$A$5:$U$5,0)))</f>
        <v>119</v>
      </c>
      <c r="P17">
        <f>IF($A17="","",INDEX(Metrics!$A$6:$U$305,MATCH($A17,Metrics!$U$6:$U$305,0),MATCH(P$5,Metrics!$A$5:$U$5,0)))</f>
        <v>119</v>
      </c>
    </row>
    <row r="18" spans="1:16" x14ac:dyDescent="0.4">
      <c r="A18">
        <f t="shared" si="0"/>
        <v>13</v>
      </c>
      <c r="B18" t="str">
        <f>IF($A18="","",INDEX(Metrics!$A$6:$U$305,MATCH($A18,Metrics!$U$6:$U$305,0),MATCH(B$5,Metrics!$A$5:$U$5,0)))</f>
        <v>BWY</v>
      </c>
      <c r="C18" t="str">
        <f>IF($A18="","",INDEX(Metrics!$A$6:$U$305,MATCH($A18,Metrics!$U$6:$U$305,0),MATCH(C$5,Metrics!$A$5:$U$5,0)))</f>
        <v>Bellway</v>
      </c>
      <c r="D18" t="str">
        <f>IF($A18="","",INDEX(Metrics!$A$6:$U$305,MATCH($A18,Metrics!$U$6:$U$305,0),MATCH(D$5,Metrics!$A$5:$U$5,0)))</f>
        <v>Consumer Discretionary</v>
      </c>
      <c r="E18" s="14" t="e">
        <f>IF($A18="","",INDEX(Metrics!$A$6:$U$305,MATCH($A18,Metrics!$U$6:$U$305,0),MATCH(E$5,Metrics!$A$5:$U$5,0)))</f>
        <v>#N/A</v>
      </c>
      <c r="F18" s="7" t="str">
        <f>IF($A18="","",INDEX(Metrics!$A$6:$U$305,MATCH($A18,Metrics!$U$6:$U$305,0),MATCH(F$5,Metrics!$A$5:$U$5,0)))</f>
        <v/>
      </c>
      <c r="G18" s="9" t="str">
        <f>IF($A18="","",INDEX(Metrics!$A$6:$U$305,MATCH($A18,Metrics!$U$6:$U$305,0),MATCH(G$5,Metrics!$A$5:$U$5,0)))</f>
        <v/>
      </c>
      <c r="H18" s="9" t="str">
        <f>IF($A18="","",INDEX(Metrics!$A$6:$U$305,MATCH($A18,Metrics!$U$6:$U$305,0),MATCH(H$5,Metrics!$A$5:$U$5,0)))</f>
        <v>n/m</v>
      </c>
      <c r="I18" s="7" t="str">
        <f>IF($A18="","",INDEX(Metrics!$A$6:$U$305,MATCH($A18,Metrics!$U$6:$U$305,0),MATCH(I$5,Metrics!$A$5:$U$5,0)))</f>
        <v/>
      </c>
      <c r="J18" s="9" t="str">
        <f>IF($A18="","",INDEX(Metrics!$A$6:$U$305,MATCH($A18,Metrics!$U$6:$U$305,0),MATCH(J$5,Metrics!$A$5:$U$5,0)))</f>
        <v/>
      </c>
      <c r="K18" s="10">
        <f>IF($A18="","",INDEX(Metrics!$A$6:$U$305,MATCH($A18,Metrics!$U$6:$U$305,0),MATCH(K$5,Metrics!$A$5:$U$5,0)))</f>
        <v>119</v>
      </c>
      <c r="L18">
        <f>IF($A18="","",INDEX(Metrics!$A$6:$U$305,MATCH($A18,Metrics!$U$6:$U$305,0),MATCH(L$5,Metrics!$A$5:$U$5,0)))</f>
        <v>119</v>
      </c>
      <c r="M18">
        <f>IF($A18="","",INDEX(Metrics!$A$6:$U$305,MATCH($A18,Metrics!$U$6:$U$305,0),MATCH(M$5,Metrics!$A$5:$U$5,0)))</f>
        <v>119</v>
      </c>
      <c r="N18">
        <f>IF($A18="","",INDEX(Metrics!$A$6:$U$305,MATCH($A18,Metrics!$U$6:$U$305,0),MATCH(N$5,Metrics!$A$5:$U$5,0)))</f>
        <v>119</v>
      </c>
      <c r="O18">
        <f>IF($A18="","",INDEX(Metrics!$A$6:$U$305,MATCH($A18,Metrics!$U$6:$U$305,0),MATCH(O$5,Metrics!$A$5:$U$5,0)))</f>
        <v>119</v>
      </c>
      <c r="P18">
        <f>IF($A18="","",INDEX(Metrics!$A$6:$U$305,MATCH($A18,Metrics!$U$6:$U$305,0),MATCH(P$5,Metrics!$A$5:$U$5,0)))</f>
        <v>119</v>
      </c>
    </row>
    <row r="19" spans="1:16" x14ac:dyDescent="0.4">
      <c r="A19">
        <f t="shared" si="0"/>
        <v>14</v>
      </c>
      <c r="B19" t="str">
        <f>IF($A19="","",INDEX(Metrics!$A$6:$U$305,MATCH($A19,Metrics!$U$6:$U$305,0),MATCH(B$5,Metrics!$A$5:$U$5,0)))</f>
        <v>BKG</v>
      </c>
      <c r="C19" t="str">
        <f>IF($A19="","",INDEX(Metrics!$A$6:$U$305,MATCH($A19,Metrics!$U$6:$U$305,0),MATCH(C$5,Metrics!$A$5:$U$5,0)))</f>
        <v>Berkeley Group Holdings</v>
      </c>
      <c r="D19" t="str">
        <f>IF($A19="","",INDEX(Metrics!$A$6:$U$305,MATCH($A19,Metrics!$U$6:$U$305,0),MATCH(D$5,Metrics!$A$5:$U$5,0)))</f>
        <v>Consumer Discretionary</v>
      </c>
      <c r="E19" s="14" t="e">
        <f>IF($A19="","",INDEX(Metrics!$A$6:$U$305,MATCH($A19,Metrics!$U$6:$U$305,0),MATCH(E$5,Metrics!$A$5:$U$5,0)))</f>
        <v>#N/A</v>
      </c>
      <c r="F19" s="7" t="str">
        <f>IF($A19="","",INDEX(Metrics!$A$6:$U$305,MATCH($A19,Metrics!$U$6:$U$305,0),MATCH(F$5,Metrics!$A$5:$U$5,0)))</f>
        <v/>
      </c>
      <c r="G19" s="9" t="str">
        <f>IF($A19="","",INDEX(Metrics!$A$6:$U$305,MATCH($A19,Metrics!$U$6:$U$305,0),MATCH(G$5,Metrics!$A$5:$U$5,0)))</f>
        <v/>
      </c>
      <c r="H19" s="9" t="str">
        <f>IF($A19="","",INDEX(Metrics!$A$6:$U$305,MATCH($A19,Metrics!$U$6:$U$305,0),MATCH(H$5,Metrics!$A$5:$U$5,0)))</f>
        <v>n/m</v>
      </c>
      <c r="I19" s="7" t="str">
        <f>IF($A19="","",INDEX(Metrics!$A$6:$U$305,MATCH($A19,Metrics!$U$6:$U$305,0),MATCH(I$5,Metrics!$A$5:$U$5,0)))</f>
        <v/>
      </c>
      <c r="J19" s="9" t="str">
        <f>IF($A19="","",INDEX(Metrics!$A$6:$U$305,MATCH($A19,Metrics!$U$6:$U$305,0),MATCH(J$5,Metrics!$A$5:$U$5,0)))</f>
        <v/>
      </c>
      <c r="K19" s="10">
        <f>IF($A19="","",INDEX(Metrics!$A$6:$U$305,MATCH($A19,Metrics!$U$6:$U$305,0),MATCH(K$5,Metrics!$A$5:$U$5,0)))</f>
        <v>119</v>
      </c>
      <c r="L19">
        <f>IF($A19="","",INDEX(Metrics!$A$6:$U$305,MATCH($A19,Metrics!$U$6:$U$305,0),MATCH(L$5,Metrics!$A$5:$U$5,0)))</f>
        <v>119</v>
      </c>
      <c r="M19">
        <f>IF($A19="","",INDEX(Metrics!$A$6:$U$305,MATCH($A19,Metrics!$U$6:$U$305,0),MATCH(M$5,Metrics!$A$5:$U$5,0)))</f>
        <v>119</v>
      </c>
      <c r="N19">
        <f>IF($A19="","",INDEX(Metrics!$A$6:$U$305,MATCH($A19,Metrics!$U$6:$U$305,0),MATCH(N$5,Metrics!$A$5:$U$5,0)))</f>
        <v>119</v>
      </c>
      <c r="O19">
        <f>IF($A19="","",INDEX(Metrics!$A$6:$U$305,MATCH($A19,Metrics!$U$6:$U$305,0),MATCH(O$5,Metrics!$A$5:$U$5,0)))</f>
        <v>119</v>
      </c>
      <c r="P19">
        <f>IF($A19="","",INDEX(Metrics!$A$6:$U$305,MATCH($A19,Metrics!$U$6:$U$305,0),MATCH(P$5,Metrics!$A$5:$U$5,0)))</f>
        <v>119</v>
      </c>
    </row>
    <row r="20" spans="1:16" x14ac:dyDescent="0.4">
      <c r="A20">
        <f t="shared" si="0"/>
        <v>15</v>
      </c>
      <c r="B20" t="str">
        <f>IF($A20="","",INDEX(Metrics!$A$6:$U$305,MATCH($A20,Metrics!$U$6:$U$305,0),MATCH(B$5,Metrics!$A$5:$U$5,0)))</f>
        <v>BMY</v>
      </c>
      <c r="C20" t="str">
        <f>IF($A20="","",INDEX(Metrics!$A$6:$U$305,MATCH($A20,Metrics!$U$6:$U$305,0),MATCH(C$5,Metrics!$A$5:$U$5,0)))</f>
        <v>Bloomsbury Publishing</v>
      </c>
      <c r="D20" t="str">
        <f>IF($A20="","",INDEX(Metrics!$A$6:$U$305,MATCH($A20,Metrics!$U$6:$U$305,0),MATCH(D$5,Metrics!$A$5:$U$5,0)))</f>
        <v>Consumer Discretionary</v>
      </c>
      <c r="E20" s="14" t="e">
        <f>IF($A20="","",INDEX(Metrics!$A$6:$U$305,MATCH($A20,Metrics!$U$6:$U$305,0),MATCH(E$5,Metrics!$A$5:$U$5,0)))</f>
        <v>#N/A</v>
      </c>
      <c r="F20" s="7" t="str">
        <f>IF($A20="","",INDEX(Metrics!$A$6:$U$305,MATCH($A20,Metrics!$U$6:$U$305,0),MATCH(F$5,Metrics!$A$5:$U$5,0)))</f>
        <v/>
      </c>
      <c r="G20" s="9" t="str">
        <f>IF($A20="","",INDEX(Metrics!$A$6:$U$305,MATCH($A20,Metrics!$U$6:$U$305,0),MATCH(G$5,Metrics!$A$5:$U$5,0)))</f>
        <v/>
      </c>
      <c r="H20" s="9" t="str">
        <f>IF($A20="","",INDEX(Metrics!$A$6:$U$305,MATCH($A20,Metrics!$U$6:$U$305,0),MATCH(H$5,Metrics!$A$5:$U$5,0)))</f>
        <v>n/m</v>
      </c>
      <c r="I20" s="7" t="str">
        <f>IF($A20="","",INDEX(Metrics!$A$6:$U$305,MATCH($A20,Metrics!$U$6:$U$305,0),MATCH(I$5,Metrics!$A$5:$U$5,0)))</f>
        <v/>
      </c>
      <c r="J20" s="9" t="str">
        <f>IF($A20="","",INDEX(Metrics!$A$6:$U$305,MATCH($A20,Metrics!$U$6:$U$305,0),MATCH(J$5,Metrics!$A$5:$U$5,0)))</f>
        <v/>
      </c>
      <c r="K20" s="10">
        <f>IF($A20="","",INDEX(Metrics!$A$6:$U$305,MATCH($A20,Metrics!$U$6:$U$305,0),MATCH(K$5,Metrics!$A$5:$U$5,0)))</f>
        <v>119</v>
      </c>
      <c r="L20">
        <f>IF($A20="","",INDEX(Metrics!$A$6:$U$305,MATCH($A20,Metrics!$U$6:$U$305,0),MATCH(L$5,Metrics!$A$5:$U$5,0)))</f>
        <v>119</v>
      </c>
      <c r="M20">
        <f>IF($A20="","",INDEX(Metrics!$A$6:$U$305,MATCH($A20,Metrics!$U$6:$U$305,0),MATCH(M$5,Metrics!$A$5:$U$5,0)))</f>
        <v>119</v>
      </c>
      <c r="N20">
        <f>IF($A20="","",INDEX(Metrics!$A$6:$U$305,MATCH($A20,Metrics!$U$6:$U$305,0),MATCH(N$5,Metrics!$A$5:$U$5,0)))</f>
        <v>119</v>
      </c>
      <c r="O20">
        <f>IF($A20="","",INDEX(Metrics!$A$6:$U$305,MATCH($A20,Metrics!$U$6:$U$305,0),MATCH(O$5,Metrics!$A$5:$U$5,0)))</f>
        <v>119</v>
      </c>
      <c r="P20">
        <f>IF($A20="","",INDEX(Metrics!$A$6:$U$305,MATCH($A20,Metrics!$U$6:$U$305,0),MATCH(P$5,Metrics!$A$5:$U$5,0)))</f>
        <v>119</v>
      </c>
    </row>
    <row r="21" spans="1:16" x14ac:dyDescent="0.4">
      <c r="A21">
        <f t="shared" si="0"/>
        <v>16</v>
      </c>
      <c r="B21" t="str">
        <f>IF($A21="","",INDEX(Metrics!$A$6:$U$305,MATCH($A21,Metrics!$U$6:$U$305,0),MATCH(B$5,Metrics!$A$5:$U$5,0)))</f>
        <v>BOY</v>
      </c>
      <c r="C21" t="str">
        <f>IF($A21="","",INDEX(Metrics!$A$6:$U$305,MATCH($A21,Metrics!$U$6:$U$305,0),MATCH(C$5,Metrics!$A$5:$U$5,0)))</f>
        <v>Bodycote</v>
      </c>
      <c r="D21" t="str">
        <f>IF($A21="","",INDEX(Metrics!$A$6:$U$305,MATCH($A21,Metrics!$U$6:$U$305,0),MATCH(D$5,Metrics!$A$5:$U$5,0)))</f>
        <v>Industrials</v>
      </c>
      <c r="E21" s="14" t="e">
        <f>IF($A21="","",INDEX(Metrics!$A$6:$U$305,MATCH($A21,Metrics!$U$6:$U$305,0),MATCH(E$5,Metrics!$A$5:$U$5,0)))</f>
        <v>#N/A</v>
      </c>
      <c r="F21" s="7" t="str">
        <f>IF($A21="","",INDEX(Metrics!$A$6:$U$305,MATCH($A21,Metrics!$U$6:$U$305,0),MATCH(F$5,Metrics!$A$5:$U$5,0)))</f>
        <v/>
      </c>
      <c r="G21" s="9" t="str">
        <f>IF($A21="","",INDEX(Metrics!$A$6:$U$305,MATCH($A21,Metrics!$U$6:$U$305,0),MATCH(G$5,Metrics!$A$5:$U$5,0)))</f>
        <v/>
      </c>
      <c r="H21" s="9" t="str">
        <f>IF($A21="","",INDEX(Metrics!$A$6:$U$305,MATCH($A21,Metrics!$U$6:$U$305,0),MATCH(H$5,Metrics!$A$5:$U$5,0)))</f>
        <v>n/m</v>
      </c>
      <c r="I21" s="7" t="str">
        <f>IF($A21="","",INDEX(Metrics!$A$6:$U$305,MATCH($A21,Metrics!$U$6:$U$305,0),MATCH(I$5,Metrics!$A$5:$U$5,0)))</f>
        <v/>
      </c>
      <c r="J21" s="9" t="str">
        <f>IF($A21="","",INDEX(Metrics!$A$6:$U$305,MATCH($A21,Metrics!$U$6:$U$305,0),MATCH(J$5,Metrics!$A$5:$U$5,0)))</f>
        <v/>
      </c>
      <c r="K21" s="10">
        <f>IF($A21="","",INDEX(Metrics!$A$6:$U$305,MATCH($A21,Metrics!$U$6:$U$305,0),MATCH(K$5,Metrics!$A$5:$U$5,0)))</f>
        <v>119</v>
      </c>
      <c r="L21">
        <f>IF($A21="","",INDEX(Metrics!$A$6:$U$305,MATCH($A21,Metrics!$U$6:$U$305,0),MATCH(L$5,Metrics!$A$5:$U$5,0)))</f>
        <v>119</v>
      </c>
      <c r="M21">
        <f>IF($A21="","",INDEX(Metrics!$A$6:$U$305,MATCH($A21,Metrics!$U$6:$U$305,0),MATCH(M$5,Metrics!$A$5:$U$5,0)))</f>
        <v>119</v>
      </c>
      <c r="N21">
        <f>IF($A21="","",INDEX(Metrics!$A$6:$U$305,MATCH($A21,Metrics!$U$6:$U$305,0),MATCH(N$5,Metrics!$A$5:$U$5,0)))</f>
        <v>119</v>
      </c>
      <c r="O21">
        <f>IF($A21="","",INDEX(Metrics!$A$6:$U$305,MATCH($A21,Metrics!$U$6:$U$305,0),MATCH(O$5,Metrics!$A$5:$U$5,0)))</f>
        <v>119</v>
      </c>
      <c r="P21">
        <f>IF($A21="","",INDEX(Metrics!$A$6:$U$305,MATCH($A21,Metrics!$U$6:$U$305,0),MATCH(P$5,Metrics!$A$5:$U$5,0)))</f>
        <v>119</v>
      </c>
    </row>
    <row r="22" spans="1:16" x14ac:dyDescent="0.4">
      <c r="A22">
        <f t="shared" si="0"/>
        <v>17</v>
      </c>
      <c r="B22" t="str">
        <f>IF($A22="","",INDEX(Metrics!$A$6:$U$305,MATCH($A22,Metrics!$U$6:$U$305,0),MATCH(B$5,Metrics!$A$5:$U$5,0)))</f>
        <v>BREE</v>
      </c>
      <c r="C22" t="str">
        <f>IF($A22="","",INDEX(Metrics!$A$6:$U$305,MATCH($A22,Metrics!$U$6:$U$305,0),MATCH(C$5,Metrics!$A$5:$U$5,0)))</f>
        <v>Breedon Group</v>
      </c>
      <c r="D22" t="str">
        <f>IF($A22="","",INDEX(Metrics!$A$6:$U$305,MATCH($A22,Metrics!$U$6:$U$305,0),MATCH(D$5,Metrics!$A$5:$U$5,0)))</f>
        <v>Industrials</v>
      </c>
      <c r="E22" s="14" t="e">
        <f>IF($A22="","",INDEX(Metrics!$A$6:$U$305,MATCH($A22,Metrics!$U$6:$U$305,0),MATCH(E$5,Metrics!$A$5:$U$5,0)))</f>
        <v>#N/A</v>
      </c>
      <c r="F22" s="7" t="str">
        <f>IF($A22="","",INDEX(Metrics!$A$6:$U$305,MATCH($A22,Metrics!$U$6:$U$305,0),MATCH(F$5,Metrics!$A$5:$U$5,0)))</f>
        <v/>
      </c>
      <c r="G22" s="9" t="str">
        <f>IF($A22="","",INDEX(Metrics!$A$6:$U$305,MATCH($A22,Metrics!$U$6:$U$305,0),MATCH(G$5,Metrics!$A$5:$U$5,0)))</f>
        <v/>
      </c>
      <c r="H22" s="9" t="str">
        <f>IF($A22="","",INDEX(Metrics!$A$6:$U$305,MATCH($A22,Metrics!$U$6:$U$305,0),MATCH(H$5,Metrics!$A$5:$U$5,0)))</f>
        <v>n/m</v>
      </c>
      <c r="I22" s="7" t="str">
        <f>IF($A22="","",INDEX(Metrics!$A$6:$U$305,MATCH($A22,Metrics!$U$6:$U$305,0),MATCH(I$5,Metrics!$A$5:$U$5,0)))</f>
        <v/>
      </c>
      <c r="J22" s="9" t="str">
        <f>IF($A22="","",INDEX(Metrics!$A$6:$U$305,MATCH($A22,Metrics!$U$6:$U$305,0),MATCH(J$5,Metrics!$A$5:$U$5,0)))</f>
        <v/>
      </c>
      <c r="K22" s="10">
        <f>IF($A22="","",INDEX(Metrics!$A$6:$U$305,MATCH($A22,Metrics!$U$6:$U$305,0),MATCH(K$5,Metrics!$A$5:$U$5,0)))</f>
        <v>119</v>
      </c>
      <c r="L22">
        <f>IF($A22="","",INDEX(Metrics!$A$6:$U$305,MATCH($A22,Metrics!$U$6:$U$305,0),MATCH(L$5,Metrics!$A$5:$U$5,0)))</f>
        <v>119</v>
      </c>
      <c r="M22">
        <f>IF($A22="","",INDEX(Metrics!$A$6:$U$305,MATCH($A22,Metrics!$U$6:$U$305,0),MATCH(M$5,Metrics!$A$5:$U$5,0)))</f>
        <v>119</v>
      </c>
      <c r="N22">
        <f>IF($A22="","",INDEX(Metrics!$A$6:$U$305,MATCH($A22,Metrics!$U$6:$U$305,0),MATCH(N$5,Metrics!$A$5:$U$5,0)))</f>
        <v>119</v>
      </c>
      <c r="O22">
        <f>IF($A22="","",INDEX(Metrics!$A$6:$U$305,MATCH($A22,Metrics!$U$6:$U$305,0),MATCH(O$5,Metrics!$A$5:$U$5,0)))</f>
        <v>119</v>
      </c>
      <c r="P22">
        <f>IF($A22="","",INDEX(Metrics!$A$6:$U$305,MATCH($A22,Metrics!$U$6:$U$305,0),MATCH(P$5,Metrics!$A$5:$U$5,0)))</f>
        <v>119</v>
      </c>
    </row>
    <row r="23" spans="1:16" x14ac:dyDescent="0.4">
      <c r="A23">
        <f t="shared" si="0"/>
        <v>18</v>
      </c>
      <c r="B23" t="str">
        <f>IF($A23="","",INDEX(Metrics!$A$6:$U$305,MATCH($A23,Metrics!$U$6:$U$305,0),MATCH(B$5,Metrics!$A$5:$U$5,0)))</f>
        <v>BYIT</v>
      </c>
      <c r="C23" t="str">
        <f>IF($A23="","",INDEX(Metrics!$A$6:$U$305,MATCH($A23,Metrics!$U$6:$U$305,0),MATCH(C$5,Metrics!$A$5:$U$5,0)))</f>
        <v>Bytes Technology Group</v>
      </c>
      <c r="D23" t="str">
        <f>IF($A23="","",INDEX(Metrics!$A$6:$U$305,MATCH($A23,Metrics!$U$6:$U$305,0),MATCH(D$5,Metrics!$A$5:$U$5,0)))</f>
        <v>Technology</v>
      </c>
      <c r="E23" s="14" t="e">
        <f>IF($A23="","",INDEX(Metrics!$A$6:$U$305,MATCH($A23,Metrics!$U$6:$U$305,0),MATCH(E$5,Metrics!$A$5:$U$5,0)))</f>
        <v>#N/A</v>
      </c>
      <c r="F23" s="7" t="str">
        <f>IF($A23="","",INDEX(Metrics!$A$6:$U$305,MATCH($A23,Metrics!$U$6:$U$305,0),MATCH(F$5,Metrics!$A$5:$U$5,0)))</f>
        <v/>
      </c>
      <c r="G23" s="9" t="str">
        <f>IF($A23="","",INDEX(Metrics!$A$6:$U$305,MATCH($A23,Metrics!$U$6:$U$305,0),MATCH(G$5,Metrics!$A$5:$U$5,0)))</f>
        <v/>
      </c>
      <c r="H23" s="9" t="str">
        <f>IF($A23="","",INDEX(Metrics!$A$6:$U$305,MATCH($A23,Metrics!$U$6:$U$305,0),MATCH(H$5,Metrics!$A$5:$U$5,0)))</f>
        <v>n/m</v>
      </c>
      <c r="I23" s="7" t="str">
        <f>IF($A23="","",INDEX(Metrics!$A$6:$U$305,MATCH($A23,Metrics!$U$6:$U$305,0),MATCH(I$5,Metrics!$A$5:$U$5,0)))</f>
        <v/>
      </c>
      <c r="J23" s="9" t="str">
        <f>IF($A23="","",INDEX(Metrics!$A$6:$U$305,MATCH($A23,Metrics!$U$6:$U$305,0),MATCH(J$5,Metrics!$A$5:$U$5,0)))</f>
        <v/>
      </c>
      <c r="K23" s="10">
        <f>IF($A23="","",INDEX(Metrics!$A$6:$U$305,MATCH($A23,Metrics!$U$6:$U$305,0),MATCH(K$5,Metrics!$A$5:$U$5,0)))</f>
        <v>119</v>
      </c>
      <c r="L23">
        <f>IF($A23="","",INDEX(Metrics!$A$6:$U$305,MATCH($A23,Metrics!$U$6:$U$305,0),MATCH(L$5,Metrics!$A$5:$U$5,0)))</f>
        <v>119</v>
      </c>
      <c r="M23">
        <f>IF($A23="","",INDEX(Metrics!$A$6:$U$305,MATCH($A23,Metrics!$U$6:$U$305,0),MATCH(M$5,Metrics!$A$5:$U$5,0)))</f>
        <v>119</v>
      </c>
      <c r="N23">
        <f>IF($A23="","",INDEX(Metrics!$A$6:$U$305,MATCH($A23,Metrics!$U$6:$U$305,0),MATCH(N$5,Metrics!$A$5:$U$5,0)))</f>
        <v>119</v>
      </c>
      <c r="O23">
        <f>IF($A23="","",INDEX(Metrics!$A$6:$U$305,MATCH($A23,Metrics!$U$6:$U$305,0),MATCH(O$5,Metrics!$A$5:$U$5,0)))</f>
        <v>119</v>
      </c>
      <c r="P23">
        <f>IF($A23="","",INDEX(Metrics!$A$6:$U$305,MATCH($A23,Metrics!$U$6:$U$305,0),MATCH(P$5,Metrics!$A$5:$U$5,0)))</f>
        <v>119</v>
      </c>
    </row>
    <row r="24" spans="1:16" x14ac:dyDescent="0.4">
      <c r="A24">
        <f t="shared" si="0"/>
        <v>19</v>
      </c>
      <c r="B24" t="str">
        <f>IF($A24="","",INDEX(Metrics!$A$6:$U$305,MATCH($A24,Metrics!$U$6:$U$305,0),MATCH(B$5,Metrics!$A$5:$U$5,0)))</f>
        <v>CWR</v>
      </c>
      <c r="C24" t="str">
        <f>IF($A24="","",INDEX(Metrics!$A$6:$U$305,MATCH($A24,Metrics!$U$6:$U$305,0),MATCH(C$5,Metrics!$A$5:$U$5,0)))</f>
        <v>Ceres Power</v>
      </c>
      <c r="D24" t="str">
        <f>IF($A24="","",INDEX(Metrics!$A$6:$U$305,MATCH($A24,Metrics!$U$6:$U$305,0),MATCH(D$5,Metrics!$A$5:$U$5,0)))</f>
        <v>Energy</v>
      </c>
      <c r="E24" s="14" t="e">
        <f>IF($A24="","",INDEX(Metrics!$A$6:$U$305,MATCH($A24,Metrics!$U$6:$U$305,0),MATCH(E$5,Metrics!$A$5:$U$5,0)))</f>
        <v>#N/A</v>
      </c>
      <c r="F24" s="7" t="str">
        <f>IF($A24="","",INDEX(Metrics!$A$6:$U$305,MATCH($A24,Metrics!$U$6:$U$305,0),MATCH(F$5,Metrics!$A$5:$U$5,0)))</f>
        <v/>
      </c>
      <c r="G24" s="9" t="str">
        <f>IF($A24="","",INDEX(Metrics!$A$6:$U$305,MATCH($A24,Metrics!$U$6:$U$305,0),MATCH(G$5,Metrics!$A$5:$U$5,0)))</f>
        <v/>
      </c>
      <c r="H24" s="9" t="str">
        <f>IF($A24="","",INDEX(Metrics!$A$6:$U$305,MATCH($A24,Metrics!$U$6:$U$305,0),MATCH(H$5,Metrics!$A$5:$U$5,0)))</f>
        <v>n/m</v>
      </c>
      <c r="I24" s="7" t="str">
        <f>IF($A24="","",INDEX(Metrics!$A$6:$U$305,MATCH($A24,Metrics!$U$6:$U$305,0),MATCH(I$5,Metrics!$A$5:$U$5,0)))</f>
        <v/>
      </c>
      <c r="J24" s="9" t="str">
        <f>IF($A24="","",INDEX(Metrics!$A$6:$U$305,MATCH($A24,Metrics!$U$6:$U$305,0),MATCH(J$5,Metrics!$A$5:$U$5,0)))</f>
        <v/>
      </c>
      <c r="K24" s="10">
        <f>IF($A24="","",INDEX(Metrics!$A$6:$U$305,MATCH($A24,Metrics!$U$6:$U$305,0),MATCH(K$5,Metrics!$A$5:$U$5,0)))</f>
        <v>119</v>
      </c>
      <c r="L24">
        <f>IF($A24="","",INDEX(Metrics!$A$6:$U$305,MATCH($A24,Metrics!$U$6:$U$305,0),MATCH(L$5,Metrics!$A$5:$U$5,0)))</f>
        <v>119</v>
      </c>
      <c r="M24">
        <f>IF($A24="","",INDEX(Metrics!$A$6:$U$305,MATCH($A24,Metrics!$U$6:$U$305,0),MATCH(M$5,Metrics!$A$5:$U$5,0)))</f>
        <v>119</v>
      </c>
      <c r="N24">
        <f>IF($A24="","",INDEX(Metrics!$A$6:$U$305,MATCH($A24,Metrics!$U$6:$U$305,0),MATCH(N$5,Metrics!$A$5:$U$5,0)))</f>
        <v>119</v>
      </c>
      <c r="O24">
        <f>IF($A24="","",INDEX(Metrics!$A$6:$U$305,MATCH($A24,Metrics!$U$6:$U$305,0),MATCH(O$5,Metrics!$A$5:$U$5,0)))</f>
        <v>119</v>
      </c>
      <c r="P24">
        <f>IF($A24="","",INDEX(Metrics!$A$6:$U$305,MATCH($A24,Metrics!$U$6:$U$305,0),MATCH(P$5,Metrics!$A$5:$U$5,0)))</f>
        <v>119</v>
      </c>
    </row>
    <row r="25" spans="1:16" x14ac:dyDescent="0.4">
      <c r="A25">
        <f t="shared" si="0"/>
        <v>20</v>
      </c>
      <c r="B25" t="str">
        <f>IF($A25="","",INDEX(Metrics!$A$6:$U$305,MATCH($A25,Metrics!$U$6:$U$305,0),MATCH(B$5,Metrics!$A$5:$U$5,0)))</f>
        <v>CHG</v>
      </c>
      <c r="C25" t="str">
        <f>IF($A25="","",INDEX(Metrics!$A$6:$U$305,MATCH($A25,Metrics!$U$6:$U$305,0),MATCH(C$5,Metrics!$A$5:$U$5,0)))</f>
        <v>Chemring Group</v>
      </c>
      <c r="D25" t="str">
        <f>IF($A25="","",INDEX(Metrics!$A$6:$U$305,MATCH($A25,Metrics!$U$6:$U$305,0),MATCH(D$5,Metrics!$A$5:$U$5,0)))</f>
        <v>Industrials</v>
      </c>
      <c r="E25" s="14" t="e">
        <f>IF($A25="","",INDEX(Metrics!$A$6:$U$305,MATCH($A25,Metrics!$U$6:$U$305,0),MATCH(E$5,Metrics!$A$5:$U$5,0)))</f>
        <v>#N/A</v>
      </c>
      <c r="F25" s="7" t="str">
        <f>IF($A25="","",INDEX(Metrics!$A$6:$U$305,MATCH($A25,Metrics!$U$6:$U$305,0),MATCH(F$5,Metrics!$A$5:$U$5,0)))</f>
        <v/>
      </c>
      <c r="G25" s="9" t="str">
        <f>IF($A25="","",INDEX(Metrics!$A$6:$U$305,MATCH($A25,Metrics!$U$6:$U$305,0),MATCH(G$5,Metrics!$A$5:$U$5,0)))</f>
        <v/>
      </c>
      <c r="H25" s="9" t="str">
        <f>IF($A25="","",INDEX(Metrics!$A$6:$U$305,MATCH($A25,Metrics!$U$6:$U$305,0),MATCH(H$5,Metrics!$A$5:$U$5,0)))</f>
        <v>n/m</v>
      </c>
      <c r="I25" s="7" t="str">
        <f>IF($A25="","",INDEX(Metrics!$A$6:$U$305,MATCH($A25,Metrics!$U$6:$U$305,0),MATCH(I$5,Metrics!$A$5:$U$5,0)))</f>
        <v/>
      </c>
      <c r="J25" s="9" t="str">
        <f>IF($A25="","",INDEX(Metrics!$A$6:$U$305,MATCH($A25,Metrics!$U$6:$U$305,0),MATCH(J$5,Metrics!$A$5:$U$5,0)))</f>
        <v/>
      </c>
      <c r="K25" s="10">
        <f>IF($A25="","",INDEX(Metrics!$A$6:$U$305,MATCH($A25,Metrics!$U$6:$U$305,0),MATCH(K$5,Metrics!$A$5:$U$5,0)))</f>
        <v>119</v>
      </c>
      <c r="L25">
        <f>IF($A25="","",INDEX(Metrics!$A$6:$U$305,MATCH($A25,Metrics!$U$6:$U$305,0),MATCH(L$5,Metrics!$A$5:$U$5,0)))</f>
        <v>119</v>
      </c>
      <c r="M25">
        <f>IF($A25="","",INDEX(Metrics!$A$6:$U$305,MATCH($A25,Metrics!$U$6:$U$305,0),MATCH(M$5,Metrics!$A$5:$U$5,0)))</f>
        <v>119</v>
      </c>
      <c r="N25">
        <f>IF($A25="","",INDEX(Metrics!$A$6:$U$305,MATCH($A25,Metrics!$U$6:$U$305,0),MATCH(N$5,Metrics!$A$5:$U$5,0)))</f>
        <v>119</v>
      </c>
      <c r="O25">
        <f>IF($A25="","",INDEX(Metrics!$A$6:$U$305,MATCH($A25,Metrics!$U$6:$U$305,0),MATCH(O$5,Metrics!$A$5:$U$5,0)))</f>
        <v>119</v>
      </c>
      <c r="P25">
        <f>IF($A25="","",INDEX(Metrics!$A$6:$U$305,MATCH($A25,Metrics!$U$6:$U$305,0),MATCH(P$5,Metrics!$A$5:$U$5,0)))</f>
        <v>119</v>
      </c>
    </row>
    <row r="26" spans="1:16" x14ac:dyDescent="0.4">
      <c r="A26">
        <f t="shared" si="0"/>
        <v>21</v>
      </c>
      <c r="B26" t="str">
        <f>IF($A26="","",INDEX(Metrics!$A$6:$U$305,MATCH($A26,Metrics!$U$6:$U$305,0),MATCH(B$5,Metrics!$A$5:$U$5,0)))</f>
        <v>CKN</v>
      </c>
      <c r="C26" t="str">
        <f>IF($A26="","",INDEX(Metrics!$A$6:$U$305,MATCH($A26,Metrics!$U$6:$U$305,0),MATCH(C$5,Metrics!$A$5:$U$5,0)))</f>
        <v>Clarkson</v>
      </c>
      <c r="D26" t="str">
        <f>IF($A26="","",INDEX(Metrics!$A$6:$U$305,MATCH($A26,Metrics!$U$6:$U$305,0),MATCH(D$5,Metrics!$A$5:$U$5,0)))</f>
        <v>Industrials</v>
      </c>
      <c r="E26" s="14" t="e">
        <f>IF($A26="","",INDEX(Metrics!$A$6:$U$305,MATCH($A26,Metrics!$U$6:$U$305,0),MATCH(E$5,Metrics!$A$5:$U$5,0)))</f>
        <v>#N/A</v>
      </c>
      <c r="F26" s="7" t="str">
        <f>IF($A26="","",INDEX(Metrics!$A$6:$U$305,MATCH($A26,Metrics!$U$6:$U$305,0),MATCH(F$5,Metrics!$A$5:$U$5,0)))</f>
        <v/>
      </c>
      <c r="G26" s="9" t="str">
        <f>IF($A26="","",INDEX(Metrics!$A$6:$U$305,MATCH($A26,Metrics!$U$6:$U$305,0),MATCH(G$5,Metrics!$A$5:$U$5,0)))</f>
        <v/>
      </c>
      <c r="H26" s="9" t="str">
        <f>IF($A26="","",INDEX(Metrics!$A$6:$U$305,MATCH($A26,Metrics!$U$6:$U$305,0),MATCH(H$5,Metrics!$A$5:$U$5,0)))</f>
        <v>n/m</v>
      </c>
      <c r="I26" s="7" t="str">
        <f>IF($A26="","",INDEX(Metrics!$A$6:$U$305,MATCH($A26,Metrics!$U$6:$U$305,0),MATCH(I$5,Metrics!$A$5:$U$5,0)))</f>
        <v/>
      </c>
      <c r="J26" s="9" t="str">
        <f>IF($A26="","",INDEX(Metrics!$A$6:$U$305,MATCH($A26,Metrics!$U$6:$U$305,0),MATCH(J$5,Metrics!$A$5:$U$5,0)))</f>
        <v/>
      </c>
      <c r="K26" s="10">
        <f>IF($A26="","",INDEX(Metrics!$A$6:$U$305,MATCH($A26,Metrics!$U$6:$U$305,0),MATCH(K$5,Metrics!$A$5:$U$5,0)))</f>
        <v>119</v>
      </c>
      <c r="L26">
        <f>IF($A26="","",INDEX(Metrics!$A$6:$U$305,MATCH($A26,Metrics!$U$6:$U$305,0),MATCH(L$5,Metrics!$A$5:$U$5,0)))</f>
        <v>119</v>
      </c>
      <c r="M26">
        <f>IF($A26="","",INDEX(Metrics!$A$6:$U$305,MATCH($A26,Metrics!$U$6:$U$305,0),MATCH(M$5,Metrics!$A$5:$U$5,0)))</f>
        <v>119</v>
      </c>
      <c r="N26">
        <f>IF($A26="","",INDEX(Metrics!$A$6:$U$305,MATCH($A26,Metrics!$U$6:$U$305,0),MATCH(N$5,Metrics!$A$5:$U$5,0)))</f>
        <v>119</v>
      </c>
      <c r="O26">
        <f>IF($A26="","",INDEX(Metrics!$A$6:$U$305,MATCH($A26,Metrics!$U$6:$U$305,0),MATCH(O$5,Metrics!$A$5:$U$5,0)))</f>
        <v>119</v>
      </c>
      <c r="P26">
        <f>IF($A26="","",INDEX(Metrics!$A$6:$U$305,MATCH($A26,Metrics!$U$6:$U$305,0),MATCH(P$5,Metrics!$A$5:$U$5,0)))</f>
        <v>119</v>
      </c>
    </row>
    <row r="27" spans="1:16" x14ac:dyDescent="0.4">
      <c r="A27">
        <f t="shared" si="0"/>
        <v>22</v>
      </c>
      <c r="B27" t="str">
        <f>IF($A27="","",INDEX(Metrics!$A$6:$U$305,MATCH($A27,Metrics!$U$6:$U$305,0),MATCH(B$5,Metrics!$A$5:$U$5,0)))</f>
        <v>COA</v>
      </c>
      <c r="C27" t="str">
        <f>IF($A27="","",INDEX(Metrics!$A$6:$U$305,MATCH($A27,Metrics!$U$6:$U$305,0),MATCH(C$5,Metrics!$A$5:$U$5,0)))</f>
        <v>Coats Group</v>
      </c>
      <c r="D27" t="str">
        <f>IF($A27="","",INDEX(Metrics!$A$6:$U$305,MATCH($A27,Metrics!$U$6:$U$305,0),MATCH(D$5,Metrics!$A$5:$U$5,0)))</f>
        <v>Industrials</v>
      </c>
      <c r="E27" s="14" t="e">
        <f>IF($A27="","",INDEX(Metrics!$A$6:$U$305,MATCH($A27,Metrics!$U$6:$U$305,0),MATCH(E$5,Metrics!$A$5:$U$5,0)))</f>
        <v>#N/A</v>
      </c>
      <c r="F27" s="7" t="str">
        <f>IF($A27="","",INDEX(Metrics!$A$6:$U$305,MATCH($A27,Metrics!$U$6:$U$305,0),MATCH(F$5,Metrics!$A$5:$U$5,0)))</f>
        <v/>
      </c>
      <c r="G27" s="9" t="str">
        <f>IF($A27="","",INDEX(Metrics!$A$6:$U$305,MATCH($A27,Metrics!$U$6:$U$305,0),MATCH(G$5,Metrics!$A$5:$U$5,0)))</f>
        <v/>
      </c>
      <c r="H27" s="9" t="str">
        <f>IF($A27="","",INDEX(Metrics!$A$6:$U$305,MATCH($A27,Metrics!$U$6:$U$305,0),MATCH(H$5,Metrics!$A$5:$U$5,0)))</f>
        <v>n/m</v>
      </c>
      <c r="I27" s="7" t="str">
        <f>IF($A27="","",INDEX(Metrics!$A$6:$U$305,MATCH($A27,Metrics!$U$6:$U$305,0),MATCH(I$5,Metrics!$A$5:$U$5,0)))</f>
        <v/>
      </c>
      <c r="J27" s="9" t="str">
        <f>IF($A27="","",INDEX(Metrics!$A$6:$U$305,MATCH($A27,Metrics!$U$6:$U$305,0),MATCH(J$5,Metrics!$A$5:$U$5,0)))</f>
        <v/>
      </c>
      <c r="K27" s="10">
        <f>IF($A27="","",INDEX(Metrics!$A$6:$U$305,MATCH($A27,Metrics!$U$6:$U$305,0),MATCH(K$5,Metrics!$A$5:$U$5,0)))</f>
        <v>119</v>
      </c>
      <c r="L27">
        <f>IF($A27="","",INDEX(Metrics!$A$6:$U$305,MATCH($A27,Metrics!$U$6:$U$305,0),MATCH(L$5,Metrics!$A$5:$U$5,0)))</f>
        <v>119</v>
      </c>
      <c r="M27">
        <f>IF($A27="","",INDEX(Metrics!$A$6:$U$305,MATCH($A27,Metrics!$U$6:$U$305,0),MATCH(M$5,Metrics!$A$5:$U$5,0)))</f>
        <v>119</v>
      </c>
      <c r="N27">
        <f>IF($A27="","",INDEX(Metrics!$A$6:$U$305,MATCH($A27,Metrics!$U$6:$U$305,0),MATCH(N$5,Metrics!$A$5:$U$5,0)))</f>
        <v>119</v>
      </c>
      <c r="O27">
        <f>IF($A27="","",INDEX(Metrics!$A$6:$U$305,MATCH($A27,Metrics!$U$6:$U$305,0),MATCH(O$5,Metrics!$A$5:$U$5,0)))</f>
        <v>119</v>
      </c>
      <c r="P27">
        <f>IF($A27="","",INDEX(Metrics!$A$6:$U$305,MATCH($A27,Metrics!$U$6:$U$305,0),MATCH(P$5,Metrics!$A$5:$U$5,0)))</f>
        <v>119</v>
      </c>
    </row>
    <row r="28" spans="1:16" x14ac:dyDescent="0.4">
      <c r="A28">
        <f t="shared" si="0"/>
        <v>23</v>
      </c>
      <c r="B28" t="str">
        <f>IF($A28="","",INDEX(Metrics!$A$6:$U$305,MATCH($A28,Metrics!$U$6:$U$305,0),MATCH(B$5,Metrics!$A$5:$U$5,0)))</f>
        <v>COST</v>
      </c>
      <c r="C28" t="str">
        <f>IF($A28="","",INDEX(Metrics!$A$6:$U$305,MATCH($A28,Metrics!$U$6:$U$305,0),MATCH(C$5,Metrics!$A$5:$U$5,0)))</f>
        <v>Costain Group</v>
      </c>
      <c r="D28" t="str">
        <f>IF($A28="","",INDEX(Metrics!$A$6:$U$305,MATCH($A28,Metrics!$U$6:$U$305,0),MATCH(D$5,Metrics!$A$5:$U$5,0)))</f>
        <v>Industrials</v>
      </c>
      <c r="E28" s="14" t="e">
        <f>IF($A28="","",INDEX(Metrics!$A$6:$U$305,MATCH($A28,Metrics!$U$6:$U$305,0),MATCH(E$5,Metrics!$A$5:$U$5,0)))</f>
        <v>#N/A</v>
      </c>
      <c r="F28" s="7" t="str">
        <f>IF($A28="","",INDEX(Metrics!$A$6:$U$305,MATCH($A28,Metrics!$U$6:$U$305,0),MATCH(F$5,Metrics!$A$5:$U$5,0)))</f>
        <v/>
      </c>
      <c r="G28" s="9" t="str">
        <f>IF($A28="","",INDEX(Metrics!$A$6:$U$305,MATCH($A28,Metrics!$U$6:$U$305,0),MATCH(G$5,Metrics!$A$5:$U$5,0)))</f>
        <v/>
      </c>
      <c r="H28" s="9" t="str">
        <f>IF($A28="","",INDEX(Metrics!$A$6:$U$305,MATCH($A28,Metrics!$U$6:$U$305,0),MATCH(H$5,Metrics!$A$5:$U$5,0)))</f>
        <v>n/m</v>
      </c>
      <c r="I28" s="7" t="str">
        <f>IF($A28="","",INDEX(Metrics!$A$6:$U$305,MATCH($A28,Metrics!$U$6:$U$305,0),MATCH(I$5,Metrics!$A$5:$U$5,0)))</f>
        <v/>
      </c>
      <c r="J28" s="9" t="str">
        <f>IF($A28="","",INDEX(Metrics!$A$6:$U$305,MATCH($A28,Metrics!$U$6:$U$305,0),MATCH(J$5,Metrics!$A$5:$U$5,0)))</f>
        <v/>
      </c>
      <c r="K28" s="10">
        <f>IF($A28="","",INDEX(Metrics!$A$6:$U$305,MATCH($A28,Metrics!$U$6:$U$305,0),MATCH(K$5,Metrics!$A$5:$U$5,0)))</f>
        <v>119</v>
      </c>
      <c r="L28">
        <f>IF($A28="","",INDEX(Metrics!$A$6:$U$305,MATCH($A28,Metrics!$U$6:$U$305,0),MATCH(L$5,Metrics!$A$5:$U$5,0)))</f>
        <v>119</v>
      </c>
      <c r="M28">
        <f>IF($A28="","",INDEX(Metrics!$A$6:$U$305,MATCH($A28,Metrics!$U$6:$U$305,0),MATCH(M$5,Metrics!$A$5:$U$5,0)))</f>
        <v>119</v>
      </c>
      <c r="N28">
        <f>IF($A28="","",INDEX(Metrics!$A$6:$U$305,MATCH($A28,Metrics!$U$6:$U$305,0),MATCH(N$5,Metrics!$A$5:$U$5,0)))</f>
        <v>119</v>
      </c>
      <c r="O28">
        <f>IF($A28="","",INDEX(Metrics!$A$6:$U$305,MATCH($A28,Metrics!$U$6:$U$305,0),MATCH(O$5,Metrics!$A$5:$U$5,0)))</f>
        <v>119</v>
      </c>
      <c r="P28">
        <f>IF($A28="","",INDEX(Metrics!$A$6:$U$305,MATCH($A28,Metrics!$U$6:$U$305,0),MATCH(P$5,Metrics!$A$5:$U$5,0)))</f>
        <v>119</v>
      </c>
    </row>
    <row r="29" spans="1:16" x14ac:dyDescent="0.4">
      <c r="A29">
        <f t="shared" si="0"/>
        <v>24</v>
      </c>
      <c r="B29" t="str">
        <f>IF($A29="","",INDEX(Metrics!$A$6:$U$305,MATCH($A29,Metrics!$U$6:$U$305,0),MATCH(B$5,Metrics!$A$5:$U$5,0)))</f>
        <v>CWK</v>
      </c>
      <c r="C29" t="str">
        <f>IF($A29="","",INDEX(Metrics!$A$6:$U$305,MATCH($A29,Metrics!$U$6:$U$305,0),MATCH(C$5,Metrics!$A$5:$U$5,0)))</f>
        <v>Cranswick</v>
      </c>
      <c r="D29" t="str">
        <f>IF($A29="","",INDEX(Metrics!$A$6:$U$305,MATCH($A29,Metrics!$U$6:$U$305,0),MATCH(D$5,Metrics!$A$5:$U$5,0)))</f>
        <v>Consumer Staples</v>
      </c>
      <c r="E29" s="14" t="e">
        <f>IF($A29="","",INDEX(Metrics!$A$6:$U$305,MATCH($A29,Metrics!$U$6:$U$305,0),MATCH(E$5,Metrics!$A$5:$U$5,0)))</f>
        <v>#N/A</v>
      </c>
      <c r="F29" s="7" t="str">
        <f>IF($A29="","",INDEX(Metrics!$A$6:$U$305,MATCH($A29,Metrics!$U$6:$U$305,0),MATCH(F$5,Metrics!$A$5:$U$5,0)))</f>
        <v/>
      </c>
      <c r="G29" s="9" t="str">
        <f>IF($A29="","",INDEX(Metrics!$A$6:$U$305,MATCH($A29,Metrics!$U$6:$U$305,0),MATCH(G$5,Metrics!$A$5:$U$5,0)))</f>
        <v/>
      </c>
      <c r="H29" s="9" t="str">
        <f>IF($A29="","",INDEX(Metrics!$A$6:$U$305,MATCH($A29,Metrics!$U$6:$U$305,0),MATCH(H$5,Metrics!$A$5:$U$5,0)))</f>
        <v>n/m</v>
      </c>
      <c r="I29" s="7" t="str">
        <f>IF($A29="","",INDEX(Metrics!$A$6:$U$305,MATCH($A29,Metrics!$U$6:$U$305,0),MATCH(I$5,Metrics!$A$5:$U$5,0)))</f>
        <v/>
      </c>
      <c r="J29" s="9" t="str">
        <f>IF($A29="","",INDEX(Metrics!$A$6:$U$305,MATCH($A29,Metrics!$U$6:$U$305,0),MATCH(J$5,Metrics!$A$5:$U$5,0)))</f>
        <v/>
      </c>
      <c r="K29" s="10">
        <f>IF($A29="","",INDEX(Metrics!$A$6:$U$305,MATCH($A29,Metrics!$U$6:$U$305,0),MATCH(K$5,Metrics!$A$5:$U$5,0)))</f>
        <v>119</v>
      </c>
      <c r="L29">
        <f>IF($A29="","",INDEX(Metrics!$A$6:$U$305,MATCH($A29,Metrics!$U$6:$U$305,0),MATCH(L$5,Metrics!$A$5:$U$5,0)))</f>
        <v>119</v>
      </c>
      <c r="M29">
        <f>IF($A29="","",INDEX(Metrics!$A$6:$U$305,MATCH($A29,Metrics!$U$6:$U$305,0),MATCH(M$5,Metrics!$A$5:$U$5,0)))</f>
        <v>119</v>
      </c>
      <c r="N29">
        <f>IF($A29="","",INDEX(Metrics!$A$6:$U$305,MATCH($A29,Metrics!$U$6:$U$305,0),MATCH(N$5,Metrics!$A$5:$U$5,0)))</f>
        <v>119</v>
      </c>
      <c r="O29">
        <f>IF($A29="","",INDEX(Metrics!$A$6:$U$305,MATCH($A29,Metrics!$U$6:$U$305,0),MATCH(O$5,Metrics!$A$5:$U$5,0)))</f>
        <v>119</v>
      </c>
      <c r="P29">
        <f>IF($A29="","",INDEX(Metrics!$A$6:$U$305,MATCH($A29,Metrics!$U$6:$U$305,0),MATCH(P$5,Metrics!$A$5:$U$5,0)))</f>
        <v>119</v>
      </c>
    </row>
    <row r="30" spans="1:16" x14ac:dyDescent="0.4">
      <c r="A30">
        <f t="shared" si="0"/>
        <v>25</v>
      </c>
      <c r="B30" t="str">
        <f>IF($A30="","",INDEX(Metrics!$A$6:$U$305,MATCH($A30,Metrics!$U$6:$U$305,0),MATCH(B$5,Metrics!$A$5:$U$5,0)))</f>
        <v>CURY</v>
      </c>
      <c r="C30" t="str">
        <f>IF($A30="","",INDEX(Metrics!$A$6:$U$305,MATCH($A30,Metrics!$U$6:$U$305,0),MATCH(C$5,Metrics!$A$5:$U$5,0)))</f>
        <v>Currys</v>
      </c>
      <c r="D30" t="str">
        <f>IF($A30="","",INDEX(Metrics!$A$6:$U$305,MATCH($A30,Metrics!$U$6:$U$305,0),MATCH(D$5,Metrics!$A$5:$U$5,0)))</f>
        <v>Consumer Discretionary</v>
      </c>
      <c r="E30" s="14" t="e">
        <f>IF($A30="","",INDEX(Metrics!$A$6:$U$305,MATCH($A30,Metrics!$U$6:$U$305,0),MATCH(E$5,Metrics!$A$5:$U$5,0)))</f>
        <v>#N/A</v>
      </c>
      <c r="F30" s="7" t="str">
        <f>IF($A30="","",INDEX(Metrics!$A$6:$U$305,MATCH($A30,Metrics!$U$6:$U$305,0),MATCH(F$5,Metrics!$A$5:$U$5,0)))</f>
        <v/>
      </c>
      <c r="G30" s="9" t="str">
        <f>IF($A30="","",INDEX(Metrics!$A$6:$U$305,MATCH($A30,Metrics!$U$6:$U$305,0),MATCH(G$5,Metrics!$A$5:$U$5,0)))</f>
        <v/>
      </c>
      <c r="H30" s="9" t="str">
        <f>IF($A30="","",INDEX(Metrics!$A$6:$U$305,MATCH($A30,Metrics!$U$6:$U$305,0),MATCH(H$5,Metrics!$A$5:$U$5,0)))</f>
        <v>n/m</v>
      </c>
      <c r="I30" s="7" t="str">
        <f>IF($A30="","",INDEX(Metrics!$A$6:$U$305,MATCH($A30,Metrics!$U$6:$U$305,0),MATCH(I$5,Metrics!$A$5:$U$5,0)))</f>
        <v/>
      </c>
      <c r="J30" s="9" t="str">
        <f>IF($A30="","",INDEX(Metrics!$A$6:$U$305,MATCH($A30,Metrics!$U$6:$U$305,0),MATCH(J$5,Metrics!$A$5:$U$5,0)))</f>
        <v/>
      </c>
      <c r="K30" s="10">
        <f>IF($A30="","",INDEX(Metrics!$A$6:$U$305,MATCH($A30,Metrics!$U$6:$U$305,0),MATCH(K$5,Metrics!$A$5:$U$5,0)))</f>
        <v>119</v>
      </c>
      <c r="L30">
        <f>IF($A30="","",INDEX(Metrics!$A$6:$U$305,MATCH($A30,Metrics!$U$6:$U$305,0),MATCH(L$5,Metrics!$A$5:$U$5,0)))</f>
        <v>119</v>
      </c>
      <c r="M30">
        <f>IF($A30="","",INDEX(Metrics!$A$6:$U$305,MATCH($A30,Metrics!$U$6:$U$305,0),MATCH(M$5,Metrics!$A$5:$U$5,0)))</f>
        <v>119</v>
      </c>
      <c r="N30">
        <f>IF($A30="","",INDEX(Metrics!$A$6:$U$305,MATCH($A30,Metrics!$U$6:$U$305,0),MATCH(N$5,Metrics!$A$5:$U$5,0)))</f>
        <v>119</v>
      </c>
      <c r="O30">
        <f>IF($A30="","",INDEX(Metrics!$A$6:$U$305,MATCH($A30,Metrics!$U$6:$U$305,0),MATCH(O$5,Metrics!$A$5:$U$5,0)))</f>
        <v>119</v>
      </c>
      <c r="P30">
        <f>IF($A30="","",INDEX(Metrics!$A$6:$U$305,MATCH($A30,Metrics!$U$6:$U$305,0),MATCH(P$5,Metrics!$A$5:$U$5,0)))</f>
        <v>119</v>
      </c>
    </row>
    <row r="31" spans="1:16" x14ac:dyDescent="0.4">
      <c r="A31">
        <f t="shared" si="0"/>
        <v>26</v>
      </c>
      <c r="B31" t="str">
        <f>IF($A31="","",INDEX(Metrics!$A$6:$U$305,MATCH($A31,Metrics!$U$6:$U$305,0),MATCH(B$5,Metrics!$A$5:$U$5,0)))</f>
        <v>CVSG</v>
      </c>
      <c r="C31" t="str">
        <f>IF($A31="","",INDEX(Metrics!$A$6:$U$305,MATCH($A31,Metrics!$U$6:$U$305,0),MATCH(C$5,Metrics!$A$5:$U$5,0)))</f>
        <v>CVS Group</v>
      </c>
      <c r="D31" t="str">
        <f>IF($A31="","",INDEX(Metrics!$A$6:$U$305,MATCH($A31,Metrics!$U$6:$U$305,0),MATCH(D$5,Metrics!$A$5:$U$5,0)))</f>
        <v>Health Care</v>
      </c>
      <c r="E31" s="14" t="e">
        <f>IF($A31="","",INDEX(Metrics!$A$6:$U$305,MATCH($A31,Metrics!$U$6:$U$305,0),MATCH(E$5,Metrics!$A$5:$U$5,0)))</f>
        <v>#N/A</v>
      </c>
      <c r="F31" s="7" t="str">
        <f>IF($A31="","",INDEX(Metrics!$A$6:$U$305,MATCH($A31,Metrics!$U$6:$U$305,0),MATCH(F$5,Metrics!$A$5:$U$5,0)))</f>
        <v/>
      </c>
      <c r="G31" s="9" t="str">
        <f>IF($A31="","",INDEX(Metrics!$A$6:$U$305,MATCH($A31,Metrics!$U$6:$U$305,0),MATCH(G$5,Metrics!$A$5:$U$5,0)))</f>
        <v/>
      </c>
      <c r="H31" s="9" t="str">
        <f>IF($A31="","",INDEX(Metrics!$A$6:$U$305,MATCH($A31,Metrics!$U$6:$U$305,0),MATCH(H$5,Metrics!$A$5:$U$5,0)))</f>
        <v>n/m</v>
      </c>
      <c r="I31" s="7" t="str">
        <f>IF($A31="","",INDEX(Metrics!$A$6:$U$305,MATCH($A31,Metrics!$U$6:$U$305,0),MATCH(I$5,Metrics!$A$5:$U$5,0)))</f>
        <v/>
      </c>
      <c r="J31" s="9" t="str">
        <f>IF($A31="","",INDEX(Metrics!$A$6:$U$305,MATCH($A31,Metrics!$U$6:$U$305,0),MATCH(J$5,Metrics!$A$5:$U$5,0)))</f>
        <v/>
      </c>
      <c r="K31" s="10">
        <f>IF($A31="","",INDEX(Metrics!$A$6:$U$305,MATCH($A31,Metrics!$U$6:$U$305,0),MATCH(K$5,Metrics!$A$5:$U$5,0)))</f>
        <v>119</v>
      </c>
      <c r="L31">
        <f>IF($A31="","",INDEX(Metrics!$A$6:$U$305,MATCH($A31,Metrics!$U$6:$U$305,0),MATCH(L$5,Metrics!$A$5:$U$5,0)))</f>
        <v>119</v>
      </c>
      <c r="M31">
        <f>IF($A31="","",INDEX(Metrics!$A$6:$U$305,MATCH($A31,Metrics!$U$6:$U$305,0),MATCH(M$5,Metrics!$A$5:$U$5,0)))</f>
        <v>119</v>
      </c>
      <c r="N31">
        <f>IF($A31="","",INDEX(Metrics!$A$6:$U$305,MATCH($A31,Metrics!$U$6:$U$305,0),MATCH(N$5,Metrics!$A$5:$U$5,0)))</f>
        <v>119</v>
      </c>
      <c r="O31">
        <f>IF($A31="","",INDEX(Metrics!$A$6:$U$305,MATCH($A31,Metrics!$U$6:$U$305,0),MATCH(O$5,Metrics!$A$5:$U$5,0)))</f>
        <v>119</v>
      </c>
      <c r="P31">
        <f>IF($A31="","",INDEX(Metrics!$A$6:$U$305,MATCH($A31,Metrics!$U$6:$U$305,0),MATCH(P$5,Metrics!$A$5:$U$5,0)))</f>
        <v>119</v>
      </c>
    </row>
    <row r="32" spans="1:16" x14ac:dyDescent="0.4">
      <c r="A32">
        <f t="shared" si="0"/>
        <v>27</v>
      </c>
      <c r="B32" t="str">
        <f>IF($A32="","",INDEX(Metrics!$A$6:$U$305,MATCH($A32,Metrics!$U$6:$U$305,0),MATCH(B$5,Metrics!$A$5:$U$5,0)))</f>
        <v>DSCV</v>
      </c>
      <c r="C32" t="str">
        <f>IF($A32="","",INDEX(Metrics!$A$6:$U$305,MATCH($A32,Metrics!$U$6:$U$305,0),MATCH(C$5,Metrics!$A$5:$U$5,0)))</f>
        <v>discoverIE</v>
      </c>
      <c r="D32" t="str">
        <f>IF($A32="","",INDEX(Metrics!$A$6:$U$305,MATCH($A32,Metrics!$U$6:$U$305,0),MATCH(D$5,Metrics!$A$5:$U$5,0)))</f>
        <v>Industrials</v>
      </c>
      <c r="E32" s="14" t="e">
        <f>IF($A32="","",INDEX(Metrics!$A$6:$U$305,MATCH($A32,Metrics!$U$6:$U$305,0),MATCH(E$5,Metrics!$A$5:$U$5,0)))</f>
        <v>#N/A</v>
      </c>
      <c r="F32" s="7" t="str">
        <f>IF($A32="","",INDEX(Metrics!$A$6:$U$305,MATCH($A32,Metrics!$U$6:$U$305,0),MATCH(F$5,Metrics!$A$5:$U$5,0)))</f>
        <v/>
      </c>
      <c r="G32" s="9" t="str">
        <f>IF($A32="","",INDEX(Metrics!$A$6:$U$305,MATCH($A32,Metrics!$U$6:$U$305,0),MATCH(G$5,Metrics!$A$5:$U$5,0)))</f>
        <v/>
      </c>
      <c r="H32" s="9" t="str">
        <f>IF($A32="","",INDEX(Metrics!$A$6:$U$305,MATCH($A32,Metrics!$U$6:$U$305,0),MATCH(H$5,Metrics!$A$5:$U$5,0)))</f>
        <v>n/m</v>
      </c>
      <c r="I32" s="7" t="str">
        <f>IF($A32="","",INDEX(Metrics!$A$6:$U$305,MATCH($A32,Metrics!$U$6:$U$305,0),MATCH(I$5,Metrics!$A$5:$U$5,0)))</f>
        <v/>
      </c>
      <c r="J32" s="9" t="str">
        <f>IF($A32="","",INDEX(Metrics!$A$6:$U$305,MATCH($A32,Metrics!$U$6:$U$305,0),MATCH(J$5,Metrics!$A$5:$U$5,0)))</f>
        <v/>
      </c>
      <c r="K32" s="10">
        <f>IF($A32="","",INDEX(Metrics!$A$6:$U$305,MATCH($A32,Metrics!$U$6:$U$305,0),MATCH(K$5,Metrics!$A$5:$U$5,0)))</f>
        <v>119</v>
      </c>
      <c r="L32">
        <f>IF($A32="","",INDEX(Metrics!$A$6:$U$305,MATCH($A32,Metrics!$U$6:$U$305,0),MATCH(L$5,Metrics!$A$5:$U$5,0)))</f>
        <v>119</v>
      </c>
      <c r="M32">
        <f>IF($A32="","",INDEX(Metrics!$A$6:$U$305,MATCH($A32,Metrics!$U$6:$U$305,0),MATCH(M$5,Metrics!$A$5:$U$5,0)))</f>
        <v>119</v>
      </c>
      <c r="N32">
        <f>IF($A32="","",INDEX(Metrics!$A$6:$U$305,MATCH($A32,Metrics!$U$6:$U$305,0),MATCH(N$5,Metrics!$A$5:$U$5,0)))</f>
        <v>119</v>
      </c>
      <c r="O32">
        <f>IF($A32="","",INDEX(Metrics!$A$6:$U$305,MATCH($A32,Metrics!$U$6:$U$305,0),MATCH(O$5,Metrics!$A$5:$U$5,0)))</f>
        <v>119</v>
      </c>
      <c r="P32">
        <f>IF($A32="","",INDEX(Metrics!$A$6:$U$305,MATCH($A32,Metrics!$U$6:$U$305,0),MATCH(P$5,Metrics!$A$5:$U$5,0)))</f>
        <v>119</v>
      </c>
    </row>
    <row r="33" spans="1:16" x14ac:dyDescent="0.4">
      <c r="A33">
        <f t="shared" si="0"/>
        <v>28</v>
      </c>
      <c r="B33" t="str">
        <f>IF($A33="","",INDEX(Metrics!$A$6:$U$305,MATCH($A33,Metrics!$U$6:$U$305,0),MATCH(B$5,Metrics!$A$5:$U$5,0)))</f>
        <v>DOM</v>
      </c>
      <c r="C33" t="str">
        <f>IF($A33="","",INDEX(Metrics!$A$6:$U$305,MATCH($A33,Metrics!$U$6:$U$305,0),MATCH(C$5,Metrics!$A$5:$U$5,0)))</f>
        <v>Domino's Pizza</v>
      </c>
      <c r="D33" t="str">
        <f>IF($A33="","",INDEX(Metrics!$A$6:$U$305,MATCH($A33,Metrics!$U$6:$U$305,0),MATCH(D$5,Metrics!$A$5:$U$5,0)))</f>
        <v>Consumer Discretionary</v>
      </c>
      <c r="E33" s="14" t="e">
        <f>IF($A33="","",INDEX(Metrics!$A$6:$U$305,MATCH($A33,Metrics!$U$6:$U$305,0),MATCH(E$5,Metrics!$A$5:$U$5,0)))</f>
        <v>#N/A</v>
      </c>
      <c r="F33" s="7" t="str">
        <f>IF($A33="","",INDEX(Metrics!$A$6:$U$305,MATCH($A33,Metrics!$U$6:$U$305,0),MATCH(F$5,Metrics!$A$5:$U$5,0)))</f>
        <v/>
      </c>
      <c r="G33" s="9" t="str">
        <f>IF($A33="","",INDEX(Metrics!$A$6:$U$305,MATCH($A33,Metrics!$U$6:$U$305,0),MATCH(G$5,Metrics!$A$5:$U$5,0)))</f>
        <v/>
      </c>
      <c r="H33" s="9" t="str">
        <f>IF($A33="","",INDEX(Metrics!$A$6:$U$305,MATCH($A33,Metrics!$U$6:$U$305,0),MATCH(H$5,Metrics!$A$5:$U$5,0)))</f>
        <v>n/m</v>
      </c>
      <c r="I33" s="7" t="str">
        <f>IF($A33="","",INDEX(Metrics!$A$6:$U$305,MATCH($A33,Metrics!$U$6:$U$305,0),MATCH(I$5,Metrics!$A$5:$U$5,0)))</f>
        <v/>
      </c>
      <c r="J33" s="9" t="str">
        <f>IF($A33="","",INDEX(Metrics!$A$6:$U$305,MATCH($A33,Metrics!$U$6:$U$305,0),MATCH(J$5,Metrics!$A$5:$U$5,0)))</f>
        <v/>
      </c>
      <c r="K33" s="10">
        <f>IF($A33="","",INDEX(Metrics!$A$6:$U$305,MATCH($A33,Metrics!$U$6:$U$305,0),MATCH(K$5,Metrics!$A$5:$U$5,0)))</f>
        <v>119</v>
      </c>
      <c r="L33">
        <f>IF($A33="","",INDEX(Metrics!$A$6:$U$305,MATCH($A33,Metrics!$U$6:$U$305,0),MATCH(L$5,Metrics!$A$5:$U$5,0)))</f>
        <v>119</v>
      </c>
      <c r="M33">
        <f>IF($A33="","",INDEX(Metrics!$A$6:$U$305,MATCH($A33,Metrics!$U$6:$U$305,0),MATCH(M$5,Metrics!$A$5:$U$5,0)))</f>
        <v>119</v>
      </c>
      <c r="N33">
        <f>IF($A33="","",INDEX(Metrics!$A$6:$U$305,MATCH($A33,Metrics!$U$6:$U$305,0),MATCH(N$5,Metrics!$A$5:$U$5,0)))</f>
        <v>119</v>
      </c>
      <c r="O33">
        <f>IF($A33="","",INDEX(Metrics!$A$6:$U$305,MATCH($A33,Metrics!$U$6:$U$305,0),MATCH(O$5,Metrics!$A$5:$U$5,0)))</f>
        <v>119</v>
      </c>
      <c r="P33">
        <f>IF($A33="","",INDEX(Metrics!$A$6:$U$305,MATCH($A33,Metrics!$U$6:$U$305,0),MATCH(P$5,Metrics!$A$5:$U$5,0)))</f>
        <v>119</v>
      </c>
    </row>
    <row r="34" spans="1:16" x14ac:dyDescent="0.4">
      <c r="A34">
        <f t="shared" si="0"/>
        <v>29</v>
      </c>
      <c r="B34" t="str">
        <f>IF($A34="","",INDEX(Metrics!$A$6:$U$305,MATCH($A34,Metrics!$U$6:$U$305,0),MATCH(B$5,Metrics!$A$5:$U$5,0)))</f>
        <v>DRX</v>
      </c>
      <c r="C34" t="str">
        <f>IF($A34="","",INDEX(Metrics!$A$6:$U$305,MATCH($A34,Metrics!$U$6:$U$305,0),MATCH(C$5,Metrics!$A$5:$U$5,0)))</f>
        <v>Drax Group</v>
      </c>
      <c r="D34" t="str">
        <f>IF($A34="","",INDEX(Metrics!$A$6:$U$305,MATCH($A34,Metrics!$U$6:$U$305,0),MATCH(D$5,Metrics!$A$5:$U$5,0)))</f>
        <v>Utilities</v>
      </c>
      <c r="E34" s="14" t="e">
        <f>IF($A34="","",INDEX(Metrics!$A$6:$U$305,MATCH($A34,Metrics!$U$6:$U$305,0),MATCH(E$5,Metrics!$A$5:$U$5,0)))</f>
        <v>#N/A</v>
      </c>
      <c r="F34" s="7" t="str">
        <f>IF($A34="","",INDEX(Metrics!$A$6:$U$305,MATCH($A34,Metrics!$U$6:$U$305,0),MATCH(F$5,Metrics!$A$5:$U$5,0)))</f>
        <v/>
      </c>
      <c r="G34" s="9" t="str">
        <f>IF($A34="","",INDEX(Metrics!$A$6:$U$305,MATCH($A34,Metrics!$U$6:$U$305,0),MATCH(G$5,Metrics!$A$5:$U$5,0)))</f>
        <v/>
      </c>
      <c r="H34" s="9" t="str">
        <f>IF($A34="","",INDEX(Metrics!$A$6:$U$305,MATCH($A34,Metrics!$U$6:$U$305,0),MATCH(H$5,Metrics!$A$5:$U$5,0)))</f>
        <v>n/m</v>
      </c>
      <c r="I34" s="7" t="str">
        <f>IF($A34="","",INDEX(Metrics!$A$6:$U$305,MATCH($A34,Metrics!$U$6:$U$305,0),MATCH(I$5,Metrics!$A$5:$U$5,0)))</f>
        <v/>
      </c>
      <c r="J34" s="9" t="str">
        <f>IF($A34="","",INDEX(Metrics!$A$6:$U$305,MATCH($A34,Metrics!$U$6:$U$305,0),MATCH(J$5,Metrics!$A$5:$U$5,0)))</f>
        <v/>
      </c>
      <c r="K34" s="10">
        <f>IF($A34="","",INDEX(Metrics!$A$6:$U$305,MATCH($A34,Metrics!$U$6:$U$305,0),MATCH(K$5,Metrics!$A$5:$U$5,0)))</f>
        <v>119</v>
      </c>
      <c r="L34">
        <f>IF($A34="","",INDEX(Metrics!$A$6:$U$305,MATCH($A34,Metrics!$U$6:$U$305,0),MATCH(L$5,Metrics!$A$5:$U$5,0)))</f>
        <v>119</v>
      </c>
      <c r="M34">
        <f>IF($A34="","",INDEX(Metrics!$A$6:$U$305,MATCH($A34,Metrics!$U$6:$U$305,0),MATCH(M$5,Metrics!$A$5:$U$5,0)))</f>
        <v>119</v>
      </c>
      <c r="N34">
        <f>IF($A34="","",INDEX(Metrics!$A$6:$U$305,MATCH($A34,Metrics!$U$6:$U$305,0),MATCH(N$5,Metrics!$A$5:$U$5,0)))</f>
        <v>119</v>
      </c>
      <c r="O34">
        <f>IF($A34="","",INDEX(Metrics!$A$6:$U$305,MATCH($A34,Metrics!$U$6:$U$305,0),MATCH(O$5,Metrics!$A$5:$U$5,0)))</f>
        <v>119</v>
      </c>
      <c r="P34">
        <f>IF($A34="","",INDEX(Metrics!$A$6:$U$305,MATCH($A34,Metrics!$U$6:$U$305,0),MATCH(P$5,Metrics!$A$5:$U$5,0)))</f>
        <v>119</v>
      </c>
    </row>
    <row r="35" spans="1:16" x14ac:dyDescent="0.4">
      <c r="A35">
        <f t="shared" si="0"/>
        <v>30</v>
      </c>
      <c r="B35" t="str">
        <f>IF($A35="","",INDEX(Metrics!$A$6:$U$305,MATCH($A35,Metrics!$U$6:$U$305,0),MATCH(B$5,Metrics!$A$5:$U$5,0)))</f>
        <v>DOCS</v>
      </c>
      <c r="C35" t="str">
        <f>IF($A35="","",INDEX(Metrics!$A$6:$U$305,MATCH($A35,Metrics!$U$6:$U$305,0),MATCH(C$5,Metrics!$A$5:$U$5,0)))</f>
        <v>Dr. Martens</v>
      </c>
      <c r="D35" t="str">
        <f>IF($A35="","",INDEX(Metrics!$A$6:$U$305,MATCH($A35,Metrics!$U$6:$U$305,0),MATCH(D$5,Metrics!$A$5:$U$5,0)))</f>
        <v>Consumer Discretionary</v>
      </c>
      <c r="E35" s="14" t="e">
        <f>IF($A35="","",INDEX(Metrics!$A$6:$U$305,MATCH($A35,Metrics!$U$6:$U$305,0),MATCH(E$5,Metrics!$A$5:$U$5,0)))</f>
        <v>#N/A</v>
      </c>
      <c r="F35" s="7" t="str">
        <f>IF($A35="","",INDEX(Metrics!$A$6:$U$305,MATCH($A35,Metrics!$U$6:$U$305,0),MATCH(F$5,Metrics!$A$5:$U$5,0)))</f>
        <v/>
      </c>
      <c r="G35" s="9" t="str">
        <f>IF($A35="","",INDEX(Metrics!$A$6:$U$305,MATCH($A35,Metrics!$U$6:$U$305,0),MATCH(G$5,Metrics!$A$5:$U$5,0)))</f>
        <v/>
      </c>
      <c r="H35" s="9" t="str">
        <f>IF($A35="","",INDEX(Metrics!$A$6:$U$305,MATCH($A35,Metrics!$U$6:$U$305,0),MATCH(H$5,Metrics!$A$5:$U$5,0)))</f>
        <v>n/m</v>
      </c>
      <c r="I35" s="7" t="str">
        <f>IF($A35="","",INDEX(Metrics!$A$6:$U$305,MATCH($A35,Metrics!$U$6:$U$305,0),MATCH(I$5,Metrics!$A$5:$U$5,0)))</f>
        <v/>
      </c>
      <c r="J35" s="9" t="str">
        <f>IF($A35="","",INDEX(Metrics!$A$6:$U$305,MATCH($A35,Metrics!$U$6:$U$305,0),MATCH(J$5,Metrics!$A$5:$U$5,0)))</f>
        <v/>
      </c>
      <c r="K35" s="10">
        <f>IF($A35="","",INDEX(Metrics!$A$6:$U$305,MATCH($A35,Metrics!$U$6:$U$305,0),MATCH(K$5,Metrics!$A$5:$U$5,0)))</f>
        <v>119</v>
      </c>
      <c r="L35">
        <f>IF($A35="","",INDEX(Metrics!$A$6:$U$305,MATCH($A35,Metrics!$U$6:$U$305,0),MATCH(L$5,Metrics!$A$5:$U$5,0)))</f>
        <v>119</v>
      </c>
      <c r="M35">
        <f>IF($A35="","",INDEX(Metrics!$A$6:$U$305,MATCH($A35,Metrics!$U$6:$U$305,0),MATCH(M$5,Metrics!$A$5:$U$5,0)))</f>
        <v>119</v>
      </c>
      <c r="N35">
        <f>IF($A35="","",INDEX(Metrics!$A$6:$U$305,MATCH($A35,Metrics!$U$6:$U$305,0),MATCH(N$5,Metrics!$A$5:$U$5,0)))</f>
        <v>119</v>
      </c>
      <c r="O35">
        <f>IF($A35="","",INDEX(Metrics!$A$6:$U$305,MATCH($A35,Metrics!$U$6:$U$305,0),MATCH(O$5,Metrics!$A$5:$U$5,0)))</f>
        <v>119</v>
      </c>
      <c r="P35">
        <f>IF($A35="","",INDEX(Metrics!$A$6:$U$305,MATCH($A35,Metrics!$U$6:$U$305,0),MATCH(P$5,Metrics!$A$5:$U$5,0)))</f>
        <v>119</v>
      </c>
    </row>
    <row r="36" spans="1:16" x14ac:dyDescent="0.4">
      <c r="A36">
        <f t="shared" si="0"/>
        <v>31</v>
      </c>
      <c r="B36" t="str">
        <f>IF($A36="","",INDEX(Metrics!$A$6:$U$305,MATCH($A36,Metrics!$U$6:$U$305,0),MATCH(B$5,Metrics!$A$5:$U$5,0)))</f>
        <v>DNLM</v>
      </c>
      <c r="C36" t="str">
        <f>IF($A36="","",INDEX(Metrics!$A$6:$U$305,MATCH($A36,Metrics!$U$6:$U$305,0),MATCH(C$5,Metrics!$A$5:$U$5,0)))</f>
        <v>Dunelm Group</v>
      </c>
      <c r="D36" t="str">
        <f>IF($A36="","",INDEX(Metrics!$A$6:$U$305,MATCH($A36,Metrics!$U$6:$U$305,0),MATCH(D$5,Metrics!$A$5:$U$5,0)))</f>
        <v>Consumer Discretionary</v>
      </c>
      <c r="E36" s="14" t="e">
        <f>IF($A36="","",INDEX(Metrics!$A$6:$U$305,MATCH($A36,Metrics!$U$6:$U$305,0),MATCH(E$5,Metrics!$A$5:$U$5,0)))</f>
        <v>#N/A</v>
      </c>
      <c r="F36" s="7" t="str">
        <f>IF($A36="","",INDEX(Metrics!$A$6:$U$305,MATCH($A36,Metrics!$U$6:$U$305,0),MATCH(F$5,Metrics!$A$5:$U$5,0)))</f>
        <v/>
      </c>
      <c r="G36" s="9" t="str">
        <f>IF($A36="","",INDEX(Metrics!$A$6:$U$305,MATCH($A36,Metrics!$U$6:$U$305,0),MATCH(G$5,Metrics!$A$5:$U$5,0)))</f>
        <v/>
      </c>
      <c r="H36" s="9" t="str">
        <f>IF($A36="","",INDEX(Metrics!$A$6:$U$305,MATCH($A36,Metrics!$U$6:$U$305,0),MATCH(H$5,Metrics!$A$5:$U$5,0)))</f>
        <v>n/m</v>
      </c>
      <c r="I36" s="7" t="str">
        <f>IF($A36="","",INDEX(Metrics!$A$6:$U$305,MATCH($A36,Metrics!$U$6:$U$305,0),MATCH(I$5,Metrics!$A$5:$U$5,0)))</f>
        <v/>
      </c>
      <c r="J36" s="9" t="str">
        <f>IF($A36="","",INDEX(Metrics!$A$6:$U$305,MATCH($A36,Metrics!$U$6:$U$305,0),MATCH(J$5,Metrics!$A$5:$U$5,0)))</f>
        <v/>
      </c>
      <c r="K36" s="10">
        <f>IF($A36="","",INDEX(Metrics!$A$6:$U$305,MATCH($A36,Metrics!$U$6:$U$305,0),MATCH(K$5,Metrics!$A$5:$U$5,0)))</f>
        <v>119</v>
      </c>
      <c r="L36">
        <f>IF($A36="","",INDEX(Metrics!$A$6:$U$305,MATCH($A36,Metrics!$U$6:$U$305,0),MATCH(L$5,Metrics!$A$5:$U$5,0)))</f>
        <v>119</v>
      </c>
      <c r="M36">
        <f>IF($A36="","",INDEX(Metrics!$A$6:$U$305,MATCH($A36,Metrics!$U$6:$U$305,0),MATCH(M$5,Metrics!$A$5:$U$5,0)))</f>
        <v>119</v>
      </c>
      <c r="N36">
        <f>IF($A36="","",INDEX(Metrics!$A$6:$U$305,MATCH($A36,Metrics!$U$6:$U$305,0),MATCH(N$5,Metrics!$A$5:$U$5,0)))</f>
        <v>119</v>
      </c>
      <c r="O36">
        <f>IF($A36="","",INDEX(Metrics!$A$6:$U$305,MATCH($A36,Metrics!$U$6:$U$305,0),MATCH(O$5,Metrics!$A$5:$U$5,0)))</f>
        <v>119</v>
      </c>
      <c r="P36">
        <f>IF($A36="","",INDEX(Metrics!$A$6:$U$305,MATCH($A36,Metrics!$U$6:$U$305,0),MATCH(P$5,Metrics!$A$5:$U$5,0)))</f>
        <v>119</v>
      </c>
    </row>
    <row r="37" spans="1:16" x14ac:dyDescent="0.4">
      <c r="A37">
        <f t="shared" si="0"/>
        <v>32</v>
      </c>
      <c r="B37" t="str">
        <f>IF($A37="","",INDEX(Metrics!$A$6:$U$305,MATCH($A37,Metrics!$U$6:$U$305,0),MATCH(B$5,Metrics!$A$5:$U$5,0)))</f>
        <v>ELM</v>
      </c>
      <c r="C37" t="str">
        <f>IF($A37="","",INDEX(Metrics!$A$6:$U$305,MATCH($A37,Metrics!$U$6:$U$305,0),MATCH(C$5,Metrics!$A$5:$U$5,0)))</f>
        <v>Elementis</v>
      </c>
      <c r="D37" t="str">
        <f>IF($A37="","",INDEX(Metrics!$A$6:$U$305,MATCH($A37,Metrics!$U$6:$U$305,0),MATCH(D$5,Metrics!$A$5:$U$5,0)))</f>
        <v>Basic Materials</v>
      </c>
      <c r="E37" s="14" t="e">
        <f>IF($A37="","",INDEX(Metrics!$A$6:$U$305,MATCH($A37,Metrics!$U$6:$U$305,0),MATCH(E$5,Metrics!$A$5:$U$5,0)))</f>
        <v>#N/A</v>
      </c>
      <c r="F37" s="7" t="str">
        <f>IF($A37="","",INDEX(Metrics!$A$6:$U$305,MATCH($A37,Metrics!$U$6:$U$305,0),MATCH(F$5,Metrics!$A$5:$U$5,0)))</f>
        <v/>
      </c>
      <c r="G37" s="9" t="str">
        <f>IF($A37="","",INDEX(Metrics!$A$6:$U$305,MATCH($A37,Metrics!$U$6:$U$305,0),MATCH(G$5,Metrics!$A$5:$U$5,0)))</f>
        <v/>
      </c>
      <c r="H37" s="9" t="str">
        <f>IF($A37="","",INDEX(Metrics!$A$6:$U$305,MATCH($A37,Metrics!$U$6:$U$305,0),MATCH(H$5,Metrics!$A$5:$U$5,0)))</f>
        <v>n/m</v>
      </c>
      <c r="I37" s="7" t="str">
        <f>IF($A37="","",INDEX(Metrics!$A$6:$U$305,MATCH($A37,Metrics!$U$6:$U$305,0),MATCH(I$5,Metrics!$A$5:$U$5,0)))</f>
        <v/>
      </c>
      <c r="J37" s="9" t="str">
        <f>IF($A37="","",INDEX(Metrics!$A$6:$U$305,MATCH($A37,Metrics!$U$6:$U$305,0),MATCH(J$5,Metrics!$A$5:$U$5,0)))</f>
        <v/>
      </c>
      <c r="K37" s="10">
        <f>IF($A37="","",INDEX(Metrics!$A$6:$U$305,MATCH($A37,Metrics!$U$6:$U$305,0),MATCH(K$5,Metrics!$A$5:$U$5,0)))</f>
        <v>119</v>
      </c>
      <c r="L37">
        <f>IF($A37="","",INDEX(Metrics!$A$6:$U$305,MATCH($A37,Metrics!$U$6:$U$305,0),MATCH(L$5,Metrics!$A$5:$U$5,0)))</f>
        <v>119</v>
      </c>
      <c r="M37">
        <f>IF($A37="","",INDEX(Metrics!$A$6:$U$305,MATCH($A37,Metrics!$U$6:$U$305,0),MATCH(M$5,Metrics!$A$5:$U$5,0)))</f>
        <v>119</v>
      </c>
      <c r="N37">
        <f>IF($A37="","",INDEX(Metrics!$A$6:$U$305,MATCH($A37,Metrics!$U$6:$U$305,0),MATCH(N$5,Metrics!$A$5:$U$5,0)))</f>
        <v>119</v>
      </c>
      <c r="O37">
        <f>IF($A37="","",INDEX(Metrics!$A$6:$U$305,MATCH($A37,Metrics!$U$6:$U$305,0),MATCH(O$5,Metrics!$A$5:$U$5,0)))</f>
        <v>119</v>
      </c>
      <c r="P37">
        <f>IF($A37="","",INDEX(Metrics!$A$6:$U$305,MATCH($A37,Metrics!$U$6:$U$305,0),MATCH(P$5,Metrics!$A$5:$U$5,0)))</f>
        <v>119</v>
      </c>
    </row>
    <row r="38" spans="1:16" x14ac:dyDescent="0.4">
      <c r="A38">
        <f t="shared" si="0"/>
        <v>33</v>
      </c>
      <c r="B38" t="str">
        <f>IF($A38="","",INDEX(Metrics!$A$6:$U$305,MATCH($A38,Metrics!$U$6:$U$305,0),MATCH(B$5,Metrics!$A$5:$U$5,0)))</f>
        <v>ENOG</v>
      </c>
      <c r="C38" t="str">
        <f>IF($A38="","",INDEX(Metrics!$A$6:$U$305,MATCH($A38,Metrics!$U$6:$U$305,0),MATCH(C$5,Metrics!$A$5:$U$5,0)))</f>
        <v>Energean</v>
      </c>
      <c r="D38" t="str">
        <f>IF($A38="","",INDEX(Metrics!$A$6:$U$305,MATCH($A38,Metrics!$U$6:$U$305,0),MATCH(D$5,Metrics!$A$5:$U$5,0)))</f>
        <v>Energy</v>
      </c>
      <c r="E38" s="14" t="e">
        <f>IF($A38="","",INDEX(Metrics!$A$6:$U$305,MATCH($A38,Metrics!$U$6:$U$305,0),MATCH(E$5,Metrics!$A$5:$U$5,0)))</f>
        <v>#N/A</v>
      </c>
      <c r="F38" s="7" t="str">
        <f>IF($A38="","",INDEX(Metrics!$A$6:$U$305,MATCH($A38,Metrics!$U$6:$U$305,0),MATCH(F$5,Metrics!$A$5:$U$5,0)))</f>
        <v/>
      </c>
      <c r="G38" s="9" t="str">
        <f>IF($A38="","",INDEX(Metrics!$A$6:$U$305,MATCH($A38,Metrics!$U$6:$U$305,0),MATCH(G$5,Metrics!$A$5:$U$5,0)))</f>
        <v/>
      </c>
      <c r="H38" s="9" t="str">
        <f>IF($A38="","",INDEX(Metrics!$A$6:$U$305,MATCH($A38,Metrics!$U$6:$U$305,0),MATCH(H$5,Metrics!$A$5:$U$5,0)))</f>
        <v>n/m</v>
      </c>
      <c r="I38" s="7" t="str">
        <f>IF($A38="","",INDEX(Metrics!$A$6:$U$305,MATCH($A38,Metrics!$U$6:$U$305,0),MATCH(I$5,Metrics!$A$5:$U$5,0)))</f>
        <v/>
      </c>
      <c r="J38" s="9" t="str">
        <f>IF($A38="","",INDEX(Metrics!$A$6:$U$305,MATCH($A38,Metrics!$U$6:$U$305,0),MATCH(J$5,Metrics!$A$5:$U$5,0)))</f>
        <v/>
      </c>
      <c r="K38" s="10">
        <f>IF($A38="","",INDEX(Metrics!$A$6:$U$305,MATCH($A38,Metrics!$U$6:$U$305,0),MATCH(K$5,Metrics!$A$5:$U$5,0)))</f>
        <v>119</v>
      </c>
      <c r="L38">
        <f>IF($A38="","",INDEX(Metrics!$A$6:$U$305,MATCH($A38,Metrics!$U$6:$U$305,0),MATCH(L$5,Metrics!$A$5:$U$5,0)))</f>
        <v>119</v>
      </c>
      <c r="M38">
        <f>IF($A38="","",INDEX(Metrics!$A$6:$U$305,MATCH($A38,Metrics!$U$6:$U$305,0),MATCH(M$5,Metrics!$A$5:$U$5,0)))</f>
        <v>119</v>
      </c>
      <c r="N38">
        <f>IF($A38="","",INDEX(Metrics!$A$6:$U$305,MATCH($A38,Metrics!$U$6:$U$305,0),MATCH(N$5,Metrics!$A$5:$U$5,0)))</f>
        <v>119</v>
      </c>
      <c r="O38">
        <f>IF($A38="","",INDEX(Metrics!$A$6:$U$305,MATCH($A38,Metrics!$U$6:$U$305,0),MATCH(O$5,Metrics!$A$5:$U$5,0)))</f>
        <v>119</v>
      </c>
      <c r="P38">
        <f>IF($A38="","",INDEX(Metrics!$A$6:$U$305,MATCH($A38,Metrics!$U$6:$U$305,0),MATCH(P$5,Metrics!$A$5:$U$5,0)))</f>
        <v>119</v>
      </c>
    </row>
    <row r="39" spans="1:16" x14ac:dyDescent="0.4">
      <c r="A39">
        <f t="shared" si="0"/>
        <v>34</v>
      </c>
      <c r="B39" t="str">
        <f>IF($A39="","",INDEX(Metrics!$A$6:$U$305,MATCH($A39,Metrics!$U$6:$U$305,0),MATCH(B$5,Metrics!$A$5:$U$5,0)))</f>
        <v>ENT</v>
      </c>
      <c r="C39" t="str">
        <f>IF($A39="","",INDEX(Metrics!$A$6:$U$305,MATCH($A39,Metrics!$U$6:$U$305,0),MATCH(C$5,Metrics!$A$5:$U$5,0)))</f>
        <v>Entain</v>
      </c>
      <c r="D39" t="str">
        <f>IF($A39="","",INDEX(Metrics!$A$6:$U$305,MATCH($A39,Metrics!$U$6:$U$305,0),MATCH(D$5,Metrics!$A$5:$U$5,0)))</f>
        <v>Consumer Discretionary</v>
      </c>
      <c r="E39" s="14" t="e">
        <f>IF($A39="","",INDEX(Metrics!$A$6:$U$305,MATCH($A39,Metrics!$U$6:$U$305,0),MATCH(E$5,Metrics!$A$5:$U$5,0)))</f>
        <v>#N/A</v>
      </c>
      <c r="F39" s="7" t="str">
        <f>IF($A39="","",INDEX(Metrics!$A$6:$U$305,MATCH($A39,Metrics!$U$6:$U$305,0),MATCH(F$5,Metrics!$A$5:$U$5,0)))</f>
        <v/>
      </c>
      <c r="G39" s="9" t="str">
        <f>IF($A39="","",INDEX(Metrics!$A$6:$U$305,MATCH($A39,Metrics!$U$6:$U$305,0),MATCH(G$5,Metrics!$A$5:$U$5,0)))</f>
        <v/>
      </c>
      <c r="H39" s="9" t="str">
        <f>IF($A39="","",INDEX(Metrics!$A$6:$U$305,MATCH($A39,Metrics!$U$6:$U$305,0),MATCH(H$5,Metrics!$A$5:$U$5,0)))</f>
        <v>n/m</v>
      </c>
      <c r="I39" s="7" t="str">
        <f>IF($A39="","",INDEX(Metrics!$A$6:$U$305,MATCH($A39,Metrics!$U$6:$U$305,0),MATCH(I$5,Metrics!$A$5:$U$5,0)))</f>
        <v/>
      </c>
      <c r="J39" s="9" t="str">
        <f>IF($A39="","",INDEX(Metrics!$A$6:$U$305,MATCH($A39,Metrics!$U$6:$U$305,0),MATCH(J$5,Metrics!$A$5:$U$5,0)))</f>
        <v/>
      </c>
      <c r="K39" s="10">
        <f>IF($A39="","",INDEX(Metrics!$A$6:$U$305,MATCH($A39,Metrics!$U$6:$U$305,0),MATCH(K$5,Metrics!$A$5:$U$5,0)))</f>
        <v>119</v>
      </c>
      <c r="L39">
        <f>IF($A39="","",INDEX(Metrics!$A$6:$U$305,MATCH($A39,Metrics!$U$6:$U$305,0),MATCH(L$5,Metrics!$A$5:$U$5,0)))</f>
        <v>119</v>
      </c>
      <c r="M39">
        <f>IF($A39="","",INDEX(Metrics!$A$6:$U$305,MATCH($A39,Metrics!$U$6:$U$305,0),MATCH(M$5,Metrics!$A$5:$U$5,0)))</f>
        <v>119</v>
      </c>
      <c r="N39">
        <f>IF($A39="","",INDEX(Metrics!$A$6:$U$305,MATCH($A39,Metrics!$U$6:$U$305,0),MATCH(N$5,Metrics!$A$5:$U$5,0)))</f>
        <v>119</v>
      </c>
      <c r="O39">
        <f>IF($A39="","",INDEX(Metrics!$A$6:$U$305,MATCH($A39,Metrics!$U$6:$U$305,0),MATCH(O$5,Metrics!$A$5:$U$5,0)))</f>
        <v>119</v>
      </c>
      <c r="P39">
        <f>IF($A39="","",INDEX(Metrics!$A$6:$U$305,MATCH($A39,Metrics!$U$6:$U$305,0),MATCH(P$5,Metrics!$A$5:$U$5,0)))</f>
        <v>119</v>
      </c>
    </row>
    <row r="40" spans="1:16" x14ac:dyDescent="0.4">
      <c r="A40">
        <f t="shared" si="0"/>
        <v>35</v>
      </c>
      <c r="B40" t="str">
        <f>IF($A40="","",INDEX(Metrics!$A$6:$U$305,MATCH($A40,Metrics!$U$6:$U$305,0),MATCH(B$5,Metrics!$A$5:$U$5,0)))</f>
        <v>EWG</v>
      </c>
      <c r="C40" t="str">
        <f>IF($A40="","",INDEX(Metrics!$A$6:$U$305,MATCH($A40,Metrics!$U$6:$U$305,0),MATCH(C$5,Metrics!$A$5:$U$5,0)))</f>
        <v>Eurowag</v>
      </c>
      <c r="D40" t="str">
        <f>IF($A40="","",INDEX(Metrics!$A$6:$U$305,MATCH($A40,Metrics!$U$6:$U$305,0),MATCH(D$5,Metrics!$A$5:$U$5,0)))</f>
        <v>Industrials</v>
      </c>
      <c r="E40" s="14" t="e">
        <f>IF($A40="","",INDEX(Metrics!$A$6:$U$305,MATCH($A40,Metrics!$U$6:$U$305,0),MATCH(E$5,Metrics!$A$5:$U$5,0)))</f>
        <v>#N/A</v>
      </c>
      <c r="F40" s="7" t="str">
        <f>IF($A40="","",INDEX(Metrics!$A$6:$U$305,MATCH($A40,Metrics!$U$6:$U$305,0),MATCH(F$5,Metrics!$A$5:$U$5,0)))</f>
        <v/>
      </c>
      <c r="G40" s="9" t="str">
        <f>IF($A40="","",INDEX(Metrics!$A$6:$U$305,MATCH($A40,Metrics!$U$6:$U$305,0),MATCH(G$5,Metrics!$A$5:$U$5,0)))</f>
        <v/>
      </c>
      <c r="H40" s="9" t="str">
        <f>IF($A40="","",INDEX(Metrics!$A$6:$U$305,MATCH($A40,Metrics!$U$6:$U$305,0),MATCH(H$5,Metrics!$A$5:$U$5,0)))</f>
        <v>n/m</v>
      </c>
      <c r="I40" s="7" t="str">
        <f>IF($A40="","",INDEX(Metrics!$A$6:$U$305,MATCH($A40,Metrics!$U$6:$U$305,0),MATCH(I$5,Metrics!$A$5:$U$5,0)))</f>
        <v/>
      </c>
      <c r="J40" s="9" t="str">
        <f>IF($A40="","",INDEX(Metrics!$A$6:$U$305,MATCH($A40,Metrics!$U$6:$U$305,0),MATCH(J$5,Metrics!$A$5:$U$5,0)))</f>
        <v/>
      </c>
      <c r="K40" s="10">
        <f>IF($A40="","",INDEX(Metrics!$A$6:$U$305,MATCH($A40,Metrics!$U$6:$U$305,0),MATCH(K$5,Metrics!$A$5:$U$5,0)))</f>
        <v>119</v>
      </c>
      <c r="L40">
        <f>IF($A40="","",INDEX(Metrics!$A$6:$U$305,MATCH($A40,Metrics!$U$6:$U$305,0),MATCH(L$5,Metrics!$A$5:$U$5,0)))</f>
        <v>119</v>
      </c>
      <c r="M40">
        <f>IF($A40="","",INDEX(Metrics!$A$6:$U$305,MATCH($A40,Metrics!$U$6:$U$305,0),MATCH(M$5,Metrics!$A$5:$U$5,0)))</f>
        <v>119</v>
      </c>
      <c r="N40">
        <f>IF($A40="","",INDEX(Metrics!$A$6:$U$305,MATCH($A40,Metrics!$U$6:$U$305,0),MATCH(N$5,Metrics!$A$5:$U$5,0)))</f>
        <v>119</v>
      </c>
      <c r="O40">
        <f>IF($A40="","",INDEX(Metrics!$A$6:$U$305,MATCH($A40,Metrics!$U$6:$U$305,0),MATCH(O$5,Metrics!$A$5:$U$5,0)))</f>
        <v>119</v>
      </c>
      <c r="P40">
        <f>IF($A40="","",INDEX(Metrics!$A$6:$U$305,MATCH($A40,Metrics!$U$6:$U$305,0),MATCH(P$5,Metrics!$A$5:$U$5,0)))</f>
        <v>119</v>
      </c>
    </row>
    <row r="41" spans="1:16" x14ac:dyDescent="0.4">
      <c r="A41">
        <f t="shared" si="0"/>
        <v>36</v>
      </c>
      <c r="B41" t="str">
        <f>IF($A41="","",INDEX(Metrics!$A$6:$U$305,MATCH($A41,Metrics!$U$6:$U$305,0),MATCH(B$5,Metrics!$A$5:$U$5,0)))</f>
        <v>FGP</v>
      </c>
      <c r="C41" t="str">
        <f>IF($A41="","",INDEX(Metrics!$A$6:$U$305,MATCH($A41,Metrics!$U$6:$U$305,0),MATCH(C$5,Metrics!$A$5:$U$5,0)))</f>
        <v>FirstGroup</v>
      </c>
      <c r="D41" t="str">
        <f>IF($A41="","",INDEX(Metrics!$A$6:$U$305,MATCH($A41,Metrics!$U$6:$U$305,0),MATCH(D$5,Metrics!$A$5:$U$5,0)))</f>
        <v>Consumer Discretionary</v>
      </c>
      <c r="E41" s="14" t="e">
        <f>IF($A41="","",INDEX(Metrics!$A$6:$U$305,MATCH($A41,Metrics!$U$6:$U$305,0),MATCH(E$5,Metrics!$A$5:$U$5,0)))</f>
        <v>#N/A</v>
      </c>
      <c r="F41" s="7" t="str">
        <f>IF($A41="","",INDEX(Metrics!$A$6:$U$305,MATCH($A41,Metrics!$U$6:$U$305,0),MATCH(F$5,Metrics!$A$5:$U$5,0)))</f>
        <v/>
      </c>
      <c r="G41" s="9" t="str">
        <f>IF($A41="","",INDEX(Metrics!$A$6:$U$305,MATCH($A41,Metrics!$U$6:$U$305,0),MATCH(G$5,Metrics!$A$5:$U$5,0)))</f>
        <v/>
      </c>
      <c r="H41" s="9" t="str">
        <f>IF($A41="","",INDEX(Metrics!$A$6:$U$305,MATCH($A41,Metrics!$U$6:$U$305,0),MATCH(H$5,Metrics!$A$5:$U$5,0)))</f>
        <v>n/m</v>
      </c>
      <c r="I41" s="7" t="str">
        <f>IF($A41="","",INDEX(Metrics!$A$6:$U$305,MATCH($A41,Metrics!$U$6:$U$305,0),MATCH(I$5,Metrics!$A$5:$U$5,0)))</f>
        <v/>
      </c>
      <c r="J41" s="9" t="str">
        <f>IF($A41="","",INDEX(Metrics!$A$6:$U$305,MATCH($A41,Metrics!$U$6:$U$305,0),MATCH(J$5,Metrics!$A$5:$U$5,0)))</f>
        <v/>
      </c>
      <c r="K41" s="10">
        <f>IF($A41="","",INDEX(Metrics!$A$6:$U$305,MATCH($A41,Metrics!$U$6:$U$305,0),MATCH(K$5,Metrics!$A$5:$U$5,0)))</f>
        <v>119</v>
      </c>
      <c r="L41">
        <f>IF($A41="","",INDEX(Metrics!$A$6:$U$305,MATCH($A41,Metrics!$U$6:$U$305,0),MATCH(L$5,Metrics!$A$5:$U$5,0)))</f>
        <v>119</v>
      </c>
      <c r="M41">
        <f>IF($A41="","",INDEX(Metrics!$A$6:$U$305,MATCH($A41,Metrics!$U$6:$U$305,0),MATCH(M$5,Metrics!$A$5:$U$5,0)))</f>
        <v>119</v>
      </c>
      <c r="N41">
        <f>IF($A41="","",INDEX(Metrics!$A$6:$U$305,MATCH($A41,Metrics!$U$6:$U$305,0),MATCH(N$5,Metrics!$A$5:$U$5,0)))</f>
        <v>119</v>
      </c>
      <c r="O41">
        <f>IF($A41="","",INDEX(Metrics!$A$6:$U$305,MATCH($A41,Metrics!$U$6:$U$305,0),MATCH(O$5,Metrics!$A$5:$U$5,0)))</f>
        <v>119</v>
      </c>
      <c r="P41">
        <f>IF($A41="","",INDEX(Metrics!$A$6:$U$305,MATCH($A41,Metrics!$U$6:$U$305,0),MATCH(P$5,Metrics!$A$5:$U$5,0)))</f>
        <v>119</v>
      </c>
    </row>
    <row r="42" spans="1:16" x14ac:dyDescent="0.4">
      <c r="A42">
        <f t="shared" si="0"/>
        <v>37</v>
      </c>
      <c r="B42" t="str">
        <f>IF($A42="","",INDEX(Metrics!$A$6:$U$305,MATCH($A42,Metrics!$U$6:$U$305,0),MATCH(B$5,Metrics!$A$5:$U$5,0)))</f>
        <v>FRAS</v>
      </c>
      <c r="C42" t="str">
        <f>IF($A42="","",INDEX(Metrics!$A$6:$U$305,MATCH($A42,Metrics!$U$6:$U$305,0),MATCH(C$5,Metrics!$A$5:$U$5,0)))</f>
        <v>Frasers Group</v>
      </c>
      <c r="D42" t="str">
        <f>IF($A42="","",INDEX(Metrics!$A$6:$U$305,MATCH($A42,Metrics!$U$6:$U$305,0),MATCH(D$5,Metrics!$A$5:$U$5,0)))</f>
        <v>Consumer Discretionary</v>
      </c>
      <c r="E42" s="14" t="e">
        <f>IF($A42="","",INDEX(Metrics!$A$6:$U$305,MATCH($A42,Metrics!$U$6:$U$305,0),MATCH(E$5,Metrics!$A$5:$U$5,0)))</f>
        <v>#N/A</v>
      </c>
      <c r="F42" s="7" t="str">
        <f>IF($A42="","",INDEX(Metrics!$A$6:$U$305,MATCH($A42,Metrics!$U$6:$U$305,0),MATCH(F$5,Metrics!$A$5:$U$5,0)))</f>
        <v/>
      </c>
      <c r="G42" s="9" t="str">
        <f>IF($A42="","",INDEX(Metrics!$A$6:$U$305,MATCH($A42,Metrics!$U$6:$U$305,0),MATCH(G$5,Metrics!$A$5:$U$5,0)))</f>
        <v/>
      </c>
      <c r="H42" s="9" t="str">
        <f>IF($A42="","",INDEX(Metrics!$A$6:$U$305,MATCH($A42,Metrics!$U$6:$U$305,0),MATCH(H$5,Metrics!$A$5:$U$5,0)))</f>
        <v>n/m</v>
      </c>
      <c r="I42" s="7" t="str">
        <f>IF($A42="","",INDEX(Metrics!$A$6:$U$305,MATCH($A42,Metrics!$U$6:$U$305,0),MATCH(I$5,Metrics!$A$5:$U$5,0)))</f>
        <v/>
      </c>
      <c r="J42" s="9" t="str">
        <f>IF($A42="","",INDEX(Metrics!$A$6:$U$305,MATCH($A42,Metrics!$U$6:$U$305,0),MATCH(J$5,Metrics!$A$5:$U$5,0)))</f>
        <v/>
      </c>
      <c r="K42" s="10">
        <f>IF($A42="","",INDEX(Metrics!$A$6:$U$305,MATCH($A42,Metrics!$U$6:$U$305,0),MATCH(K$5,Metrics!$A$5:$U$5,0)))</f>
        <v>119</v>
      </c>
      <c r="L42">
        <f>IF($A42="","",INDEX(Metrics!$A$6:$U$305,MATCH($A42,Metrics!$U$6:$U$305,0),MATCH(L$5,Metrics!$A$5:$U$5,0)))</f>
        <v>119</v>
      </c>
      <c r="M42">
        <f>IF($A42="","",INDEX(Metrics!$A$6:$U$305,MATCH($A42,Metrics!$U$6:$U$305,0),MATCH(M$5,Metrics!$A$5:$U$5,0)))</f>
        <v>119</v>
      </c>
      <c r="N42">
        <f>IF($A42="","",INDEX(Metrics!$A$6:$U$305,MATCH($A42,Metrics!$U$6:$U$305,0),MATCH(N$5,Metrics!$A$5:$U$5,0)))</f>
        <v>119</v>
      </c>
      <c r="O42">
        <f>IF($A42="","",INDEX(Metrics!$A$6:$U$305,MATCH($A42,Metrics!$U$6:$U$305,0),MATCH(O$5,Metrics!$A$5:$U$5,0)))</f>
        <v>119</v>
      </c>
      <c r="P42">
        <f>IF($A42="","",INDEX(Metrics!$A$6:$U$305,MATCH($A42,Metrics!$U$6:$U$305,0),MATCH(P$5,Metrics!$A$5:$U$5,0)))</f>
        <v>119</v>
      </c>
    </row>
    <row r="43" spans="1:16" x14ac:dyDescent="0.4">
      <c r="A43">
        <f t="shared" si="0"/>
        <v>38</v>
      </c>
      <c r="B43" t="str">
        <f>IF($A43="","",INDEX(Metrics!$A$6:$U$305,MATCH($A43,Metrics!$U$6:$U$305,0),MATCH(B$5,Metrics!$A$5:$U$5,0)))</f>
        <v>GFRD</v>
      </c>
      <c r="C43" t="str">
        <f>IF($A43="","",INDEX(Metrics!$A$6:$U$305,MATCH($A43,Metrics!$U$6:$U$305,0),MATCH(C$5,Metrics!$A$5:$U$5,0)))</f>
        <v>Galliford Try</v>
      </c>
      <c r="D43" t="str">
        <f>IF($A43="","",INDEX(Metrics!$A$6:$U$305,MATCH($A43,Metrics!$U$6:$U$305,0),MATCH(D$5,Metrics!$A$5:$U$5,0)))</f>
        <v>Industrials</v>
      </c>
      <c r="E43" s="14" t="e">
        <f>IF($A43="","",INDEX(Metrics!$A$6:$U$305,MATCH($A43,Metrics!$U$6:$U$305,0),MATCH(E$5,Metrics!$A$5:$U$5,0)))</f>
        <v>#N/A</v>
      </c>
      <c r="F43" s="7" t="str">
        <f>IF($A43="","",INDEX(Metrics!$A$6:$U$305,MATCH($A43,Metrics!$U$6:$U$305,0),MATCH(F$5,Metrics!$A$5:$U$5,0)))</f>
        <v/>
      </c>
      <c r="G43" s="9" t="str">
        <f>IF($A43="","",INDEX(Metrics!$A$6:$U$305,MATCH($A43,Metrics!$U$6:$U$305,0),MATCH(G$5,Metrics!$A$5:$U$5,0)))</f>
        <v/>
      </c>
      <c r="H43" s="9" t="str">
        <f>IF($A43="","",INDEX(Metrics!$A$6:$U$305,MATCH($A43,Metrics!$U$6:$U$305,0),MATCH(H$5,Metrics!$A$5:$U$5,0)))</f>
        <v>n/m</v>
      </c>
      <c r="I43" s="7" t="str">
        <f>IF($A43="","",INDEX(Metrics!$A$6:$U$305,MATCH($A43,Metrics!$U$6:$U$305,0),MATCH(I$5,Metrics!$A$5:$U$5,0)))</f>
        <v/>
      </c>
      <c r="J43" s="9" t="str">
        <f>IF($A43="","",INDEX(Metrics!$A$6:$U$305,MATCH($A43,Metrics!$U$6:$U$305,0),MATCH(J$5,Metrics!$A$5:$U$5,0)))</f>
        <v/>
      </c>
      <c r="K43" s="10">
        <f>IF($A43="","",INDEX(Metrics!$A$6:$U$305,MATCH($A43,Metrics!$U$6:$U$305,0),MATCH(K$5,Metrics!$A$5:$U$5,0)))</f>
        <v>119</v>
      </c>
      <c r="L43">
        <f>IF($A43="","",INDEX(Metrics!$A$6:$U$305,MATCH($A43,Metrics!$U$6:$U$305,0),MATCH(L$5,Metrics!$A$5:$U$5,0)))</f>
        <v>119</v>
      </c>
      <c r="M43">
        <f>IF($A43="","",INDEX(Metrics!$A$6:$U$305,MATCH($A43,Metrics!$U$6:$U$305,0),MATCH(M$5,Metrics!$A$5:$U$5,0)))</f>
        <v>119</v>
      </c>
      <c r="N43">
        <f>IF($A43="","",INDEX(Metrics!$A$6:$U$305,MATCH($A43,Metrics!$U$6:$U$305,0),MATCH(N$5,Metrics!$A$5:$U$5,0)))</f>
        <v>119</v>
      </c>
      <c r="O43">
        <f>IF($A43="","",INDEX(Metrics!$A$6:$U$305,MATCH($A43,Metrics!$U$6:$U$305,0),MATCH(O$5,Metrics!$A$5:$U$5,0)))</f>
        <v>119</v>
      </c>
      <c r="P43">
        <f>IF($A43="","",INDEX(Metrics!$A$6:$U$305,MATCH($A43,Metrics!$U$6:$U$305,0),MATCH(P$5,Metrics!$A$5:$U$5,0)))</f>
        <v>119</v>
      </c>
    </row>
    <row r="44" spans="1:16" x14ac:dyDescent="0.4">
      <c r="A44">
        <f t="shared" si="0"/>
        <v>39</v>
      </c>
      <c r="B44" t="str">
        <f>IF($A44="","",INDEX(Metrics!$A$6:$U$305,MATCH($A44,Metrics!$U$6:$U$305,0),MATCH(B$5,Metrics!$A$5:$U$5,0)))</f>
        <v>GAMA</v>
      </c>
      <c r="C44" t="str">
        <f>IF($A44="","",INDEX(Metrics!$A$6:$U$305,MATCH($A44,Metrics!$U$6:$U$305,0),MATCH(C$5,Metrics!$A$5:$U$5,0)))</f>
        <v>Gamma Communications</v>
      </c>
      <c r="D44" t="str">
        <f>IF($A44="","",INDEX(Metrics!$A$6:$U$305,MATCH($A44,Metrics!$U$6:$U$305,0),MATCH(D$5,Metrics!$A$5:$U$5,0)))</f>
        <v>Telecommunications</v>
      </c>
      <c r="E44" s="14" t="e">
        <f>IF($A44="","",INDEX(Metrics!$A$6:$U$305,MATCH($A44,Metrics!$U$6:$U$305,0),MATCH(E$5,Metrics!$A$5:$U$5,0)))</f>
        <v>#N/A</v>
      </c>
      <c r="F44" s="7" t="str">
        <f>IF($A44="","",INDEX(Metrics!$A$6:$U$305,MATCH($A44,Metrics!$U$6:$U$305,0),MATCH(F$5,Metrics!$A$5:$U$5,0)))</f>
        <v/>
      </c>
      <c r="G44" s="9" t="str">
        <f>IF($A44="","",INDEX(Metrics!$A$6:$U$305,MATCH($A44,Metrics!$U$6:$U$305,0),MATCH(G$5,Metrics!$A$5:$U$5,0)))</f>
        <v/>
      </c>
      <c r="H44" s="9" t="str">
        <f>IF($A44="","",INDEX(Metrics!$A$6:$U$305,MATCH($A44,Metrics!$U$6:$U$305,0),MATCH(H$5,Metrics!$A$5:$U$5,0)))</f>
        <v>n/m</v>
      </c>
      <c r="I44" s="7" t="str">
        <f>IF($A44="","",INDEX(Metrics!$A$6:$U$305,MATCH($A44,Metrics!$U$6:$U$305,0),MATCH(I$5,Metrics!$A$5:$U$5,0)))</f>
        <v/>
      </c>
      <c r="J44" s="9" t="str">
        <f>IF($A44="","",INDEX(Metrics!$A$6:$U$305,MATCH($A44,Metrics!$U$6:$U$305,0),MATCH(J$5,Metrics!$A$5:$U$5,0)))</f>
        <v/>
      </c>
      <c r="K44" s="10">
        <f>IF($A44="","",INDEX(Metrics!$A$6:$U$305,MATCH($A44,Metrics!$U$6:$U$305,0),MATCH(K$5,Metrics!$A$5:$U$5,0)))</f>
        <v>119</v>
      </c>
      <c r="L44">
        <f>IF($A44="","",INDEX(Metrics!$A$6:$U$305,MATCH($A44,Metrics!$U$6:$U$305,0),MATCH(L$5,Metrics!$A$5:$U$5,0)))</f>
        <v>119</v>
      </c>
      <c r="M44">
        <f>IF($A44="","",INDEX(Metrics!$A$6:$U$305,MATCH($A44,Metrics!$U$6:$U$305,0),MATCH(M$5,Metrics!$A$5:$U$5,0)))</f>
        <v>119</v>
      </c>
      <c r="N44">
        <f>IF($A44="","",INDEX(Metrics!$A$6:$U$305,MATCH($A44,Metrics!$U$6:$U$305,0),MATCH(N$5,Metrics!$A$5:$U$5,0)))</f>
        <v>119</v>
      </c>
      <c r="O44">
        <f>IF($A44="","",INDEX(Metrics!$A$6:$U$305,MATCH($A44,Metrics!$U$6:$U$305,0),MATCH(O$5,Metrics!$A$5:$U$5,0)))</f>
        <v>119</v>
      </c>
      <c r="P44">
        <f>IF($A44="","",INDEX(Metrics!$A$6:$U$305,MATCH($A44,Metrics!$U$6:$U$305,0),MATCH(P$5,Metrics!$A$5:$U$5,0)))</f>
        <v>119</v>
      </c>
    </row>
    <row r="45" spans="1:16" x14ac:dyDescent="0.4">
      <c r="A45">
        <f t="shared" si="0"/>
        <v>40</v>
      </c>
      <c r="B45" t="str">
        <f>IF($A45="","",INDEX(Metrics!$A$6:$U$305,MATCH($A45,Metrics!$U$6:$U$305,0),MATCH(B$5,Metrics!$A$5:$U$5,0)))</f>
        <v>GEN</v>
      </c>
      <c r="C45" t="str">
        <f>IF($A45="","",INDEX(Metrics!$A$6:$U$305,MATCH($A45,Metrics!$U$6:$U$305,0),MATCH(C$5,Metrics!$A$5:$U$5,0)))</f>
        <v>Genuit Group</v>
      </c>
      <c r="D45" t="str">
        <f>IF($A45="","",INDEX(Metrics!$A$6:$U$305,MATCH($A45,Metrics!$U$6:$U$305,0),MATCH(D$5,Metrics!$A$5:$U$5,0)))</f>
        <v>Industrials</v>
      </c>
      <c r="E45" s="14" t="e">
        <f>IF($A45="","",INDEX(Metrics!$A$6:$U$305,MATCH($A45,Metrics!$U$6:$U$305,0),MATCH(E$5,Metrics!$A$5:$U$5,0)))</f>
        <v>#N/A</v>
      </c>
      <c r="F45" s="7" t="str">
        <f>IF($A45="","",INDEX(Metrics!$A$6:$U$305,MATCH($A45,Metrics!$U$6:$U$305,0),MATCH(F$5,Metrics!$A$5:$U$5,0)))</f>
        <v/>
      </c>
      <c r="G45" s="9" t="str">
        <f>IF($A45="","",INDEX(Metrics!$A$6:$U$305,MATCH($A45,Metrics!$U$6:$U$305,0),MATCH(G$5,Metrics!$A$5:$U$5,0)))</f>
        <v/>
      </c>
      <c r="H45" s="9" t="str">
        <f>IF($A45="","",INDEX(Metrics!$A$6:$U$305,MATCH($A45,Metrics!$U$6:$U$305,0),MATCH(H$5,Metrics!$A$5:$U$5,0)))</f>
        <v>n/m</v>
      </c>
      <c r="I45" s="7" t="str">
        <f>IF($A45="","",INDEX(Metrics!$A$6:$U$305,MATCH($A45,Metrics!$U$6:$U$305,0),MATCH(I$5,Metrics!$A$5:$U$5,0)))</f>
        <v/>
      </c>
      <c r="J45" s="9" t="str">
        <f>IF($A45="","",INDEX(Metrics!$A$6:$U$305,MATCH($A45,Metrics!$U$6:$U$305,0),MATCH(J$5,Metrics!$A$5:$U$5,0)))</f>
        <v/>
      </c>
      <c r="K45" s="10">
        <f>IF($A45="","",INDEX(Metrics!$A$6:$U$305,MATCH($A45,Metrics!$U$6:$U$305,0),MATCH(K$5,Metrics!$A$5:$U$5,0)))</f>
        <v>119</v>
      </c>
      <c r="L45">
        <f>IF($A45="","",INDEX(Metrics!$A$6:$U$305,MATCH($A45,Metrics!$U$6:$U$305,0),MATCH(L$5,Metrics!$A$5:$U$5,0)))</f>
        <v>119</v>
      </c>
      <c r="M45">
        <f>IF($A45="","",INDEX(Metrics!$A$6:$U$305,MATCH($A45,Metrics!$U$6:$U$305,0),MATCH(M$5,Metrics!$A$5:$U$5,0)))</f>
        <v>119</v>
      </c>
      <c r="N45">
        <f>IF($A45="","",INDEX(Metrics!$A$6:$U$305,MATCH($A45,Metrics!$U$6:$U$305,0),MATCH(N$5,Metrics!$A$5:$U$5,0)))</f>
        <v>119</v>
      </c>
      <c r="O45">
        <f>IF($A45="","",INDEX(Metrics!$A$6:$U$305,MATCH($A45,Metrics!$U$6:$U$305,0),MATCH(O$5,Metrics!$A$5:$U$5,0)))</f>
        <v>119</v>
      </c>
      <c r="P45">
        <f>IF($A45="","",INDEX(Metrics!$A$6:$U$305,MATCH($A45,Metrics!$U$6:$U$305,0),MATCH(P$5,Metrics!$A$5:$U$5,0)))</f>
        <v>119</v>
      </c>
    </row>
    <row r="46" spans="1:16" x14ac:dyDescent="0.4">
      <c r="A46">
        <f t="shared" si="0"/>
        <v>41</v>
      </c>
      <c r="B46" t="str">
        <f>IF($A46="","",INDEX(Metrics!$A$6:$U$305,MATCH($A46,Metrics!$U$6:$U$305,0),MATCH(B$5,Metrics!$A$5:$U$5,0)))</f>
        <v>GNS</v>
      </c>
      <c r="C46" t="str">
        <f>IF($A46="","",INDEX(Metrics!$A$6:$U$305,MATCH($A46,Metrics!$U$6:$U$305,0),MATCH(C$5,Metrics!$A$5:$U$5,0)))</f>
        <v>Genus</v>
      </c>
      <c r="D46" t="str">
        <f>IF($A46="","",INDEX(Metrics!$A$6:$U$305,MATCH($A46,Metrics!$U$6:$U$305,0),MATCH(D$5,Metrics!$A$5:$U$5,0)))</f>
        <v>Health Care</v>
      </c>
      <c r="E46" s="14" t="e">
        <f>IF($A46="","",INDEX(Metrics!$A$6:$U$305,MATCH($A46,Metrics!$U$6:$U$305,0),MATCH(E$5,Metrics!$A$5:$U$5,0)))</f>
        <v>#N/A</v>
      </c>
      <c r="F46" s="7" t="str">
        <f>IF($A46="","",INDEX(Metrics!$A$6:$U$305,MATCH($A46,Metrics!$U$6:$U$305,0),MATCH(F$5,Metrics!$A$5:$U$5,0)))</f>
        <v/>
      </c>
      <c r="G46" s="9" t="str">
        <f>IF($A46="","",INDEX(Metrics!$A$6:$U$305,MATCH($A46,Metrics!$U$6:$U$305,0),MATCH(G$5,Metrics!$A$5:$U$5,0)))</f>
        <v/>
      </c>
      <c r="H46" s="9" t="str">
        <f>IF($A46="","",INDEX(Metrics!$A$6:$U$305,MATCH($A46,Metrics!$U$6:$U$305,0),MATCH(H$5,Metrics!$A$5:$U$5,0)))</f>
        <v>n/m</v>
      </c>
      <c r="I46" s="7" t="str">
        <f>IF($A46="","",INDEX(Metrics!$A$6:$U$305,MATCH($A46,Metrics!$U$6:$U$305,0),MATCH(I$5,Metrics!$A$5:$U$5,0)))</f>
        <v/>
      </c>
      <c r="J46" s="9" t="str">
        <f>IF($A46="","",INDEX(Metrics!$A$6:$U$305,MATCH($A46,Metrics!$U$6:$U$305,0),MATCH(J$5,Metrics!$A$5:$U$5,0)))</f>
        <v/>
      </c>
      <c r="K46" s="10">
        <f>IF($A46="","",INDEX(Metrics!$A$6:$U$305,MATCH($A46,Metrics!$U$6:$U$305,0),MATCH(K$5,Metrics!$A$5:$U$5,0)))</f>
        <v>119</v>
      </c>
      <c r="L46">
        <f>IF($A46="","",INDEX(Metrics!$A$6:$U$305,MATCH($A46,Metrics!$U$6:$U$305,0),MATCH(L$5,Metrics!$A$5:$U$5,0)))</f>
        <v>119</v>
      </c>
      <c r="M46">
        <f>IF($A46="","",INDEX(Metrics!$A$6:$U$305,MATCH($A46,Metrics!$U$6:$U$305,0),MATCH(M$5,Metrics!$A$5:$U$5,0)))</f>
        <v>119</v>
      </c>
      <c r="N46">
        <f>IF($A46="","",INDEX(Metrics!$A$6:$U$305,MATCH($A46,Metrics!$U$6:$U$305,0),MATCH(N$5,Metrics!$A$5:$U$5,0)))</f>
        <v>119</v>
      </c>
      <c r="O46">
        <f>IF($A46="","",INDEX(Metrics!$A$6:$U$305,MATCH($A46,Metrics!$U$6:$U$305,0),MATCH(O$5,Metrics!$A$5:$U$5,0)))</f>
        <v>119</v>
      </c>
      <c r="P46">
        <f>IF($A46="","",INDEX(Metrics!$A$6:$U$305,MATCH($A46,Metrics!$U$6:$U$305,0),MATCH(P$5,Metrics!$A$5:$U$5,0)))</f>
        <v>119</v>
      </c>
    </row>
    <row r="47" spans="1:16" x14ac:dyDescent="0.4">
      <c r="A47">
        <f t="shared" si="0"/>
        <v>42</v>
      </c>
      <c r="B47" t="str">
        <f>IF($A47="","",INDEX(Metrics!$A$6:$U$305,MATCH($A47,Metrics!$U$6:$U$305,0),MATCH(B$5,Metrics!$A$5:$U$5,0)))</f>
        <v>DATA</v>
      </c>
      <c r="C47" t="str">
        <f>IF($A47="","",INDEX(Metrics!$A$6:$U$305,MATCH($A47,Metrics!$U$6:$U$305,0),MATCH(C$5,Metrics!$A$5:$U$5,0)))</f>
        <v>GlobalData</v>
      </c>
      <c r="D47" t="str">
        <f>IF($A47="","",INDEX(Metrics!$A$6:$U$305,MATCH($A47,Metrics!$U$6:$U$305,0),MATCH(D$5,Metrics!$A$5:$U$5,0)))</f>
        <v>Industrials</v>
      </c>
      <c r="E47" s="14" t="e">
        <f>IF($A47="","",INDEX(Metrics!$A$6:$U$305,MATCH($A47,Metrics!$U$6:$U$305,0),MATCH(E$5,Metrics!$A$5:$U$5,0)))</f>
        <v>#N/A</v>
      </c>
      <c r="F47" s="7" t="str">
        <f>IF($A47="","",INDEX(Metrics!$A$6:$U$305,MATCH($A47,Metrics!$U$6:$U$305,0),MATCH(F$5,Metrics!$A$5:$U$5,0)))</f>
        <v/>
      </c>
      <c r="G47" s="9" t="str">
        <f>IF($A47="","",INDEX(Metrics!$A$6:$U$305,MATCH($A47,Metrics!$U$6:$U$305,0),MATCH(G$5,Metrics!$A$5:$U$5,0)))</f>
        <v/>
      </c>
      <c r="H47" s="9" t="str">
        <f>IF($A47="","",INDEX(Metrics!$A$6:$U$305,MATCH($A47,Metrics!$U$6:$U$305,0),MATCH(H$5,Metrics!$A$5:$U$5,0)))</f>
        <v>n/m</v>
      </c>
      <c r="I47" s="7" t="str">
        <f>IF($A47="","",INDEX(Metrics!$A$6:$U$305,MATCH($A47,Metrics!$U$6:$U$305,0),MATCH(I$5,Metrics!$A$5:$U$5,0)))</f>
        <v/>
      </c>
      <c r="J47" s="9" t="str">
        <f>IF($A47="","",INDEX(Metrics!$A$6:$U$305,MATCH($A47,Metrics!$U$6:$U$305,0),MATCH(J$5,Metrics!$A$5:$U$5,0)))</f>
        <v/>
      </c>
      <c r="K47" s="10">
        <f>IF($A47="","",INDEX(Metrics!$A$6:$U$305,MATCH($A47,Metrics!$U$6:$U$305,0),MATCH(K$5,Metrics!$A$5:$U$5,0)))</f>
        <v>119</v>
      </c>
      <c r="L47">
        <f>IF($A47="","",INDEX(Metrics!$A$6:$U$305,MATCH($A47,Metrics!$U$6:$U$305,0),MATCH(L$5,Metrics!$A$5:$U$5,0)))</f>
        <v>119</v>
      </c>
      <c r="M47">
        <f>IF($A47="","",INDEX(Metrics!$A$6:$U$305,MATCH($A47,Metrics!$U$6:$U$305,0),MATCH(M$5,Metrics!$A$5:$U$5,0)))</f>
        <v>119</v>
      </c>
      <c r="N47">
        <f>IF($A47="","",INDEX(Metrics!$A$6:$U$305,MATCH($A47,Metrics!$U$6:$U$305,0),MATCH(N$5,Metrics!$A$5:$U$5,0)))</f>
        <v>119</v>
      </c>
      <c r="O47">
        <f>IF($A47="","",INDEX(Metrics!$A$6:$U$305,MATCH($A47,Metrics!$U$6:$U$305,0),MATCH(O$5,Metrics!$A$5:$U$5,0)))</f>
        <v>119</v>
      </c>
      <c r="P47">
        <f>IF($A47="","",INDEX(Metrics!$A$6:$U$305,MATCH($A47,Metrics!$U$6:$U$305,0),MATCH(P$5,Metrics!$A$5:$U$5,0)))</f>
        <v>119</v>
      </c>
    </row>
    <row r="48" spans="1:16" x14ac:dyDescent="0.4">
      <c r="A48">
        <f t="shared" si="0"/>
        <v>43</v>
      </c>
      <c r="B48" t="str">
        <f>IF($A48="","",INDEX(Metrics!$A$6:$U$305,MATCH($A48,Metrics!$U$6:$U$305,0),MATCH(B$5,Metrics!$A$5:$U$5,0)))</f>
        <v>GDWN</v>
      </c>
      <c r="C48" t="str">
        <f>IF($A48="","",INDEX(Metrics!$A$6:$U$305,MATCH($A48,Metrics!$U$6:$U$305,0),MATCH(C$5,Metrics!$A$5:$U$5,0)))</f>
        <v>Goodwin</v>
      </c>
      <c r="D48" t="str">
        <f>IF($A48="","",INDEX(Metrics!$A$6:$U$305,MATCH($A48,Metrics!$U$6:$U$305,0),MATCH(D$5,Metrics!$A$5:$U$5,0)))</f>
        <v>Industrials</v>
      </c>
      <c r="E48" s="14" t="e">
        <f>IF($A48="","",INDEX(Metrics!$A$6:$U$305,MATCH($A48,Metrics!$U$6:$U$305,0),MATCH(E$5,Metrics!$A$5:$U$5,0)))</f>
        <v>#N/A</v>
      </c>
      <c r="F48" s="7" t="str">
        <f>IF($A48="","",INDEX(Metrics!$A$6:$U$305,MATCH($A48,Metrics!$U$6:$U$305,0),MATCH(F$5,Metrics!$A$5:$U$5,0)))</f>
        <v/>
      </c>
      <c r="G48" s="9" t="str">
        <f>IF($A48="","",INDEX(Metrics!$A$6:$U$305,MATCH($A48,Metrics!$U$6:$U$305,0),MATCH(G$5,Metrics!$A$5:$U$5,0)))</f>
        <v/>
      </c>
      <c r="H48" s="9" t="str">
        <f>IF($A48="","",INDEX(Metrics!$A$6:$U$305,MATCH($A48,Metrics!$U$6:$U$305,0),MATCH(H$5,Metrics!$A$5:$U$5,0)))</f>
        <v>n/m</v>
      </c>
      <c r="I48" s="7" t="str">
        <f>IF($A48="","",INDEX(Metrics!$A$6:$U$305,MATCH($A48,Metrics!$U$6:$U$305,0),MATCH(I$5,Metrics!$A$5:$U$5,0)))</f>
        <v/>
      </c>
      <c r="J48" s="9" t="str">
        <f>IF($A48="","",INDEX(Metrics!$A$6:$U$305,MATCH($A48,Metrics!$U$6:$U$305,0),MATCH(J$5,Metrics!$A$5:$U$5,0)))</f>
        <v/>
      </c>
      <c r="K48" s="10">
        <f>IF($A48="","",INDEX(Metrics!$A$6:$U$305,MATCH($A48,Metrics!$U$6:$U$305,0),MATCH(K$5,Metrics!$A$5:$U$5,0)))</f>
        <v>119</v>
      </c>
      <c r="L48">
        <f>IF($A48="","",INDEX(Metrics!$A$6:$U$305,MATCH($A48,Metrics!$U$6:$U$305,0),MATCH(L$5,Metrics!$A$5:$U$5,0)))</f>
        <v>119</v>
      </c>
      <c r="M48">
        <f>IF($A48="","",INDEX(Metrics!$A$6:$U$305,MATCH($A48,Metrics!$U$6:$U$305,0),MATCH(M$5,Metrics!$A$5:$U$5,0)))</f>
        <v>119</v>
      </c>
      <c r="N48">
        <f>IF($A48="","",INDEX(Metrics!$A$6:$U$305,MATCH($A48,Metrics!$U$6:$U$305,0),MATCH(N$5,Metrics!$A$5:$U$5,0)))</f>
        <v>119</v>
      </c>
      <c r="O48">
        <f>IF($A48="","",INDEX(Metrics!$A$6:$U$305,MATCH($A48,Metrics!$U$6:$U$305,0),MATCH(O$5,Metrics!$A$5:$U$5,0)))</f>
        <v>119</v>
      </c>
      <c r="P48">
        <f>IF($A48="","",INDEX(Metrics!$A$6:$U$305,MATCH($A48,Metrics!$U$6:$U$305,0),MATCH(P$5,Metrics!$A$5:$U$5,0)))</f>
        <v>119</v>
      </c>
    </row>
    <row r="49" spans="1:16" x14ac:dyDescent="0.4">
      <c r="A49">
        <f t="shared" si="0"/>
        <v>44</v>
      </c>
      <c r="B49" t="str">
        <f>IF($A49="","",INDEX(Metrics!$A$6:$U$305,MATCH($A49,Metrics!$U$6:$U$305,0),MATCH(B$5,Metrics!$A$5:$U$5,0)))</f>
        <v>GFTU</v>
      </c>
      <c r="C49" t="str">
        <f>IF($A49="","",INDEX(Metrics!$A$6:$U$305,MATCH($A49,Metrics!$U$6:$U$305,0),MATCH(C$5,Metrics!$A$5:$U$5,0)))</f>
        <v>Grafton Group</v>
      </c>
      <c r="D49" t="str">
        <f>IF($A49="","",INDEX(Metrics!$A$6:$U$305,MATCH($A49,Metrics!$U$6:$U$305,0),MATCH(D$5,Metrics!$A$5:$U$5,0)))</f>
        <v>Industrials</v>
      </c>
      <c r="E49" s="14" t="e">
        <f>IF($A49="","",INDEX(Metrics!$A$6:$U$305,MATCH($A49,Metrics!$U$6:$U$305,0),MATCH(E$5,Metrics!$A$5:$U$5,0)))</f>
        <v>#N/A</v>
      </c>
      <c r="F49" s="7" t="str">
        <f>IF($A49="","",INDEX(Metrics!$A$6:$U$305,MATCH($A49,Metrics!$U$6:$U$305,0),MATCH(F$5,Metrics!$A$5:$U$5,0)))</f>
        <v/>
      </c>
      <c r="G49" s="9" t="str">
        <f>IF($A49="","",INDEX(Metrics!$A$6:$U$305,MATCH($A49,Metrics!$U$6:$U$305,0),MATCH(G$5,Metrics!$A$5:$U$5,0)))</f>
        <v/>
      </c>
      <c r="H49" s="9" t="str">
        <f>IF($A49="","",INDEX(Metrics!$A$6:$U$305,MATCH($A49,Metrics!$U$6:$U$305,0),MATCH(H$5,Metrics!$A$5:$U$5,0)))</f>
        <v>n/m</v>
      </c>
      <c r="I49" s="7" t="str">
        <f>IF($A49="","",INDEX(Metrics!$A$6:$U$305,MATCH($A49,Metrics!$U$6:$U$305,0),MATCH(I$5,Metrics!$A$5:$U$5,0)))</f>
        <v/>
      </c>
      <c r="J49" s="9" t="str">
        <f>IF($A49="","",INDEX(Metrics!$A$6:$U$305,MATCH($A49,Metrics!$U$6:$U$305,0),MATCH(J$5,Metrics!$A$5:$U$5,0)))</f>
        <v/>
      </c>
      <c r="K49" s="10">
        <f>IF($A49="","",INDEX(Metrics!$A$6:$U$305,MATCH($A49,Metrics!$U$6:$U$305,0),MATCH(K$5,Metrics!$A$5:$U$5,0)))</f>
        <v>119</v>
      </c>
      <c r="L49">
        <f>IF($A49="","",INDEX(Metrics!$A$6:$U$305,MATCH($A49,Metrics!$U$6:$U$305,0),MATCH(L$5,Metrics!$A$5:$U$5,0)))</f>
        <v>119</v>
      </c>
      <c r="M49">
        <f>IF($A49="","",INDEX(Metrics!$A$6:$U$305,MATCH($A49,Metrics!$U$6:$U$305,0),MATCH(M$5,Metrics!$A$5:$U$5,0)))</f>
        <v>119</v>
      </c>
      <c r="N49">
        <f>IF($A49="","",INDEX(Metrics!$A$6:$U$305,MATCH($A49,Metrics!$U$6:$U$305,0),MATCH(N$5,Metrics!$A$5:$U$5,0)))</f>
        <v>119</v>
      </c>
      <c r="O49">
        <f>IF($A49="","",INDEX(Metrics!$A$6:$U$305,MATCH($A49,Metrics!$U$6:$U$305,0),MATCH(O$5,Metrics!$A$5:$U$5,0)))</f>
        <v>119</v>
      </c>
      <c r="P49">
        <f>IF($A49="","",INDEX(Metrics!$A$6:$U$305,MATCH($A49,Metrics!$U$6:$U$305,0),MATCH(P$5,Metrics!$A$5:$U$5,0)))</f>
        <v>119</v>
      </c>
    </row>
    <row r="50" spans="1:16" x14ac:dyDescent="0.4">
      <c r="A50">
        <f t="shared" si="0"/>
        <v>45</v>
      </c>
      <c r="B50" t="str">
        <f>IF($A50="","",INDEX(Metrics!$A$6:$U$305,MATCH($A50,Metrics!$U$6:$U$305,0),MATCH(B$5,Metrics!$A$5:$U$5,0)))</f>
        <v>GNC</v>
      </c>
      <c r="C50" t="str">
        <f>IF($A50="","",INDEX(Metrics!$A$6:$U$305,MATCH($A50,Metrics!$U$6:$U$305,0),MATCH(C$5,Metrics!$A$5:$U$5,0)))</f>
        <v>Greencore</v>
      </c>
      <c r="D50" t="str">
        <f>IF($A50="","",INDEX(Metrics!$A$6:$U$305,MATCH($A50,Metrics!$U$6:$U$305,0),MATCH(D$5,Metrics!$A$5:$U$5,0)))</f>
        <v>Consumer Staples</v>
      </c>
      <c r="E50" s="14" t="e">
        <f>IF($A50="","",INDEX(Metrics!$A$6:$U$305,MATCH($A50,Metrics!$U$6:$U$305,0),MATCH(E$5,Metrics!$A$5:$U$5,0)))</f>
        <v>#N/A</v>
      </c>
      <c r="F50" s="7" t="str">
        <f>IF($A50="","",INDEX(Metrics!$A$6:$U$305,MATCH($A50,Metrics!$U$6:$U$305,0),MATCH(F$5,Metrics!$A$5:$U$5,0)))</f>
        <v/>
      </c>
      <c r="G50" s="9" t="str">
        <f>IF($A50="","",INDEX(Metrics!$A$6:$U$305,MATCH($A50,Metrics!$U$6:$U$305,0),MATCH(G$5,Metrics!$A$5:$U$5,0)))</f>
        <v/>
      </c>
      <c r="H50" s="9" t="str">
        <f>IF($A50="","",INDEX(Metrics!$A$6:$U$305,MATCH($A50,Metrics!$U$6:$U$305,0),MATCH(H$5,Metrics!$A$5:$U$5,0)))</f>
        <v>n/m</v>
      </c>
      <c r="I50" s="7" t="str">
        <f>IF($A50="","",INDEX(Metrics!$A$6:$U$305,MATCH($A50,Metrics!$U$6:$U$305,0),MATCH(I$5,Metrics!$A$5:$U$5,0)))</f>
        <v/>
      </c>
      <c r="J50" s="9" t="str">
        <f>IF($A50="","",INDEX(Metrics!$A$6:$U$305,MATCH($A50,Metrics!$U$6:$U$305,0),MATCH(J$5,Metrics!$A$5:$U$5,0)))</f>
        <v/>
      </c>
      <c r="K50" s="10">
        <f>IF($A50="","",INDEX(Metrics!$A$6:$U$305,MATCH($A50,Metrics!$U$6:$U$305,0),MATCH(K$5,Metrics!$A$5:$U$5,0)))</f>
        <v>119</v>
      </c>
      <c r="L50">
        <f>IF($A50="","",INDEX(Metrics!$A$6:$U$305,MATCH($A50,Metrics!$U$6:$U$305,0),MATCH(L$5,Metrics!$A$5:$U$5,0)))</f>
        <v>119</v>
      </c>
      <c r="M50">
        <f>IF($A50="","",INDEX(Metrics!$A$6:$U$305,MATCH($A50,Metrics!$U$6:$U$305,0),MATCH(M$5,Metrics!$A$5:$U$5,0)))</f>
        <v>119</v>
      </c>
      <c r="N50">
        <f>IF($A50="","",INDEX(Metrics!$A$6:$U$305,MATCH($A50,Metrics!$U$6:$U$305,0),MATCH(N$5,Metrics!$A$5:$U$5,0)))</f>
        <v>119</v>
      </c>
      <c r="O50">
        <f>IF($A50="","",INDEX(Metrics!$A$6:$U$305,MATCH($A50,Metrics!$U$6:$U$305,0),MATCH(O$5,Metrics!$A$5:$U$5,0)))</f>
        <v>119</v>
      </c>
      <c r="P50">
        <f>IF($A50="","",INDEX(Metrics!$A$6:$U$305,MATCH($A50,Metrics!$U$6:$U$305,0),MATCH(P$5,Metrics!$A$5:$U$5,0)))</f>
        <v>119</v>
      </c>
    </row>
    <row r="51" spans="1:16" x14ac:dyDescent="0.4">
      <c r="A51">
        <f t="shared" si="0"/>
        <v>46</v>
      </c>
      <c r="B51" t="str">
        <f>IF($A51="","",INDEX(Metrics!$A$6:$U$305,MATCH($A51,Metrics!$U$6:$U$305,0),MATCH(B$5,Metrics!$A$5:$U$5,0)))</f>
        <v>GRG</v>
      </c>
      <c r="C51" t="str">
        <f>IF($A51="","",INDEX(Metrics!$A$6:$U$305,MATCH($A51,Metrics!$U$6:$U$305,0),MATCH(C$5,Metrics!$A$5:$U$5,0)))</f>
        <v>Greggs</v>
      </c>
      <c r="D51" t="str">
        <f>IF($A51="","",INDEX(Metrics!$A$6:$U$305,MATCH($A51,Metrics!$U$6:$U$305,0),MATCH(D$5,Metrics!$A$5:$U$5,0)))</f>
        <v>Consumer Discretionary</v>
      </c>
      <c r="E51" s="14" t="e">
        <f>IF($A51="","",INDEX(Metrics!$A$6:$U$305,MATCH($A51,Metrics!$U$6:$U$305,0),MATCH(E$5,Metrics!$A$5:$U$5,0)))</f>
        <v>#N/A</v>
      </c>
      <c r="F51" s="7" t="str">
        <f>IF($A51="","",INDEX(Metrics!$A$6:$U$305,MATCH($A51,Metrics!$U$6:$U$305,0),MATCH(F$5,Metrics!$A$5:$U$5,0)))</f>
        <v/>
      </c>
      <c r="G51" s="9" t="str">
        <f>IF($A51="","",INDEX(Metrics!$A$6:$U$305,MATCH($A51,Metrics!$U$6:$U$305,0),MATCH(G$5,Metrics!$A$5:$U$5,0)))</f>
        <v/>
      </c>
      <c r="H51" s="9" t="str">
        <f>IF($A51="","",INDEX(Metrics!$A$6:$U$305,MATCH($A51,Metrics!$U$6:$U$305,0),MATCH(H$5,Metrics!$A$5:$U$5,0)))</f>
        <v>n/m</v>
      </c>
      <c r="I51" s="7" t="str">
        <f>IF($A51="","",INDEX(Metrics!$A$6:$U$305,MATCH($A51,Metrics!$U$6:$U$305,0),MATCH(I$5,Metrics!$A$5:$U$5,0)))</f>
        <v/>
      </c>
      <c r="J51" s="9" t="str">
        <f>IF($A51="","",INDEX(Metrics!$A$6:$U$305,MATCH($A51,Metrics!$U$6:$U$305,0),MATCH(J$5,Metrics!$A$5:$U$5,0)))</f>
        <v/>
      </c>
      <c r="K51" s="10">
        <f>IF($A51="","",INDEX(Metrics!$A$6:$U$305,MATCH($A51,Metrics!$U$6:$U$305,0),MATCH(K$5,Metrics!$A$5:$U$5,0)))</f>
        <v>119</v>
      </c>
      <c r="L51">
        <f>IF($A51="","",INDEX(Metrics!$A$6:$U$305,MATCH($A51,Metrics!$U$6:$U$305,0),MATCH(L$5,Metrics!$A$5:$U$5,0)))</f>
        <v>119</v>
      </c>
      <c r="M51">
        <f>IF($A51="","",INDEX(Metrics!$A$6:$U$305,MATCH($A51,Metrics!$U$6:$U$305,0),MATCH(M$5,Metrics!$A$5:$U$5,0)))</f>
        <v>119</v>
      </c>
      <c r="N51">
        <f>IF($A51="","",INDEX(Metrics!$A$6:$U$305,MATCH($A51,Metrics!$U$6:$U$305,0),MATCH(N$5,Metrics!$A$5:$U$5,0)))</f>
        <v>119</v>
      </c>
      <c r="O51">
        <f>IF($A51="","",INDEX(Metrics!$A$6:$U$305,MATCH($A51,Metrics!$U$6:$U$305,0),MATCH(O$5,Metrics!$A$5:$U$5,0)))</f>
        <v>119</v>
      </c>
      <c r="P51">
        <f>IF($A51="","",INDEX(Metrics!$A$6:$U$305,MATCH($A51,Metrics!$U$6:$U$305,0),MATCH(P$5,Metrics!$A$5:$U$5,0)))</f>
        <v>119</v>
      </c>
    </row>
    <row r="52" spans="1:16" x14ac:dyDescent="0.4">
      <c r="A52">
        <f t="shared" si="0"/>
        <v>47</v>
      </c>
      <c r="B52" t="str">
        <f>IF($A52="","",INDEX(Metrics!$A$6:$U$305,MATCH($A52,Metrics!$U$6:$U$305,0),MATCH(B$5,Metrics!$A$5:$U$5,0)))</f>
        <v>HFD</v>
      </c>
      <c r="C52" t="str">
        <f>IF($A52="","",INDEX(Metrics!$A$6:$U$305,MATCH($A52,Metrics!$U$6:$U$305,0),MATCH(C$5,Metrics!$A$5:$U$5,0)))</f>
        <v>Halfords</v>
      </c>
      <c r="D52" t="str">
        <f>IF($A52="","",INDEX(Metrics!$A$6:$U$305,MATCH($A52,Metrics!$U$6:$U$305,0),MATCH(D$5,Metrics!$A$5:$U$5,0)))</f>
        <v>Consumer Discretionary</v>
      </c>
      <c r="E52" s="14" t="e">
        <f>IF($A52="","",INDEX(Metrics!$A$6:$U$305,MATCH($A52,Metrics!$U$6:$U$305,0),MATCH(E$5,Metrics!$A$5:$U$5,0)))</f>
        <v>#N/A</v>
      </c>
      <c r="F52" s="7" t="str">
        <f>IF($A52="","",INDEX(Metrics!$A$6:$U$305,MATCH($A52,Metrics!$U$6:$U$305,0),MATCH(F$5,Metrics!$A$5:$U$5,0)))</f>
        <v/>
      </c>
      <c r="G52" s="9" t="str">
        <f>IF($A52="","",INDEX(Metrics!$A$6:$U$305,MATCH($A52,Metrics!$U$6:$U$305,0),MATCH(G$5,Metrics!$A$5:$U$5,0)))</f>
        <v/>
      </c>
      <c r="H52" s="9" t="str">
        <f>IF($A52="","",INDEX(Metrics!$A$6:$U$305,MATCH($A52,Metrics!$U$6:$U$305,0),MATCH(H$5,Metrics!$A$5:$U$5,0)))</f>
        <v>n/m</v>
      </c>
      <c r="I52" s="7" t="str">
        <f>IF($A52="","",INDEX(Metrics!$A$6:$U$305,MATCH($A52,Metrics!$U$6:$U$305,0),MATCH(I$5,Metrics!$A$5:$U$5,0)))</f>
        <v/>
      </c>
      <c r="J52" s="9" t="str">
        <f>IF($A52="","",INDEX(Metrics!$A$6:$U$305,MATCH($A52,Metrics!$U$6:$U$305,0),MATCH(J$5,Metrics!$A$5:$U$5,0)))</f>
        <v/>
      </c>
      <c r="K52" s="10">
        <f>IF($A52="","",INDEX(Metrics!$A$6:$U$305,MATCH($A52,Metrics!$U$6:$U$305,0),MATCH(K$5,Metrics!$A$5:$U$5,0)))</f>
        <v>119</v>
      </c>
      <c r="L52">
        <f>IF($A52="","",INDEX(Metrics!$A$6:$U$305,MATCH($A52,Metrics!$U$6:$U$305,0),MATCH(L$5,Metrics!$A$5:$U$5,0)))</f>
        <v>119</v>
      </c>
      <c r="M52">
        <f>IF($A52="","",INDEX(Metrics!$A$6:$U$305,MATCH($A52,Metrics!$U$6:$U$305,0),MATCH(M$5,Metrics!$A$5:$U$5,0)))</f>
        <v>119</v>
      </c>
      <c r="N52">
        <f>IF($A52="","",INDEX(Metrics!$A$6:$U$305,MATCH($A52,Metrics!$U$6:$U$305,0),MATCH(N$5,Metrics!$A$5:$U$5,0)))</f>
        <v>119</v>
      </c>
      <c r="O52">
        <f>IF($A52="","",INDEX(Metrics!$A$6:$U$305,MATCH($A52,Metrics!$U$6:$U$305,0),MATCH(O$5,Metrics!$A$5:$U$5,0)))</f>
        <v>119</v>
      </c>
      <c r="P52">
        <f>IF($A52="","",INDEX(Metrics!$A$6:$U$305,MATCH($A52,Metrics!$U$6:$U$305,0),MATCH(P$5,Metrics!$A$5:$U$5,0)))</f>
        <v>119</v>
      </c>
    </row>
    <row r="53" spans="1:16" x14ac:dyDescent="0.4">
      <c r="A53">
        <f t="shared" si="0"/>
        <v>48</v>
      </c>
      <c r="B53" t="str">
        <f>IF($A53="","",INDEX(Metrics!$A$6:$U$305,MATCH($A53,Metrics!$U$6:$U$305,0),MATCH(B$5,Metrics!$A$5:$U$5,0)))</f>
        <v>HBR</v>
      </c>
      <c r="C53" t="str">
        <f>IF($A53="","",INDEX(Metrics!$A$6:$U$305,MATCH($A53,Metrics!$U$6:$U$305,0),MATCH(C$5,Metrics!$A$5:$U$5,0)))</f>
        <v>Harbour Energy</v>
      </c>
      <c r="D53" t="str">
        <f>IF($A53="","",INDEX(Metrics!$A$6:$U$305,MATCH($A53,Metrics!$U$6:$U$305,0),MATCH(D$5,Metrics!$A$5:$U$5,0)))</f>
        <v>Energy</v>
      </c>
      <c r="E53" s="14" t="e">
        <f>IF($A53="","",INDEX(Metrics!$A$6:$U$305,MATCH($A53,Metrics!$U$6:$U$305,0),MATCH(E$5,Metrics!$A$5:$U$5,0)))</f>
        <v>#N/A</v>
      </c>
      <c r="F53" s="7" t="str">
        <f>IF($A53="","",INDEX(Metrics!$A$6:$U$305,MATCH($A53,Metrics!$U$6:$U$305,0),MATCH(F$5,Metrics!$A$5:$U$5,0)))</f>
        <v/>
      </c>
      <c r="G53" s="9" t="str">
        <f>IF($A53="","",INDEX(Metrics!$A$6:$U$305,MATCH($A53,Metrics!$U$6:$U$305,0),MATCH(G$5,Metrics!$A$5:$U$5,0)))</f>
        <v/>
      </c>
      <c r="H53" s="9" t="str">
        <f>IF($A53="","",INDEX(Metrics!$A$6:$U$305,MATCH($A53,Metrics!$U$6:$U$305,0),MATCH(H$5,Metrics!$A$5:$U$5,0)))</f>
        <v>n/m</v>
      </c>
      <c r="I53" s="7" t="str">
        <f>IF($A53="","",INDEX(Metrics!$A$6:$U$305,MATCH($A53,Metrics!$U$6:$U$305,0),MATCH(I$5,Metrics!$A$5:$U$5,0)))</f>
        <v/>
      </c>
      <c r="J53" s="9" t="str">
        <f>IF($A53="","",INDEX(Metrics!$A$6:$U$305,MATCH($A53,Metrics!$U$6:$U$305,0),MATCH(J$5,Metrics!$A$5:$U$5,0)))</f>
        <v/>
      </c>
      <c r="K53" s="10">
        <f>IF($A53="","",INDEX(Metrics!$A$6:$U$305,MATCH($A53,Metrics!$U$6:$U$305,0),MATCH(K$5,Metrics!$A$5:$U$5,0)))</f>
        <v>119</v>
      </c>
      <c r="L53">
        <f>IF($A53="","",INDEX(Metrics!$A$6:$U$305,MATCH($A53,Metrics!$U$6:$U$305,0),MATCH(L$5,Metrics!$A$5:$U$5,0)))</f>
        <v>119</v>
      </c>
      <c r="M53">
        <f>IF($A53="","",INDEX(Metrics!$A$6:$U$305,MATCH($A53,Metrics!$U$6:$U$305,0),MATCH(M$5,Metrics!$A$5:$U$5,0)))</f>
        <v>119</v>
      </c>
      <c r="N53">
        <f>IF($A53="","",INDEX(Metrics!$A$6:$U$305,MATCH($A53,Metrics!$U$6:$U$305,0),MATCH(N$5,Metrics!$A$5:$U$5,0)))</f>
        <v>119</v>
      </c>
      <c r="O53">
        <f>IF($A53="","",INDEX(Metrics!$A$6:$U$305,MATCH($A53,Metrics!$U$6:$U$305,0),MATCH(O$5,Metrics!$A$5:$U$5,0)))</f>
        <v>119</v>
      </c>
      <c r="P53">
        <f>IF($A53="","",INDEX(Metrics!$A$6:$U$305,MATCH($A53,Metrics!$U$6:$U$305,0),MATCH(P$5,Metrics!$A$5:$U$5,0)))</f>
        <v>119</v>
      </c>
    </row>
    <row r="54" spans="1:16" x14ac:dyDescent="0.4">
      <c r="A54">
        <f t="shared" si="0"/>
        <v>49</v>
      </c>
      <c r="B54" t="str">
        <f>IF($A54="","",INDEX(Metrics!$A$6:$U$305,MATCH($A54,Metrics!$U$6:$U$305,0),MATCH(B$5,Metrics!$A$5:$U$5,0)))</f>
        <v>HAS</v>
      </c>
      <c r="C54" t="str">
        <f>IF($A54="","",INDEX(Metrics!$A$6:$U$305,MATCH($A54,Metrics!$U$6:$U$305,0),MATCH(C$5,Metrics!$A$5:$U$5,0)))</f>
        <v>Hays</v>
      </c>
      <c r="D54" t="str">
        <f>IF($A54="","",INDEX(Metrics!$A$6:$U$305,MATCH($A54,Metrics!$U$6:$U$305,0),MATCH(D$5,Metrics!$A$5:$U$5,0)))</f>
        <v>Industrials</v>
      </c>
      <c r="E54" s="14" t="e">
        <f>IF($A54="","",INDEX(Metrics!$A$6:$U$305,MATCH($A54,Metrics!$U$6:$U$305,0),MATCH(E$5,Metrics!$A$5:$U$5,0)))</f>
        <v>#N/A</v>
      </c>
      <c r="F54" s="7" t="str">
        <f>IF($A54="","",INDEX(Metrics!$A$6:$U$305,MATCH($A54,Metrics!$U$6:$U$305,0),MATCH(F$5,Metrics!$A$5:$U$5,0)))</f>
        <v/>
      </c>
      <c r="G54" s="9" t="str">
        <f>IF($A54="","",INDEX(Metrics!$A$6:$U$305,MATCH($A54,Metrics!$U$6:$U$305,0),MATCH(G$5,Metrics!$A$5:$U$5,0)))</f>
        <v/>
      </c>
      <c r="H54" s="9" t="str">
        <f>IF($A54="","",INDEX(Metrics!$A$6:$U$305,MATCH($A54,Metrics!$U$6:$U$305,0),MATCH(H$5,Metrics!$A$5:$U$5,0)))</f>
        <v>n/m</v>
      </c>
      <c r="I54" s="7" t="str">
        <f>IF($A54="","",INDEX(Metrics!$A$6:$U$305,MATCH($A54,Metrics!$U$6:$U$305,0),MATCH(I$5,Metrics!$A$5:$U$5,0)))</f>
        <v/>
      </c>
      <c r="J54" s="9" t="str">
        <f>IF($A54="","",INDEX(Metrics!$A$6:$U$305,MATCH($A54,Metrics!$U$6:$U$305,0),MATCH(J$5,Metrics!$A$5:$U$5,0)))</f>
        <v/>
      </c>
      <c r="K54" s="10">
        <f>IF($A54="","",INDEX(Metrics!$A$6:$U$305,MATCH($A54,Metrics!$U$6:$U$305,0),MATCH(K$5,Metrics!$A$5:$U$5,0)))</f>
        <v>119</v>
      </c>
      <c r="L54">
        <f>IF($A54="","",INDEX(Metrics!$A$6:$U$305,MATCH($A54,Metrics!$U$6:$U$305,0),MATCH(L$5,Metrics!$A$5:$U$5,0)))</f>
        <v>119</v>
      </c>
      <c r="M54">
        <f>IF($A54="","",INDEX(Metrics!$A$6:$U$305,MATCH($A54,Metrics!$U$6:$U$305,0),MATCH(M$5,Metrics!$A$5:$U$5,0)))</f>
        <v>119</v>
      </c>
      <c r="N54">
        <f>IF($A54="","",INDEX(Metrics!$A$6:$U$305,MATCH($A54,Metrics!$U$6:$U$305,0),MATCH(N$5,Metrics!$A$5:$U$5,0)))</f>
        <v>119</v>
      </c>
      <c r="O54">
        <f>IF($A54="","",INDEX(Metrics!$A$6:$U$305,MATCH($A54,Metrics!$U$6:$U$305,0),MATCH(O$5,Metrics!$A$5:$U$5,0)))</f>
        <v>119</v>
      </c>
      <c r="P54">
        <f>IF($A54="","",INDEX(Metrics!$A$6:$U$305,MATCH($A54,Metrics!$U$6:$U$305,0),MATCH(P$5,Metrics!$A$5:$U$5,0)))</f>
        <v>119</v>
      </c>
    </row>
    <row r="55" spans="1:16" x14ac:dyDescent="0.4">
      <c r="A55">
        <f t="shared" si="0"/>
        <v>50</v>
      </c>
      <c r="B55" t="str">
        <f>IF($A55="","",INDEX(Metrics!$A$6:$U$305,MATCH($A55,Metrics!$U$6:$U$305,0),MATCH(B$5,Metrics!$A$5:$U$5,0)))</f>
        <v>HTWS</v>
      </c>
      <c r="C55" t="str">
        <f>IF($A55="","",INDEX(Metrics!$A$6:$U$305,MATCH($A55,Metrics!$U$6:$U$305,0),MATCH(C$5,Metrics!$A$5:$U$5,0)))</f>
        <v>Helios Towers</v>
      </c>
      <c r="D55" t="str">
        <f>IF($A55="","",INDEX(Metrics!$A$6:$U$305,MATCH($A55,Metrics!$U$6:$U$305,0),MATCH(D$5,Metrics!$A$5:$U$5,0)))</f>
        <v>Telecommunications</v>
      </c>
      <c r="E55" s="14" t="e">
        <f>IF($A55="","",INDEX(Metrics!$A$6:$U$305,MATCH($A55,Metrics!$U$6:$U$305,0),MATCH(E$5,Metrics!$A$5:$U$5,0)))</f>
        <v>#N/A</v>
      </c>
      <c r="F55" s="7" t="str">
        <f>IF($A55="","",INDEX(Metrics!$A$6:$U$305,MATCH($A55,Metrics!$U$6:$U$305,0),MATCH(F$5,Metrics!$A$5:$U$5,0)))</f>
        <v/>
      </c>
      <c r="G55" s="9" t="str">
        <f>IF($A55="","",INDEX(Metrics!$A$6:$U$305,MATCH($A55,Metrics!$U$6:$U$305,0),MATCH(G$5,Metrics!$A$5:$U$5,0)))</f>
        <v/>
      </c>
      <c r="H55" s="9" t="str">
        <f>IF($A55="","",INDEX(Metrics!$A$6:$U$305,MATCH($A55,Metrics!$U$6:$U$305,0),MATCH(H$5,Metrics!$A$5:$U$5,0)))</f>
        <v>n/m</v>
      </c>
      <c r="I55" s="7" t="str">
        <f>IF($A55="","",INDEX(Metrics!$A$6:$U$305,MATCH($A55,Metrics!$U$6:$U$305,0),MATCH(I$5,Metrics!$A$5:$U$5,0)))</f>
        <v/>
      </c>
      <c r="J55" s="9" t="str">
        <f>IF($A55="","",INDEX(Metrics!$A$6:$U$305,MATCH($A55,Metrics!$U$6:$U$305,0),MATCH(J$5,Metrics!$A$5:$U$5,0)))</f>
        <v/>
      </c>
      <c r="K55" s="10">
        <f>IF($A55="","",INDEX(Metrics!$A$6:$U$305,MATCH($A55,Metrics!$U$6:$U$305,0),MATCH(K$5,Metrics!$A$5:$U$5,0)))</f>
        <v>119</v>
      </c>
      <c r="L55">
        <f>IF($A55="","",INDEX(Metrics!$A$6:$U$305,MATCH($A55,Metrics!$U$6:$U$305,0),MATCH(L$5,Metrics!$A$5:$U$5,0)))</f>
        <v>119</v>
      </c>
      <c r="M55">
        <f>IF($A55="","",INDEX(Metrics!$A$6:$U$305,MATCH($A55,Metrics!$U$6:$U$305,0),MATCH(M$5,Metrics!$A$5:$U$5,0)))</f>
        <v>119</v>
      </c>
      <c r="N55">
        <f>IF($A55="","",INDEX(Metrics!$A$6:$U$305,MATCH($A55,Metrics!$U$6:$U$305,0),MATCH(N$5,Metrics!$A$5:$U$5,0)))</f>
        <v>119</v>
      </c>
      <c r="O55">
        <f>IF($A55="","",INDEX(Metrics!$A$6:$U$305,MATCH($A55,Metrics!$U$6:$U$305,0),MATCH(O$5,Metrics!$A$5:$U$5,0)))</f>
        <v>119</v>
      </c>
      <c r="P55">
        <f>IF($A55="","",INDEX(Metrics!$A$6:$U$305,MATCH($A55,Metrics!$U$6:$U$305,0),MATCH(P$5,Metrics!$A$5:$U$5,0)))</f>
        <v>119</v>
      </c>
    </row>
    <row r="56" spans="1:16" x14ac:dyDescent="0.4">
      <c r="A56">
        <f t="shared" si="0"/>
        <v>51</v>
      </c>
      <c r="B56" t="str">
        <f>IF($A56="","",INDEX(Metrics!$A$6:$U$305,MATCH($A56,Metrics!$U$6:$U$305,0),MATCH(B$5,Metrics!$A$5:$U$5,0)))</f>
        <v>HIK</v>
      </c>
      <c r="C56" t="str">
        <f>IF($A56="","",INDEX(Metrics!$A$6:$U$305,MATCH($A56,Metrics!$U$6:$U$305,0),MATCH(C$5,Metrics!$A$5:$U$5,0)))</f>
        <v>Hikma Pharmaceuticals</v>
      </c>
      <c r="D56" t="str">
        <f>IF($A56="","",INDEX(Metrics!$A$6:$U$305,MATCH($A56,Metrics!$U$6:$U$305,0),MATCH(D$5,Metrics!$A$5:$U$5,0)))</f>
        <v>Health Care</v>
      </c>
      <c r="E56" s="14" t="e">
        <f>IF($A56="","",INDEX(Metrics!$A$6:$U$305,MATCH($A56,Metrics!$U$6:$U$305,0),MATCH(E$5,Metrics!$A$5:$U$5,0)))</f>
        <v>#N/A</v>
      </c>
      <c r="F56" s="7" t="str">
        <f>IF($A56="","",INDEX(Metrics!$A$6:$U$305,MATCH($A56,Metrics!$U$6:$U$305,0),MATCH(F$5,Metrics!$A$5:$U$5,0)))</f>
        <v/>
      </c>
      <c r="G56" s="9" t="str">
        <f>IF($A56="","",INDEX(Metrics!$A$6:$U$305,MATCH($A56,Metrics!$U$6:$U$305,0),MATCH(G$5,Metrics!$A$5:$U$5,0)))</f>
        <v/>
      </c>
      <c r="H56" s="9" t="str">
        <f>IF($A56="","",INDEX(Metrics!$A$6:$U$305,MATCH($A56,Metrics!$U$6:$U$305,0),MATCH(H$5,Metrics!$A$5:$U$5,0)))</f>
        <v>n/m</v>
      </c>
      <c r="I56" s="7" t="str">
        <f>IF($A56="","",INDEX(Metrics!$A$6:$U$305,MATCH($A56,Metrics!$U$6:$U$305,0),MATCH(I$5,Metrics!$A$5:$U$5,0)))</f>
        <v/>
      </c>
      <c r="J56" s="9" t="str">
        <f>IF($A56="","",INDEX(Metrics!$A$6:$U$305,MATCH($A56,Metrics!$U$6:$U$305,0),MATCH(J$5,Metrics!$A$5:$U$5,0)))</f>
        <v/>
      </c>
      <c r="K56" s="10">
        <f>IF($A56="","",INDEX(Metrics!$A$6:$U$305,MATCH($A56,Metrics!$U$6:$U$305,0),MATCH(K$5,Metrics!$A$5:$U$5,0)))</f>
        <v>119</v>
      </c>
      <c r="L56">
        <f>IF($A56="","",INDEX(Metrics!$A$6:$U$305,MATCH($A56,Metrics!$U$6:$U$305,0),MATCH(L$5,Metrics!$A$5:$U$5,0)))</f>
        <v>119</v>
      </c>
      <c r="M56">
        <f>IF($A56="","",INDEX(Metrics!$A$6:$U$305,MATCH($A56,Metrics!$U$6:$U$305,0),MATCH(M$5,Metrics!$A$5:$U$5,0)))</f>
        <v>119</v>
      </c>
      <c r="N56">
        <f>IF($A56="","",INDEX(Metrics!$A$6:$U$305,MATCH($A56,Metrics!$U$6:$U$305,0),MATCH(N$5,Metrics!$A$5:$U$5,0)))</f>
        <v>119</v>
      </c>
      <c r="O56">
        <f>IF($A56="","",INDEX(Metrics!$A$6:$U$305,MATCH($A56,Metrics!$U$6:$U$305,0),MATCH(O$5,Metrics!$A$5:$U$5,0)))</f>
        <v>119</v>
      </c>
      <c r="P56">
        <f>IF($A56="","",INDEX(Metrics!$A$6:$U$305,MATCH($A56,Metrics!$U$6:$U$305,0),MATCH(P$5,Metrics!$A$5:$U$5,0)))</f>
        <v>119</v>
      </c>
    </row>
    <row r="57" spans="1:16" x14ac:dyDescent="0.4">
      <c r="A57">
        <f t="shared" si="0"/>
        <v>52</v>
      </c>
      <c r="B57" t="str">
        <f>IF($A57="","",INDEX(Metrics!$A$6:$U$305,MATCH($A57,Metrics!$U$6:$U$305,0),MATCH(B$5,Metrics!$A$5:$U$5,0)))</f>
        <v>HILS</v>
      </c>
      <c r="C57" t="str">
        <f>IF($A57="","",INDEX(Metrics!$A$6:$U$305,MATCH($A57,Metrics!$U$6:$U$305,0),MATCH(C$5,Metrics!$A$5:$U$5,0)))</f>
        <v>Hill &amp; Smith</v>
      </c>
      <c r="D57" t="str">
        <f>IF($A57="","",INDEX(Metrics!$A$6:$U$305,MATCH($A57,Metrics!$U$6:$U$305,0),MATCH(D$5,Metrics!$A$5:$U$5,0)))</f>
        <v>Industrials</v>
      </c>
      <c r="E57" s="14" t="e">
        <f>IF($A57="","",INDEX(Metrics!$A$6:$U$305,MATCH($A57,Metrics!$U$6:$U$305,0),MATCH(E$5,Metrics!$A$5:$U$5,0)))</f>
        <v>#N/A</v>
      </c>
      <c r="F57" s="7" t="str">
        <f>IF($A57="","",INDEX(Metrics!$A$6:$U$305,MATCH($A57,Metrics!$U$6:$U$305,0),MATCH(F$5,Metrics!$A$5:$U$5,0)))</f>
        <v/>
      </c>
      <c r="G57" s="9" t="str">
        <f>IF($A57="","",INDEX(Metrics!$A$6:$U$305,MATCH($A57,Metrics!$U$6:$U$305,0),MATCH(G$5,Metrics!$A$5:$U$5,0)))</f>
        <v/>
      </c>
      <c r="H57" s="9" t="str">
        <f>IF($A57="","",INDEX(Metrics!$A$6:$U$305,MATCH($A57,Metrics!$U$6:$U$305,0),MATCH(H$5,Metrics!$A$5:$U$5,0)))</f>
        <v>n/m</v>
      </c>
      <c r="I57" s="7" t="str">
        <f>IF($A57="","",INDEX(Metrics!$A$6:$U$305,MATCH($A57,Metrics!$U$6:$U$305,0),MATCH(I$5,Metrics!$A$5:$U$5,0)))</f>
        <v/>
      </c>
      <c r="J57" s="9" t="str">
        <f>IF($A57="","",INDEX(Metrics!$A$6:$U$305,MATCH($A57,Metrics!$U$6:$U$305,0),MATCH(J$5,Metrics!$A$5:$U$5,0)))</f>
        <v/>
      </c>
      <c r="K57" s="10">
        <f>IF($A57="","",INDEX(Metrics!$A$6:$U$305,MATCH($A57,Metrics!$U$6:$U$305,0),MATCH(K$5,Metrics!$A$5:$U$5,0)))</f>
        <v>119</v>
      </c>
      <c r="L57">
        <f>IF($A57="","",INDEX(Metrics!$A$6:$U$305,MATCH($A57,Metrics!$U$6:$U$305,0),MATCH(L$5,Metrics!$A$5:$U$5,0)))</f>
        <v>119</v>
      </c>
      <c r="M57">
        <f>IF($A57="","",INDEX(Metrics!$A$6:$U$305,MATCH($A57,Metrics!$U$6:$U$305,0),MATCH(M$5,Metrics!$A$5:$U$5,0)))</f>
        <v>119</v>
      </c>
      <c r="N57">
        <f>IF($A57="","",INDEX(Metrics!$A$6:$U$305,MATCH($A57,Metrics!$U$6:$U$305,0),MATCH(N$5,Metrics!$A$5:$U$5,0)))</f>
        <v>119</v>
      </c>
      <c r="O57">
        <f>IF($A57="","",INDEX(Metrics!$A$6:$U$305,MATCH($A57,Metrics!$U$6:$U$305,0),MATCH(O$5,Metrics!$A$5:$U$5,0)))</f>
        <v>119</v>
      </c>
      <c r="P57">
        <f>IF($A57="","",INDEX(Metrics!$A$6:$U$305,MATCH($A57,Metrics!$U$6:$U$305,0),MATCH(P$5,Metrics!$A$5:$U$5,0)))</f>
        <v>119</v>
      </c>
    </row>
    <row r="58" spans="1:16" x14ac:dyDescent="0.4">
      <c r="A58">
        <f t="shared" si="0"/>
        <v>53</v>
      </c>
      <c r="B58" t="str">
        <f>IF($A58="","",INDEX(Metrics!$A$6:$U$305,MATCH($A58,Metrics!$U$6:$U$305,0),MATCH(B$5,Metrics!$A$5:$U$5,0)))</f>
        <v>HFG</v>
      </c>
      <c r="C58" t="str">
        <f>IF($A58="","",INDEX(Metrics!$A$6:$U$305,MATCH($A58,Metrics!$U$6:$U$305,0),MATCH(C$5,Metrics!$A$5:$U$5,0)))</f>
        <v>Hilton Food Group</v>
      </c>
      <c r="D58" t="str">
        <f>IF($A58="","",INDEX(Metrics!$A$6:$U$305,MATCH($A58,Metrics!$U$6:$U$305,0),MATCH(D$5,Metrics!$A$5:$U$5,0)))</f>
        <v>Consumer Staples</v>
      </c>
      <c r="E58" s="14" t="e">
        <f>IF($A58="","",INDEX(Metrics!$A$6:$U$305,MATCH($A58,Metrics!$U$6:$U$305,0),MATCH(E$5,Metrics!$A$5:$U$5,0)))</f>
        <v>#N/A</v>
      </c>
      <c r="F58" s="7" t="str">
        <f>IF($A58="","",INDEX(Metrics!$A$6:$U$305,MATCH($A58,Metrics!$U$6:$U$305,0),MATCH(F$5,Metrics!$A$5:$U$5,0)))</f>
        <v/>
      </c>
      <c r="G58" s="9" t="str">
        <f>IF($A58="","",INDEX(Metrics!$A$6:$U$305,MATCH($A58,Metrics!$U$6:$U$305,0),MATCH(G$5,Metrics!$A$5:$U$5,0)))</f>
        <v/>
      </c>
      <c r="H58" s="9" t="str">
        <f>IF($A58="","",INDEX(Metrics!$A$6:$U$305,MATCH($A58,Metrics!$U$6:$U$305,0),MATCH(H$5,Metrics!$A$5:$U$5,0)))</f>
        <v>n/m</v>
      </c>
      <c r="I58" s="7" t="str">
        <f>IF($A58="","",INDEX(Metrics!$A$6:$U$305,MATCH($A58,Metrics!$U$6:$U$305,0),MATCH(I$5,Metrics!$A$5:$U$5,0)))</f>
        <v/>
      </c>
      <c r="J58" s="9" t="str">
        <f>IF($A58="","",INDEX(Metrics!$A$6:$U$305,MATCH($A58,Metrics!$U$6:$U$305,0),MATCH(J$5,Metrics!$A$5:$U$5,0)))</f>
        <v/>
      </c>
      <c r="K58" s="10">
        <f>IF($A58="","",INDEX(Metrics!$A$6:$U$305,MATCH($A58,Metrics!$U$6:$U$305,0),MATCH(K$5,Metrics!$A$5:$U$5,0)))</f>
        <v>119</v>
      </c>
      <c r="L58">
        <f>IF($A58="","",INDEX(Metrics!$A$6:$U$305,MATCH($A58,Metrics!$U$6:$U$305,0),MATCH(L$5,Metrics!$A$5:$U$5,0)))</f>
        <v>119</v>
      </c>
      <c r="M58">
        <f>IF($A58="","",INDEX(Metrics!$A$6:$U$305,MATCH($A58,Metrics!$U$6:$U$305,0),MATCH(M$5,Metrics!$A$5:$U$5,0)))</f>
        <v>119</v>
      </c>
      <c r="N58">
        <f>IF($A58="","",INDEX(Metrics!$A$6:$U$305,MATCH($A58,Metrics!$U$6:$U$305,0),MATCH(N$5,Metrics!$A$5:$U$5,0)))</f>
        <v>119</v>
      </c>
      <c r="O58">
        <f>IF($A58="","",INDEX(Metrics!$A$6:$U$305,MATCH($A58,Metrics!$U$6:$U$305,0),MATCH(O$5,Metrics!$A$5:$U$5,0)))</f>
        <v>119</v>
      </c>
      <c r="P58">
        <f>IF($A58="","",INDEX(Metrics!$A$6:$U$305,MATCH($A58,Metrics!$U$6:$U$305,0),MATCH(P$5,Metrics!$A$5:$U$5,0)))</f>
        <v>119</v>
      </c>
    </row>
    <row r="59" spans="1:16" x14ac:dyDescent="0.4">
      <c r="A59">
        <f t="shared" si="0"/>
        <v>54</v>
      </c>
      <c r="B59" t="str">
        <f>IF($A59="","",INDEX(Metrics!$A$6:$U$305,MATCH($A59,Metrics!$U$6:$U$305,0),MATCH(B$5,Metrics!$A$5:$U$5,0)))</f>
        <v>HOC</v>
      </c>
      <c r="C59" t="str">
        <f>IF($A59="","",INDEX(Metrics!$A$6:$U$305,MATCH($A59,Metrics!$U$6:$U$305,0),MATCH(C$5,Metrics!$A$5:$U$5,0)))</f>
        <v>Hochschild Mining</v>
      </c>
      <c r="D59" t="str">
        <f>IF($A59="","",INDEX(Metrics!$A$6:$U$305,MATCH($A59,Metrics!$U$6:$U$305,0),MATCH(D$5,Metrics!$A$5:$U$5,0)))</f>
        <v>Basic Materials</v>
      </c>
      <c r="E59" s="14" t="e">
        <f>IF($A59="","",INDEX(Metrics!$A$6:$U$305,MATCH($A59,Metrics!$U$6:$U$305,0),MATCH(E$5,Metrics!$A$5:$U$5,0)))</f>
        <v>#N/A</v>
      </c>
      <c r="F59" s="7" t="str">
        <f>IF($A59="","",INDEX(Metrics!$A$6:$U$305,MATCH($A59,Metrics!$U$6:$U$305,0),MATCH(F$5,Metrics!$A$5:$U$5,0)))</f>
        <v/>
      </c>
      <c r="G59" s="9" t="str">
        <f>IF($A59="","",INDEX(Metrics!$A$6:$U$305,MATCH($A59,Metrics!$U$6:$U$305,0),MATCH(G$5,Metrics!$A$5:$U$5,0)))</f>
        <v/>
      </c>
      <c r="H59" s="9" t="str">
        <f>IF($A59="","",INDEX(Metrics!$A$6:$U$305,MATCH($A59,Metrics!$U$6:$U$305,0),MATCH(H$5,Metrics!$A$5:$U$5,0)))</f>
        <v>n/m</v>
      </c>
      <c r="I59" s="7" t="str">
        <f>IF($A59="","",INDEX(Metrics!$A$6:$U$305,MATCH($A59,Metrics!$U$6:$U$305,0),MATCH(I$5,Metrics!$A$5:$U$5,0)))</f>
        <v/>
      </c>
      <c r="J59" s="9" t="str">
        <f>IF($A59="","",INDEX(Metrics!$A$6:$U$305,MATCH($A59,Metrics!$U$6:$U$305,0),MATCH(J$5,Metrics!$A$5:$U$5,0)))</f>
        <v/>
      </c>
      <c r="K59" s="10">
        <f>IF($A59="","",INDEX(Metrics!$A$6:$U$305,MATCH($A59,Metrics!$U$6:$U$305,0),MATCH(K$5,Metrics!$A$5:$U$5,0)))</f>
        <v>119</v>
      </c>
      <c r="L59">
        <f>IF($A59="","",INDEX(Metrics!$A$6:$U$305,MATCH($A59,Metrics!$U$6:$U$305,0),MATCH(L$5,Metrics!$A$5:$U$5,0)))</f>
        <v>119</v>
      </c>
      <c r="M59">
        <f>IF($A59="","",INDEX(Metrics!$A$6:$U$305,MATCH($A59,Metrics!$U$6:$U$305,0),MATCH(M$5,Metrics!$A$5:$U$5,0)))</f>
        <v>119</v>
      </c>
      <c r="N59">
        <f>IF($A59="","",INDEX(Metrics!$A$6:$U$305,MATCH($A59,Metrics!$U$6:$U$305,0),MATCH(N$5,Metrics!$A$5:$U$5,0)))</f>
        <v>119</v>
      </c>
      <c r="O59">
        <f>IF($A59="","",INDEX(Metrics!$A$6:$U$305,MATCH($A59,Metrics!$U$6:$U$305,0),MATCH(O$5,Metrics!$A$5:$U$5,0)))</f>
        <v>119</v>
      </c>
      <c r="P59">
        <f>IF($A59="","",INDEX(Metrics!$A$6:$U$305,MATCH($A59,Metrics!$U$6:$U$305,0),MATCH(P$5,Metrics!$A$5:$U$5,0)))</f>
        <v>119</v>
      </c>
    </row>
    <row r="60" spans="1:16" x14ac:dyDescent="0.4">
      <c r="A60">
        <f t="shared" si="0"/>
        <v>55</v>
      </c>
      <c r="B60" t="str">
        <f>IF($A60="","",INDEX(Metrics!$A$6:$U$305,MATCH($A60,Metrics!$U$6:$U$305,0),MATCH(B$5,Metrics!$A$5:$U$5,0)))</f>
        <v>BOWL</v>
      </c>
      <c r="C60" t="str">
        <f>IF($A60="","",INDEX(Metrics!$A$6:$U$305,MATCH($A60,Metrics!$U$6:$U$305,0),MATCH(C$5,Metrics!$A$5:$U$5,0)))</f>
        <v>Hollywood Bowl Group</v>
      </c>
      <c r="D60" t="str">
        <f>IF($A60="","",INDEX(Metrics!$A$6:$U$305,MATCH($A60,Metrics!$U$6:$U$305,0),MATCH(D$5,Metrics!$A$5:$U$5,0)))</f>
        <v>Consumer Discretionary</v>
      </c>
      <c r="E60" s="14" t="e">
        <f>IF($A60="","",INDEX(Metrics!$A$6:$U$305,MATCH($A60,Metrics!$U$6:$U$305,0),MATCH(E$5,Metrics!$A$5:$U$5,0)))</f>
        <v>#N/A</v>
      </c>
      <c r="F60" s="7" t="str">
        <f>IF($A60="","",INDEX(Metrics!$A$6:$U$305,MATCH($A60,Metrics!$U$6:$U$305,0),MATCH(F$5,Metrics!$A$5:$U$5,0)))</f>
        <v/>
      </c>
      <c r="G60" s="9" t="str">
        <f>IF($A60="","",INDEX(Metrics!$A$6:$U$305,MATCH($A60,Metrics!$U$6:$U$305,0),MATCH(G$5,Metrics!$A$5:$U$5,0)))</f>
        <v/>
      </c>
      <c r="H60" s="9" t="str">
        <f>IF($A60="","",INDEX(Metrics!$A$6:$U$305,MATCH($A60,Metrics!$U$6:$U$305,0),MATCH(H$5,Metrics!$A$5:$U$5,0)))</f>
        <v>n/m</v>
      </c>
      <c r="I60" s="7" t="str">
        <f>IF($A60="","",INDEX(Metrics!$A$6:$U$305,MATCH($A60,Metrics!$U$6:$U$305,0),MATCH(I$5,Metrics!$A$5:$U$5,0)))</f>
        <v/>
      </c>
      <c r="J60" s="9" t="str">
        <f>IF($A60="","",INDEX(Metrics!$A$6:$U$305,MATCH($A60,Metrics!$U$6:$U$305,0),MATCH(J$5,Metrics!$A$5:$U$5,0)))</f>
        <v/>
      </c>
      <c r="K60" s="10">
        <f>IF($A60="","",INDEX(Metrics!$A$6:$U$305,MATCH($A60,Metrics!$U$6:$U$305,0),MATCH(K$5,Metrics!$A$5:$U$5,0)))</f>
        <v>119</v>
      </c>
      <c r="L60">
        <f>IF($A60="","",INDEX(Metrics!$A$6:$U$305,MATCH($A60,Metrics!$U$6:$U$305,0),MATCH(L$5,Metrics!$A$5:$U$5,0)))</f>
        <v>119</v>
      </c>
      <c r="M60">
        <f>IF($A60="","",INDEX(Metrics!$A$6:$U$305,MATCH($A60,Metrics!$U$6:$U$305,0),MATCH(M$5,Metrics!$A$5:$U$5,0)))</f>
        <v>119</v>
      </c>
      <c r="N60">
        <f>IF($A60="","",INDEX(Metrics!$A$6:$U$305,MATCH($A60,Metrics!$U$6:$U$305,0),MATCH(N$5,Metrics!$A$5:$U$5,0)))</f>
        <v>119</v>
      </c>
      <c r="O60">
        <f>IF($A60="","",INDEX(Metrics!$A$6:$U$305,MATCH($A60,Metrics!$U$6:$U$305,0),MATCH(O$5,Metrics!$A$5:$U$5,0)))</f>
        <v>119</v>
      </c>
      <c r="P60">
        <f>IF($A60="","",INDEX(Metrics!$A$6:$U$305,MATCH($A60,Metrics!$U$6:$U$305,0),MATCH(P$5,Metrics!$A$5:$U$5,0)))</f>
        <v>119</v>
      </c>
    </row>
    <row r="61" spans="1:16" x14ac:dyDescent="0.4">
      <c r="A61">
        <f t="shared" si="0"/>
        <v>56</v>
      </c>
      <c r="B61" t="str">
        <f>IF($A61="","",INDEX(Metrics!$A$6:$U$305,MATCH($A61,Metrics!$U$6:$U$305,0),MATCH(B$5,Metrics!$A$5:$U$5,0)))</f>
        <v>HTG</v>
      </c>
      <c r="C61" t="str">
        <f>IF($A61="","",INDEX(Metrics!$A$6:$U$305,MATCH($A61,Metrics!$U$6:$U$305,0),MATCH(C$5,Metrics!$A$5:$U$5,0)))</f>
        <v>Hunting</v>
      </c>
      <c r="D61" t="str">
        <f>IF($A61="","",INDEX(Metrics!$A$6:$U$305,MATCH($A61,Metrics!$U$6:$U$305,0),MATCH(D$5,Metrics!$A$5:$U$5,0)))</f>
        <v>Energy</v>
      </c>
      <c r="E61" s="14" t="e">
        <f>IF($A61="","",INDEX(Metrics!$A$6:$U$305,MATCH($A61,Metrics!$U$6:$U$305,0),MATCH(E$5,Metrics!$A$5:$U$5,0)))</f>
        <v>#N/A</v>
      </c>
      <c r="F61" s="7" t="str">
        <f>IF($A61="","",INDEX(Metrics!$A$6:$U$305,MATCH($A61,Metrics!$U$6:$U$305,0),MATCH(F$5,Metrics!$A$5:$U$5,0)))</f>
        <v/>
      </c>
      <c r="G61" s="9" t="str">
        <f>IF($A61="","",INDEX(Metrics!$A$6:$U$305,MATCH($A61,Metrics!$U$6:$U$305,0),MATCH(G$5,Metrics!$A$5:$U$5,0)))</f>
        <v/>
      </c>
      <c r="H61" s="9" t="str">
        <f>IF($A61="","",INDEX(Metrics!$A$6:$U$305,MATCH($A61,Metrics!$U$6:$U$305,0),MATCH(H$5,Metrics!$A$5:$U$5,0)))</f>
        <v>n/m</v>
      </c>
      <c r="I61" s="7" t="str">
        <f>IF($A61="","",INDEX(Metrics!$A$6:$U$305,MATCH($A61,Metrics!$U$6:$U$305,0),MATCH(I$5,Metrics!$A$5:$U$5,0)))</f>
        <v/>
      </c>
      <c r="J61" s="9" t="str">
        <f>IF($A61="","",INDEX(Metrics!$A$6:$U$305,MATCH($A61,Metrics!$U$6:$U$305,0),MATCH(J$5,Metrics!$A$5:$U$5,0)))</f>
        <v/>
      </c>
      <c r="K61" s="10">
        <f>IF($A61="","",INDEX(Metrics!$A$6:$U$305,MATCH($A61,Metrics!$U$6:$U$305,0),MATCH(K$5,Metrics!$A$5:$U$5,0)))</f>
        <v>119</v>
      </c>
      <c r="L61">
        <f>IF($A61="","",INDEX(Metrics!$A$6:$U$305,MATCH($A61,Metrics!$U$6:$U$305,0),MATCH(L$5,Metrics!$A$5:$U$5,0)))</f>
        <v>119</v>
      </c>
      <c r="M61">
        <f>IF($A61="","",INDEX(Metrics!$A$6:$U$305,MATCH($A61,Metrics!$U$6:$U$305,0),MATCH(M$5,Metrics!$A$5:$U$5,0)))</f>
        <v>119</v>
      </c>
      <c r="N61">
        <f>IF($A61="","",INDEX(Metrics!$A$6:$U$305,MATCH($A61,Metrics!$U$6:$U$305,0),MATCH(N$5,Metrics!$A$5:$U$5,0)))</f>
        <v>119</v>
      </c>
      <c r="O61">
        <f>IF($A61="","",INDEX(Metrics!$A$6:$U$305,MATCH($A61,Metrics!$U$6:$U$305,0),MATCH(O$5,Metrics!$A$5:$U$5,0)))</f>
        <v>119</v>
      </c>
      <c r="P61">
        <f>IF($A61="","",INDEX(Metrics!$A$6:$U$305,MATCH($A61,Metrics!$U$6:$U$305,0),MATCH(P$5,Metrics!$A$5:$U$5,0)))</f>
        <v>119</v>
      </c>
    </row>
    <row r="62" spans="1:16" x14ac:dyDescent="0.4">
      <c r="A62">
        <f t="shared" si="0"/>
        <v>57</v>
      </c>
      <c r="B62" t="str">
        <f>IF($A62="","",INDEX(Metrics!$A$6:$U$305,MATCH($A62,Metrics!$U$6:$U$305,0),MATCH(B$5,Metrics!$A$5:$U$5,0)))</f>
        <v>INCH</v>
      </c>
      <c r="C62" t="str">
        <f>IF($A62="","",INDEX(Metrics!$A$6:$U$305,MATCH($A62,Metrics!$U$6:$U$305,0),MATCH(C$5,Metrics!$A$5:$U$5,0)))</f>
        <v>Inchcape</v>
      </c>
      <c r="D62" t="str">
        <f>IF($A62="","",INDEX(Metrics!$A$6:$U$305,MATCH($A62,Metrics!$U$6:$U$305,0),MATCH(D$5,Metrics!$A$5:$U$5,0)))</f>
        <v>Consumer Discretionary</v>
      </c>
      <c r="E62" s="14" t="e">
        <f>IF($A62="","",INDEX(Metrics!$A$6:$U$305,MATCH($A62,Metrics!$U$6:$U$305,0),MATCH(E$5,Metrics!$A$5:$U$5,0)))</f>
        <v>#N/A</v>
      </c>
      <c r="F62" s="7" t="str">
        <f>IF($A62="","",INDEX(Metrics!$A$6:$U$305,MATCH($A62,Metrics!$U$6:$U$305,0),MATCH(F$5,Metrics!$A$5:$U$5,0)))</f>
        <v/>
      </c>
      <c r="G62" s="9" t="str">
        <f>IF($A62="","",INDEX(Metrics!$A$6:$U$305,MATCH($A62,Metrics!$U$6:$U$305,0),MATCH(G$5,Metrics!$A$5:$U$5,0)))</f>
        <v/>
      </c>
      <c r="H62" s="9" t="str">
        <f>IF($A62="","",INDEX(Metrics!$A$6:$U$305,MATCH($A62,Metrics!$U$6:$U$305,0),MATCH(H$5,Metrics!$A$5:$U$5,0)))</f>
        <v>n/m</v>
      </c>
      <c r="I62" s="7" t="str">
        <f>IF($A62="","",INDEX(Metrics!$A$6:$U$305,MATCH($A62,Metrics!$U$6:$U$305,0),MATCH(I$5,Metrics!$A$5:$U$5,0)))</f>
        <v/>
      </c>
      <c r="J62" s="9" t="str">
        <f>IF($A62="","",INDEX(Metrics!$A$6:$U$305,MATCH($A62,Metrics!$U$6:$U$305,0),MATCH(J$5,Metrics!$A$5:$U$5,0)))</f>
        <v/>
      </c>
      <c r="K62" s="10">
        <f>IF($A62="","",INDEX(Metrics!$A$6:$U$305,MATCH($A62,Metrics!$U$6:$U$305,0),MATCH(K$5,Metrics!$A$5:$U$5,0)))</f>
        <v>119</v>
      </c>
      <c r="L62">
        <f>IF($A62="","",INDEX(Metrics!$A$6:$U$305,MATCH($A62,Metrics!$U$6:$U$305,0),MATCH(L$5,Metrics!$A$5:$U$5,0)))</f>
        <v>119</v>
      </c>
      <c r="M62">
        <f>IF($A62="","",INDEX(Metrics!$A$6:$U$305,MATCH($A62,Metrics!$U$6:$U$305,0),MATCH(M$5,Metrics!$A$5:$U$5,0)))</f>
        <v>119</v>
      </c>
      <c r="N62">
        <f>IF($A62="","",INDEX(Metrics!$A$6:$U$305,MATCH($A62,Metrics!$U$6:$U$305,0),MATCH(N$5,Metrics!$A$5:$U$5,0)))</f>
        <v>119</v>
      </c>
      <c r="O62">
        <f>IF($A62="","",INDEX(Metrics!$A$6:$U$305,MATCH($A62,Metrics!$U$6:$U$305,0),MATCH(O$5,Metrics!$A$5:$U$5,0)))</f>
        <v>119</v>
      </c>
      <c r="P62">
        <f>IF($A62="","",INDEX(Metrics!$A$6:$U$305,MATCH($A62,Metrics!$U$6:$U$305,0),MATCH(P$5,Metrics!$A$5:$U$5,0)))</f>
        <v>119</v>
      </c>
    </row>
    <row r="63" spans="1:16" x14ac:dyDescent="0.4">
      <c r="A63">
        <f t="shared" si="0"/>
        <v>58</v>
      </c>
      <c r="B63" t="str">
        <f>IF($A63="","",INDEX(Metrics!$A$6:$U$305,MATCH($A63,Metrics!$U$6:$U$305,0),MATCH(B$5,Metrics!$A$5:$U$5,0)))</f>
        <v>IWG</v>
      </c>
      <c r="C63" t="str">
        <f>IF($A63="","",INDEX(Metrics!$A$6:$U$305,MATCH($A63,Metrics!$U$6:$U$305,0),MATCH(C$5,Metrics!$A$5:$U$5,0)))</f>
        <v>International Workplace Group</v>
      </c>
      <c r="D63" t="str">
        <f>IF($A63="","",INDEX(Metrics!$A$6:$U$305,MATCH($A63,Metrics!$U$6:$U$305,0),MATCH(D$5,Metrics!$A$5:$U$5,0)))</f>
        <v>Industrials</v>
      </c>
      <c r="E63" s="14" t="e">
        <f>IF($A63="","",INDEX(Metrics!$A$6:$U$305,MATCH($A63,Metrics!$U$6:$U$305,0),MATCH(E$5,Metrics!$A$5:$U$5,0)))</f>
        <v>#N/A</v>
      </c>
      <c r="F63" s="7" t="str">
        <f>IF($A63="","",INDEX(Metrics!$A$6:$U$305,MATCH($A63,Metrics!$U$6:$U$305,0),MATCH(F$5,Metrics!$A$5:$U$5,0)))</f>
        <v/>
      </c>
      <c r="G63" s="9" t="str">
        <f>IF($A63="","",INDEX(Metrics!$A$6:$U$305,MATCH($A63,Metrics!$U$6:$U$305,0),MATCH(G$5,Metrics!$A$5:$U$5,0)))</f>
        <v/>
      </c>
      <c r="H63" s="9" t="str">
        <f>IF($A63="","",INDEX(Metrics!$A$6:$U$305,MATCH($A63,Metrics!$U$6:$U$305,0),MATCH(H$5,Metrics!$A$5:$U$5,0)))</f>
        <v>n/m</v>
      </c>
      <c r="I63" s="7" t="str">
        <f>IF($A63="","",INDEX(Metrics!$A$6:$U$305,MATCH($A63,Metrics!$U$6:$U$305,0),MATCH(I$5,Metrics!$A$5:$U$5,0)))</f>
        <v/>
      </c>
      <c r="J63" s="9" t="str">
        <f>IF($A63="","",INDEX(Metrics!$A$6:$U$305,MATCH($A63,Metrics!$U$6:$U$305,0),MATCH(J$5,Metrics!$A$5:$U$5,0)))</f>
        <v/>
      </c>
      <c r="K63" s="10">
        <f>IF($A63="","",INDEX(Metrics!$A$6:$U$305,MATCH($A63,Metrics!$U$6:$U$305,0),MATCH(K$5,Metrics!$A$5:$U$5,0)))</f>
        <v>119</v>
      </c>
      <c r="L63">
        <f>IF($A63="","",INDEX(Metrics!$A$6:$U$305,MATCH($A63,Metrics!$U$6:$U$305,0),MATCH(L$5,Metrics!$A$5:$U$5,0)))</f>
        <v>119</v>
      </c>
      <c r="M63">
        <f>IF($A63="","",INDEX(Metrics!$A$6:$U$305,MATCH($A63,Metrics!$U$6:$U$305,0),MATCH(M$5,Metrics!$A$5:$U$5,0)))</f>
        <v>119</v>
      </c>
      <c r="N63">
        <f>IF($A63="","",INDEX(Metrics!$A$6:$U$305,MATCH($A63,Metrics!$U$6:$U$305,0),MATCH(N$5,Metrics!$A$5:$U$5,0)))</f>
        <v>119</v>
      </c>
      <c r="O63">
        <f>IF($A63="","",INDEX(Metrics!$A$6:$U$305,MATCH($A63,Metrics!$U$6:$U$305,0),MATCH(O$5,Metrics!$A$5:$U$5,0)))</f>
        <v>119</v>
      </c>
      <c r="P63">
        <f>IF($A63="","",INDEX(Metrics!$A$6:$U$305,MATCH($A63,Metrics!$U$6:$U$305,0),MATCH(P$5,Metrics!$A$5:$U$5,0)))</f>
        <v>119</v>
      </c>
    </row>
    <row r="64" spans="1:16" x14ac:dyDescent="0.4">
      <c r="A64">
        <f t="shared" si="0"/>
        <v>59</v>
      </c>
      <c r="B64" t="str">
        <f>IF($A64="","",INDEX(Metrics!$A$6:$U$305,MATCH($A64,Metrics!$U$6:$U$305,0),MATCH(B$5,Metrics!$A$5:$U$5,0)))</f>
        <v>ITV</v>
      </c>
      <c r="C64" t="str">
        <f>IF($A64="","",INDEX(Metrics!$A$6:$U$305,MATCH($A64,Metrics!$U$6:$U$305,0),MATCH(C$5,Metrics!$A$5:$U$5,0)))</f>
        <v>ITV</v>
      </c>
      <c r="D64" t="str">
        <f>IF($A64="","",INDEX(Metrics!$A$6:$U$305,MATCH($A64,Metrics!$U$6:$U$305,0),MATCH(D$5,Metrics!$A$5:$U$5,0)))</f>
        <v>Consumer Discretionary</v>
      </c>
      <c r="E64" s="14" t="e">
        <f>IF($A64="","",INDEX(Metrics!$A$6:$U$305,MATCH($A64,Metrics!$U$6:$U$305,0),MATCH(E$5,Metrics!$A$5:$U$5,0)))</f>
        <v>#N/A</v>
      </c>
      <c r="F64" s="7" t="str">
        <f>IF($A64="","",INDEX(Metrics!$A$6:$U$305,MATCH($A64,Metrics!$U$6:$U$305,0),MATCH(F$5,Metrics!$A$5:$U$5,0)))</f>
        <v/>
      </c>
      <c r="G64" s="9" t="str">
        <f>IF($A64="","",INDEX(Metrics!$A$6:$U$305,MATCH($A64,Metrics!$U$6:$U$305,0),MATCH(G$5,Metrics!$A$5:$U$5,0)))</f>
        <v/>
      </c>
      <c r="H64" s="9" t="str">
        <f>IF($A64="","",INDEX(Metrics!$A$6:$U$305,MATCH($A64,Metrics!$U$6:$U$305,0),MATCH(H$5,Metrics!$A$5:$U$5,0)))</f>
        <v>n/m</v>
      </c>
      <c r="I64" s="7" t="str">
        <f>IF($A64="","",INDEX(Metrics!$A$6:$U$305,MATCH($A64,Metrics!$U$6:$U$305,0),MATCH(I$5,Metrics!$A$5:$U$5,0)))</f>
        <v/>
      </c>
      <c r="J64" s="9" t="str">
        <f>IF($A64="","",INDEX(Metrics!$A$6:$U$305,MATCH($A64,Metrics!$U$6:$U$305,0),MATCH(J$5,Metrics!$A$5:$U$5,0)))</f>
        <v/>
      </c>
      <c r="K64" s="10">
        <f>IF($A64="","",INDEX(Metrics!$A$6:$U$305,MATCH($A64,Metrics!$U$6:$U$305,0),MATCH(K$5,Metrics!$A$5:$U$5,0)))</f>
        <v>119</v>
      </c>
      <c r="L64">
        <f>IF($A64="","",INDEX(Metrics!$A$6:$U$305,MATCH($A64,Metrics!$U$6:$U$305,0),MATCH(L$5,Metrics!$A$5:$U$5,0)))</f>
        <v>119</v>
      </c>
      <c r="M64">
        <f>IF($A64="","",INDEX(Metrics!$A$6:$U$305,MATCH($A64,Metrics!$U$6:$U$305,0),MATCH(M$5,Metrics!$A$5:$U$5,0)))</f>
        <v>119</v>
      </c>
      <c r="N64">
        <f>IF($A64="","",INDEX(Metrics!$A$6:$U$305,MATCH($A64,Metrics!$U$6:$U$305,0),MATCH(N$5,Metrics!$A$5:$U$5,0)))</f>
        <v>119</v>
      </c>
      <c r="O64">
        <f>IF($A64="","",INDEX(Metrics!$A$6:$U$305,MATCH($A64,Metrics!$U$6:$U$305,0),MATCH(O$5,Metrics!$A$5:$U$5,0)))</f>
        <v>119</v>
      </c>
      <c r="P64">
        <f>IF($A64="","",INDEX(Metrics!$A$6:$U$305,MATCH($A64,Metrics!$U$6:$U$305,0),MATCH(P$5,Metrics!$A$5:$U$5,0)))</f>
        <v>119</v>
      </c>
    </row>
    <row r="65" spans="1:16" x14ac:dyDescent="0.4">
      <c r="A65">
        <f t="shared" si="0"/>
        <v>60</v>
      </c>
      <c r="B65" t="str">
        <f>IF($A65="","",INDEX(Metrics!$A$6:$U$305,MATCH($A65,Metrics!$U$6:$U$305,0),MATCH(B$5,Metrics!$A$5:$U$5,0)))</f>
        <v>JMAT</v>
      </c>
      <c r="C65" t="str">
        <f>IF($A65="","",INDEX(Metrics!$A$6:$U$305,MATCH($A65,Metrics!$U$6:$U$305,0),MATCH(C$5,Metrics!$A$5:$U$5,0)))</f>
        <v>Johnson Matthey</v>
      </c>
      <c r="D65" t="str">
        <f>IF($A65="","",INDEX(Metrics!$A$6:$U$305,MATCH($A65,Metrics!$U$6:$U$305,0),MATCH(D$5,Metrics!$A$5:$U$5,0)))</f>
        <v>Basic Materials</v>
      </c>
      <c r="E65" s="14" t="e">
        <f>IF($A65="","",INDEX(Metrics!$A$6:$U$305,MATCH($A65,Metrics!$U$6:$U$305,0),MATCH(E$5,Metrics!$A$5:$U$5,0)))</f>
        <v>#N/A</v>
      </c>
      <c r="F65" s="7" t="str">
        <f>IF($A65="","",INDEX(Metrics!$A$6:$U$305,MATCH($A65,Metrics!$U$6:$U$305,0),MATCH(F$5,Metrics!$A$5:$U$5,0)))</f>
        <v/>
      </c>
      <c r="G65" s="9" t="str">
        <f>IF($A65="","",INDEX(Metrics!$A$6:$U$305,MATCH($A65,Metrics!$U$6:$U$305,0),MATCH(G$5,Metrics!$A$5:$U$5,0)))</f>
        <v/>
      </c>
      <c r="H65" s="9" t="str">
        <f>IF($A65="","",INDEX(Metrics!$A$6:$U$305,MATCH($A65,Metrics!$U$6:$U$305,0),MATCH(H$5,Metrics!$A$5:$U$5,0)))</f>
        <v>n/m</v>
      </c>
      <c r="I65" s="7" t="str">
        <f>IF($A65="","",INDEX(Metrics!$A$6:$U$305,MATCH($A65,Metrics!$U$6:$U$305,0),MATCH(I$5,Metrics!$A$5:$U$5,0)))</f>
        <v/>
      </c>
      <c r="J65" s="9" t="str">
        <f>IF($A65="","",INDEX(Metrics!$A$6:$U$305,MATCH($A65,Metrics!$U$6:$U$305,0),MATCH(J$5,Metrics!$A$5:$U$5,0)))</f>
        <v/>
      </c>
      <c r="K65" s="10">
        <f>IF($A65="","",INDEX(Metrics!$A$6:$U$305,MATCH($A65,Metrics!$U$6:$U$305,0),MATCH(K$5,Metrics!$A$5:$U$5,0)))</f>
        <v>119</v>
      </c>
      <c r="L65">
        <f>IF($A65="","",INDEX(Metrics!$A$6:$U$305,MATCH($A65,Metrics!$U$6:$U$305,0),MATCH(L$5,Metrics!$A$5:$U$5,0)))</f>
        <v>119</v>
      </c>
      <c r="M65">
        <f>IF($A65="","",INDEX(Metrics!$A$6:$U$305,MATCH($A65,Metrics!$U$6:$U$305,0),MATCH(M$5,Metrics!$A$5:$U$5,0)))</f>
        <v>119</v>
      </c>
      <c r="N65">
        <f>IF($A65="","",INDEX(Metrics!$A$6:$U$305,MATCH($A65,Metrics!$U$6:$U$305,0),MATCH(N$5,Metrics!$A$5:$U$5,0)))</f>
        <v>119</v>
      </c>
      <c r="O65">
        <f>IF($A65="","",INDEX(Metrics!$A$6:$U$305,MATCH($A65,Metrics!$U$6:$U$305,0),MATCH(O$5,Metrics!$A$5:$U$5,0)))</f>
        <v>119</v>
      </c>
      <c r="P65">
        <f>IF($A65="","",INDEX(Metrics!$A$6:$U$305,MATCH($A65,Metrics!$U$6:$U$305,0),MATCH(P$5,Metrics!$A$5:$U$5,0)))</f>
        <v>119</v>
      </c>
    </row>
    <row r="66" spans="1:16" x14ac:dyDescent="0.4">
      <c r="A66">
        <f t="shared" si="0"/>
        <v>61</v>
      </c>
      <c r="B66" t="str">
        <f>IF($A66="","",INDEX(Metrics!$A$6:$U$305,MATCH($A66,Metrics!$U$6:$U$305,0),MATCH(B$5,Metrics!$A$5:$U$5,0)))</f>
        <v>JSG</v>
      </c>
      <c r="C66" t="str">
        <f>IF($A66="","",INDEX(Metrics!$A$6:$U$305,MATCH($A66,Metrics!$U$6:$U$305,0),MATCH(C$5,Metrics!$A$5:$U$5,0)))</f>
        <v>Johnson Service Group</v>
      </c>
      <c r="D66" t="str">
        <f>IF($A66="","",INDEX(Metrics!$A$6:$U$305,MATCH($A66,Metrics!$U$6:$U$305,0),MATCH(D$5,Metrics!$A$5:$U$5,0)))</f>
        <v>Industrials</v>
      </c>
      <c r="E66" s="14" t="e">
        <f>IF($A66="","",INDEX(Metrics!$A$6:$U$305,MATCH($A66,Metrics!$U$6:$U$305,0),MATCH(E$5,Metrics!$A$5:$U$5,0)))</f>
        <v>#N/A</v>
      </c>
      <c r="F66" s="7" t="str">
        <f>IF($A66="","",INDEX(Metrics!$A$6:$U$305,MATCH($A66,Metrics!$U$6:$U$305,0),MATCH(F$5,Metrics!$A$5:$U$5,0)))</f>
        <v/>
      </c>
      <c r="G66" s="9" t="str">
        <f>IF($A66="","",INDEX(Metrics!$A$6:$U$305,MATCH($A66,Metrics!$U$6:$U$305,0),MATCH(G$5,Metrics!$A$5:$U$5,0)))</f>
        <v/>
      </c>
      <c r="H66" s="9" t="str">
        <f>IF($A66="","",INDEX(Metrics!$A$6:$U$305,MATCH($A66,Metrics!$U$6:$U$305,0),MATCH(H$5,Metrics!$A$5:$U$5,0)))</f>
        <v>n/m</v>
      </c>
      <c r="I66" s="7" t="str">
        <f>IF($A66="","",INDEX(Metrics!$A$6:$U$305,MATCH($A66,Metrics!$U$6:$U$305,0),MATCH(I$5,Metrics!$A$5:$U$5,0)))</f>
        <v/>
      </c>
      <c r="J66" s="9" t="str">
        <f>IF($A66="","",INDEX(Metrics!$A$6:$U$305,MATCH($A66,Metrics!$U$6:$U$305,0),MATCH(J$5,Metrics!$A$5:$U$5,0)))</f>
        <v/>
      </c>
      <c r="K66" s="10">
        <f>IF($A66="","",INDEX(Metrics!$A$6:$U$305,MATCH($A66,Metrics!$U$6:$U$305,0),MATCH(K$5,Metrics!$A$5:$U$5,0)))</f>
        <v>119</v>
      </c>
      <c r="L66">
        <f>IF($A66="","",INDEX(Metrics!$A$6:$U$305,MATCH($A66,Metrics!$U$6:$U$305,0),MATCH(L$5,Metrics!$A$5:$U$5,0)))</f>
        <v>119</v>
      </c>
      <c r="M66">
        <f>IF($A66="","",INDEX(Metrics!$A$6:$U$305,MATCH($A66,Metrics!$U$6:$U$305,0),MATCH(M$5,Metrics!$A$5:$U$5,0)))</f>
        <v>119</v>
      </c>
      <c r="N66">
        <f>IF($A66="","",INDEX(Metrics!$A$6:$U$305,MATCH($A66,Metrics!$U$6:$U$305,0),MATCH(N$5,Metrics!$A$5:$U$5,0)))</f>
        <v>119</v>
      </c>
      <c r="O66">
        <f>IF($A66="","",INDEX(Metrics!$A$6:$U$305,MATCH($A66,Metrics!$U$6:$U$305,0),MATCH(O$5,Metrics!$A$5:$U$5,0)))</f>
        <v>119</v>
      </c>
      <c r="P66">
        <f>IF($A66="","",INDEX(Metrics!$A$6:$U$305,MATCH($A66,Metrics!$U$6:$U$305,0),MATCH(P$5,Metrics!$A$5:$U$5,0)))</f>
        <v>119</v>
      </c>
    </row>
    <row r="67" spans="1:16" x14ac:dyDescent="0.4">
      <c r="A67">
        <f t="shared" si="0"/>
        <v>62</v>
      </c>
      <c r="B67" t="str">
        <f>IF($A67="","",INDEX(Metrics!$A$6:$U$305,MATCH($A67,Metrics!$U$6:$U$305,0),MATCH(B$5,Metrics!$A$5:$U$5,0)))</f>
        <v>KNOS</v>
      </c>
      <c r="C67" t="str">
        <f>IF($A67="","",INDEX(Metrics!$A$6:$U$305,MATCH($A67,Metrics!$U$6:$U$305,0),MATCH(C$5,Metrics!$A$5:$U$5,0)))</f>
        <v>Kainos</v>
      </c>
      <c r="D67" t="str">
        <f>IF($A67="","",INDEX(Metrics!$A$6:$U$305,MATCH($A67,Metrics!$U$6:$U$305,0),MATCH(D$5,Metrics!$A$5:$U$5,0)))</f>
        <v>Technology</v>
      </c>
      <c r="E67" s="14" t="e">
        <f>IF($A67="","",INDEX(Metrics!$A$6:$U$305,MATCH($A67,Metrics!$U$6:$U$305,0),MATCH(E$5,Metrics!$A$5:$U$5,0)))</f>
        <v>#N/A</v>
      </c>
      <c r="F67" s="7" t="str">
        <f>IF($A67="","",INDEX(Metrics!$A$6:$U$305,MATCH($A67,Metrics!$U$6:$U$305,0),MATCH(F$5,Metrics!$A$5:$U$5,0)))</f>
        <v/>
      </c>
      <c r="G67" s="9" t="str">
        <f>IF($A67="","",INDEX(Metrics!$A$6:$U$305,MATCH($A67,Metrics!$U$6:$U$305,0),MATCH(G$5,Metrics!$A$5:$U$5,0)))</f>
        <v/>
      </c>
      <c r="H67" s="9" t="str">
        <f>IF($A67="","",INDEX(Metrics!$A$6:$U$305,MATCH($A67,Metrics!$U$6:$U$305,0),MATCH(H$5,Metrics!$A$5:$U$5,0)))</f>
        <v>n/m</v>
      </c>
      <c r="I67" s="7" t="str">
        <f>IF($A67="","",INDEX(Metrics!$A$6:$U$305,MATCH($A67,Metrics!$U$6:$U$305,0),MATCH(I$5,Metrics!$A$5:$U$5,0)))</f>
        <v/>
      </c>
      <c r="J67" s="9" t="str">
        <f>IF($A67="","",INDEX(Metrics!$A$6:$U$305,MATCH($A67,Metrics!$U$6:$U$305,0),MATCH(J$5,Metrics!$A$5:$U$5,0)))</f>
        <v/>
      </c>
      <c r="K67" s="10">
        <f>IF($A67="","",INDEX(Metrics!$A$6:$U$305,MATCH($A67,Metrics!$U$6:$U$305,0),MATCH(K$5,Metrics!$A$5:$U$5,0)))</f>
        <v>119</v>
      </c>
      <c r="L67">
        <f>IF($A67="","",INDEX(Metrics!$A$6:$U$305,MATCH($A67,Metrics!$U$6:$U$305,0),MATCH(L$5,Metrics!$A$5:$U$5,0)))</f>
        <v>119</v>
      </c>
      <c r="M67">
        <f>IF($A67="","",INDEX(Metrics!$A$6:$U$305,MATCH($A67,Metrics!$U$6:$U$305,0),MATCH(M$5,Metrics!$A$5:$U$5,0)))</f>
        <v>119</v>
      </c>
      <c r="N67">
        <f>IF($A67="","",INDEX(Metrics!$A$6:$U$305,MATCH($A67,Metrics!$U$6:$U$305,0),MATCH(N$5,Metrics!$A$5:$U$5,0)))</f>
        <v>119</v>
      </c>
      <c r="O67">
        <f>IF($A67="","",INDEX(Metrics!$A$6:$U$305,MATCH($A67,Metrics!$U$6:$U$305,0),MATCH(O$5,Metrics!$A$5:$U$5,0)))</f>
        <v>119</v>
      </c>
      <c r="P67">
        <f>IF($A67="","",INDEX(Metrics!$A$6:$U$305,MATCH($A67,Metrics!$U$6:$U$305,0),MATCH(P$5,Metrics!$A$5:$U$5,0)))</f>
        <v>119</v>
      </c>
    </row>
    <row r="68" spans="1:16" x14ac:dyDescent="0.4">
      <c r="A68">
        <f t="shared" si="0"/>
        <v>63</v>
      </c>
      <c r="B68" t="str">
        <f>IF($A68="","",INDEX(Metrics!$A$6:$U$305,MATCH($A68,Metrics!$U$6:$U$305,0),MATCH(B$5,Metrics!$A$5:$U$5,0)))</f>
        <v>KLR</v>
      </c>
      <c r="C68" t="str">
        <f>IF($A68="","",INDEX(Metrics!$A$6:$U$305,MATCH($A68,Metrics!$U$6:$U$305,0),MATCH(C$5,Metrics!$A$5:$U$5,0)))</f>
        <v>Keller Group</v>
      </c>
      <c r="D68" t="str">
        <f>IF($A68="","",INDEX(Metrics!$A$6:$U$305,MATCH($A68,Metrics!$U$6:$U$305,0),MATCH(D$5,Metrics!$A$5:$U$5,0)))</f>
        <v>Industrials</v>
      </c>
      <c r="E68" s="14" t="e">
        <f>IF($A68="","",INDEX(Metrics!$A$6:$U$305,MATCH($A68,Metrics!$U$6:$U$305,0),MATCH(E$5,Metrics!$A$5:$U$5,0)))</f>
        <v>#N/A</v>
      </c>
      <c r="F68" s="7" t="str">
        <f>IF($A68="","",INDEX(Metrics!$A$6:$U$305,MATCH($A68,Metrics!$U$6:$U$305,0),MATCH(F$5,Metrics!$A$5:$U$5,0)))</f>
        <v/>
      </c>
      <c r="G68" s="9" t="str">
        <f>IF($A68="","",INDEX(Metrics!$A$6:$U$305,MATCH($A68,Metrics!$U$6:$U$305,0),MATCH(G$5,Metrics!$A$5:$U$5,0)))</f>
        <v/>
      </c>
      <c r="H68" s="9" t="str">
        <f>IF($A68="","",INDEX(Metrics!$A$6:$U$305,MATCH($A68,Metrics!$U$6:$U$305,0),MATCH(H$5,Metrics!$A$5:$U$5,0)))</f>
        <v>n/m</v>
      </c>
      <c r="I68" s="7" t="str">
        <f>IF($A68="","",INDEX(Metrics!$A$6:$U$305,MATCH($A68,Metrics!$U$6:$U$305,0),MATCH(I$5,Metrics!$A$5:$U$5,0)))</f>
        <v/>
      </c>
      <c r="J68" s="9" t="str">
        <f>IF($A68="","",INDEX(Metrics!$A$6:$U$305,MATCH($A68,Metrics!$U$6:$U$305,0),MATCH(J$5,Metrics!$A$5:$U$5,0)))</f>
        <v/>
      </c>
      <c r="K68" s="10">
        <f>IF($A68="","",INDEX(Metrics!$A$6:$U$305,MATCH($A68,Metrics!$U$6:$U$305,0),MATCH(K$5,Metrics!$A$5:$U$5,0)))</f>
        <v>119</v>
      </c>
      <c r="L68">
        <f>IF($A68="","",INDEX(Metrics!$A$6:$U$305,MATCH($A68,Metrics!$U$6:$U$305,0),MATCH(L$5,Metrics!$A$5:$U$5,0)))</f>
        <v>119</v>
      </c>
      <c r="M68">
        <f>IF($A68="","",INDEX(Metrics!$A$6:$U$305,MATCH($A68,Metrics!$U$6:$U$305,0),MATCH(M$5,Metrics!$A$5:$U$5,0)))</f>
        <v>119</v>
      </c>
      <c r="N68">
        <f>IF($A68="","",INDEX(Metrics!$A$6:$U$305,MATCH($A68,Metrics!$U$6:$U$305,0),MATCH(N$5,Metrics!$A$5:$U$5,0)))</f>
        <v>119</v>
      </c>
      <c r="O68">
        <f>IF($A68="","",INDEX(Metrics!$A$6:$U$305,MATCH($A68,Metrics!$U$6:$U$305,0),MATCH(O$5,Metrics!$A$5:$U$5,0)))</f>
        <v>119</v>
      </c>
      <c r="P68">
        <f>IF($A68="","",INDEX(Metrics!$A$6:$U$305,MATCH($A68,Metrics!$U$6:$U$305,0),MATCH(P$5,Metrics!$A$5:$U$5,0)))</f>
        <v>119</v>
      </c>
    </row>
    <row r="69" spans="1:16" x14ac:dyDescent="0.4">
      <c r="A69">
        <f t="shared" si="0"/>
        <v>64</v>
      </c>
      <c r="B69" t="str">
        <f>IF($A69="","",INDEX(Metrics!$A$6:$U$305,MATCH($A69,Metrics!$U$6:$U$305,0),MATCH(B$5,Metrics!$A$5:$U$5,0)))</f>
        <v>KIE</v>
      </c>
      <c r="C69" t="str">
        <f>IF($A69="","",INDEX(Metrics!$A$6:$U$305,MATCH($A69,Metrics!$U$6:$U$305,0),MATCH(C$5,Metrics!$A$5:$U$5,0)))</f>
        <v>Kier Group</v>
      </c>
      <c r="D69" t="str">
        <f>IF($A69="","",INDEX(Metrics!$A$6:$U$305,MATCH($A69,Metrics!$U$6:$U$305,0),MATCH(D$5,Metrics!$A$5:$U$5,0)))</f>
        <v>Industrials</v>
      </c>
      <c r="E69" s="14" t="e">
        <f>IF($A69="","",INDEX(Metrics!$A$6:$U$305,MATCH($A69,Metrics!$U$6:$U$305,0),MATCH(E$5,Metrics!$A$5:$U$5,0)))</f>
        <v>#N/A</v>
      </c>
      <c r="F69" s="7" t="str">
        <f>IF($A69="","",INDEX(Metrics!$A$6:$U$305,MATCH($A69,Metrics!$U$6:$U$305,0),MATCH(F$5,Metrics!$A$5:$U$5,0)))</f>
        <v/>
      </c>
      <c r="G69" s="9" t="str">
        <f>IF($A69="","",INDEX(Metrics!$A$6:$U$305,MATCH($A69,Metrics!$U$6:$U$305,0),MATCH(G$5,Metrics!$A$5:$U$5,0)))</f>
        <v/>
      </c>
      <c r="H69" s="9" t="str">
        <f>IF($A69="","",INDEX(Metrics!$A$6:$U$305,MATCH($A69,Metrics!$U$6:$U$305,0),MATCH(H$5,Metrics!$A$5:$U$5,0)))</f>
        <v>n/m</v>
      </c>
      <c r="I69" s="7" t="str">
        <f>IF($A69="","",INDEX(Metrics!$A$6:$U$305,MATCH($A69,Metrics!$U$6:$U$305,0),MATCH(I$5,Metrics!$A$5:$U$5,0)))</f>
        <v/>
      </c>
      <c r="J69" s="9" t="str">
        <f>IF($A69="","",INDEX(Metrics!$A$6:$U$305,MATCH($A69,Metrics!$U$6:$U$305,0),MATCH(J$5,Metrics!$A$5:$U$5,0)))</f>
        <v/>
      </c>
      <c r="K69" s="10">
        <f>IF($A69="","",INDEX(Metrics!$A$6:$U$305,MATCH($A69,Metrics!$U$6:$U$305,0),MATCH(K$5,Metrics!$A$5:$U$5,0)))</f>
        <v>119</v>
      </c>
      <c r="L69">
        <f>IF($A69="","",INDEX(Metrics!$A$6:$U$305,MATCH($A69,Metrics!$U$6:$U$305,0),MATCH(L$5,Metrics!$A$5:$U$5,0)))</f>
        <v>119</v>
      </c>
      <c r="M69">
        <f>IF($A69="","",INDEX(Metrics!$A$6:$U$305,MATCH($A69,Metrics!$U$6:$U$305,0),MATCH(M$5,Metrics!$A$5:$U$5,0)))</f>
        <v>119</v>
      </c>
      <c r="N69">
        <f>IF($A69="","",INDEX(Metrics!$A$6:$U$305,MATCH($A69,Metrics!$U$6:$U$305,0),MATCH(N$5,Metrics!$A$5:$U$5,0)))</f>
        <v>119</v>
      </c>
      <c r="O69">
        <f>IF($A69="","",INDEX(Metrics!$A$6:$U$305,MATCH($A69,Metrics!$U$6:$U$305,0),MATCH(O$5,Metrics!$A$5:$U$5,0)))</f>
        <v>119</v>
      </c>
      <c r="P69">
        <f>IF($A69="","",INDEX(Metrics!$A$6:$U$305,MATCH($A69,Metrics!$U$6:$U$305,0),MATCH(P$5,Metrics!$A$5:$U$5,0)))</f>
        <v>119</v>
      </c>
    </row>
    <row r="70" spans="1:16" x14ac:dyDescent="0.4">
      <c r="A70">
        <f t="shared" si="0"/>
        <v>65</v>
      </c>
      <c r="B70" t="str">
        <f>IF($A70="","",INDEX(Metrics!$A$6:$U$305,MATCH($A70,Metrics!$U$6:$U$305,0),MATCH(B$5,Metrics!$A$5:$U$5,0)))</f>
        <v>MEGP</v>
      </c>
      <c r="C70" t="str">
        <f>IF($A70="","",INDEX(Metrics!$A$6:$U$305,MATCH($A70,Metrics!$U$6:$U$305,0),MATCH(C$5,Metrics!$A$5:$U$5,0)))</f>
        <v>ME Group International</v>
      </c>
      <c r="D70" t="str">
        <f>IF($A70="","",INDEX(Metrics!$A$6:$U$305,MATCH($A70,Metrics!$U$6:$U$305,0),MATCH(D$5,Metrics!$A$5:$U$5,0)))</f>
        <v>Consumer Discretionary</v>
      </c>
      <c r="E70" s="14" t="e">
        <f>IF($A70="","",INDEX(Metrics!$A$6:$U$305,MATCH($A70,Metrics!$U$6:$U$305,0),MATCH(E$5,Metrics!$A$5:$U$5,0)))</f>
        <v>#N/A</v>
      </c>
      <c r="F70" s="7" t="str">
        <f>IF($A70="","",INDEX(Metrics!$A$6:$U$305,MATCH($A70,Metrics!$U$6:$U$305,0),MATCH(F$5,Metrics!$A$5:$U$5,0)))</f>
        <v/>
      </c>
      <c r="G70" s="9" t="str">
        <f>IF($A70="","",INDEX(Metrics!$A$6:$U$305,MATCH($A70,Metrics!$U$6:$U$305,0),MATCH(G$5,Metrics!$A$5:$U$5,0)))</f>
        <v/>
      </c>
      <c r="H70" s="9" t="str">
        <f>IF($A70="","",INDEX(Metrics!$A$6:$U$305,MATCH($A70,Metrics!$U$6:$U$305,0),MATCH(H$5,Metrics!$A$5:$U$5,0)))</f>
        <v>n/m</v>
      </c>
      <c r="I70" s="7" t="str">
        <f>IF($A70="","",INDEX(Metrics!$A$6:$U$305,MATCH($A70,Metrics!$U$6:$U$305,0),MATCH(I$5,Metrics!$A$5:$U$5,0)))</f>
        <v/>
      </c>
      <c r="J70" s="9" t="str">
        <f>IF($A70="","",INDEX(Metrics!$A$6:$U$305,MATCH($A70,Metrics!$U$6:$U$305,0),MATCH(J$5,Metrics!$A$5:$U$5,0)))</f>
        <v/>
      </c>
      <c r="K70" s="10">
        <f>IF($A70="","",INDEX(Metrics!$A$6:$U$305,MATCH($A70,Metrics!$U$6:$U$305,0),MATCH(K$5,Metrics!$A$5:$U$5,0)))</f>
        <v>119</v>
      </c>
      <c r="L70">
        <f>IF($A70="","",INDEX(Metrics!$A$6:$U$305,MATCH($A70,Metrics!$U$6:$U$305,0),MATCH(L$5,Metrics!$A$5:$U$5,0)))</f>
        <v>119</v>
      </c>
      <c r="M70">
        <f>IF($A70="","",INDEX(Metrics!$A$6:$U$305,MATCH($A70,Metrics!$U$6:$U$305,0),MATCH(M$5,Metrics!$A$5:$U$5,0)))</f>
        <v>119</v>
      </c>
      <c r="N70">
        <f>IF($A70="","",INDEX(Metrics!$A$6:$U$305,MATCH($A70,Metrics!$U$6:$U$305,0),MATCH(N$5,Metrics!$A$5:$U$5,0)))</f>
        <v>119</v>
      </c>
      <c r="O70">
        <f>IF($A70="","",INDEX(Metrics!$A$6:$U$305,MATCH($A70,Metrics!$U$6:$U$305,0),MATCH(O$5,Metrics!$A$5:$U$5,0)))</f>
        <v>119</v>
      </c>
      <c r="P70">
        <f>IF($A70="","",INDEX(Metrics!$A$6:$U$305,MATCH($A70,Metrics!$U$6:$U$305,0),MATCH(P$5,Metrics!$A$5:$U$5,0)))</f>
        <v>119</v>
      </c>
    </row>
    <row r="71" spans="1:16" x14ac:dyDescent="0.4">
      <c r="A71">
        <f t="shared" ref="A71:A134" si="1">IF($A70="","",IF($A70+1&gt;N_Co,"",$A70+1))</f>
        <v>66</v>
      </c>
      <c r="B71" t="str">
        <f>IF($A71="","",INDEX(Metrics!$A$6:$U$305,MATCH($A71,Metrics!$U$6:$U$305,0),MATCH(B$5,Metrics!$A$5:$U$5,0)))</f>
        <v>PAGE</v>
      </c>
      <c r="C71" t="str">
        <f>IF($A71="","",INDEX(Metrics!$A$6:$U$305,MATCH($A71,Metrics!$U$6:$U$305,0),MATCH(C$5,Metrics!$A$5:$U$5,0)))</f>
        <v>Michael Page</v>
      </c>
      <c r="D71" t="str">
        <f>IF($A71="","",INDEX(Metrics!$A$6:$U$305,MATCH($A71,Metrics!$U$6:$U$305,0),MATCH(D$5,Metrics!$A$5:$U$5,0)))</f>
        <v>Industrials</v>
      </c>
      <c r="E71" s="14" t="e">
        <f>IF($A71="","",INDEX(Metrics!$A$6:$U$305,MATCH($A71,Metrics!$U$6:$U$305,0),MATCH(E$5,Metrics!$A$5:$U$5,0)))</f>
        <v>#N/A</v>
      </c>
      <c r="F71" s="7" t="str">
        <f>IF($A71="","",INDEX(Metrics!$A$6:$U$305,MATCH($A71,Metrics!$U$6:$U$305,0),MATCH(F$5,Metrics!$A$5:$U$5,0)))</f>
        <v/>
      </c>
      <c r="G71" s="9" t="str">
        <f>IF($A71="","",INDEX(Metrics!$A$6:$U$305,MATCH($A71,Metrics!$U$6:$U$305,0),MATCH(G$5,Metrics!$A$5:$U$5,0)))</f>
        <v/>
      </c>
      <c r="H71" s="9" t="str">
        <f>IF($A71="","",INDEX(Metrics!$A$6:$U$305,MATCH($A71,Metrics!$U$6:$U$305,0),MATCH(H$5,Metrics!$A$5:$U$5,0)))</f>
        <v>n/m</v>
      </c>
      <c r="I71" s="7" t="str">
        <f>IF($A71="","",INDEX(Metrics!$A$6:$U$305,MATCH($A71,Metrics!$U$6:$U$305,0),MATCH(I$5,Metrics!$A$5:$U$5,0)))</f>
        <v/>
      </c>
      <c r="J71" s="9" t="str">
        <f>IF($A71="","",INDEX(Metrics!$A$6:$U$305,MATCH($A71,Metrics!$U$6:$U$305,0),MATCH(J$5,Metrics!$A$5:$U$5,0)))</f>
        <v/>
      </c>
      <c r="K71" s="10">
        <f>IF($A71="","",INDEX(Metrics!$A$6:$U$305,MATCH($A71,Metrics!$U$6:$U$305,0),MATCH(K$5,Metrics!$A$5:$U$5,0)))</f>
        <v>119</v>
      </c>
      <c r="L71">
        <f>IF($A71="","",INDEX(Metrics!$A$6:$U$305,MATCH($A71,Metrics!$U$6:$U$305,0),MATCH(L$5,Metrics!$A$5:$U$5,0)))</f>
        <v>119</v>
      </c>
      <c r="M71">
        <f>IF($A71="","",INDEX(Metrics!$A$6:$U$305,MATCH($A71,Metrics!$U$6:$U$305,0),MATCH(M$5,Metrics!$A$5:$U$5,0)))</f>
        <v>119</v>
      </c>
      <c r="N71">
        <f>IF($A71="","",INDEX(Metrics!$A$6:$U$305,MATCH($A71,Metrics!$U$6:$U$305,0),MATCH(N$5,Metrics!$A$5:$U$5,0)))</f>
        <v>119</v>
      </c>
      <c r="O71">
        <f>IF($A71="","",INDEX(Metrics!$A$6:$U$305,MATCH($A71,Metrics!$U$6:$U$305,0),MATCH(O$5,Metrics!$A$5:$U$5,0)))</f>
        <v>119</v>
      </c>
      <c r="P71">
        <f>IF($A71="","",INDEX(Metrics!$A$6:$U$305,MATCH($A71,Metrics!$U$6:$U$305,0),MATCH(P$5,Metrics!$A$5:$U$5,0)))</f>
        <v>119</v>
      </c>
    </row>
    <row r="72" spans="1:16" x14ac:dyDescent="0.4">
      <c r="A72">
        <f t="shared" si="1"/>
        <v>67</v>
      </c>
      <c r="B72" t="str">
        <f>IF($A72="","",INDEX(Metrics!$A$6:$U$305,MATCH($A72,Metrics!$U$6:$U$305,0),MATCH(B$5,Metrics!$A$5:$U$5,0)))</f>
        <v>MAB</v>
      </c>
      <c r="C72" t="str">
        <f>IF($A72="","",INDEX(Metrics!$A$6:$U$305,MATCH($A72,Metrics!$U$6:$U$305,0),MATCH(C$5,Metrics!$A$5:$U$5,0)))</f>
        <v>Mitchells &amp; Butlers</v>
      </c>
      <c r="D72" t="str">
        <f>IF($A72="","",INDEX(Metrics!$A$6:$U$305,MATCH($A72,Metrics!$U$6:$U$305,0),MATCH(D$5,Metrics!$A$5:$U$5,0)))</f>
        <v>Consumer Discretionary</v>
      </c>
      <c r="E72" s="14" t="e">
        <f>IF($A72="","",INDEX(Metrics!$A$6:$U$305,MATCH($A72,Metrics!$U$6:$U$305,0),MATCH(E$5,Metrics!$A$5:$U$5,0)))</f>
        <v>#N/A</v>
      </c>
      <c r="F72" s="7" t="str">
        <f>IF($A72="","",INDEX(Metrics!$A$6:$U$305,MATCH($A72,Metrics!$U$6:$U$305,0),MATCH(F$5,Metrics!$A$5:$U$5,0)))</f>
        <v/>
      </c>
      <c r="G72" s="9" t="str">
        <f>IF($A72="","",INDEX(Metrics!$A$6:$U$305,MATCH($A72,Metrics!$U$6:$U$305,0),MATCH(G$5,Metrics!$A$5:$U$5,0)))</f>
        <v/>
      </c>
      <c r="H72" s="9" t="str">
        <f>IF($A72="","",INDEX(Metrics!$A$6:$U$305,MATCH($A72,Metrics!$U$6:$U$305,0),MATCH(H$5,Metrics!$A$5:$U$5,0)))</f>
        <v>n/m</v>
      </c>
      <c r="I72" s="7" t="str">
        <f>IF($A72="","",INDEX(Metrics!$A$6:$U$305,MATCH($A72,Metrics!$U$6:$U$305,0),MATCH(I$5,Metrics!$A$5:$U$5,0)))</f>
        <v/>
      </c>
      <c r="J72" s="9" t="str">
        <f>IF($A72="","",INDEX(Metrics!$A$6:$U$305,MATCH($A72,Metrics!$U$6:$U$305,0),MATCH(J$5,Metrics!$A$5:$U$5,0)))</f>
        <v/>
      </c>
      <c r="K72" s="10">
        <f>IF($A72="","",INDEX(Metrics!$A$6:$U$305,MATCH($A72,Metrics!$U$6:$U$305,0),MATCH(K$5,Metrics!$A$5:$U$5,0)))</f>
        <v>119</v>
      </c>
      <c r="L72">
        <f>IF($A72="","",INDEX(Metrics!$A$6:$U$305,MATCH($A72,Metrics!$U$6:$U$305,0),MATCH(L$5,Metrics!$A$5:$U$5,0)))</f>
        <v>119</v>
      </c>
      <c r="M72">
        <f>IF($A72="","",INDEX(Metrics!$A$6:$U$305,MATCH($A72,Metrics!$U$6:$U$305,0),MATCH(M$5,Metrics!$A$5:$U$5,0)))</f>
        <v>119</v>
      </c>
      <c r="N72">
        <f>IF($A72="","",INDEX(Metrics!$A$6:$U$305,MATCH($A72,Metrics!$U$6:$U$305,0),MATCH(N$5,Metrics!$A$5:$U$5,0)))</f>
        <v>119</v>
      </c>
      <c r="O72">
        <f>IF($A72="","",INDEX(Metrics!$A$6:$U$305,MATCH($A72,Metrics!$U$6:$U$305,0),MATCH(O$5,Metrics!$A$5:$U$5,0)))</f>
        <v>119</v>
      </c>
      <c r="P72">
        <f>IF($A72="","",INDEX(Metrics!$A$6:$U$305,MATCH($A72,Metrics!$U$6:$U$305,0),MATCH(P$5,Metrics!$A$5:$U$5,0)))</f>
        <v>119</v>
      </c>
    </row>
    <row r="73" spans="1:16" x14ac:dyDescent="0.4">
      <c r="A73">
        <f t="shared" si="1"/>
        <v>68</v>
      </c>
      <c r="B73" t="str">
        <f>IF($A73="","",INDEX(Metrics!$A$6:$U$305,MATCH($A73,Metrics!$U$6:$U$305,0),MATCH(B$5,Metrics!$A$5:$U$5,0)))</f>
        <v>MTO</v>
      </c>
      <c r="C73" t="str">
        <f>IF($A73="","",INDEX(Metrics!$A$6:$U$305,MATCH($A73,Metrics!$U$6:$U$305,0),MATCH(C$5,Metrics!$A$5:$U$5,0)))</f>
        <v>Mitie</v>
      </c>
      <c r="D73" t="str">
        <f>IF($A73="","",INDEX(Metrics!$A$6:$U$305,MATCH($A73,Metrics!$U$6:$U$305,0),MATCH(D$5,Metrics!$A$5:$U$5,0)))</f>
        <v>Industrials</v>
      </c>
      <c r="E73" s="14" t="e">
        <f>IF($A73="","",INDEX(Metrics!$A$6:$U$305,MATCH($A73,Metrics!$U$6:$U$305,0),MATCH(E$5,Metrics!$A$5:$U$5,0)))</f>
        <v>#N/A</v>
      </c>
      <c r="F73" s="7" t="str">
        <f>IF($A73="","",INDEX(Metrics!$A$6:$U$305,MATCH($A73,Metrics!$U$6:$U$305,0),MATCH(F$5,Metrics!$A$5:$U$5,0)))</f>
        <v/>
      </c>
      <c r="G73" s="9" t="str">
        <f>IF($A73="","",INDEX(Metrics!$A$6:$U$305,MATCH($A73,Metrics!$U$6:$U$305,0),MATCH(G$5,Metrics!$A$5:$U$5,0)))</f>
        <v/>
      </c>
      <c r="H73" s="9" t="str">
        <f>IF($A73="","",INDEX(Metrics!$A$6:$U$305,MATCH($A73,Metrics!$U$6:$U$305,0),MATCH(H$5,Metrics!$A$5:$U$5,0)))</f>
        <v>n/m</v>
      </c>
      <c r="I73" s="7" t="str">
        <f>IF($A73="","",INDEX(Metrics!$A$6:$U$305,MATCH($A73,Metrics!$U$6:$U$305,0),MATCH(I$5,Metrics!$A$5:$U$5,0)))</f>
        <v/>
      </c>
      <c r="J73" s="9" t="str">
        <f>IF($A73="","",INDEX(Metrics!$A$6:$U$305,MATCH($A73,Metrics!$U$6:$U$305,0),MATCH(J$5,Metrics!$A$5:$U$5,0)))</f>
        <v/>
      </c>
      <c r="K73" s="10">
        <f>IF($A73="","",INDEX(Metrics!$A$6:$U$305,MATCH($A73,Metrics!$U$6:$U$305,0),MATCH(K$5,Metrics!$A$5:$U$5,0)))</f>
        <v>119</v>
      </c>
      <c r="L73">
        <f>IF($A73="","",INDEX(Metrics!$A$6:$U$305,MATCH($A73,Metrics!$U$6:$U$305,0),MATCH(L$5,Metrics!$A$5:$U$5,0)))</f>
        <v>119</v>
      </c>
      <c r="M73">
        <f>IF($A73="","",INDEX(Metrics!$A$6:$U$305,MATCH($A73,Metrics!$U$6:$U$305,0),MATCH(M$5,Metrics!$A$5:$U$5,0)))</f>
        <v>119</v>
      </c>
      <c r="N73">
        <f>IF($A73="","",INDEX(Metrics!$A$6:$U$305,MATCH($A73,Metrics!$U$6:$U$305,0),MATCH(N$5,Metrics!$A$5:$U$5,0)))</f>
        <v>119</v>
      </c>
      <c r="O73">
        <f>IF($A73="","",INDEX(Metrics!$A$6:$U$305,MATCH($A73,Metrics!$U$6:$U$305,0),MATCH(O$5,Metrics!$A$5:$U$5,0)))</f>
        <v>119</v>
      </c>
      <c r="P73">
        <f>IF($A73="","",INDEX(Metrics!$A$6:$U$305,MATCH($A73,Metrics!$U$6:$U$305,0),MATCH(P$5,Metrics!$A$5:$U$5,0)))</f>
        <v>119</v>
      </c>
    </row>
    <row r="74" spans="1:16" x14ac:dyDescent="0.4">
      <c r="A74">
        <f t="shared" si="1"/>
        <v>69</v>
      </c>
      <c r="B74" t="str">
        <f>IF($A74="","",INDEX(Metrics!$A$6:$U$305,MATCH($A74,Metrics!$U$6:$U$305,0),MATCH(B$5,Metrics!$A$5:$U$5,0)))</f>
        <v>MNDI</v>
      </c>
      <c r="C74" t="str">
        <f>IF($A74="","",INDEX(Metrics!$A$6:$U$305,MATCH($A74,Metrics!$U$6:$U$305,0),MATCH(C$5,Metrics!$A$5:$U$5,0)))</f>
        <v>Mondi</v>
      </c>
      <c r="D74" t="str">
        <f>IF($A74="","",INDEX(Metrics!$A$6:$U$305,MATCH($A74,Metrics!$U$6:$U$305,0),MATCH(D$5,Metrics!$A$5:$U$5,0)))</f>
        <v>Industrials</v>
      </c>
      <c r="E74" s="14" t="e">
        <f>IF($A74="","",INDEX(Metrics!$A$6:$U$305,MATCH($A74,Metrics!$U$6:$U$305,0),MATCH(E$5,Metrics!$A$5:$U$5,0)))</f>
        <v>#N/A</v>
      </c>
      <c r="F74" s="7" t="str">
        <f>IF($A74="","",INDEX(Metrics!$A$6:$U$305,MATCH($A74,Metrics!$U$6:$U$305,0),MATCH(F$5,Metrics!$A$5:$U$5,0)))</f>
        <v/>
      </c>
      <c r="G74" s="9" t="str">
        <f>IF($A74="","",INDEX(Metrics!$A$6:$U$305,MATCH($A74,Metrics!$U$6:$U$305,0),MATCH(G$5,Metrics!$A$5:$U$5,0)))</f>
        <v/>
      </c>
      <c r="H74" s="9" t="str">
        <f>IF($A74="","",INDEX(Metrics!$A$6:$U$305,MATCH($A74,Metrics!$U$6:$U$305,0),MATCH(H$5,Metrics!$A$5:$U$5,0)))</f>
        <v>n/m</v>
      </c>
      <c r="I74" s="7" t="str">
        <f>IF($A74="","",INDEX(Metrics!$A$6:$U$305,MATCH($A74,Metrics!$U$6:$U$305,0),MATCH(I$5,Metrics!$A$5:$U$5,0)))</f>
        <v/>
      </c>
      <c r="J74" s="9" t="str">
        <f>IF($A74="","",INDEX(Metrics!$A$6:$U$305,MATCH($A74,Metrics!$U$6:$U$305,0),MATCH(J$5,Metrics!$A$5:$U$5,0)))</f>
        <v/>
      </c>
      <c r="K74" s="10">
        <f>IF($A74="","",INDEX(Metrics!$A$6:$U$305,MATCH($A74,Metrics!$U$6:$U$305,0),MATCH(K$5,Metrics!$A$5:$U$5,0)))</f>
        <v>119</v>
      </c>
      <c r="L74">
        <f>IF($A74="","",INDEX(Metrics!$A$6:$U$305,MATCH($A74,Metrics!$U$6:$U$305,0),MATCH(L$5,Metrics!$A$5:$U$5,0)))</f>
        <v>119</v>
      </c>
      <c r="M74">
        <f>IF($A74="","",INDEX(Metrics!$A$6:$U$305,MATCH($A74,Metrics!$U$6:$U$305,0),MATCH(M$5,Metrics!$A$5:$U$5,0)))</f>
        <v>119</v>
      </c>
      <c r="N74">
        <f>IF($A74="","",INDEX(Metrics!$A$6:$U$305,MATCH($A74,Metrics!$U$6:$U$305,0),MATCH(N$5,Metrics!$A$5:$U$5,0)))</f>
        <v>119</v>
      </c>
      <c r="O74">
        <f>IF($A74="","",INDEX(Metrics!$A$6:$U$305,MATCH($A74,Metrics!$U$6:$U$305,0),MATCH(O$5,Metrics!$A$5:$U$5,0)))</f>
        <v>119</v>
      </c>
      <c r="P74">
        <f>IF($A74="","",INDEX(Metrics!$A$6:$U$305,MATCH($A74,Metrics!$U$6:$U$305,0),MATCH(P$5,Metrics!$A$5:$U$5,0)))</f>
        <v>119</v>
      </c>
    </row>
    <row r="75" spans="1:16" x14ac:dyDescent="0.4">
      <c r="A75">
        <f t="shared" si="1"/>
        <v>70</v>
      </c>
      <c r="B75" t="str">
        <f>IF($A75="","",INDEX(Metrics!$A$6:$U$305,MATCH($A75,Metrics!$U$6:$U$305,0),MATCH(B$5,Metrics!$A$5:$U$5,0)))</f>
        <v>MONY</v>
      </c>
      <c r="C75" t="str">
        <f>IF($A75="","",INDEX(Metrics!$A$6:$U$305,MATCH($A75,Metrics!$U$6:$U$305,0),MATCH(C$5,Metrics!$A$5:$U$5,0)))</f>
        <v>MONY Group</v>
      </c>
      <c r="D75" t="str">
        <f>IF($A75="","",INDEX(Metrics!$A$6:$U$305,MATCH($A75,Metrics!$U$6:$U$305,0),MATCH(D$5,Metrics!$A$5:$U$5,0)))</f>
        <v>Consumer Discretionary</v>
      </c>
      <c r="E75" s="14" t="e">
        <f>IF($A75="","",INDEX(Metrics!$A$6:$U$305,MATCH($A75,Metrics!$U$6:$U$305,0),MATCH(E$5,Metrics!$A$5:$U$5,0)))</f>
        <v>#N/A</v>
      </c>
      <c r="F75" s="7" t="str">
        <f>IF($A75="","",INDEX(Metrics!$A$6:$U$305,MATCH($A75,Metrics!$U$6:$U$305,0),MATCH(F$5,Metrics!$A$5:$U$5,0)))</f>
        <v/>
      </c>
      <c r="G75" s="9" t="str">
        <f>IF($A75="","",INDEX(Metrics!$A$6:$U$305,MATCH($A75,Metrics!$U$6:$U$305,0),MATCH(G$5,Metrics!$A$5:$U$5,0)))</f>
        <v/>
      </c>
      <c r="H75" s="9" t="str">
        <f>IF($A75="","",INDEX(Metrics!$A$6:$U$305,MATCH($A75,Metrics!$U$6:$U$305,0),MATCH(H$5,Metrics!$A$5:$U$5,0)))</f>
        <v>n/m</v>
      </c>
      <c r="I75" s="7" t="str">
        <f>IF($A75="","",INDEX(Metrics!$A$6:$U$305,MATCH($A75,Metrics!$U$6:$U$305,0),MATCH(I$5,Metrics!$A$5:$U$5,0)))</f>
        <v/>
      </c>
      <c r="J75" s="9" t="str">
        <f>IF($A75="","",INDEX(Metrics!$A$6:$U$305,MATCH($A75,Metrics!$U$6:$U$305,0),MATCH(J$5,Metrics!$A$5:$U$5,0)))</f>
        <v/>
      </c>
      <c r="K75" s="10">
        <f>IF($A75="","",INDEX(Metrics!$A$6:$U$305,MATCH($A75,Metrics!$U$6:$U$305,0),MATCH(K$5,Metrics!$A$5:$U$5,0)))</f>
        <v>119</v>
      </c>
      <c r="L75">
        <f>IF($A75="","",INDEX(Metrics!$A$6:$U$305,MATCH($A75,Metrics!$U$6:$U$305,0),MATCH(L$5,Metrics!$A$5:$U$5,0)))</f>
        <v>119</v>
      </c>
      <c r="M75">
        <f>IF($A75="","",INDEX(Metrics!$A$6:$U$305,MATCH($A75,Metrics!$U$6:$U$305,0),MATCH(M$5,Metrics!$A$5:$U$5,0)))</f>
        <v>119</v>
      </c>
      <c r="N75">
        <f>IF($A75="","",INDEX(Metrics!$A$6:$U$305,MATCH($A75,Metrics!$U$6:$U$305,0),MATCH(N$5,Metrics!$A$5:$U$5,0)))</f>
        <v>119</v>
      </c>
      <c r="O75">
        <f>IF($A75="","",INDEX(Metrics!$A$6:$U$305,MATCH($A75,Metrics!$U$6:$U$305,0),MATCH(O$5,Metrics!$A$5:$U$5,0)))</f>
        <v>119</v>
      </c>
      <c r="P75">
        <f>IF($A75="","",INDEX(Metrics!$A$6:$U$305,MATCH($A75,Metrics!$U$6:$U$305,0),MATCH(P$5,Metrics!$A$5:$U$5,0)))</f>
        <v>119</v>
      </c>
    </row>
    <row r="76" spans="1:16" x14ac:dyDescent="0.4">
      <c r="A76">
        <f t="shared" si="1"/>
        <v>71</v>
      </c>
      <c r="B76" t="str">
        <f>IF($A76="","",INDEX(Metrics!$A$6:$U$305,MATCH($A76,Metrics!$U$6:$U$305,0),MATCH(B$5,Metrics!$A$5:$U$5,0)))</f>
        <v>MOON</v>
      </c>
      <c r="C76" t="str">
        <f>IF($A76="","",INDEX(Metrics!$A$6:$U$305,MATCH($A76,Metrics!$U$6:$U$305,0),MATCH(C$5,Metrics!$A$5:$U$5,0)))</f>
        <v>Moonpig</v>
      </c>
      <c r="D76" t="str">
        <f>IF($A76="","",INDEX(Metrics!$A$6:$U$305,MATCH($A76,Metrics!$U$6:$U$305,0),MATCH(D$5,Metrics!$A$5:$U$5,0)))</f>
        <v>Consumer Discretionary</v>
      </c>
      <c r="E76" s="14" t="e">
        <f>IF($A76="","",INDEX(Metrics!$A$6:$U$305,MATCH($A76,Metrics!$U$6:$U$305,0),MATCH(E$5,Metrics!$A$5:$U$5,0)))</f>
        <v>#N/A</v>
      </c>
      <c r="F76" s="7" t="str">
        <f>IF($A76="","",INDEX(Metrics!$A$6:$U$305,MATCH($A76,Metrics!$U$6:$U$305,0),MATCH(F$5,Metrics!$A$5:$U$5,0)))</f>
        <v/>
      </c>
      <c r="G76" s="9" t="str">
        <f>IF($A76="","",INDEX(Metrics!$A$6:$U$305,MATCH($A76,Metrics!$U$6:$U$305,0),MATCH(G$5,Metrics!$A$5:$U$5,0)))</f>
        <v/>
      </c>
      <c r="H76" s="9" t="str">
        <f>IF($A76="","",INDEX(Metrics!$A$6:$U$305,MATCH($A76,Metrics!$U$6:$U$305,0),MATCH(H$5,Metrics!$A$5:$U$5,0)))</f>
        <v>n/m</v>
      </c>
      <c r="I76" s="7" t="str">
        <f>IF($A76="","",INDEX(Metrics!$A$6:$U$305,MATCH($A76,Metrics!$U$6:$U$305,0),MATCH(I$5,Metrics!$A$5:$U$5,0)))</f>
        <v/>
      </c>
      <c r="J76" s="9" t="str">
        <f>IF($A76="","",INDEX(Metrics!$A$6:$U$305,MATCH($A76,Metrics!$U$6:$U$305,0),MATCH(J$5,Metrics!$A$5:$U$5,0)))</f>
        <v/>
      </c>
      <c r="K76" s="10">
        <f>IF($A76="","",INDEX(Metrics!$A$6:$U$305,MATCH($A76,Metrics!$U$6:$U$305,0),MATCH(K$5,Metrics!$A$5:$U$5,0)))</f>
        <v>119</v>
      </c>
      <c r="L76">
        <f>IF($A76="","",INDEX(Metrics!$A$6:$U$305,MATCH($A76,Metrics!$U$6:$U$305,0),MATCH(L$5,Metrics!$A$5:$U$5,0)))</f>
        <v>119</v>
      </c>
      <c r="M76">
        <f>IF($A76="","",INDEX(Metrics!$A$6:$U$305,MATCH($A76,Metrics!$U$6:$U$305,0),MATCH(M$5,Metrics!$A$5:$U$5,0)))</f>
        <v>119</v>
      </c>
      <c r="N76">
        <f>IF($A76="","",INDEX(Metrics!$A$6:$U$305,MATCH($A76,Metrics!$U$6:$U$305,0),MATCH(N$5,Metrics!$A$5:$U$5,0)))</f>
        <v>119</v>
      </c>
      <c r="O76">
        <f>IF($A76="","",INDEX(Metrics!$A$6:$U$305,MATCH($A76,Metrics!$U$6:$U$305,0),MATCH(O$5,Metrics!$A$5:$U$5,0)))</f>
        <v>119</v>
      </c>
      <c r="P76">
        <f>IF($A76="","",INDEX(Metrics!$A$6:$U$305,MATCH($A76,Metrics!$U$6:$U$305,0),MATCH(P$5,Metrics!$A$5:$U$5,0)))</f>
        <v>119</v>
      </c>
    </row>
    <row r="77" spans="1:16" x14ac:dyDescent="0.4">
      <c r="A77">
        <f t="shared" si="1"/>
        <v>72</v>
      </c>
      <c r="B77" t="str">
        <f>IF($A77="","",INDEX(Metrics!$A$6:$U$305,MATCH($A77,Metrics!$U$6:$U$305,0),MATCH(B$5,Metrics!$A$5:$U$5,0)))</f>
        <v>MGAM</v>
      </c>
      <c r="C77" t="str">
        <f>IF($A77="","",INDEX(Metrics!$A$6:$U$305,MATCH($A77,Metrics!$U$6:$U$305,0),MATCH(C$5,Metrics!$A$5:$U$5,0)))</f>
        <v>Morgan Advanced Materials</v>
      </c>
      <c r="D77" t="str">
        <f>IF($A77="","",INDEX(Metrics!$A$6:$U$305,MATCH($A77,Metrics!$U$6:$U$305,0),MATCH(D$5,Metrics!$A$5:$U$5,0)))</f>
        <v>Industrials</v>
      </c>
      <c r="E77" s="14" t="e">
        <f>IF($A77="","",INDEX(Metrics!$A$6:$U$305,MATCH($A77,Metrics!$U$6:$U$305,0),MATCH(E$5,Metrics!$A$5:$U$5,0)))</f>
        <v>#N/A</v>
      </c>
      <c r="F77" s="7" t="str">
        <f>IF($A77="","",INDEX(Metrics!$A$6:$U$305,MATCH($A77,Metrics!$U$6:$U$305,0),MATCH(F$5,Metrics!$A$5:$U$5,0)))</f>
        <v/>
      </c>
      <c r="G77" s="9" t="str">
        <f>IF($A77="","",INDEX(Metrics!$A$6:$U$305,MATCH($A77,Metrics!$U$6:$U$305,0),MATCH(G$5,Metrics!$A$5:$U$5,0)))</f>
        <v/>
      </c>
      <c r="H77" s="9" t="str">
        <f>IF($A77="","",INDEX(Metrics!$A$6:$U$305,MATCH($A77,Metrics!$U$6:$U$305,0),MATCH(H$5,Metrics!$A$5:$U$5,0)))</f>
        <v>n/m</v>
      </c>
      <c r="I77" s="7" t="str">
        <f>IF($A77="","",INDEX(Metrics!$A$6:$U$305,MATCH($A77,Metrics!$U$6:$U$305,0),MATCH(I$5,Metrics!$A$5:$U$5,0)))</f>
        <v/>
      </c>
      <c r="J77" s="9" t="str">
        <f>IF($A77="","",INDEX(Metrics!$A$6:$U$305,MATCH($A77,Metrics!$U$6:$U$305,0),MATCH(J$5,Metrics!$A$5:$U$5,0)))</f>
        <v/>
      </c>
      <c r="K77" s="10">
        <f>IF($A77="","",INDEX(Metrics!$A$6:$U$305,MATCH($A77,Metrics!$U$6:$U$305,0),MATCH(K$5,Metrics!$A$5:$U$5,0)))</f>
        <v>119</v>
      </c>
      <c r="L77">
        <f>IF($A77="","",INDEX(Metrics!$A$6:$U$305,MATCH($A77,Metrics!$U$6:$U$305,0),MATCH(L$5,Metrics!$A$5:$U$5,0)))</f>
        <v>119</v>
      </c>
      <c r="M77">
        <f>IF($A77="","",INDEX(Metrics!$A$6:$U$305,MATCH($A77,Metrics!$U$6:$U$305,0),MATCH(M$5,Metrics!$A$5:$U$5,0)))</f>
        <v>119</v>
      </c>
      <c r="N77">
        <f>IF($A77="","",INDEX(Metrics!$A$6:$U$305,MATCH($A77,Metrics!$U$6:$U$305,0),MATCH(N$5,Metrics!$A$5:$U$5,0)))</f>
        <v>119</v>
      </c>
      <c r="O77">
        <f>IF($A77="","",INDEX(Metrics!$A$6:$U$305,MATCH($A77,Metrics!$U$6:$U$305,0),MATCH(O$5,Metrics!$A$5:$U$5,0)))</f>
        <v>119</v>
      </c>
      <c r="P77">
        <f>IF($A77="","",INDEX(Metrics!$A$6:$U$305,MATCH($A77,Metrics!$U$6:$U$305,0),MATCH(P$5,Metrics!$A$5:$U$5,0)))</f>
        <v>119</v>
      </c>
    </row>
    <row r="78" spans="1:16" x14ac:dyDescent="0.4">
      <c r="A78">
        <f t="shared" si="1"/>
        <v>73</v>
      </c>
      <c r="B78" t="str">
        <f>IF($A78="","",INDEX(Metrics!$A$6:$U$305,MATCH($A78,Metrics!$U$6:$U$305,0),MATCH(B$5,Metrics!$A$5:$U$5,0)))</f>
        <v>MGNS</v>
      </c>
      <c r="C78" t="str">
        <f>IF($A78="","",INDEX(Metrics!$A$6:$U$305,MATCH($A78,Metrics!$U$6:$U$305,0),MATCH(C$5,Metrics!$A$5:$U$5,0)))</f>
        <v>Morgan Sindall Group</v>
      </c>
      <c r="D78" t="str">
        <f>IF($A78="","",INDEX(Metrics!$A$6:$U$305,MATCH($A78,Metrics!$U$6:$U$305,0),MATCH(D$5,Metrics!$A$5:$U$5,0)))</f>
        <v>Industrials</v>
      </c>
      <c r="E78" s="14" t="e">
        <f>IF($A78="","",INDEX(Metrics!$A$6:$U$305,MATCH($A78,Metrics!$U$6:$U$305,0),MATCH(E$5,Metrics!$A$5:$U$5,0)))</f>
        <v>#N/A</v>
      </c>
      <c r="F78" s="7" t="str">
        <f>IF($A78="","",INDEX(Metrics!$A$6:$U$305,MATCH($A78,Metrics!$U$6:$U$305,0),MATCH(F$5,Metrics!$A$5:$U$5,0)))</f>
        <v/>
      </c>
      <c r="G78" s="9" t="str">
        <f>IF($A78="","",INDEX(Metrics!$A$6:$U$305,MATCH($A78,Metrics!$U$6:$U$305,0),MATCH(G$5,Metrics!$A$5:$U$5,0)))</f>
        <v/>
      </c>
      <c r="H78" s="9" t="str">
        <f>IF($A78="","",INDEX(Metrics!$A$6:$U$305,MATCH($A78,Metrics!$U$6:$U$305,0),MATCH(H$5,Metrics!$A$5:$U$5,0)))</f>
        <v>n/m</v>
      </c>
      <c r="I78" s="7" t="str">
        <f>IF($A78="","",INDEX(Metrics!$A$6:$U$305,MATCH($A78,Metrics!$U$6:$U$305,0),MATCH(I$5,Metrics!$A$5:$U$5,0)))</f>
        <v/>
      </c>
      <c r="J78" s="9" t="str">
        <f>IF($A78="","",INDEX(Metrics!$A$6:$U$305,MATCH($A78,Metrics!$U$6:$U$305,0),MATCH(J$5,Metrics!$A$5:$U$5,0)))</f>
        <v/>
      </c>
      <c r="K78" s="10">
        <f>IF($A78="","",INDEX(Metrics!$A$6:$U$305,MATCH($A78,Metrics!$U$6:$U$305,0),MATCH(K$5,Metrics!$A$5:$U$5,0)))</f>
        <v>119</v>
      </c>
      <c r="L78">
        <f>IF($A78="","",INDEX(Metrics!$A$6:$U$305,MATCH($A78,Metrics!$U$6:$U$305,0),MATCH(L$5,Metrics!$A$5:$U$5,0)))</f>
        <v>119</v>
      </c>
      <c r="M78">
        <f>IF($A78="","",INDEX(Metrics!$A$6:$U$305,MATCH($A78,Metrics!$U$6:$U$305,0),MATCH(M$5,Metrics!$A$5:$U$5,0)))</f>
        <v>119</v>
      </c>
      <c r="N78">
        <f>IF($A78="","",INDEX(Metrics!$A$6:$U$305,MATCH($A78,Metrics!$U$6:$U$305,0),MATCH(N$5,Metrics!$A$5:$U$5,0)))</f>
        <v>119</v>
      </c>
      <c r="O78">
        <f>IF($A78="","",INDEX(Metrics!$A$6:$U$305,MATCH($A78,Metrics!$U$6:$U$305,0),MATCH(O$5,Metrics!$A$5:$U$5,0)))</f>
        <v>119</v>
      </c>
      <c r="P78">
        <f>IF($A78="","",INDEX(Metrics!$A$6:$U$305,MATCH($A78,Metrics!$U$6:$U$305,0),MATCH(P$5,Metrics!$A$5:$U$5,0)))</f>
        <v>119</v>
      </c>
    </row>
    <row r="79" spans="1:16" x14ac:dyDescent="0.4">
      <c r="A79">
        <f t="shared" si="1"/>
        <v>74</v>
      </c>
      <c r="B79" t="str">
        <f>IF($A79="","",INDEX(Metrics!$A$6:$U$305,MATCH($A79,Metrics!$U$6:$U$305,0),MATCH(B$5,Metrics!$A$5:$U$5,0)))</f>
        <v>NCC</v>
      </c>
      <c r="C79" t="str">
        <f>IF($A79="","",INDEX(Metrics!$A$6:$U$305,MATCH($A79,Metrics!$U$6:$U$305,0),MATCH(C$5,Metrics!$A$5:$U$5,0)))</f>
        <v>NCC Group</v>
      </c>
      <c r="D79" t="str">
        <f>IF($A79="","",INDEX(Metrics!$A$6:$U$305,MATCH($A79,Metrics!$U$6:$U$305,0),MATCH(D$5,Metrics!$A$5:$U$5,0)))</f>
        <v>Technology</v>
      </c>
      <c r="E79" s="14" t="e">
        <f>IF($A79="","",INDEX(Metrics!$A$6:$U$305,MATCH($A79,Metrics!$U$6:$U$305,0),MATCH(E$5,Metrics!$A$5:$U$5,0)))</f>
        <v>#N/A</v>
      </c>
      <c r="F79" s="7" t="str">
        <f>IF($A79="","",INDEX(Metrics!$A$6:$U$305,MATCH($A79,Metrics!$U$6:$U$305,0),MATCH(F$5,Metrics!$A$5:$U$5,0)))</f>
        <v/>
      </c>
      <c r="G79" s="9" t="str">
        <f>IF($A79="","",INDEX(Metrics!$A$6:$U$305,MATCH($A79,Metrics!$U$6:$U$305,0),MATCH(G$5,Metrics!$A$5:$U$5,0)))</f>
        <v/>
      </c>
      <c r="H79" s="9" t="str">
        <f>IF($A79="","",INDEX(Metrics!$A$6:$U$305,MATCH($A79,Metrics!$U$6:$U$305,0),MATCH(H$5,Metrics!$A$5:$U$5,0)))</f>
        <v>n/m</v>
      </c>
      <c r="I79" s="7" t="str">
        <f>IF($A79="","",INDEX(Metrics!$A$6:$U$305,MATCH($A79,Metrics!$U$6:$U$305,0),MATCH(I$5,Metrics!$A$5:$U$5,0)))</f>
        <v/>
      </c>
      <c r="J79" s="9" t="str">
        <f>IF($A79="","",INDEX(Metrics!$A$6:$U$305,MATCH($A79,Metrics!$U$6:$U$305,0),MATCH(J$5,Metrics!$A$5:$U$5,0)))</f>
        <v/>
      </c>
      <c r="K79" s="10">
        <f>IF($A79="","",INDEX(Metrics!$A$6:$U$305,MATCH($A79,Metrics!$U$6:$U$305,0),MATCH(K$5,Metrics!$A$5:$U$5,0)))</f>
        <v>119</v>
      </c>
      <c r="L79">
        <f>IF($A79="","",INDEX(Metrics!$A$6:$U$305,MATCH($A79,Metrics!$U$6:$U$305,0),MATCH(L$5,Metrics!$A$5:$U$5,0)))</f>
        <v>119</v>
      </c>
      <c r="M79">
        <f>IF($A79="","",INDEX(Metrics!$A$6:$U$305,MATCH($A79,Metrics!$U$6:$U$305,0),MATCH(M$5,Metrics!$A$5:$U$5,0)))</f>
        <v>119</v>
      </c>
      <c r="N79">
        <f>IF($A79="","",INDEX(Metrics!$A$6:$U$305,MATCH($A79,Metrics!$U$6:$U$305,0),MATCH(N$5,Metrics!$A$5:$U$5,0)))</f>
        <v>119</v>
      </c>
      <c r="O79">
        <f>IF($A79="","",INDEX(Metrics!$A$6:$U$305,MATCH($A79,Metrics!$U$6:$U$305,0),MATCH(O$5,Metrics!$A$5:$U$5,0)))</f>
        <v>119</v>
      </c>
      <c r="P79">
        <f>IF($A79="","",INDEX(Metrics!$A$6:$U$305,MATCH($A79,Metrics!$U$6:$U$305,0),MATCH(P$5,Metrics!$A$5:$U$5,0)))</f>
        <v>119</v>
      </c>
    </row>
    <row r="80" spans="1:16" x14ac:dyDescent="0.4">
      <c r="A80">
        <f t="shared" si="1"/>
        <v>75</v>
      </c>
      <c r="B80" t="str">
        <f>IF($A80="","",INDEX(Metrics!$A$6:$U$305,MATCH($A80,Metrics!$U$6:$U$305,0),MATCH(B$5,Metrics!$A$5:$U$5,0)))</f>
        <v>OCDO</v>
      </c>
      <c r="C80" t="str">
        <f>IF($A80="","",INDEX(Metrics!$A$6:$U$305,MATCH($A80,Metrics!$U$6:$U$305,0),MATCH(C$5,Metrics!$A$5:$U$5,0)))</f>
        <v>Ocado Group</v>
      </c>
      <c r="D80" t="str">
        <f>IF($A80="","",INDEX(Metrics!$A$6:$U$305,MATCH($A80,Metrics!$U$6:$U$305,0),MATCH(D$5,Metrics!$A$5:$U$5,0)))</f>
        <v>Consumer Staples</v>
      </c>
      <c r="E80" s="14" t="e">
        <f>IF($A80="","",INDEX(Metrics!$A$6:$U$305,MATCH($A80,Metrics!$U$6:$U$305,0),MATCH(E$5,Metrics!$A$5:$U$5,0)))</f>
        <v>#N/A</v>
      </c>
      <c r="F80" s="7" t="str">
        <f>IF($A80="","",INDEX(Metrics!$A$6:$U$305,MATCH($A80,Metrics!$U$6:$U$305,0),MATCH(F$5,Metrics!$A$5:$U$5,0)))</f>
        <v/>
      </c>
      <c r="G80" s="9" t="str">
        <f>IF($A80="","",INDEX(Metrics!$A$6:$U$305,MATCH($A80,Metrics!$U$6:$U$305,0),MATCH(G$5,Metrics!$A$5:$U$5,0)))</f>
        <v/>
      </c>
      <c r="H80" s="9" t="str">
        <f>IF($A80="","",INDEX(Metrics!$A$6:$U$305,MATCH($A80,Metrics!$U$6:$U$305,0),MATCH(H$5,Metrics!$A$5:$U$5,0)))</f>
        <v>n/m</v>
      </c>
      <c r="I80" s="7" t="str">
        <f>IF($A80="","",INDEX(Metrics!$A$6:$U$305,MATCH($A80,Metrics!$U$6:$U$305,0),MATCH(I$5,Metrics!$A$5:$U$5,0)))</f>
        <v/>
      </c>
      <c r="J80" s="9" t="str">
        <f>IF($A80="","",INDEX(Metrics!$A$6:$U$305,MATCH($A80,Metrics!$U$6:$U$305,0),MATCH(J$5,Metrics!$A$5:$U$5,0)))</f>
        <v/>
      </c>
      <c r="K80" s="10">
        <f>IF($A80="","",INDEX(Metrics!$A$6:$U$305,MATCH($A80,Metrics!$U$6:$U$305,0),MATCH(K$5,Metrics!$A$5:$U$5,0)))</f>
        <v>119</v>
      </c>
      <c r="L80">
        <f>IF($A80="","",INDEX(Metrics!$A$6:$U$305,MATCH($A80,Metrics!$U$6:$U$305,0),MATCH(L$5,Metrics!$A$5:$U$5,0)))</f>
        <v>119</v>
      </c>
      <c r="M80">
        <f>IF($A80="","",INDEX(Metrics!$A$6:$U$305,MATCH($A80,Metrics!$U$6:$U$305,0),MATCH(M$5,Metrics!$A$5:$U$5,0)))</f>
        <v>119</v>
      </c>
      <c r="N80">
        <f>IF($A80="","",INDEX(Metrics!$A$6:$U$305,MATCH($A80,Metrics!$U$6:$U$305,0),MATCH(N$5,Metrics!$A$5:$U$5,0)))</f>
        <v>119</v>
      </c>
      <c r="O80">
        <f>IF($A80="","",INDEX(Metrics!$A$6:$U$305,MATCH($A80,Metrics!$U$6:$U$305,0),MATCH(O$5,Metrics!$A$5:$U$5,0)))</f>
        <v>119</v>
      </c>
      <c r="P80">
        <f>IF($A80="","",INDEX(Metrics!$A$6:$U$305,MATCH($A80,Metrics!$U$6:$U$305,0),MATCH(P$5,Metrics!$A$5:$U$5,0)))</f>
        <v>119</v>
      </c>
    </row>
    <row r="81" spans="1:16" x14ac:dyDescent="0.4">
      <c r="A81">
        <f t="shared" si="1"/>
        <v>76</v>
      </c>
      <c r="B81" t="str">
        <f>IF($A81="","",INDEX(Metrics!$A$6:$U$305,MATCH($A81,Metrics!$U$6:$U$305,0),MATCH(B$5,Metrics!$A$5:$U$5,0)))</f>
        <v>OXB</v>
      </c>
      <c r="C81" t="str">
        <f>IF($A81="","",INDEX(Metrics!$A$6:$U$305,MATCH($A81,Metrics!$U$6:$U$305,0),MATCH(C$5,Metrics!$A$5:$U$5,0)))</f>
        <v>Oxford Biomedica</v>
      </c>
      <c r="D81" t="str">
        <f>IF($A81="","",INDEX(Metrics!$A$6:$U$305,MATCH($A81,Metrics!$U$6:$U$305,0),MATCH(D$5,Metrics!$A$5:$U$5,0)))</f>
        <v>Health Care</v>
      </c>
      <c r="E81" s="14" t="e">
        <f>IF($A81="","",INDEX(Metrics!$A$6:$U$305,MATCH($A81,Metrics!$U$6:$U$305,0),MATCH(E$5,Metrics!$A$5:$U$5,0)))</f>
        <v>#N/A</v>
      </c>
      <c r="F81" s="7" t="str">
        <f>IF($A81="","",INDEX(Metrics!$A$6:$U$305,MATCH($A81,Metrics!$U$6:$U$305,0),MATCH(F$5,Metrics!$A$5:$U$5,0)))</f>
        <v/>
      </c>
      <c r="G81" s="9" t="str">
        <f>IF($A81="","",INDEX(Metrics!$A$6:$U$305,MATCH($A81,Metrics!$U$6:$U$305,0),MATCH(G$5,Metrics!$A$5:$U$5,0)))</f>
        <v/>
      </c>
      <c r="H81" s="9" t="str">
        <f>IF($A81="","",INDEX(Metrics!$A$6:$U$305,MATCH($A81,Metrics!$U$6:$U$305,0),MATCH(H$5,Metrics!$A$5:$U$5,0)))</f>
        <v>n/m</v>
      </c>
      <c r="I81" s="7" t="str">
        <f>IF($A81="","",INDEX(Metrics!$A$6:$U$305,MATCH($A81,Metrics!$U$6:$U$305,0),MATCH(I$5,Metrics!$A$5:$U$5,0)))</f>
        <v/>
      </c>
      <c r="J81" s="9" t="str">
        <f>IF($A81="","",INDEX(Metrics!$A$6:$U$305,MATCH($A81,Metrics!$U$6:$U$305,0),MATCH(J$5,Metrics!$A$5:$U$5,0)))</f>
        <v/>
      </c>
      <c r="K81" s="10">
        <f>IF($A81="","",INDEX(Metrics!$A$6:$U$305,MATCH($A81,Metrics!$U$6:$U$305,0),MATCH(K$5,Metrics!$A$5:$U$5,0)))</f>
        <v>119</v>
      </c>
      <c r="L81">
        <f>IF($A81="","",INDEX(Metrics!$A$6:$U$305,MATCH($A81,Metrics!$U$6:$U$305,0),MATCH(L$5,Metrics!$A$5:$U$5,0)))</f>
        <v>119</v>
      </c>
      <c r="M81">
        <f>IF($A81="","",INDEX(Metrics!$A$6:$U$305,MATCH($A81,Metrics!$U$6:$U$305,0),MATCH(M$5,Metrics!$A$5:$U$5,0)))</f>
        <v>119</v>
      </c>
      <c r="N81">
        <f>IF($A81="","",INDEX(Metrics!$A$6:$U$305,MATCH($A81,Metrics!$U$6:$U$305,0),MATCH(N$5,Metrics!$A$5:$U$5,0)))</f>
        <v>119</v>
      </c>
      <c r="O81">
        <f>IF($A81="","",INDEX(Metrics!$A$6:$U$305,MATCH($A81,Metrics!$U$6:$U$305,0),MATCH(O$5,Metrics!$A$5:$U$5,0)))</f>
        <v>119</v>
      </c>
      <c r="P81">
        <f>IF($A81="","",INDEX(Metrics!$A$6:$U$305,MATCH($A81,Metrics!$U$6:$U$305,0),MATCH(P$5,Metrics!$A$5:$U$5,0)))</f>
        <v>119</v>
      </c>
    </row>
    <row r="82" spans="1:16" x14ac:dyDescent="0.4">
      <c r="A82">
        <f t="shared" si="1"/>
        <v>77</v>
      </c>
      <c r="B82" t="str">
        <f>IF($A82="","",INDEX(Metrics!$A$6:$U$305,MATCH($A82,Metrics!$U$6:$U$305,0),MATCH(B$5,Metrics!$A$5:$U$5,0)))</f>
        <v>OXIG</v>
      </c>
      <c r="C82" t="str">
        <f>IF($A82="","",INDEX(Metrics!$A$6:$U$305,MATCH($A82,Metrics!$U$6:$U$305,0),MATCH(C$5,Metrics!$A$5:$U$5,0)))</f>
        <v>Oxford Instruments</v>
      </c>
      <c r="D82" t="str">
        <f>IF($A82="","",INDEX(Metrics!$A$6:$U$305,MATCH($A82,Metrics!$U$6:$U$305,0),MATCH(D$5,Metrics!$A$5:$U$5,0)))</f>
        <v>Industrials</v>
      </c>
      <c r="E82" s="14" t="e">
        <f>IF($A82="","",INDEX(Metrics!$A$6:$U$305,MATCH($A82,Metrics!$U$6:$U$305,0),MATCH(E$5,Metrics!$A$5:$U$5,0)))</f>
        <v>#N/A</v>
      </c>
      <c r="F82" s="7" t="str">
        <f>IF($A82="","",INDEX(Metrics!$A$6:$U$305,MATCH($A82,Metrics!$U$6:$U$305,0),MATCH(F$5,Metrics!$A$5:$U$5,0)))</f>
        <v/>
      </c>
      <c r="G82" s="9" t="str">
        <f>IF($A82="","",INDEX(Metrics!$A$6:$U$305,MATCH($A82,Metrics!$U$6:$U$305,0),MATCH(G$5,Metrics!$A$5:$U$5,0)))</f>
        <v/>
      </c>
      <c r="H82" s="9" t="str">
        <f>IF($A82="","",INDEX(Metrics!$A$6:$U$305,MATCH($A82,Metrics!$U$6:$U$305,0),MATCH(H$5,Metrics!$A$5:$U$5,0)))</f>
        <v>n/m</v>
      </c>
      <c r="I82" s="7" t="str">
        <f>IF($A82="","",INDEX(Metrics!$A$6:$U$305,MATCH($A82,Metrics!$U$6:$U$305,0),MATCH(I$5,Metrics!$A$5:$U$5,0)))</f>
        <v/>
      </c>
      <c r="J82" s="9" t="str">
        <f>IF($A82="","",INDEX(Metrics!$A$6:$U$305,MATCH($A82,Metrics!$U$6:$U$305,0),MATCH(J$5,Metrics!$A$5:$U$5,0)))</f>
        <v/>
      </c>
      <c r="K82" s="10">
        <f>IF($A82="","",INDEX(Metrics!$A$6:$U$305,MATCH($A82,Metrics!$U$6:$U$305,0),MATCH(K$5,Metrics!$A$5:$U$5,0)))</f>
        <v>119</v>
      </c>
      <c r="L82">
        <f>IF($A82="","",INDEX(Metrics!$A$6:$U$305,MATCH($A82,Metrics!$U$6:$U$305,0),MATCH(L$5,Metrics!$A$5:$U$5,0)))</f>
        <v>119</v>
      </c>
      <c r="M82">
        <f>IF($A82="","",INDEX(Metrics!$A$6:$U$305,MATCH($A82,Metrics!$U$6:$U$305,0),MATCH(M$5,Metrics!$A$5:$U$5,0)))</f>
        <v>119</v>
      </c>
      <c r="N82">
        <f>IF($A82="","",INDEX(Metrics!$A$6:$U$305,MATCH($A82,Metrics!$U$6:$U$305,0),MATCH(N$5,Metrics!$A$5:$U$5,0)))</f>
        <v>119</v>
      </c>
      <c r="O82">
        <f>IF($A82="","",INDEX(Metrics!$A$6:$U$305,MATCH($A82,Metrics!$U$6:$U$305,0),MATCH(O$5,Metrics!$A$5:$U$5,0)))</f>
        <v>119</v>
      </c>
      <c r="P82">
        <f>IF($A82="","",INDEX(Metrics!$A$6:$U$305,MATCH($A82,Metrics!$U$6:$U$305,0),MATCH(P$5,Metrics!$A$5:$U$5,0)))</f>
        <v>119</v>
      </c>
    </row>
    <row r="83" spans="1:16" x14ac:dyDescent="0.4">
      <c r="A83">
        <f t="shared" si="1"/>
        <v>78</v>
      </c>
      <c r="B83" t="str">
        <f>IF($A83="","",INDEX(Metrics!$A$6:$U$305,MATCH($A83,Metrics!$U$6:$U$305,0),MATCH(B$5,Metrics!$A$5:$U$5,0)))</f>
        <v>ONT</v>
      </c>
      <c r="C83" t="str">
        <f>IF($A83="","",INDEX(Metrics!$A$6:$U$305,MATCH($A83,Metrics!$U$6:$U$305,0),MATCH(C$5,Metrics!$A$5:$U$5,0)))</f>
        <v>Oxford Nanopore Technologies</v>
      </c>
      <c r="D83" t="str">
        <f>IF($A83="","",INDEX(Metrics!$A$6:$U$305,MATCH($A83,Metrics!$U$6:$U$305,0),MATCH(D$5,Metrics!$A$5:$U$5,0)))</f>
        <v>Health Care</v>
      </c>
      <c r="E83" s="14" t="e">
        <f>IF($A83="","",INDEX(Metrics!$A$6:$U$305,MATCH($A83,Metrics!$U$6:$U$305,0),MATCH(E$5,Metrics!$A$5:$U$5,0)))</f>
        <v>#N/A</v>
      </c>
      <c r="F83" s="7" t="str">
        <f>IF($A83="","",INDEX(Metrics!$A$6:$U$305,MATCH($A83,Metrics!$U$6:$U$305,0),MATCH(F$5,Metrics!$A$5:$U$5,0)))</f>
        <v/>
      </c>
      <c r="G83" s="9" t="str">
        <f>IF($A83="","",INDEX(Metrics!$A$6:$U$305,MATCH($A83,Metrics!$U$6:$U$305,0),MATCH(G$5,Metrics!$A$5:$U$5,0)))</f>
        <v/>
      </c>
      <c r="H83" s="9" t="str">
        <f>IF($A83="","",INDEX(Metrics!$A$6:$U$305,MATCH($A83,Metrics!$U$6:$U$305,0),MATCH(H$5,Metrics!$A$5:$U$5,0)))</f>
        <v>n/m</v>
      </c>
      <c r="I83" s="7" t="str">
        <f>IF($A83="","",INDEX(Metrics!$A$6:$U$305,MATCH($A83,Metrics!$U$6:$U$305,0),MATCH(I$5,Metrics!$A$5:$U$5,0)))</f>
        <v/>
      </c>
      <c r="J83" s="9" t="str">
        <f>IF($A83="","",INDEX(Metrics!$A$6:$U$305,MATCH($A83,Metrics!$U$6:$U$305,0),MATCH(J$5,Metrics!$A$5:$U$5,0)))</f>
        <v/>
      </c>
      <c r="K83" s="10">
        <f>IF($A83="","",INDEX(Metrics!$A$6:$U$305,MATCH($A83,Metrics!$U$6:$U$305,0),MATCH(K$5,Metrics!$A$5:$U$5,0)))</f>
        <v>119</v>
      </c>
      <c r="L83">
        <f>IF($A83="","",INDEX(Metrics!$A$6:$U$305,MATCH($A83,Metrics!$U$6:$U$305,0),MATCH(L$5,Metrics!$A$5:$U$5,0)))</f>
        <v>119</v>
      </c>
      <c r="M83">
        <f>IF($A83="","",INDEX(Metrics!$A$6:$U$305,MATCH($A83,Metrics!$U$6:$U$305,0),MATCH(M$5,Metrics!$A$5:$U$5,0)))</f>
        <v>119</v>
      </c>
      <c r="N83">
        <f>IF($A83="","",INDEX(Metrics!$A$6:$U$305,MATCH($A83,Metrics!$U$6:$U$305,0),MATCH(N$5,Metrics!$A$5:$U$5,0)))</f>
        <v>119</v>
      </c>
      <c r="O83">
        <f>IF($A83="","",INDEX(Metrics!$A$6:$U$305,MATCH($A83,Metrics!$U$6:$U$305,0),MATCH(O$5,Metrics!$A$5:$U$5,0)))</f>
        <v>119</v>
      </c>
      <c r="P83">
        <f>IF($A83="","",INDEX(Metrics!$A$6:$U$305,MATCH($A83,Metrics!$U$6:$U$305,0),MATCH(P$5,Metrics!$A$5:$U$5,0)))</f>
        <v>119</v>
      </c>
    </row>
    <row r="84" spans="1:16" x14ac:dyDescent="0.4">
      <c r="A84">
        <f t="shared" si="1"/>
        <v>79</v>
      </c>
      <c r="B84" t="str">
        <f>IF($A84="","",INDEX(Metrics!$A$6:$U$305,MATCH($A84,Metrics!$U$6:$U$305,0),MATCH(B$5,Metrics!$A$5:$U$5,0)))</f>
        <v>PAF</v>
      </c>
      <c r="C84" t="str">
        <f>IF($A84="","",INDEX(Metrics!$A$6:$U$305,MATCH($A84,Metrics!$U$6:$U$305,0),MATCH(C$5,Metrics!$A$5:$U$5,0)))</f>
        <v>Pan African Resources</v>
      </c>
      <c r="D84" t="str">
        <f>IF($A84="","",INDEX(Metrics!$A$6:$U$305,MATCH($A84,Metrics!$U$6:$U$305,0),MATCH(D$5,Metrics!$A$5:$U$5,0)))</f>
        <v>Basic Materials</v>
      </c>
      <c r="E84" s="14" t="e">
        <f>IF($A84="","",INDEX(Metrics!$A$6:$U$305,MATCH($A84,Metrics!$U$6:$U$305,0),MATCH(E$5,Metrics!$A$5:$U$5,0)))</f>
        <v>#N/A</v>
      </c>
      <c r="F84" s="7" t="str">
        <f>IF($A84="","",INDEX(Metrics!$A$6:$U$305,MATCH($A84,Metrics!$U$6:$U$305,0),MATCH(F$5,Metrics!$A$5:$U$5,0)))</f>
        <v/>
      </c>
      <c r="G84" s="9" t="str">
        <f>IF($A84="","",INDEX(Metrics!$A$6:$U$305,MATCH($A84,Metrics!$U$6:$U$305,0),MATCH(G$5,Metrics!$A$5:$U$5,0)))</f>
        <v/>
      </c>
      <c r="H84" s="9" t="str">
        <f>IF($A84="","",INDEX(Metrics!$A$6:$U$305,MATCH($A84,Metrics!$U$6:$U$305,0),MATCH(H$5,Metrics!$A$5:$U$5,0)))</f>
        <v>n/m</v>
      </c>
      <c r="I84" s="7" t="str">
        <f>IF($A84="","",INDEX(Metrics!$A$6:$U$305,MATCH($A84,Metrics!$U$6:$U$305,0),MATCH(I$5,Metrics!$A$5:$U$5,0)))</f>
        <v/>
      </c>
      <c r="J84" s="9" t="str">
        <f>IF($A84="","",INDEX(Metrics!$A$6:$U$305,MATCH($A84,Metrics!$U$6:$U$305,0),MATCH(J$5,Metrics!$A$5:$U$5,0)))</f>
        <v/>
      </c>
      <c r="K84" s="10">
        <f>IF($A84="","",INDEX(Metrics!$A$6:$U$305,MATCH($A84,Metrics!$U$6:$U$305,0),MATCH(K$5,Metrics!$A$5:$U$5,0)))</f>
        <v>119</v>
      </c>
      <c r="L84">
        <f>IF($A84="","",INDEX(Metrics!$A$6:$U$305,MATCH($A84,Metrics!$U$6:$U$305,0),MATCH(L$5,Metrics!$A$5:$U$5,0)))</f>
        <v>119</v>
      </c>
      <c r="M84">
        <f>IF($A84="","",INDEX(Metrics!$A$6:$U$305,MATCH($A84,Metrics!$U$6:$U$305,0),MATCH(M$5,Metrics!$A$5:$U$5,0)))</f>
        <v>119</v>
      </c>
      <c r="N84">
        <f>IF($A84="","",INDEX(Metrics!$A$6:$U$305,MATCH($A84,Metrics!$U$6:$U$305,0),MATCH(N$5,Metrics!$A$5:$U$5,0)))</f>
        <v>119</v>
      </c>
      <c r="O84">
        <f>IF($A84="","",INDEX(Metrics!$A$6:$U$305,MATCH($A84,Metrics!$U$6:$U$305,0),MATCH(O$5,Metrics!$A$5:$U$5,0)))</f>
        <v>119</v>
      </c>
      <c r="P84">
        <f>IF($A84="","",INDEX(Metrics!$A$6:$U$305,MATCH($A84,Metrics!$U$6:$U$305,0),MATCH(P$5,Metrics!$A$5:$U$5,0)))</f>
        <v>119</v>
      </c>
    </row>
    <row r="85" spans="1:16" x14ac:dyDescent="0.4">
      <c r="A85">
        <f t="shared" si="1"/>
        <v>80</v>
      </c>
      <c r="B85" t="str">
        <f>IF($A85="","",INDEX(Metrics!$A$6:$U$305,MATCH($A85,Metrics!$U$6:$U$305,0),MATCH(B$5,Metrics!$A$5:$U$5,0)))</f>
        <v>PNN</v>
      </c>
      <c r="C85" t="str">
        <f>IF($A85="","",INDEX(Metrics!$A$6:$U$305,MATCH($A85,Metrics!$U$6:$U$305,0),MATCH(C$5,Metrics!$A$5:$U$5,0)))</f>
        <v>Pennon Group</v>
      </c>
      <c r="D85" t="str">
        <f>IF($A85="","",INDEX(Metrics!$A$6:$U$305,MATCH($A85,Metrics!$U$6:$U$305,0),MATCH(D$5,Metrics!$A$5:$U$5,0)))</f>
        <v>Utilities</v>
      </c>
      <c r="E85" s="14" t="e">
        <f>IF($A85="","",INDEX(Metrics!$A$6:$U$305,MATCH($A85,Metrics!$U$6:$U$305,0),MATCH(E$5,Metrics!$A$5:$U$5,0)))</f>
        <v>#N/A</v>
      </c>
      <c r="F85" s="7" t="str">
        <f>IF($A85="","",INDEX(Metrics!$A$6:$U$305,MATCH($A85,Metrics!$U$6:$U$305,0),MATCH(F$5,Metrics!$A$5:$U$5,0)))</f>
        <v/>
      </c>
      <c r="G85" s="9" t="str">
        <f>IF($A85="","",INDEX(Metrics!$A$6:$U$305,MATCH($A85,Metrics!$U$6:$U$305,0),MATCH(G$5,Metrics!$A$5:$U$5,0)))</f>
        <v/>
      </c>
      <c r="H85" s="9" t="str">
        <f>IF($A85="","",INDEX(Metrics!$A$6:$U$305,MATCH($A85,Metrics!$U$6:$U$305,0),MATCH(H$5,Metrics!$A$5:$U$5,0)))</f>
        <v>n/m</v>
      </c>
      <c r="I85" s="7" t="str">
        <f>IF($A85="","",INDEX(Metrics!$A$6:$U$305,MATCH($A85,Metrics!$U$6:$U$305,0),MATCH(I$5,Metrics!$A$5:$U$5,0)))</f>
        <v/>
      </c>
      <c r="J85" s="9" t="str">
        <f>IF($A85="","",INDEX(Metrics!$A$6:$U$305,MATCH($A85,Metrics!$U$6:$U$305,0),MATCH(J$5,Metrics!$A$5:$U$5,0)))</f>
        <v/>
      </c>
      <c r="K85" s="10">
        <f>IF($A85="","",INDEX(Metrics!$A$6:$U$305,MATCH($A85,Metrics!$U$6:$U$305,0),MATCH(K$5,Metrics!$A$5:$U$5,0)))</f>
        <v>119</v>
      </c>
      <c r="L85">
        <f>IF($A85="","",INDEX(Metrics!$A$6:$U$305,MATCH($A85,Metrics!$U$6:$U$305,0),MATCH(L$5,Metrics!$A$5:$U$5,0)))</f>
        <v>119</v>
      </c>
      <c r="M85">
        <f>IF($A85="","",INDEX(Metrics!$A$6:$U$305,MATCH($A85,Metrics!$U$6:$U$305,0),MATCH(M$5,Metrics!$A$5:$U$5,0)))</f>
        <v>119</v>
      </c>
      <c r="N85">
        <f>IF($A85="","",INDEX(Metrics!$A$6:$U$305,MATCH($A85,Metrics!$U$6:$U$305,0),MATCH(N$5,Metrics!$A$5:$U$5,0)))</f>
        <v>119</v>
      </c>
      <c r="O85">
        <f>IF($A85="","",INDEX(Metrics!$A$6:$U$305,MATCH($A85,Metrics!$U$6:$U$305,0),MATCH(O$5,Metrics!$A$5:$U$5,0)))</f>
        <v>119</v>
      </c>
      <c r="P85">
        <f>IF($A85="","",INDEX(Metrics!$A$6:$U$305,MATCH($A85,Metrics!$U$6:$U$305,0),MATCH(P$5,Metrics!$A$5:$U$5,0)))</f>
        <v>119</v>
      </c>
    </row>
    <row r="86" spans="1:16" x14ac:dyDescent="0.4">
      <c r="A86">
        <f t="shared" si="1"/>
        <v>81</v>
      </c>
      <c r="B86" t="str">
        <f>IF($A86="","",INDEX(Metrics!$A$6:$U$305,MATCH($A86,Metrics!$U$6:$U$305,0),MATCH(B$5,Metrics!$A$5:$U$5,0)))</f>
        <v>PSN</v>
      </c>
      <c r="C86" t="str">
        <f>IF($A86="","",INDEX(Metrics!$A$6:$U$305,MATCH($A86,Metrics!$U$6:$U$305,0),MATCH(C$5,Metrics!$A$5:$U$5,0)))</f>
        <v>Persimmon</v>
      </c>
      <c r="D86" t="str">
        <f>IF($A86="","",INDEX(Metrics!$A$6:$U$305,MATCH($A86,Metrics!$U$6:$U$305,0),MATCH(D$5,Metrics!$A$5:$U$5,0)))</f>
        <v>Consumer Discretionary</v>
      </c>
      <c r="E86" s="14" t="e">
        <f>IF($A86="","",INDEX(Metrics!$A$6:$U$305,MATCH($A86,Metrics!$U$6:$U$305,0),MATCH(E$5,Metrics!$A$5:$U$5,0)))</f>
        <v>#N/A</v>
      </c>
      <c r="F86" s="7" t="str">
        <f>IF($A86="","",INDEX(Metrics!$A$6:$U$305,MATCH($A86,Metrics!$U$6:$U$305,0),MATCH(F$5,Metrics!$A$5:$U$5,0)))</f>
        <v/>
      </c>
      <c r="G86" s="9" t="str">
        <f>IF($A86="","",INDEX(Metrics!$A$6:$U$305,MATCH($A86,Metrics!$U$6:$U$305,0),MATCH(G$5,Metrics!$A$5:$U$5,0)))</f>
        <v/>
      </c>
      <c r="H86" s="9" t="str">
        <f>IF($A86="","",INDEX(Metrics!$A$6:$U$305,MATCH($A86,Metrics!$U$6:$U$305,0),MATCH(H$5,Metrics!$A$5:$U$5,0)))</f>
        <v>n/m</v>
      </c>
      <c r="I86" s="7" t="str">
        <f>IF($A86="","",INDEX(Metrics!$A$6:$U$305,MATCH($A86,Metrics!$U$6:$U$305,0),MATCH(I$5,Metrics!$A$5:$U$5,0)))</f>
        <v/>
      </c>
      <c r="J86" s="9" t="str">
        <f>IF($A86="","",INDEX(Metrics!$A$6:$U$305,MATCH($A86,Metrics!$U$6:$U$305,0),MATCH(J$5,Metrics!$A$5:$U$5,0)))</f>
        <v/>
      </c>
      <c r="K86" s="10">
        <f>IF($A86="","",INDEX(Metrics!$A$6:$U$305,MATCH($A86,Metrics!$U$6:$U$305,0),MATCH(K$5,Metrics!$A$5:$U$5,0)))</f>
        <v>119</v>
      </c>
      <c r="L86">
        <f>IF($A86="","",INDEX(Metrics!$A$6:$U$305,MATCH($A86,Metrics!$U$6:$U$305,0),MATCH(L$5,Metrics!$A$5:$U$5,0)))</f>
        <v>119</v>
      </c>
      <c r="M86">
        <f>IF($A86="","",INDEX(Metrics!$A$6:$U$305,MATCH($A86,Metrics!$U$6:$U$305,0),MATCH(M$5,Metrics!$A$5:$U$5,0)))</f>
        <v>119</v>
      </c>
      <c r="N86">
        <f>IF($A86="","",INDEX(Metrics!$A$6:$U$305,MATCH($A86,Metrics!$U$6:$U$305,0),MATCH(N$5,Metrics!$A$5:$U$5,0)))</f>
        <v>119</v>
      </c>
      <c r="O86">
        <f>IF($A86="","",INDEX(Metrics!$A$6:$U$305,MATCH($A86,Metrics!$U$6:$U$305,0),MATCH(O$5,Metrics!$A$5:$U$5,0)))</f>
        <v>119</v>
      </c>
      <c r="P86">
        <f>IF($A86="","",INDEX(Metrics!$A$6:$U$305,MATCH($A86,Metrics!$U$6:$U$305,0),MATCH(P$5,Metrics!$A$5:$U$5,0)))</f>
        <v>119</v>
      </c>
    </row>
    <row r="87" spans="1:16" x14ac:dyDescent="0.4">
      <c r="A87">
        <f t="shared" si="1"/>
        <v>82</v>
      </c>
      <c r="B87" t="str">
        <f>IF($A87="","",INDEX(Metrics!$A$6:$U$305,MATCH($A87,Metrics!$U$6:$U$305,0),MATCH(B$5,Metrics!$A$5:$U$5,0)))</f>
        <v>PETS</v>
      </c>
      <c r="C87" t="str">
        <f>IF($A87="","",INDEX(Metrics!$A$6:$U$305,MATCH($A87,Metrics!$U$6:$U$305,0),MATCH(C$5,Metrics!$A$5:$U$5,0)))</f>
        <v>Pets at Home</v>
      </c>
      <c r="D87" t="str">
        <f>IF($A87="","",INDEX(Metrics!$A$6:$U$305,MATCH($A87,Metrics!$U$6:$U$305,0),MATCH(D$5,Metrics!$A$5:$U$5,0)))</f>
        <v>Consumer Discretionary</v>
      </c>
      <c r="E87" s="14" t="e">
        <f>IF($A87="","",INDEX(Metrics!$A$6:$U$305,MATCH($A87,Metrics!$U$6:$U$305,0),MATCH(E$5,Metrics!$A$5:$U$5,0)))</f>
        <v>#N/A</v>
      </c>
      <c r="F87" s="7" t="str">
        <f>IF($A87="","",INDEX(Metrics!$A$6:$U$305,MATCH($A87,Metrics!$U$6:$U$305,0),MATCH(F$5,Metrics!$A$5:$U$5,0)))</f>
        <v/>
      </c>
      <c r="G87" s="9" t="str">
        <f>IF($A87="","",INDEX(Metrics!$A$6:$U$305,MATCH($A87,Metrics!$U$6:$U$305,0),MATCH(G$5,Metrics!$A$5:$U$5,0)))</f>
        <v/>
      </c>
      <c r="H87" s="9" t="str">
        <f>IF($A87="","",INDEX(Metrics!$A$6:$U$305,MATCH($A87,Metrics!$U$6:$U$305,0),MATCH(H$5,Metrics!$A$5:$U$5,0)))</f>
        <v>n/m</v>
      </c>
      <c r="I87" s="7" t="str">
        <f>IF($A87="","",INDEX(Metrics!$A$6:$U$305,MATCH($A87,Metrics!$U$6:$U$305,0),MATCH(I$5,Metrics!$A$5:$U$5,0)))</f>
        <v/>
      </c>
      <c r="J87" s="9" t="str">
        <f>IF($A87="","",INDEX(Metrics!$A$6:$U$305,MATCH($A87,Metrics!$U$6:$U$305,0),MATCH(J$5,Metrics!$A$5:$U$5,0)))</f>
        <v/>
      </c>
      <c r="K87" s="10">
        <f>IF($A87="","",INDEX(Metrics!$A$6:$U$305,MATCH($A87,Metrics!$U$6:$U$305,0),MATCH(K$5,Metrics!$A$5:$U$5,0)))</f>
        <v>119</v>
      </c>
      <c r="L87">
        <f>IF($A87="","",INDEX(Metrics!$A$6:$U$305,MATCH($A87,Metrics!$U$6:$U$305,0),MATCH(L$5,Metrics!$A$5:$U$5,0)))</f>
        <v>119</v>
      </c>
      <c r="M87">
        <f>IF($A87="","",INDEX(Metrics!$A$6:$U$305,MATCH($A87,Metrics!$U$6:$U$305,0),MATCH(M$5,Metrics!$A$5:$U$5,0)))</f>
        <v>119</v>
      </c>
      <c r="N87">
        <f>IF($A87="","",INDEX(Metrics!$A$6:$U$305,MATCH($A87,Metrics!$U$6:$U$305,0),MATCH(N$5,Metrics!$A$5:$U$5,0)))</f>
        <v>119</v>
      </c>
      <c r="O87">
        <f>IF($A87="","",INDEX(Metrics!$A$6:$U$305,MATCH($A87,Metrics!$U$6:$U$305,0),MATCH(O$5,Metrics!$A$5:$U$5,0)))</f>
        <v>119</v>
      </c>
      <c r="P87">
        <f>IF($A87="","",INDEX(Metrics!$A$6:$U$305,MATCH($A87,Metrics!$U$6:$U$305,0),MATCH(P$5,Metrics!$A$5:$U$5,0)))</f>
        <v>119</v>
      </c>
    </row>
    <row r="88" spans="1:16" x14ac:dyDescent="0.4">
      <c r="A88">
        <f t="shared" si="1"/>
        <v>83</v>
      </c>
      <c r="B88" t="str">
        <f>IF($A88="","",INDEX(Metrics!$A$6:$U$305,MATCH($A88,Metrics!$U$6:$U$305,0),MATCH(B$5,Metrics!$A$5:$U$5,0)))</f>
        <v>PPH</v>
      </c>
      <c r="C88" t="str">
        <f>IF($A88="","",INDEX(Metrics!$A$6:$U$305,MATCH($A88,Metrics!$U$6:$U$305,0),MATCH(C$5,Metrics!$A$5:$U$5,0)))</f>
        <v>PPHE Hotel Group</v>
      </c>
      <c r="D88" t="str">
        <f>IF($A88="","",INDEX(Metrics!$A$6:$U$305,MATCH($A88,Metrics!$U$6:$U$305,0),MATCH(D$5,Metrics!$A$5:$U$5,0)))</f>
        <v>Consumer Discretionary</v>
      </c>
      <c r="E88" s="14" t="e">
        <f>IF($A88="","",INDEX(Metrics!$A$6:$U$305,MATCH($A88,Metrics!$U$6:$U$305,0),MATCH(E$5,Metrics!$A$5:$U$5,0)))</f>
        <v>#N/A</v>
      </c>
      <c r="F88" s="7" t="str">
        <f>IF($A88="","",INDEX(Metrics!$A$6:$U$305,MATCH($A88,Metrics!$U$6:$U$305,0),MATCH(F$5,Metrics!$A$5:$U$5,0)))</f>
        <v/>
      </c>
      <c r="G88" s="9" t="str">
        <f>IF($A88="","",INDEX(Metrics!$A$6:$U$305,MATCH($A88,Metrics!$U$6:$U$305,0),MATCH(G$5,Metrics!$A$5:$U$5,0)))</f>
        <v/>
      </c>
      <c r="H88" s="9" t="str">
        <f>IF($A88="","",INDEX(Metrics!$A$6:$U$305,MATCH($A88,Metrics!$U$6:$U$305,0),MATCH(H$5,Metrics!$A$5:$U$5,0)))</f>
        <v>n/m</v>
      </c>
      <c r="I88" s="7" t="str">
        <f>IF($A88="","",INDEX(Metrics!$A$6:$U$305,MATCH($A88,Metrics!$U$6:$U$305,0),MATCH(I$5,Metrics!$A$5:$U$5,0)))</f>
        <v/>
      </c>
      <c r="J88" s="9" t="str">
        <f>IF($A88="","",INDEX(Metrics!$A$6:$U$305,MATCH($A88,Metrics!$U$6:$U$305,0),MATCH(J$5,Metrics!$A$5:$U$5,0)))</f>
        <v/>
      </c>
      <c r="K88" s="10">
        <f>IF($A88="","",INDEX(Metrics!$A$6:$U$305,MATCH($A88,Metrics!$U$6:$U$305,0),MATCH(K$5,Metrics!$A$5:$U$5,0)))</f>
        <v>119</v>
      </c>
      <c r="L88">
        <f>IF($A88="","",INDEX(Metrics!$A$6:$U$305,MATCH($A88,Metrics!$U$6:$U$305,0),MATCH(L$5,Metrics!$A$5:$U$5,0)))</f>
        <v>119</v>
      </c>
      <c r="M88">
        <f>IF($A88="","",INDEX(Metrics!$A$6:$U$305,MATCH($A88,Metrics!$U$6:$U$305,0),MATCH(M$5,Metrics!$A$5:$U$5,0)))</f>
        <v>119</v>
      </c>
      <c r="N88">
        <f>IF($A88="","",INDEX(Metrics!$A$6:$U$305,MATCH($A88,Metrics!$U$6:$U$305,0),MATCH(N$5,Metrics!$A$5:$U$5,0)))</f>
        <v>119</v>
      </c>
      <c r="O88">
        <f>IF($A88="","",INDEX(Metrics!$A$6:$U$305,MATCH($A88,Metrics!$U$6:$U$305,0),MATCH(O$5,Metrics!$A$5:$U$5,0)))</f>
        <v>119</v>
      </c>
      <c r="P88">
        <f>IF($A88="","",INDEX(Metrics!$A$6:$U$305,MATCH($A88,Metrics!$U$6:$U$305,0),MATCH(P$5,Metrics!$A$5:$U$5,0)))</f>
        <v>119</v>
      </c>
    </row>
    <row r="89" spans="1:16" x14ac:dyDescent="0.4">
      <c r="A89">
        <f t="shared" si="1"/>
        <v>84</v>
      </c>
      <c r="B89" t="str">
        <f>IF($A89="","",INDEX(Metrics!$A$6:$U$305,MATCH($A89,Metrics!$U$6:$U$305,0),MATCH(B$5,Metrics!$A$5:$U$5,0)))</f>
        <v>PFD</v>
      </c>
      <c r="C89" t="str">
        <f>IF($A89="","",INDEX(Metrics!$A$6:$U$305,MATCH($A89,Metrics!$U$6:$U$305,0),MATCH(C$5,Metrics!$A$5:$U$5,0)))</f>
        <v>Premier Foods</v>
      </c>
      <c r="D89" t="str">
        <f>IF($A89="","",INDEX(Metrics!$A$6:$U$305,MATCH($A89,Metrics!$U$6:$U$305,0),MATCH(D$5,Metrics!$A$5:$U$5,0)))</f>
        <v>Consumer Staples</v>
      </c>
      <c r="E89" s="14" t="e">
        <f>IF($A89="","",INDEX(Metrics!$A$6:$U$305,MATCH($A89,Metrics!$U$6:$U$305,0),MATCH(E$5,Metrics!$A$5:$U$5,0)))</f>
        <v>#N/A</v>
      </c>
      <c r="F89" s="7" t="str">
        <f>IF($A89="","",INDEX(Metrics!$A$6:$U$305,MATCH($A89,Metrics!$U$6:$U$305,0),MATCH(F$5,Metrics!$A$5:$U$5,0)))</f>
        <v/>
      </c>
      <c r="G89" s="9" t="str">
        <f>IF($A89="","",INDEX(Metrics!$A$6:$U$305,MATCH($A89,Metrics!$U$6:$U$305,0),MATCH(G$5,Metrics!$A$5:$U$5,0)))</f>
        <v/>
      </c>
      <c r="H89" s="9" t="str">
        <f>IF($A89="","",INDEX(Metrics!$A$6:$U$305,MATCH($A89,Metrics!$U$6:$U$305,0),MATCH(H$5,Metrics!$A$5:$U$5,0)))</f>
        <v>n/m</v>
      </c>
      <c r="I89" s="7" t="str">
        <f>IF($A89="","",INDEX(Metrics!$A$6:$U$305,MATCH($A89,Metrics!$U$6:$U$305,0),MATCH(I$5,Metrics!$A$5:$U$5,0)))</f>
        <v/>
      </c>
      <c r="J89" s="9" t="str">
        <f>IF($A89="","",INDEX(Metrics!$A$6:$U$305,MATCH($A89,Metrics!$U$6:$U$305,0),MATCH(J$5,Metrics!$A$5:$U$5,0)))</f>
        <v/>
      </c>
      <c r="K89" s="10">
        <f>IF($A89="","",INDEX(Metrics!$A$6:$U$305,MATCH($A89,Metrics!$U$6:$U$305,0),MATCH(K$5,Metrics!$A$5:$U$5,0)))</f>
        <v>119</v>
      </c>
      <c r="L89">
        <f>IF($A89="","",INDEX(Metrics!$A$6:$U$305,MATCH($A89,Metrics!$U$6:$U$305,0),MATCH(L$5,Metrics!$A$5:$U$5,0)))</f>
        <v>119</v>
      </c>
      <c r="M89">
        <f>IF($A89="","",INDEX(Metrics!$A$6:$U$305,MATCH($A89,Metrics!$U$6:$U$305,0),MATCH(M$5,Metrics!$A$5:$U$5,0)))</f>
        <v>119</v>
      </c>
      <c r="N89">
        <f>IF($A89="","",INDEX(Metrics!$A$6:$U$305,MATCH($A89,Metrics!$U$6:$U$305,0),MATCH(N$5,Metrics!$A$5:$U$5,0)))</f>
        <v>119</v>
      </c>
      <c r="O89">
        <f>IF($A89="","",INDEX(Metrics!$A$6:$U$305,MATCH($A89,Metrics!$U$6:$U$305,0),MATCH(O$5,Metrics!$A$5:$U$5,0)))</f>
        <v>119</v>
      </c>
      <c r="P89">
        <f>IF($A89="","",INDEX(Metrics!$A$6:$U$305,MATCH($A89,Metrics!$U$6:$U$305,0),MATCH(P$5,Metrics!$A$5:$U$5,0)))</f>
        <v>119</v>
      </c>
    </row>
    <row r="90" spans="1:16" x14ac:dyDescent="0.4">
      <c r="A90">
        <f t="shared" si="1"/>
        <v>85</v>
      </c>
      <c r="B90" t="str">
        <f>IF($A90="","",INDEX(Metrics!$A$6:$U$305,MATCH($A90,Metrics!$U$6:$U$305,0),MATCH(B$5,Metrics!$A$5:$U$5,0)))</f>
        <v>PRN</v>
      </c>
      <c r="C90" t="str">
        <f>IF($A90="","",INDEX(Metrics!$A$6:$U$305,MATCH($A90,Metrics!$U$6:$U$305,0),MATCH(C$5,Metrics!$A$5:$U$5,0)))</f>
        <v>Princes Group</v>
      </c>
      <c r="D90" t="str">
        <f>IF($A90="","",INDEX(Metrics!$A$6:$U$305,MATCH($A90,Metrics!$U$6:$U$305,0),MATCH(D$5,Metrics!$A$5:$U$5,0)))</f>
        <v>Consumer Staples</v>
      </c>
      <c r="E90" s="14" t="e">
        <f>IF($A90="","",INDEX(Metrics!$A$6:$U$305,MATCH($A90,Metrics!$U$6:$U$305,0),MATCH(E$5,Metrics!$A$5:$U$5,0)))</f>
        <v>#N/A</v>
      </c>
      <c r="F90" s="7" t="str">
        <f>IF($A90="","",INDEX(Metrics!$A$6:$U$305,MATCH($A90,Metrics!$U$6:$U$305,0),MATCH(F$5,Metrics!$A$5:$U$5,0)))</f>
        <v/>
      </c>
      <c r="G90" s="9" t="str">
        <f>IF($A90="","",INDEX(Metrics!$A$6:$U$305,MATCH($A90,Metrics!$U$6:$U$305,0),MATCH(G$5,Metrics!$A$5:$U$5,0)))</f>
        <v/>
      </c>
      <c r="H90" s="9" t="str">
        <f>IF($A90="","",INDEX(Metrics!$A$6:$U$305,MATCH($A90,Metrics!$U$6:$U$305,0),MATCH(H$5,Metrics!$A$5:$U$5,0)))</f>
        <v>n/m</v>
      </c>
      <c r="I90" s="7" t="str">
        <f>IF($A90="","",INDEX(Metrics!$A$6:$U$305,MATCH($A90,Metrics!$U$6:$U$305,0),MATCH(I$5,Metrics!$A$5:$U$5,0)))</f>
        <v/>
      </c>
      <c r="J90" s="9" t="str">
        <f>IF($A90="","",INDEX(Metrics!$A$6:$U$305,MATCH($A90,Metrics!$U$6:$U$305,0),MATCH(J$5,Metrics!$A$5:$U$5,0)))</f>
        <v/>
      </c>
      <c r="K90" s="10">
        <f>IF($A90="","",INDEX(Metrics!$A$6:$U$305,MATCH($A90,Metrics!$U$6:$U$305,0),MATCH(K$5,Metrics!$A$5:$U$5,0)))</f>
        <v>119</v>
      </c>
      <c r="L90">
        <f>IF($A90="","",INDEX(Metrics!$A$6:$U$305,MATCH($A90,Metrics!$U$6:$U$305,0),MATCH(L$5,Metrics!$A$5:$U$5,0)))</f>
        <v>119</v>
      </c>
      <c r="M90">
        <f>IF($A90="","",INDEX(Metrics!$A$6:$U$305,MATCH($A90,Metrics!$U$6:$U$305,0),MATCH(M$5,Metrics!$A$5:$U$5,0)))</f>
        <v>119</v>
      </c>
      <c r="N90">
        <f>IF($A90="","",INDEX(Metrics!$A$6:$U$305,MATCH($A90,Metrics!$U$6:$U$305,0),MATCH(N$5,Metrics!$A$5:$U$5,0)))</f>
        <v>119</v>
      </c>
      <c r="O90">
        <f>IF($A90="","",INDEX(Metrics!$A$6:$U$305,MATCH($A90,Metrics!$U$6:$U$305,0),MATCH(O$5,Metrics!$A$5:$U$5,0)))</f>
        <v>119</v>
      </c>
      <c r="P90">
        <f>IF($A90="","",INDEX(Metrics!$A$6:$U$305,MATCH($A90,Metrics!$U$6:$U$305,0),MATCH(P$5,Metrics!$A$5:$U$5,0)))</f>
        <v>119</v>
      </c>
    </row>
    <row r="91" spans="1:16" x14ac:dyDescent="0.4">
      <c r="A91">
        <f t="shared" si="1"/>
        <v>86</v>
      </c>
      <c r="B91" t="str">
        <f>IF($A91="","",INDEX(Metrics!$A$6:$U$305,MATCH($A91,Metrics!$U$6:$U$305,0),MATCH(B$5,Metrics!$A$5:$U$5,0)))</f>
        <v>QQ</v>
      </c>
      <c r="C91" t="str">
        <f>IF($A91="","",INDEX(Metrics!$A$6:$U$305,MATCH($A91,Metrics!$U$6:$U$305,0),MATCH(C$5,Metrics!$A$5:$U$5,0)))</f>
        <v>Qinetiq</v>
      </c>
      <c r="D91" t="str">
        <f>IF($A91="","",INDEX(Metrics!$A$6:$U$305,MATCH($A91,Metrics!$U$6:$U$305,0),MATCH(D$5,Metrics!$A$5:$U$5,0)))</f>
        <v>Industrials</v>
      </c>
      <c r="E91" s="14" t="e">
        <f>IF($A91="","",INDEX(Metrics!$A$6:$U$305,MATCH($A91,Metrics!$U$6:$U$305,0),MATCH(E$5,Metrics!$A$5:$U$5,0)))</f>
        <v>#N/A</v>
      </c>
      <c r="F91" s="7" t="str">
        <f>IF($A91="","",INDEX(Metrics!$A$6:$U$305,MATCH($A91,Metrics!$U$6:$U$305,0),MATCH(F$5,Metrics!$A$5:$U$5,0)))</f>
        <v/>
      </c>
      <c r="G91" s="9" t="str">
        <f>IF($A91="","",INDEX(Metrics!$A$6:$U$305,MATCH($A91,Metrics!$U$6:$U$305,0),MATCH(G$5,Metrics!$A$5:$U$5,0)))</f>
        <v/>
      </c>
      <c r="H91" s="9" t="str">
        <f>IF($A91="","",INDEX(Metrics!$A$6:$U$305,MATCH($A91,Metrics!$U$6:$U$305,0),MATCH(H$5,Metrics!$A$5:$U$5,0)))</f>
        <v>n/m</v>
      </c>
      <c r="I91" s="7" t="str">
        <f>IF($A91="","",INDEX(Metrics!$A$6:$U$305,MATCH($A91,Metrics!$U$6:$U$305,0),MATCH(I$5,Metrics!$A$5:$U$5,0)))</f>
        <v/>
      </c>
      <c r="J91" s="9" t="str">
        <f>IF($A91="","",INDEX(Metrics!$A$6:$U$305,MATCH($A91,Metrics!$U$6:$U$305,0),MATCH(J$5,Metrics!$A$5:$U$5,0)))</f>
        <v/>
      </c>
      <c r="K91" s="10">
        <f>IF($A91="","",INDEX(Metrics!$A$6:$U$305,MATCH($A91,Metrics!$U$6:$U$305,0),MATCH(K$5,Metrics!$A$5:$U$5,0)))</f>
        <v>119</v>
      </c>
      <c r="L91">
        <f>IF($A91="","",INDEX(Metrics!$A$6:$U$305,MATCH($A91,Metrics!$U$6:$U$305,0),MATCH(L$5,Metrics!$A$5:$U$5,0)))</f>
        <v>119</v>
      </c>
      <c r="M91">
        <f>IF($A91="","",INDEX(Metrics!$A$6:$U$305,MATCH($A91,Metrics!$U$6:$U$305,0),MATCH(M$5,Metrics!$A$5:$U$5,0)))</f>
        <v>119</v>
      </c>
      <c r="N91">
        <f>IF($A91="","",INDEX(Metrics!$A$6:$U$305,MATCH($A91,Metrics!$U$6:$U$305,0),MATCH(N$5,Metrics!$A$5:$U$5,0)))</f>
        <v>119</v>
      </c>
      <c r="O91">
        <f>IF($A91="","",INDEX(Metrics!$A$6:$U$305,MATCH($A91,Metrics!$U$6:$U$305,0),MATCH(O$5,Metrics!$A$5:$U$5,0)))</f>
        <v>119</v>
      </c>
      <c r="P91">
        <f>IF($A91="","",INDEX(Metrics!$A$6:$U$305,MATCH($A91,Metrics!$U$6:$U$305,0),MATCH(P$5,Metrics!$A$5:$U$5,0)))</f>
        <v>119</v>
      </c>
    </row>
    <row r="92" spans="1:16" x14ac:dyDescent="0.4">
      <c r="A92">
        <f t="shared" si="1"/>
        <v>87</v>
      </c>
      <c r="B92" t="str">
        <f>IF($A92="","",INDEX(Metrics!$A$6:$U$305,MATCH($A92,Metrics!$U$6:$U$305,0),MATCH(B$5,Metrics!$A$5:$U$5,0)))</f>
        <v>RNK</v>
      </c>
      <c r="C92" t="str">
        <f>IF($A92="","",INDEX(Metrics!$A$6:$U$305,MATCH($A92,Metrics!$U$6:$U$305,0),MATCH(C$5,Metrics!$A$5:$U$5,0)))</f>
        <v>Rank Group</v>
      </c>
      <c r="D92" t="str">
        <f>IF($A92="","",INDEX(Metrics!$A$6:$U$305,MATCH($A92,Metrics!$U$6:$U$305,0),MATCH(D$5,Metrics!$A$5:$U$5,0)))</f>
        <v>Consumer Discretionary</v>
      </c>
      <c r="E92" s="14" t="e">
        <f>IF($A92="","",INDEX(Metrics!$A$6:$U$305,MATCH($A92,Metrics!$U$6:$U$305,0),MATCH(E$5,Metrics!$A$5:$U$5,0)))</f>
        <v>#N/A</v>
      </c>
      <c r="F92" s="7" t="str">
        <f>IF($A92="","",INDEX(Metrics!$A$6:$U$305,MATCH($A92,Metrics!$U$6:$U$305,0),MATCH(F$5,Metrics!$A$5:$U$5,0)))</f>
        <v/>
      </c>
      <c r="G92" s="9" t="str">
        <f>IF($A92="","",INDEX(Metrics!$A$6:$U$305,MATCH($A92,Metrics!$U$6:$U$305,0),MATCH(G$5,Metrics!$A$5:$U$5,0)))</f>
        <v/>
      </c>
      <c r="H92" s="9" t="str">
        <f>IF($A92="","",INDEX(Metrics!$A$6:$U$305,MATCH($A92,Metrics!$U$6:$U$305,0),MATCH(H$5,Metrics!$A$5:$U$5,0)))</f>
        <v>n/m</v>
      </c>
      <c r="I92" s="7" t="str">
        <f>IF($A92="","",INDEX(Metrics!$A$6:$U$305,MATCH($A92,Metrics!$U$6:$U$305,0),MATCH(I$5,Metrics!$A$5:$U$5,0)))</f>
        <v/>
      </c>
      <c r="J92" s="9" t="str">
        <f>IF($A92="","",INDEX(Metrics!$A$6:$U$305,MATCH($A92,Metrics!$U$6:$U$305,0),MATCH(J$5,Metrics!$A$5:$U$5,0)))</f>
        <v/>
      </c>
      <c r="K92" s="10">
        <f>IF($A92="","",INDEX(Metrics!$A$6:$U$305,MATCH($A92,Metrics!$U$6:$U$305,0),MATCH(K$5,Metrics!$A$5:$U$5,0)))</f>
        <v>119</v>
      </c>
      <c r="L92">
        <f>IF($A92="","",INDEX(Metrics!$A$6:$U$305,MATCH($A92,Metrics!$U$6:$U$305,0),MATCH(L$5,Metrics!$A$5:$U$5,0)))</f>
        <v>119</v>
      </c>
      <c r="M92">
        <f>IF($A92="","",INDEX(Metrics!$A$6:$U$305,MATCH($A92,Metrics!$U$6:$U$305,0),MATCH(M$5,Metrics!$A$5:$U$5,0)))</f>
        <v>119</v>
      </c>
      <c r="N92">
        <f>IF($A92="","",INDEX(Metrics!$A$6:$U$305,MATCH($A92,Metrics!$U$6:$U$305,0),MATCH(N$5,Metrics!$A$5:$U$5,0)))</f>
        <v>119</v>
      </c>
      <c r="O92">
        <f>IF($A92="","",INDEX(Metrics!$A$6:$U$305,MATCH($A92,Metrics!$U$6:$U$305,0),MATCH(O$5,Metrics!$A$5:$U$5,0)))</f>
        <v>119</v>
      </c>
      <c r="P92">
        <f>IF($A92="","",INDEX(Metrics!$A$6:$U$305,MATCH($A92,Metrics!$U$6:$U$305,0),MATCH(P$5,Metrics!$A$5:$U$5,0)))</f>
        <v>119</v>
      </c>
    </row>
    <row r="93" spans="1:16" x14ac:dyDescent="0.4">
      <c r="A93">
        <f t="shared" si="1"/>
        <v>88</v>
      </c>
      <c r="B93" t="str">
        <f>IF($A93="","",INDEX(Metrics!$A$6:$U$305,MATCH($A93,Metrics!$U$6:$U$305,0),MATCH(B$5,Metrics!$A$5:$U$5,0)))</f>
        <v>RPI</v>
      </c>
      <c r="C93" t="str">
        <f>IF($A93="","",INDEX(Metrics!$A$6:$U$305,MATCH($A93,Metrics!$U$6:$U$305,0),MATCH(C$5,Metrics!$A$5:$U$5,0)))</f>
        <v>Raspberry Pi Holdings</v>
      </c>
      <c r="D93" t="str">
        <f>IF($A93="","",INDEX(Metrics!$A$6:$U$305,MATCH($A93,Metrics!$U$6:$U$305,0),MATCH(D$5,Metrics!$A$5:$U$5,0)))</f>
        <v>Technology</v>
      </c>
      <c r="E93" s="14" t="e">
        <f>IF($A93="","",INDEX(Metrics!$A$6:$U$305,MATCH($A93,Metrics!$U$6:$U$305,0),MATCH(E$5,Metrics!$A$5:$U$5,0)))</f>
        <v>#N/A</v>
      </c>
      <c r="F93" s="7" t="str">
        <f>IF($A93="","",INDEX(Metrics!$A$6:$U$305,MATCH($A93,Metrics!$U$6:$U$305,0),MATCH(F$5,Metrics!$A$5:$U$5,0)))</f>
        <v/>
      </c>
      <c r="G93" s="9" t="str">
        <f>IF($A93="","",INDEX(Metrics!$A$6:$U$305,MATCH($A93,Metrics!$U$6:$U$305,0),MATCH(G$5,Metrics!$A$5:$U$5,0)))</f>
        <v/>
      </c>
      <c r="H93" s="9" t="str">
        <f>IF($A93="","",INDEX(Metrics!$A$6:$U$305,MATCH($A93,Metrics!$U$6:$U$305,0),MATCH(H$5,Metrics!$A$5:$U$5,0)))</f>
        <v>n/m</v>
      </c>
      <c r="I93" s="7" t="str">
        <f>IF($A93="","",INDEX(Metrics!$A$6:$U$305,MATCH($A93,Metrics!$U$6:$U$305,0),MATCH(I$5,Metrics!$A$5:$U$5,0)))</f>
        <v/>
      </c>
      <c r="J93" s="9" t="str">
        <f>IF($A93="","",INDEX(Metrics!$A$6:$U$305,MATCH($A93,Metrics!$U$6:$U$305,0),MATCH(J$5,Metrics!$A$5:$U$5,0)))</f>
        <v/>
      </c>
      <c r="K93" s="10">
        <f>IF($A93="","",INDEX(Metrics!$A$6:$U$305,MATCH($A93,Metrics!$U$6:$U$305,0),MATCH(K$5,Metrics!$A$5:$U$5,0)))</f>
        <v>119</v>
      </c>
      <c r="L93">
        <f>IF($A93="","",INDEX(Metrics!$A$6:$U$305,MATCH($A93,Metrics!$U$6:$U$305,0),MATCH(L$5,Metrics!$A$5:$U$5,0)))</f>
        <v>119</v>
      </c>
      <c r="M93">
        <f>IF($A93="","",INDEX(Metrics!$A$6:$U$305,MATCH($A93,Metrics!$U$6:$U$305,0),MATCH(M$5,Metrics!$A$5:$U$5,0)))</f>
        <v>119</v>
      </c>
      <c r="N93">
        <f>IF($A93="","",INDEX(Metrics!$A$6:$U$305,MATCH($A93,Metrics!$U$6:$U$305,0),MATCH(N$5,Metrics!$A$5:$U$5,0)))</f>
        <v>119</v>
      </c>
      <c r="O93">
        <f>IF($A93="","",INDEX(Metrics!$A$6:$U$305,MATCH($A93,Metrics!$U$6:$U$305,0),MATCH(O$5,Metrics!$A$5:$U$5,0)))</f>
        <v>119</v>
      </c>
      <c r="P93">
        <f>IF($A93="","",INDEX(Metrics!$A$6:$U$305,MATCH($A93,Metrics!$U$6:$U$305,0),MATCH(P$5,Metrics!$A$5:$U$5,0)))</f>
        <v>119</v>
      </c>
    </row>
    <row r="94" spans="1:16" x14ac:dyDescent="0.4">
      <c r="A94">
        <f t="shared" si="1"/>
        <v>89</v>
      </c>
      <c r="B94" t="str">
        <f>IF($A94="","",INDEX(Metrics!$A$6:$U$305,MATCH($A94,Metrics!$U$6:$U$305,0),MATCH(B$5,Metrics!$A$5:$U$5,0)))</f>
        <v>RSW</v>
      </c>
      <c r="C94" t="str">
        <f>IF($A94="","",INDEX(Metrics!$A$6:$U$305,MATCH($A94,Metrics!$U$6:$U$305,0),MATCH(C$5,Metrics!$A$5:$U$5,0)))</f>
        <v>Renishaw</v>
      </c>
      <c r="D94" t="str">
        <f>IF($A94="","",INDEX(Metrics!$A$6:$U$305,MATCH($A94,Metrics!$U$6:$U$305,0),MATCH(D$5,Metrics!$A$5:$U$5,0)))</f>
        <v>Industrials</v>
      </c>
      <c r="E94" s="14" t="e">
        <f>IF($A94="","",INDEX(Metrics!$A$6:$U$305,MATCH($A94,Metrics!$U$6:$U$305,0),MATCH(E$5,Metrics!$A$5:$U$5,0)))</f>
        <v>#N/A</v>
      </c>
      <c r="F94" s="7" t="str">
        <f>IF($A94="","",INDEX(Metrics!$A$6:$U$305,MATCH($A94,Metrics!$U$6:$U$305,0),MATCH(F$5,Metrics!$A$5:$U$5,0)))</f>
        <v/>
      </c>
      <c r="G94" s="9" t="str">
        <f>IF($A94="","",INDEX(Metrics!$A$6:$U$305,MATCH($A94,Metrics!$U$6:$U$305,0),MATCH(G$5,Metrics!$A$5:$U$5,0)))</f>
        <v/>
      </c>
      <c r="H94" s="9" t="str">
        <f>IF($A94="","",INDEX(Metrics!$A$6:$U$305,MATCH($A94,Metrics!$U$6:$U$305,0),MATCH(H$5,Metrics!$A$5:$U$5,0)))</f>
        <v>n/m</v>
      </c>
      <c r="I94" s="7" t="str">
        <f>IF($A94="","",INDEX(Metrics!$A$6:$U$305,MATCH($A94,Metrics!$U$6:$U$305,0),MATCH(I$5,Metrics!$A$5:$U$5,0)))</f>
        <v/>
      </c>
      <c r="J94" s="9" t="str">
        <f>IF($A94="","",INDEX(Metrics!$A$6:$U$305,MATCH($A94,Metrics!$U$6:$U$305,0),MATCH(J$5,Metrics!$A$5:$U$5,0)))</f>
        <v/>
      </c>
      <c r="K94" s="10">
        <f>IF($A94="","",INDEX(Metrics!$A$6:$U$305,MATCH($A94,Metrics!$U$6:$U$305,0),MATCH(K$5,Metrics!$A$5:$U$5,0)))</f>
        <v>119</v>
      </c>
      <c r="L94">
        <f>IF($A94="","",INDEX(Metrics!$A$6:$U$305,MATCH($A94,Metrics!$U$6:$U$305,0),MATCH(L$5,Metrics!$A$5:$U$5,0)))</f>
        <v>119</v>
      </c>
      <c r="M94">
        <f>IF($A94="","",INDEX(Metrics!$A$6:$U$305,MATCH($A94,Metrics!$U$6:$U$305,0),MATCH(M$5,Metrics!$A$5:$U$5,0)))</f>
        <v>119</v>
      </c>
      <c r="N94">
        <f>IF($A94="","",INDEX(Metrics!$A$6:$U$305,MATCH($A94,Metrics!$U$6:$U$305,0),MATCH(N$5,Metrics!$A$5:$U$5,0)))</f>
        <v>119</v>
      </c>
      <c r="O94">
        <f>IF($A94="","",INDEX(Metrics!$A$6:$U$305,MATCH($A94,Metrics!$U$6:$U$305,0),MATCH(O$5,Metrics!$A$5:$U$5,0)))</f>
        <v>119</v>
      </c>
      <c r="P94">
        <f>IF($A94="","",INDEX(Metrics!$A$6:$U$305,MATCH($A94,Metrics!$U$6:$U$305,0),MATCH(P$5,Metrics!$A$5:$U$5,0)))</f>
        <v>119</v>
      </c>
    </row>
    <row r="95" spans="1:16" x14ac:dyDescent="0.4">
      <c r="A95">
        <f t="shared" si="1"/>
        <v>90</v>
      </c>
      <c r="B95" t="str">
        <f>IF($A95="","",INDEX(Metrics!$A$6:$U$305,MATCH($A95,Metrics!$U$6:$U$305,0),MATCH(B$5,Metrics!$A$5:$U$5,0)))</f>
        <v>RHIM</v>
      </c>
      <c r="C95" t="str">
        <f>IF($A95="","",INDEX(Metrics!$A$6:$U$305,MATCH($A95,Metrics!$U$6:$U$305,0),MATCH(C$5,Metrics!$A$5:$U$5,0)))</f>
        <v>RHI Magnesita</v>
      </c>
      <c r="D95" t="str">
        <f>IF($A95="","",INDEX(Metrics!$A$6:$U$305,MATCH($A95,Metrics!$U$6:$U$305,0),MATCH(D$5,Metrics!$A$5:$U$5,0)))</f>
        <v>Industrials</v>
      </c>
      <c r="E95" s="14" t="e">
        <f>IF($A95="","",INDEX(Metrics!$A$6:$U$305,MATCH($A95,Metrics!$U$6:$U$305,0),MATCH(E$5,Metrics!$A$5:$U$5,0)))</f>
        <v>#N/A</v>
      </c>
      <c r="F95" s="7" t="str">
        <f>IF($A95="","",INDEX(Metrics!$A$6:$U$305,MATCH($A95,Metrics!$U$6:$U$305,0),MATCH(F$5,Metrics!$A$5:$U$5,0)))</f>
        <v/>
      </c>
      <c r="G95" s="9" t="str">
        <f>IF($A95="","",INDEX(Metrics!$A$6:$U$305,MATCH($A95,Metrics!$U$6:$U$305,0),MATCH(G$5,Metrics!$A$5:$U$5,0)))</f>
        <v/>
      </c>
      <c r="H95" s="9" t="str">
        <f>IF($A95="","",INDEX(Metrics!$A$6:$U$305,MATCH($A95,Metrics!$U$6:$U$305,0),MATCH(H$5,Metrics!$A$5:$U$5,0)))</f>
        <v>n/m</v>
      </c>
      <c r="I95" s="7" t="str">
        <f>IF($A95="","",INDEX(Metrics!$A$6:$U$305,MATCH($A95,Metrics!$U$6:$U$305,0),MATCH(I$5,Metrics!$A$5:$U$5,0)))</f>
        <v/>
      </c>
      <c r="J95" s="9" t="str">
        <f>IF($A95="","",INDEX(Metrics!$A$6:$U$305,MATCH($A95,Metrics!$U$6:$U$305,0),MATCH(J$5,Metrics!$A$5:$U$5,0)))</f>
        <v/>
      </c>
      <c r="K95" s="10">
        <f>IF($A95="","",INDEX(Metrics!$A$6:$U$305,MATCH($A95,Metrics!$U$6:$U$305,0),MATCH(K$5,Metrics!$A$5:$U$5,0)))</f>
        <v>119</v>
      </c>
      <c r="L95">
        <f>IF($A95="","",INDEX(Metrics!$A$6:$U$305,MATCH($A95,Metrics!$U$6:$U$305,0),MATCH(L$5,Metrics!$A$5:$U$5,0)))</f>
        <v>119</v>
      </c>
      <c r="M95">
        <f>IF($A95="","",INDEX(Metrics!$A$6:$U$305,MATCH($A95,Metrics!$U$6:$U$305,0),MATCH(M$5,Metrics!$A$5:$U$5,0)))</f>
        <v>119</v>
      </c>
      <c r="N95">
        <f>IF($A95="","",INDEX(Metrics!$A$6:$U$305,MATCH($A95,Metrics!$U$6:$U$305,0),MATCH(N$5,Metrics!$A$5:$U$5,0)))</f>
        <v>119</v>
      </c>
      <c r="O95">
        <f>IF($A95="","",INDEX(Metrics!$A$6:$U$305,MATCH($A95,Metrics!$U$6:$U$305,0),MATCH(O$5,Metrics!$A$5:$U$5,0)))</f>
        <v>119</v>
      </c>
      <c r="P95">
        <f>IF($A95="","",INDEX(Metrics!$A$6:$U$305,MATCH($A95,Metrics!$U$6:$U$305,0),MATCH(P$5,Metrics!$A$5:$U$5,0)))</f>
        <v>119</v>
      </c>
    </row>
    <row r="96" spans="1:16" x14ac:dyDescent="0.4">
      <c r="A96">
        <f t="shared" si="1"/>
        <v>91</v>
      </c>
      <c r="B96" t="str">
        <f>IF($A96="","",INDEX(Metrics!$A$6:$U$305,MATCH($A96,Metrics!$U$6:$U$305,0),MATCH(B$5,Metrics!$A$5:$U$5,0)))</f>
        <v>RMV</v>
      </c>
      <c r="C96" t="str">
        <f>IF($A96="","",INDEX(Metrics!$A$6:$U$305,MATCH($A96,Metrics!$U$6:$U$305,0),MATCH(C$5,Metrics!$A$5:$U$5,0)))</f>
        <v>Rightmove</v>
      </c>
      <c r="D96" t="str">
        <f>IF($A96="","",INDEX(Metrics!$A$6:$U$305,MATCH($A96,Metrics!$U$6:$U$305,0),MATCH(D$5,Metrics!$A$5:$U$5,0)))</f>
        <v>Consumer Discretionary</v>
      </c>
      <c r="E96" s="14" t="e">
        <f>IF($A96="","",INDEX(Metrics!$A$6:$U$305,MATCH($A96,Metrics!$U$6:$U$305,0),MATCH(E$5,Metrics!$A$5:$U$5,0)))</f>
        <v>#N/A</v>
      </c>
      <c r="F96" s="7" t="str">
        <f>IF($A96="","",INDEX(Metrics!$A$6:$U$305,MATCH($A96,Metrics!$U$6:$U$305,0),MATCH(F$5,Metrics!$A$5:$U$5,0)))</f>
        <v/>
      </c>
      <c r="G96" s="9" t="str">
        <f>IF($A96="","",INDEX(Metrics!$A$6:$U$305,MATCH($A96,Metrics!$U$6:$U$305,0),MATCH(G$5,Metrics!$A$5:$U$5,0)))</f>
        <v/>
      </c>
      <c r="H96" s="9" t="str">
        <f>IF($A96="","",INDEX(Metrics!$A$6:$U$305,MATCH($A96,Metrics!$U$6:$U$305,0),MATCH(H$5,Metrics!$A$5:$U$5,0)))</f>
        <v>n/m</v>
      </c>
      <c r="I96" s="7" t="str">
        <f>IF($A96="","",INDEX(Metrics!$A$6:$U$305,MATCH($A96,Metrics!$U$6:$U$305,0),MATCH(I$5,Metrics!$A$5:$U$5,0)))</f>
        <v/>
      </c>
      <c r="J96" s="9" t="str">
        <f>IF($A96="","",INDEX(Metrics!$A$6:$U$305,MATCH($A96,Metrics!$U$6:$U$305,0),MATCH(J$5,Metrics!$A$5:$U$5,0)))</f>
        <v/>
      </c>
      <c r="K96" s="10">
        <f>IF($A96="","",INDEX(Metrics!$A$6:$U$305,MATCH($A96,Metrics!$U$6:$U$305,0),MATCH(K$5,Metrics!$A$5:$U$5,0)))</f>
        <v>119</v>
      </c>
      <c r="L96">
        <f>IF($A96="","",INDEX(Metrics!$A$6:$U$305,MATCH($A96,Metrics!$U$6:$U$305,0),MATCH(L$5,Metrics!$A$5:$U$5,0)))</f>
        <v>119</v>
      </c>
      <c r="M96">
        <f>IF($A96="","",INDEX(Metrics!$A$6:$U$305,MATCH($A96,Metrics!$U$6:$U$305,0),MATCH(M$5,Metrics!$A$5:$U$5,0)))</f>
        <v>119</v>
      </c>
      <c r="N96">
        <f>IF($A96="","",INDEX(Metrics!$A$6:$U$305,MATCH($A96,Metrics!$U$6:$U$305,0),MATCH(N$5,Metrics!$A$5:$U$5,0)))</f>
        <v>119</v>
      </c>
      <c r="O96">
        <f>IF($A96="","",INDEX(Metrics!$A$6:$U$305,MATCH($A96,Metrics!$U$6:$U$305,0),MATCH(O$5,Metrics!$A$5:$U$5,0)))</f>
        <v>119</v>
      </c>
      <c r="P96">
        <f>IF($A96="","",INDEX(Metrics!$A$6:$U$305,MATCH($A96,Metrics!$U$6:$U$305,0),MATCH(P$5,Metrics!$A$5:$U$5,0)))</f>
        <v>119</v>
      </c>
    </row>
    <row r="97" spans="1:16" x14ac:dyDescent="0.4">
      <c r="A97">
        <f t="shared" si="1"/>
        <v>92</v>
      </c>
      <c r="B97" t="str">
        <f>IF($A97="","",INDEX(Metrics!$A$6:$U$305,MATCH($A97,Metrics!$U$6:$U$305,0),MATCH(B$5,Metrics!$A$5:$U$5,0)))</f>
        <v>ROSE</v>
      </c>
      <c r="C97" t="str">
        <f>IF($A97="","",INDEX(Metrics!$A$6:$U$305,MATCH($A97,Metrics!$U$6:$U$305,0),MATCH(C$5,Metrics!$A$5:$U$5,0)))</f>
        <v>Rosebank Industries</v>
      </c>
      <c r="D97" t="str">
        <f>IF($A97="","",INDEX(Metrics!$A$6:$U$305,MATCH($A97,Metrics!$U$6:$U$305,0),MATCH(D$5,Metrics!$A$5:$U$5,0)))</f>
        <v>Industrials</v>
      </c>
      <c r="E97" s="14" t="e">
        <f>IF($A97="","",INDEX(Metrics!$A$6:$U$305,MATCH($A97,Metrics!$U$6:$U$305,0),MATCH(E$5,Metrics!$A$5:$U$5,0)))</f>
        <v>#N/A</v>
      </c>
      <c r="F97" s="7" t="str">
        <f>IF($A97="","",INDEX(Metrics!$A$6:$U$305,MATCH($A97,Metrics!$U$6:$U$305,0),MATCH(F$5,Metrics!$A$5:$U$5,0)))</f>
        <v/>
      </c>
      <c r="G97" s="9" t="str">
        <f>IF($A97="","",INDEX(Metrics!$A$6:$U$305,MATCH($A97,Metrics!$U$6:$U$305,0),MATCH(G$5,Metrics!$A$5:$U$5,0)))</f>
        <v/>
      </c>
      <c r="H97" s="9" t="str">
        <f>IF($A97="","",INDEX(Metrics!$A$6:$U$305,MATCH($A97,Metrics!$U$6:$U$305,0),MATCH(H$5,Metrics!$A$5:$U$5,0)))</f>
        <v>n/m</v>
      </c>
      <c r="I97" s="7" t="str">
        <f>IF($A97="","",INDEX(Metrics!$A$6:$U$305,MATCH($A97,Metrics!$U$6:$U$305,0),MATCH(I$5,Metrics!$A$5:$U$5,0)))</f>
        <v/>
      </c>
      <c r="J97" s="9" t="str">
        <f>IF($A97="","",INDEX(Metrics!$A$6:$U$305,MATCH($A97,Metrics!$U$6:$U$305,0),MATCH(J$5,Metrics!$A$5:$U$5,0)))</f>
        <v/>
      </c>
      <c r="K97" s="10">
        <f>IF($A97="","",INDEX(Metrics!$A$6:$U$305,MATCH($A97,Metrics!$U$6:$U$305,0),MATCH(K$5,Metrics!$A$5:$U$5,0)))</f>
        <v>119</v>
      </c>
      <c r="L97">
        <f>IF($A97="","",INDEX(Metrics!$A$6:$U$305,MATCH($A97,Metrics!$U$6:$U$305,0),MATCH(L$5,Metrics!$A$5:$U$5,0)))</f>
        <v>119</v>
      </c>
      <c r="M97">
        <f>IF($A97="","",INDEX(Metrics!$A$6:$U$305,MATCH($A97,Metrics!$U$6:$U$305,0),MATCH(M$5,Metrics!$A$5:$U$5,0)))</f>
        <v>119</v>
      </c>
      <c r="N97">
        <f>IF($A97="","",INDEX(Metrics!$A$6:$U$305,MATCH($A97,Metrics!$U$6:$U$305,0),MATCH(N$5,Metrics!$A$5:$U$5,0)))</f>
        <v>119</v>
      </c>
      <c r="O97">
        <f>IF($A97="","",INDEX(Metrics!$A$6:$U$305,MATCH($A97,Metrics!$U$6:$U$305,0),MATCH(O$5,Metrics!$A$5:$U$5,0)))</f>
        <v>119</v>
      </c>
      <c r="P97">
        <f>IF($A97="","",INDEX(Metrics!$A$6:$U$305,MATCH($A97,Metrics!$U$6:$U$305,0),MATCH(P$5,Metrics!$A$5:$U$5,0)))</f>
        <v>119</v>
      </c>
    </row>
    <row r="98" spans="1:16" x14ac:dyDescent="0.4">
      <c r="A98">
        <f t="shared" si="1"/>
        <v>93</v>
      </c>
      <c r="B98" t="str">
        <f>IF($A98="","",INDEX(Metrics!$A$6:$U$305,MATCH($A98,Metrics!$U$6:$U$305,0),MATCH(B$5,Metrics!$A$5:$U$5,0)))</f>
        <v>ROR</v>
      </c>
      <c r="C98" t="str">
        <f>IF($A98="","",INDEX(Metrics!$A$6:$U$305,MATCH($A98,Metrics!$U$6:$U$305,0),MATCH(C$5,Metrics!$A$5:$U$5,0)))</f>
        <v>Rotork</v>
      </c>
      <c r="D98" t="str">
        <f>IF($A98="","",INDEX(Metrics!$A$6:$U$305,MATCH($A98,Metrics!$U$6:$U$305,0),MATCH(D$5,Metrics!$A$5:$U$5,0)))</f>
        <v>Industrials</v>
      </c>
      <c r="E98" s="14" t="e">
        <f>IF($A98="","",INDEX(Metrics!$A$6:$U$305,MATCH($A98,Metrics!$U$6:$U$305,0),MATCH(E$5,Metrics!$A$5:$U$5,0)))</f>
        <v>#N/A</v>
      </c>
      <c r="F98" s="7" t="str">
        <f>IF($A98="","",INDEX(Metrics!$A$6:$U$305,MATCH($A98,Metrics!$U$6:$U$305,0),MATCH(F$5,Metrics!$A$5:$U$5,0)))</f>
        <v/>
      </c>
      <c r="G98" s="9" t="str">
        <f>IF($A98="","",INDEX(Metrics!$A$6:$U$305,MATCH($A98,Metrics!$U$6:$U$305,0),MATCH(G$5,Metrics!$A$5:$U$5,0)))</f>
        <v/>
      </c>
      <c r="H98" s="9" t="str">
        <f>IF($A98="","",INDEX(Metrics!$A$6:$U$305,MATCH($A98,Metrics!$U$6:$U$305,0),MATCH(H$5,Metrics!$A$5:$U$5,0)))</f>
        <v>n/m</v>
      </c>
      <c r="I98" s="7" t="str">
        <f>IF($A98="","",INDEX(Metrics!$A$6:$U$305,MATCH($A98,Metrics!$U$6:$U$305,0),MATCH(I$5,Metrics!$A$5:$U$5,0)))</f>
        <v/>
      </c>
      <c r="J98" s="9" t="str">
        <f>IF($A98="","",INDEX(Metrics!$A$6:$U$305,MATCH($A98,Metrics!$U$6:$U$305,0),MATCH(J$5,Metrics!$A$5:$U$5,0)))</f>
        <v/>
      </c>
      <c r="K98" s="10">
        <f>IF($A98="","",INDEX(Metrics!$A$6:$U$305,MATCH($A98,Metrics!$U$6:$U$305,0),MATCH(K$5,Metrics!$A$5:$U$5,0)))</f>
        <v>119</v>
      </c>
      <c r="L98">
        <f>IF($A98="","",INDEX(Metrics!$A$6:$U$305,MATCH($A98,Metrics!$U$6:$U$305,0),MATCH(L$5,Metrics!$A$5:$U$5,0)))</f>
        <v>119</v>
      </c>
      <c r="M98">
        <f>IF($A98="","",INDEX(Metrics!$A$6:$U$305,MATCH($A98,Metrics!$U$6:$U$305,0),MATCH(M$5,Metrics!$A$5:$U$5,0)))</f>
        <v>119</v>
      </c>
      <c r="N98">
        <f>IF($A98="","",INDEX(Metrics!$A$6:$U$305,MATCH($A98,Metrics!$U$6:$U$305,0),MATCH(N$5,Metrics!$A$5:$U$5,0)))</f>
        <v>119</v>
      </c>
      <c r="O98">
        <f>IF($A98="","",INDEX(Metrics!$A$6:$U$305,MATCH($A98,Metrics!$U$6:$U$305,0),MATCH(O$5,Metrics!$A$5:$U$5,0)))</f>
        <v>119</v>
      </c>
      <c r="P98">
        <f>IF($A98="","",INDEX(Metrics!$A$6:$U$305,MATCH($A98,Metrics!$U$6:$U$305,0),MATCH(P$5,Metrics!$A$5:$U$5,0)))</f>
        <v>119</v>
      </c>
    </row>
    <row r="99" spans="1:16" x14ac:dyDescent="0.4">
      <c r="A99">
        <f t="shared" si="1"/>
        <v>94</v>
      </c>
      <c r="B99" t="str">
        <f>IF($A99="","",INDEX(Metrics!$A$6:$U$305,MATCH($A99,Metrics!$U$6:$U$305,0),MATCH(B$5,Metrics!$A$5:$U$5,0)))</f>
        <v>RS1</v>
      </c>
      <c r="C99" t="str">
        <f>IF($A99="","",INDEX(Metrics!$A$6:$U$305,MATCH($A99,Metrics!$U$6:$U$305,0),MATCH(C$5,Metrics!$A$5:$U$5,0)))</f>
        <v>RS Group</v>
      </c>
      <c r="D99" t="str">
        <f>IF($A99="","",INDEX(Metrics!$A$6:$U$305,MATCH($A99,Metrics!$U$6:$U$305,0),MATCH(D$5,Metrics!$A$5:$U$5,0)))</f>
        <v>Industrials</v>
      </c>
      <c r="E99" s="14" t="e">
        <f>IF($A99="","",INDEX(Metrics!$A$6:$U$305,MATCH($A99,Metrics!$U$6:$U$305,0),MATCH(E$5,Metrics!$A$5:$U$5,0)))</f>
        <v>#N/A</v>
      </c>
      <c r="F99" s="7" t="str">
        <f>IF($A99="","",INDEX(Metrics!$A$6:$U$305,MATCH($A99,Metrics!$U$6:$U$305,0),MATCH(F$5,Metrics!$A$5:$U$5,0)))</f>
        <v/>
      </c>
      <c r="G99" s="9" t="str">
        <f>IF($A99="","",INDEX(Metrics!$A$6:$U$305,MATCH($A99,Metrics!$U$6:$U$305,0),MATCH(G$5,Metrics!$A$5:$U$5,0)))</f>
        <v/>
      </c>
      <c r="H99" s="9" t="str">
        <f>IF($A99="","",INDEX(Metrics!$A$6:$U$305,MATCH($A99,Metrics!$U$6:$U$305,0),MATCH(H$5,Metrics!$A$5:$U$5,0)))</f>
        <v>n/m</v>
      </c>
      <c r="I99" s="7" t="str">
        <f>IF($A99="","",INDEX(Metrics!$A$6:$U$305,MATCH($A99,Metrics!$U$6:$U$305,0),MATCH(I$5,Metrics!$A$5:$U$5,0)))</f>
        <v/>
      </c>
      <c r="J99" s="9" t="str">
        <f>IF($A99="","",INDEX(Metrics!$A$6:$U$305,MATCH($A99,Metrics!$U$6:$U$305,0),MATCH(J$5,Metrics!$A$5:$U$5,0)))</f>
        <v/>
      </c>
      <c r="K99" s="10">
        <f>IF($A99="","",INDEX(Metrics!$A$6:$U$305,MATCH($A99,Metrics!$U$6:$U$305,0),MATCH(K$5,Metrics!$A$5:$U$5,0)))</f>
        <v>119</v>
      </c>
      <c r="L99">
        <f>IF($A99="","",INDEX(Metrics!$A$6:$U$305,MATCH($A99,Metrics!$U$6:$U$305,0),MATCH(L$5,Metrics!$A$5:$U$5,0)))</f>
        <v>119</v>
      </c>
      <c r="M99">
        <f>IF($A99="","",INDEX(Metrics!$A$6:$U$305,MATCH($A99,Metrics!$U$6:$U$305,0),MATCH(M$5,Metrics!$A$5:$U$5,0)))</f>
        <v>119</v>
      </c>
      <c r="N99">
        <f>IF($A99="","",INDEX(Metrics!$A$6:$U$305,MATCH($A99,Metrics!$U$6:$U$305,0),MATCH(N$5,Metrics!$A$5:$U$5,0)))</f>
        <v>119</v>
      </c>
      <c r="O99">
        <f>IF($A99="","",INDEX(Metrics!$A$6:$U$305,MATCH($A99,Metrics!$U$6:$U$305,0),MATCH(O$5,Metrics!$A$5:$U$5,0)))</f>
        <v>119</v>
      </c>
      <c r="P99">
        <f>IF($A99="","",INDEX(Metrics!$A$6:$U$305,MATCH($A99,Metrics!$U$6:$U$305,0),MATCH(P$5,Metrics!$A$5:$U$5,0)))</f>
        <v>119</v>
      </c>
    </row>
    <row r="100" spans="1:16" x14ac:dyDescent="0.4">
      <c r="A100">
        <f t="shared" si="1"/>
        <v>95</v>
      </c>
      <c r="B100" t="str">
        <f>IF($A100="","",INDEX(Metrics!$A$6:$U$305,MATCH($A100,Metrics!$U$6:$U$305,0),MATCH(B$5,Metrics!$A$5:$U$5,0)))</f>
        <v>SAGA</v>
      </c>
      <c r="C100" t="str">
        <f>IF($A100="","",INDEX(Metrics!$A$6:$U$305,MATCH($A100,Metrics!$U$6:$U$305,0),MATCH(C$5,Metrics!$A$5:$U$5,0)))</f>
        <v>Saga</v>
      </c>
      <c r="D100" t="str">
        <f>IF($A100="","",INDEX(Metrics!$A$6:$U$305,MATCH($A100,Metrics!$U$6:$U$305,0),MATCH(D$5,Metrics!$A$5:$U$5,0)))</f>
        <v>Consumer Discretionary</v>
      </c>
      <c r="E100" s="14" t="e">
        <f>IF($A100="","",INDEX(Metrics!$A$6:$U$305,MATCH($A100,Metrics!$U$6:$U$305,0),MATCH(E$5,Metrics!$A$5:$U$5,0)))</f>
        <v>#N/A</v>
      </c>
      <c r="F100" s="7" t="str">
        <f>IF($A100="","",INDEX(Metrics!$A$6:$U$305,MATCH($A100,Metrics!$U$6:$U$305,0),MATCH(F$5,Metrics!$A$5:$U$5,0)))</f>
        <v/>
      </c>
      <c r="G100" s="9" t="str">
        <f>IF($A100="","",INDEX(Metrics!$A$6:$U$305,MATCH($A100,Metrics!$U$6:$U$305,0),MATCH(G$5,Metrics!$A$5:$U$5,0)))</f>
        <v/>
      </c>
      <c r="H100" s="9" t="str">
        <f>IF($A100="","",INDEX(Metrics!$A$6:$U$305,MATCH($A100,Metrics!$U$6:$U$305,0),MATCH(H$5,Metrics!$A$5:$U$5,0)))</f>
        <v>n/m</v>
      </c>
      <c r="I100" s="7" t="str">
        <f>IF($A100="","",INDEX(Metrics!$A$6:$U$305,MATCH($A100,Metrics!$U$6:$U$305,0),MATCH(I$5,Metrics!$A$5:$U$5,0)))</f>
        <v/>
      </c>
      <c r="J100" s="9" t="str">
        <f>IF($A100="","",INDEX(Metrics!$A$6:$U$305,MATCH($A100,Metrics!$U$6:$U$305,0),MATCH(J$5,Metrics!$A$5:$U$5,0)))</f>
        <v/>
      </c>
      <c r="K100" s="10">
        <f>IF($A100="","",INDEX(Metrics!$A$6:$U$305,MATCH($A100,Metrics!$U$6:$U$305,0),MATCH(K$5,Metrics!$A$5:$U$5,0)))</f>
        <v>119</v>
      </c>
      <c r="L100">
        <f>IF($A100="","",INDEX(Metrics!$A$6:$U$305,MATCH($A100,Metrics!$U$6:$U$305,0),MATCH(L$5,Metrics!$A$5:$U$5,0)))</f>
        <v>119</v>
      </c>
      <c r="M100">
        <f>IF($A100="","",INDEX(Metrics!$A$6:$U$305,MATCH($A100,Metrics!$U$6:$U$305,0),MATCH(M$5,Metrics!$A$5:$U$5,0)))</f>
        <v>119</v>
      </c>
      <c r="N100">
        <f>IF($A100="","",INDEX(Metrics!$A$6:$U$305,MATCH($A100,Metrics!$U$6:$U$305,0),MATCH(N$5,Metrics!$A$5:$U$5,0)))</f>
        <v>119</v>
      </c>
      <c r="O100">
        <f>IF($A100="","",INDEX(Metrics!$A$6:$U$305,MATCH($A100,Metrics!$U$6:$U$305,0),MATCH(O$5,Metrics!$A$5:$U$5,0)))</f>
        <v>119</v>
      </c>
      <c r="P100">
        <f>IF($A100="","",INDEX(Metrics!$A$6:$U$305,MATCH($A100,Metrics!$U$6:$U$305,0),MATCH(P$5,Metrics!$A$5:$U$5,0)))</f>
        <v>119</v>
      </c>
    </row>
    <row r="101" spans="1:16" x14ac:dyDescent="0.4">
      <c r="A101">
        <f t="shared" si="1"/>
        <v>96</v>
      </c>
      <c r="B101" t="str">
        <f>IF($A101="","",INDEX(Metrics!$A$6:$U$305,MATCH($A101,Metrics!$U$6:$U$305,0),MATCH(B$5,Metrics!$A$5:$U$5,0)))</f>
        <v>SRP</v>
      </c>
      <c r="C101" t="str">
        <f>IF($A101="","",INDEX(Metrics!$A$6:$U$305,MATCH($A101,Metrics!$U$6:$U$305,0),MATCH(C$5,Metrics!$A$5:$U$5,0)))</f>
        <v>Serco</v>
      </c>
      <c r="D101" t="str">
        <f>IF($A101="","",INDEX(Metrics!$A$6:$U$305,MATCH($A101,Metrics!$U$6:$U$305,0),MATCH(D$5,Metrics!$A$5:$U$5,0)))</f>
        <v>Industrials</v>
      </c>
      <c r="E101" s="14" t="e">
        <f>IF($A101="","",INDEX(Metrics!$A$6:$U$305,MATCH($A101,Metrics!$U$6:$U$305,0),MATCH(E$5,Metrics!$A$5:$U$5,0)))</f>
        <v>#N/A</v>
      </c>
      <c r="F101" s="7" t="str">
        <f>IF($A101="","",INDEX(Metrics!$A$6:$U$305,MATCH($A101,Metrics!$U$6:$U$305,0),MATCH(F$5,Metrics!$A$5:$U$5,0)))</f>
        <v/>
      </c>
      <c r="G101" s="9" t="str">
        <f>IF($A101="","",INDEX(Metrics!$A$6:$U$305,MATCH($A101,Metrics!$U$6:$U$305,0),MATCH(G$5,Metrics!$A$5:$U$5,0)))</f>
        <v/>
      </c>
      <c r="H101" s="9" t="str">
        <f>IF($A101="","",INDEX(Metrics!$A$6:$U$305,MATCH($A101,Metrics!$U$6:$U$305,0),MATCH(H$5,Metrics!$A$5:$U$5,0)))</f>
        <v>n/m</v>
      </c>
      <c r="I101" s="7" t="str">
        <f>IF($A101="","",INDEX(Metrics!$A$6:$U$305,MATCH($A101,Metrics!$U$6:$U$305,0),MATCH(I$5,Metrics!$A$5:$U$5,0)))</f>
        <v/>
      </c>
      <c r="J101" s="9" t="str">
        <f>IF($A101="","",INDEX(Metrics!$A$6:$U$305,MATCH($A101,Metrics!$U$6:$U$305,0),MATCH(J$5,Metrics!$A$5:$U$5,0)))</f>
        <v/>
      </c>
      <c r="K101" s="10">
        <f>IF($A101="","",INDEX(Metrics!$A$6:$U$305,MATCH($A101,Metrics!$U$6:$U$305,0),MATCH(K$5,Metrics!$A$5:$U$5,0)))</f>
        <v>119</v>
      </c>
      <c r="L101">
        <f>IF($A101="","",INDEX(Metrics!$A$6:$U$305,MATCH($A101,Metrics!$U$6:$U$305,0),MATCH(L$5,Metrics!$A$5:$U$5,0)))</f>
        <v>119</v>
      </c>
      <c r="M101">
        <f>IF($A101="","",INDEX(Metrics!$A$6:$U$305,MATCH($A101,Metrics!$U$6:$U$305,0),MATCH(M$5,Metrics!$A$5:$U$5,0)))</f>
        <v>119</v>
      </c>
      <c r="N101">
        <f>IF($A101="","",INDEX(Metrics!$A$6:$U$305,MATCH($A101,Metrics!$U$6:$U$305,0),MATCH(N$5,Metrics!$A$5:$U$5,0)))</f>
        <v>119</v>
      </c>
      <c r="O101">
        <f>IF($A101="","",INDEX(Metrics!$A$6:$U$305,MATCH($A101,Metrics!$U$6:$U$305,0),MATCH(O$5,Metrics!$A$5:$U$5,0)))</f>
        <v>119</v>
      </c>
      <c r="P101">
        <f>IF($A101="","",INDEX(Metrics!$A$6:$U$305,MATCH($A101,Metrics!$U$6:$U$305,0),MATCH(P$5,Metrics!$A$5:$U$5,0)))</f>
        <v>119</v>
      </c>
    </row>
    <row r="102" spans="1:16" x14ac:dyDescent="0.4">
      <c r="A102">
        <f t="shared" si="1"/>
        <v>97</v>
      </c>
      <c r="B102" t="str">
        <f>IF($A102="","",INDEX(Metrics!$A$6:$U$305,MATCH($A102,Metrics!$U$6:$U$305,0),MATCH(B$5,Metrics!$A$5:$U$5,0)))</f>
        <v>SCT</v>
      </c>
      <c r="C102" t="str">
        <f>IF($A102="","",INDEX(Metrics!$A$6:$U$305,MATCH($A102,Metrics!$U$6:$U$305,0),MATCH(C$5,Metrics!$A$5:$U$5,0)))</f>
        <v>Softcat</v>
      </c>
      <c r="D102" t="str">
        <f>IF($A102="","",INDEX(Metrics!$A$6:$U$305,MATCH($A102,Metrics!$U$6:$U$305,0),MATCH(D$5,Metrics!$A$5:$U$5,0)))</f>
        <v>Technology</v>
      </c>
      <c r="E102" s="14" t="e">
        <f>IF($A102="","",INDEX(Metrics!$A$6:$U$305,MATCH($A102,Metrics!$U$6:$U$305,0),MATCH(E$5,Metrics!$A$5:$U$5,0)))</f>
        <v>#N/A</v>
      </c>
      <c r="F102" s="7" t="str">
        <f>IF($A102="","",INDEX(Metrics!$A$6:$U$305,MATCH($A102,Metrics!$U$6:$U$305,0),MATCH(F$5,Metrics!$A$5:$U$5,0)))</f>
        <v/>
      </c>
      <c r="G102" s="9" t="str">
        <f>IF($A102="","",INDEX(Metrics!$A$6:$U$305,MATCH($A102,Metrics!$U$6:$U$305,0),MATCH(G$5,Metrics!$A$5:$U$5,0)))</f>
        <v/>
      </c>
      <c r="H102" s="9" t="str">
        <f>IF($A102="","",INDEX(Metrics!$A$6:$U$305,MATCH($A102,Metrics!$U$6:$U$305,0),MATCH(H$5,Metrics!$A$5:$U$5,0)))</f>
        <v>n/m</v>
      </c>
      <c r="I102" s="7" t="str">
        <f>IF($A102="","",INDEX(Metrics!$A$6:$U$305,MATCH($A102,Metrics!$U$6:$U$305,0),MATCH(I$5,Metrics!$A$5:$U$5,0)))</f>
        <v/>
      </c>
      <c r="J102" s="9" t="str">
        <f>IF($A102="","",INDEX(Metrics!$A$6:$U$305,MATCH($A102,Metrics!$U$6:$U$305,0),MATCH(J$5,Metrics!$A$5:$U$5,0)))</f>
        <v/>
      </c>
      <c r="K102" s="10">
        <f>IF($A102="","",INDEX(Metrics!$A$6:$U$305,MATCH($A102,Metrics!$U$6:$U$305,0),MATCH(K$5,Metrics!$A$5:$U$5,0)))</f>
        <v>119</v>
      </c>
      <c r="L102">
        <f>IF($A102="","",INDEX(Metrics!$A$6:$U$305,MATCH($A102,Metrics!$U$6:$U$305,0),MATCH(L$5,Metrics!$A$5:$U$5,0)))</f>
        <v>119</v>
      </c>
      <c r="M102">
        <f>IF($A102="","",INDEX(Metrics!$A$6:$U$305,MATCH($A102,Metrics!$U$6:$U$305,0),MATCH(M$5,Metrics!$A$5:$U$5,0)))</f>
        <v>119</v>
      </c>
      <c r="N102">
        <f>IF($A102="","",INDEX(Metrics!$A$6:$U$305,MATCH($A102,Metrics!$U$6:$U$305,0),MATCH(N$5,Metrics!$A$5:$U$5,0)))</f>
        <v>119</v>
      </c>
      <c r="O102">
        <f>IF($A102="","",INDEX(Metrics!$A$6:$U$305,MATCH($A102,Metrics!$U$6:$U$305,0),MATCH(O$5,Metrics!$A$5:$U$5,0)))</f>
        <v>119</v>
      </c>
      <c r="P102">
        <f>IF($A102="","",INDEX(Metrics!$A$6:$U$305,MATCH($A102,Metrics!$U$6:$U$305,0),MATCH(P$5,Metrics!$A$5:$U$5,0)))</f>
        <v>119</v>
      </c>
    </row>
    <row r="103" spans="1:16" x14ac:dyDescent="0.4">
      <c r="A103">
        <f t="shared" si="1"/>
        <v>98</v>
      </c>
      <c r="B103" t="str">
        <f>IF($A103="","",INDEX(Metrics!$A$6:$U$305,MATCH($A103,Metrics!$U$6:$U$305,0),MATCH(B$5,Metrics!$A$5:$U$5,0)))</f>
        <v>SPI</v>
      </c>
      <c r="C103" t="str">
        <f>IF($A103="","",INDEX(Metrics!$A$6:$U$305,MATCH($A103,Metrics!$U$6:$U$305,0),MATCH(C$5,Metrics!$A$5:$U$5,0)))</f>
        <v>Spire Healthcare</v>
      </c>
      <c r="D103" t="str">
        <f>IF($A103="","",INDEX(Metrics!$A$6:$U$305,MATCH($A103,Metrics!$U$6:$U$305,0),MATCH(D$5,Metrics!$A$5:$U$5,0)))</f>
        <v>Health Care</v>
      </c>
      <c r="E103" s="14" t="e">
        <f>IF($A103="","",INDEX(Metrics!$A$6:$U$305,MATCH($A103,Metrics!$U$6:$U$305,0),MATCH(E$5,Metrics!$A$5:$U$5,0)))</f>
        <v>#N/A</v>
      </c>
      <c r="F103" s="7" t="str">
        <f>IF($A103="","",INDEX(Metrics!$A$6:$U$305,MATCH($A103,Metrics!$U$6:$U$305,0),MATCH(F$5,Metrics!$A$5:$U$5,0)))</f>
        <v/>
      </c>
      <c r="G103" s="9" t="str">
        <f>IF($A103="","",INDEX(Metrics!$A$6:$U$305,MATCH($A103,Metrics!$U$6:$U$305,0),MATCH(G$5,Metrics!$A$5:$U$5,0)))</f>
        <v/>
      </c>
      <c r="H103" s="9" t="str">
        <f>IF($A103="","",INDEX(Metrics!$A$6:$U$305,MATCH($A103,Metrics!$U$6:$U$305,0),MATCH(H$5,Metrics!$A$5:$U$5,0)))</f>
        <v>n/m</v>
      </c>
      <c r="I103" s="7" t="str">
        <f>IF($A103="","",INDEX(Metrics!$A$6:$U$305,MATCH($A103,Metrics!$U$6:$U$305,0),MATCH(I$5,Metrics!$A$5:$U$5,0)))</f>
        <v/>
      </c>
      <c r="J103" s="9" t="str">
        <f>IF($A103="","",INDEX(Metrics!$A$6:$U$305,MATCH($A103,Metrics!$U$6:$U$305,0),MATCH(J$5,Metrics!$A$5:$U$5,0)))</f>
        <v/>
      </c>
      <c r="K103" s="10">
        <f>IF($A103="","",INDEX(Metrics!$A$6:$U$305,MATCH($A103,Metrics!$U$6:$U$305,0),MATCH(K$5,Metrics!$A$5:$U$5,0)))</f>
        <v>119</v>
      </c>
      <c r="L103">
        <f>IF($A103="","",INDEX(Metrics!$A$6:$U$305,MATCH($A103,Metrics!$U$6:$U$305,0),MATCH(L$5,Metrics!$A$5:$U$5,0)))</f>
        <v>119</v>
      </c>
      <c r="M103">
        <f>IF($A103="","",INDEX(Metrics!$A$6:$U$305,MATCH($A103,Metrics!$U$6:$U$305,0),MATCH(M$5,Metrics!$A$5:$U$5,0)))</f>
        <v>119</v>
      </c>
      <c r="N103">
        <f>IF($A103="","",INDEX(Metrics!$A$6:$U$305,MATCH($A103,Metrics!$U$6:$U$305,0),MATCH(N$5,Metrics!$A$5:$U$5,0)))</f>
        <v>119</v>
      </c>
      <c r="O103">
        <f>IF($A103="","",INDEX(Metrics!$A$6:$U$305,MATCH($A103,Metrics!$U$6:$U$305,0),MATCH(O$5,Metrics!$A$5:$U$5,0)))</f>
        <v>119</v>
      </c>
      <c r="P103">
        <f>IF($A103="","",INDEX(Metrics!$A$6:$U$305,MATCH($A103,Metrics!$U$6:$U$305,0),MATCH(P$5,Metrics!$A$5:$U$5,0)))</f>
        <v>119</v>
      </c>
    </row>
    <row r="104" spans="1:16" x14ac:dyDescent="0.4">
      <c r="A104">
        <f t="shared" si="1"/>
        <v>99</v>
      </c>
      <c r="B104" t="str">
        <f>IF($A104="","",INDEX(Metrics!$A$6:$U$305,MATCH($A104,Metrics!$U$6:$U$305,0),MATCH(B$5,Metrics!$A$5:$U$5,0)))</f>
        <v>SSPG</v>
      </c>
      <c r="C104" t="str">
        <f>IF($A104="","",INDEX(Metrics!$A$6:$U$305,MATCH($A104,Metrics!$U$6:$U$305,0),MATCH(C$5,Metrics!$A$5:$U$5,0)))</f>
        <v>SSP Group</v>
      </c>
      <c r="D104" t="str">
        <f>IF($A104="","",INDEX(Metrics!$A$6:$U$305,MATCH($A104,Metrics!$U$6:$U$305,0),MATCH(D$5,Metrics!$A$5:$U$5,0)))</f>
        <v>Consumer Discretionary</v>
      </c>
      <c r="E104" s="14" t="e">
        <f>IF($A104="","",INDEX(Metrics!$A$6:$U$305,MATCH($A104,Metrics!$U$6:$U$305,0),MATCH(E$5,Metrics!$A$5:$U$5,0)))</f>
        <v>#N/A</v>
      </c>
      <c r="F104" s="7" t="str">
        <f>IF($A104="","",INDEX(Metrics!$A$6:$U$305,MATCH($A104,Metrics!$U$6:$U$305,0),MATCH(F$5,Metrics!$A$5:$U$5,0)))</f>
        <v/>
      </c>
      <c r="G104" s="9" t="str">
        <f>IF($A104="","",INDEX(Metrics!$A$6:$U$305,MATCH($A104,Metrics!$U$6:$U$305,0),MATCH(G$5,Metrics!$A$5:$U$5,0)))</f>
        <v/>
      </c>
      <c r="H104" s="9" t="str">
        <f>IF($A104="","",INDEX(Metrics!$A$6:$U$305,MATCH($A104,Metrics!$U$6:$U$305,0),MATCH(H$5,Metrics!$A$5:$U$5,0)))</f>
        <v>n/m</v>
      </c>
      <c r="I104" s="7" t="str">
        <f>IF($A104="","",INDEX(Metrics!$A$6:$U$305,MATCH($A104,Metrics!$U$6:$U$305,0),MATCH(I$5,Metrics!$A$5:$U$5,0)))</f>
        <v/>
      </c>
      <c r="J104" s="9" t="str">
        <f>IF($A104="","",INDEX(Metrics!$A$6:$U$305,MATCH($A104,Metrics!$U$6:$U$305,0),MATCH(J$5,Metrics!$A$5:$U$5,0)))</f>
        <v/>
      </c>
      <c r="K104" s="10">
        <f>IF($A104="","",INDEX(Metrics!$A$6:$U$305,MATCH($A104,Metrics!$U$6:$U$305,0),MATCH(K$5,Metrics!$A$5:$U$5,0)))</f>
        <v>119</v>
      </c>
      <c r="L104">
        <f>IF($A104="","",INDEX(Metrics!$A$6:$U$305,MATCH($A104,Metrics!$U$6:$U$305,0),MATCH(L$5,Metrics!$A$5:$U$5,0)))</f>
        <v>119</v>
      </c>
      <c r="M104">
        <f>IF($A104="","",INDEX(Metrics!$A$6:$U$305,MATCH($A104,Metrics!$U$6:$U$305,0),MATCH(M$5,Metrics!$A$5:$U$5,0)))</f>
        <v>119</v>
      </c>
      <c r="N104">
        <f>IF($A104="","",INDEX(Metrics!$A$6:$U$305,MATCH($A104,Metrics!$U$6:$U$305,0),MATCH(N$5,Metrics!$A$5:$U$5,0)))</f>
        <v>119</v>
      </c>
      <c r="O104">
        <f>IF($A104="","",INDEX(Metrics!$A$6:$U$305,MATCH($A104,Metrics!$U$6:$U$305,0),MATCH(O$5,Metrics!$A$5:$U$5,0)))</f>
        <v>119</v>
      </c>
      <c r="P104">
        <f>IF($A104="","",INDEX(Metrics!$A$6:$U$305,MATCH($A104,Metrics!$U$6:$U$305,0),MATCH(P$5,Metrics!$A$5:$U$5,0)))</f>
        <v>119</v>
      </c>
    </row>
    <row r="105" spans="1:16" x14ac:dyDescent="0.4">
      <c r="A105">
        <f t="shared" si="1"/>
        <v>100</v>
      </c>
      <c r="B105" t="str">
        <f>IF($A105="","",INDEX(Metrics!$A$6:$U$305,MATCH($A105,Metrics!$U$6:$U$305,0),MATCH(B$5,Metrics!$A$5:$U$5,0)))</f>
        <v>TATE</v>
      </c>
      <c r="C105" t="str">
        <f>IF($A105="","",INDEX(Metrics!$A$6:$U$305,MATCH($A105,Metrics!$U$6:$U$305,0),MATCH(C$5,Metrics!$A$5:$U$5,0)))</f>
        <v>Tate &amp; Lyle</v>
      </c>
      <c r="D105" t="str">
        <f>IF($A105="","",INDEX(Metrics!$A$6:$U$305,MATCH($A105,Metrics!$U$6:$U$305,0),MATCH(D$5,Metrics!$A$5:$U$5,0)))</f>
        <v>Consumer Staples</v>
      </c>
      <c r="E105" s="14" t="e">
        <f>IF($A105="","",INDEX(Metrics!$A$6:$U$305,MATCH($A105,Metrics!$U$6:$U$305,0),MATCH(E$5,Metrics!$A$5:$U$5,0)))</f>
        <v>#N/A</v>
      </c>
      <c r="F105" s="7" t="str">
        <f>IF($A105="","",INDEX(Metrics!$A$6:$U$305,MATCH($A105,Metrics!$U$6:$U$305,0),MATCH(F$5,Metrics!$A$5:$U$5,0)))</f>
        <v/>
      </c>
      <c r="G105" s="9" t="str">
        <f>IF($A105="","",INDEX(Metrics!$A$6:$U$305,MATCH($A105,Metrics!$U$6:$U$305,0),MATCH(G$5,Metrics!$A$5:$U$5,0)))</f>
        <v/>
      </c>
      <c r="H105" s="9" t="str">
        <f>IF($A105="","",INDEX(Metrics!$A$6:$U$305,MATCH($A105,Metrics!$U$6:$U$305,0),MATCH(H$5,Metrics!$A$5:$U$5,0)))</f>
        <v>n/m</v>
      </c>
      <c r="I105" s="7" t="str">
        <f>IF($A105="","",INDEX(Metrics!$A$6:$U$305,MATCH($A105,Metrics!$U$6:$U$305,0),MATCH(I$5,Metrics!$A$5:$U$5,0)))</f>
        <v/>
      </c>
      <c r="J105" s="9" t="str">
        <f>IF($A105="","",INDEX(Metrics!$A$6:$U$305,MATCH($A105,Metrics!$U$6:$U$305,0),MATCH(J$5,Metrics!$A$5:$U$5,0)))</f>
        <v/>
      </c>
      <c r="K105" s="10">
        <f>IF($A105="","",INDEX(Metrics!$A$6:$U$305,MATCH($A105,Metrics!$U$6:$U$305,0),MATCH(K$5,Metrics!$A$5:$U$5,0)))</f>
        <v>119</v>
      </c>
      <c r="L105">
        <f>IF($A105="","",INDEX(Metrics!$A$6:$U$305,MATCH($A105,Metrics!$U$6:$U$305,0),MATCH(L$5,Metrics!$A$5:$U$5,0)))</f>
        <v>119</v>
      </c>
      <c r="M105">
        <f>IF($A105="","",INDEX(Metrics!$A$6:$U$305,MATCH($A105,Metrics!$U$6:$U$305,0),MATCH(M$5,Metrics!$A$5:$U$5,0)))</f>
        <v>119</v>
      </c>
      <c r="N105">
        <f>IF($A105="","",INDEX(Metrics!$A$6:$U$305,MATCH($A105,Metrics!$U$6:$U$305,0),MATCH(N$5,Metrics!$A$5:$U$5,0)))</f>
        <v>119</v>
      </c>
      <c r="O105">
        <f>IF($A105="","",INDEX(Metrics!$A$6:$U$305,MATCH($A105,Metrics!$U$6:$U$305,0),MATCH(O$5,Metrics!$A$5:$U$5,0)))</f>
        <v>119</v>
      </c>
      <c r="P105">
        <f>IF($A105="","",INDEX(Metrics!$A$6:$U$305,MATCH($A105,Metrics!$U$6:$U$305,0),MATCH(P$5,Metrics!$A$5:$U$5,0)))</f>
        <v>119</v>
      </c>
    </row>
    <row r="106" spans="1:16" x14ac:dyDescent="0.4">
      <c r="A106">
        <f t="shared" si="1"/>
        <v>101</v>
      </c>
      <c r="B106" t="str">
        <f>IF($A106="","",INDEX(Metrics!$A$6:$U$305,MATCH($A106,Metrics!$U$6:$U$305,0),MATCH(B$5,Metrics!$A$5:$U$5,0)))</f>
        <v>TW</v>
      </c>
      <c r="C106" t="str">
        <f>IF($A106="","",INDEX(Metrics!$A$6:$U$305,MATCH($A106,Metrics!$U$6:$U$305,0),MATCH(C$5,Metrics!$A$5:$U$5,0)))</f>
        <v>Taylor Wimpey</v>
      </c>
      <c r="D106" t="str">
        <f>IF($A106="","",INDEX(Metrics!$A$6:$U$305,MATCH($A106,Metrics!$U$6:$U$305,0),MATCH(D$5,Metrics!$A$5:$U$5,0)))</f>
        <v>Consumer Discretionary</v>
      </c>
      <c r="E106" s="14" t="e">
        <f>IF($A106="","",INDEX(Metrics!$A$6:$U$305,MATCH($A106,Metrics!$U$6:$U$305,0),MATCH(E$5,Metrics!$A$5:$U$5,0)))</f>
        <v>#N/A</v>
      </c>
      <c r="F106" s="7" t="str">
        <f>IF($A106="","",INDEX(Metrics!$A$6:$U$305,MATCH($A106,Metrics!$U$6:$U$305,0),MATCH(F$5,Metrics!$A$5:$U$5,0)))</f>
        <v/>
      </c>
      <c r="G106" s="9" t="str">
        <f>IF($A106="","",INDEX(Metrics!$A$6:$U$305,MATCH($A106,Metrics!$U$6:$U$305,0),MATCH(G$5,Metrics!$A$5:$U$5,0)))</f>
        <v/>
      </c>
      <c r="H106" s="9" t="str">
        <f>IF($A106="","",INDEX(Metrics!$A$6:$U$305,MATCH($A106,Metrics!$U$6:$U$305,0),MATCH(H$5,Metrics!$A$5:$U$5,0)))</f>
        <v>n/m</v>
      </c>
      <c r="I106" s="7" t="str">
        <f>IF($A106="","",INDEX(Metrics!$A$6:$U$305,MATCH($A106,Metrics!$U$6:$U$305,0),MATCH(I$5,Metrics!$A$5:$U$5,0)))</f>
        <v/>
      </c>
      <c r="J106" s="9" t="str">
        <f>IF($A106="","",INDEX(Metrics!$A$6:$U$305,MATCH($A106,Metrics!$U$6:$U$305,0),MATCH(J$5,Metrics!$A$5:$U$5,0)))</f>
        <v/>
      </c>
      <c r="K106" s="10">
        <f>IF($A106="","",INDEX(Metrics!$A$6:$U$305,MATCH($A106,Metrics!$U$6:$U$305,0),MATCH(K$5,Metrics!$A$5:$U$5,0)))</f>
        <v>119</v>
      </c>
      <c r="L106">
        <f>IF($A106="","",INDEX(Metrics!$A$6:$U$305,MATCH($A106,Metrics!$U$6:$U$305,0),MATCH(L$5,Metrics!$A$5:$U$5,0)))</f>
        <v>119</v>
      </c>
      <c r="M106">
        <f>IF($A106="","",INDEX(Metrics!$A$6:$U$305,MATCH($A106,Metrics!$U$6:$U$305,0),MATCH(M$5,Metrics!$A$5:$U$5,0)))</f>
        <v>119</v>
      </c>
      <c r="N106">
        <f>IF($A106="","",INDEX(Metrics!$A$6:$U$305,MATCH($A106,Metrics!$U$6:$U$305,0),MATCH(N$5,Metrics!$A$5:$U$5,0)))</f>
        <v>119</v>
      </c>
      <c r="O106">
        <f>IF($A106="","",INDEX(Metrics!$A$6:$U$305,MATCH($A106,Metrics!$U$6:$U$305,0),MATCH(O$5,Metrics!$A$5:$U$5,0)))</f>
        <v>119</v>
      </c>
      <c r="P106">
        <f>IF($A106="","",INDEX(Metrics!$A$6:$U$305,MATCH($A106,Metrics!$U$6:$U$305,0),MATCH(P$5,Metrics!$A$5:$U$5,0)))</f>
        <v>119</v>
      </c>
    </row>
    <row r="107" spans="1:16" x14ac:dyDescent="0.4">
      <c r="A107">
        <f t="shared" si="1"/>
        <v>102</v>
      </c>
      <c r="B107" t="str">
        <f>IF($A107="","",INDEX(Metrics!$A$6:$U$305,MATCH($A107,Metrics!$U$6:$U$305,0),MATCH(B$5,Metrics!$A$5:$U$5,0)))</f>
        <v>TEP</v>
      </c>
      <c r="C107" t="str">
        <f>IF($A107="","",INDEX(Metrics!$A$6:$U$305,MATCH($A107,Metrics!$U$6:$U$305,0),MATCH(C$5,Metrics!$A$5:$U$5,0)))</f>
        <v>Telecom Plus</v>
      </c>
      <c r="D107" t="str">
        <f>IF($A107="","",INDEX(Metrics!$A$6:$U$305,MATCH($A107,Metrics!$U$6:$U$305,0),MATCH(D$5,Metrics!$A$5:$U$5,0)))</f>
        <v>Telecommunications</v>
      </c>
      <c r="E107" s="14" t="e">
        <f>IF($A107="","",INDEX(Metrics!$A$6:$U$305,MATCH($A107,Metrics!$U$6:$U$305,0),MATCH(E$5,Metrics!$A$5:$U$5,0)))</f>
        <v>#N/A</v>
      </c>
      <c r="F107" s="7" t="str">
        <f>IF($A107="","",INDEX(Metrics!$A$6:$U$305,MATCH($A107,Metrics!$U$6:$U$305,0),MATCH(F$5,Metrics!$A$5:$U$5,0)))</f>
        <v/>
      </c>
      <c r="G107" s="9" t="str">
        <f>IF($A107="","",INDEX(Metrics!$A$6:$U$305,MATCH($A107,Metrics!$U$6:$U$305,0),MATCH(G$5,Metrics!$A$5:$U$5,0)))</f>
        <v/>
      </c>
      <c r="H107" s="9" t="str">
        <f>IF($A107="","",INDEX(Metrics!$A$6:$U$305,MATCH($A107,Metrics!$U$6:$U$305,0),MATCH(H$5,Metrics!$A$5:$U$5,0)))</f>
        <v>n/m</v>
      </c>
      <c r="I107" s="7" t="str">
        <f>IF($A107="","",INDEX(Metrics!$A$6:$U$305,MATCH($A107,Metrics!$U$6:$U$305,0),MATCH(I$5,Metrics!$A$5:$U$5,0)))</f>
        <v/>
      </c>
      <c r="J107" s="9" t="str">
        <f>IF($A107="","",INDEX(Metrics!$A$6:$U$305,MATCH($A107,Metrics!$U$6:$U$305,0),MATCH(J$5,Metrics!$A$5:$U$5,0)))</f>
        <v/>
      </c>
      <c r="K107" s="10">
        <f>IF($A107="","",INDEX(Metrics!$A$6:$U$305,MATCH($A107,Metrics!$U$6:$U$305,0),MATCH(K$5,Metrics!$A$5:$U$5,0)))</f>
        <v>119</v>
      </c>
      <c r="L107">
        <f>IF($A107="","",INDEX(Metrics!$A$6:$U$305,MATCH($A107,Metrics!$U$6:$U$305,0),MATCH(L$5,Metrics!$A$5:$U$5,0)))</f>
        <v>119</v>
      </c>
      <c r="M107">
        <f>IF($A107="","",INDEX(Metrics!$A$6:$U$305,MATCH($A107,Metrics!$U$6:$U$305,0),MATCH(M$5,Metrics!$A$5:$U$5,0)))</f>
        <v>119</v>
      </c>
      <c r="N107">
        <f>IF($A107="","",INDEX(Metrics!$A$6:$U$305,MATCH($A107,Metrics!$U$6:$U$305,0),MATCH(N$5,Metrics!$A$5:$U$5,0)))</f>
        <v>119</v>
      </c>
      <c r="O107">
        <f>IF($A107="","",INDEX(Metrics!$A$6:$U$305,MATCH($A107,Metrics!$U$6:$U$305,0),MATCH(O$5,Metrics!$A$5:$U$5,0)))</f>
        <v>119</v>
      </c>
      <c r="P107">
        <f>IF($A107="","",INDEX(Metrics!$A$6:$U$305,MATCH($A107,Metrics!$U$6:$U$305,0),MATCH(P$5,Metrics!$A$5:$U$5,0)))</f>
        <v>119</v>
      </c>
    </row>
    <row r="108" spans="1:16" x14ac:dyDescent="0.4">
      <c r="A108">
        <f t="shared" si="1"/>
        <v>103</v>
      </c>
      <c r="B108" t="str">
        <f>IF($A108="","",INDEX(Metrics!$A$6:$U$305,MATCH($A108,Metrics!$U$6:$U$305,0),MATCH(B$5,Metrics!$A$5:$U$5,0)))</f>
        <v>THG</v>
      </c>
      <c r="C108" t="str">
        <f>IF($A108="","",INDEX(Metrics!$A$6:$U$305,MATCH($A108,Metrics!$U$6:$U$305,0),MATCH(C$5,Metrics!$A$5:$U$5,0)))</f>
        <v>THG</v>
      </c>
      <c r="D108" t="str">
        <f>IF($A108="","",INDEX(Metrics!$A$6:$U$305,MATCH($A108,Metrics!$U$6:$U$305,0),MATCH(D$5,Metrics!$A$5:$U$5,0)))</f>
        <v>Consumer Discretionary</v>
      </c>
      <c r="E108" s="14" t="e">
        <f>IF($A108="","",INDEX(Metrics!$A$6:$U$305,MATCH($A108,Metrics!$U$6:$U$305,0),MATCH(E$5,Metrics!$A$5:$U$5,0)))</f>
        <v>#N/A</v>
      </c>
      <c r="F108" s="7" t="str">
        <f>IF($A108="","",INDEX(Metrics!$A$6:$U$305,MATCH($A108,Metrics!$U$6:$U$305,0),MATCH(F$5,Metrics!$A$5:$U$5,0)))</f>
        <v/>
      </c>
      <c r="G108" s="9" t="str">
        <f>IF($A108="","",INDEX(Metrics!$A$6:$U$305,MATCH($A108,Metrics!$U$6:$U$305,0),MATCH(G$5,Metrics!$A$5:$U$5,0)))</f>
        <v/>
      </c>
      <c r="H108" s="9" t="str">
        <f>IF($A108="","",INDEX(Metrics!$A$6:$U$305,MATCH($A108,Metrics!$U$6:$U$305,0),MATCH(H$5,Metrics!$A$5:$U$5,0)))</f>
        <v>n/m</v>
      </c>
      <c r="I108" s="7" t="str">
        <f>IF($A108="","",INDEX(Metrics!$A$6:$U$305,MATCH($A108,Metrics!$U$6:$U$305,0),MATCH(I$5,Metrics!$A$5:$U$5,0)))</f>
        <v/>
      </c>
      <c r="J108" s="9" t="str">
        <f>IF($A108="","",INDEX(Metrics!$A$6:$U$305,MATCH($A108,Metrics!$U$6:$U$305,0),MATCH(J$5,Metrics!$A$5:$U$5,0)))</f>
        <v/>
      </c>
      <c r="K108" s="10">
        <f>IF($A108="","",INDEX(Metrics!$A$6:$U$305,MATCH($A108,Metrics!$U$6:$U$305,0),MATCH(K$5,Metrics!$A$5:$U$5,0)))</f>
        <v>119</v>
      </c>
      <c r="L108">
        <f>IF($A108="","",INDEX(Metrics!$A$6:$U$305,MATCH($A108,Metrics!$U$6:$U$305,0),MATCH(L$5,Metrics!$A$5:$U$5,0)))</f>
        <v>119</v>
      </c>
      <c r="M108">
        <f>IF($A108="","",INDEX(Metrics!$A$6:$U$305,MATCH($A108,Metrics!$U$6:$U$305,0),MATCH(M$5,Metrics!$A$5:$U$5,0)))</f>
        <v>119</v>
      </c>
      <c r="N108">
        <f>IF($A108="","",INDEX(Metrics!$A$6:$U$305,MATCH($A108,Metrics!$U$6:$U$305,0),MATCH(N$5,Metrics!$A$5:$U$5,0)))</f>
        <v>119</v>
      </c>
      <c r="O108">
        <f>IF($A108="","",INDEX(Metrics!$A$6:$U$305,MATCH($A108,Metrics!$U$6:$U$305,0),MATCH(O$5,Metrics!$A$5:$U$5,0)))</f>
        <v>119</v>
      </c>
      <c r="P108">
        <f>IF($A108="","",INDEX(Metrics!$A$6:$U$305,MATCH($A108,Metrics!$U$6:$U$305,0),MATCH(P$5,Metrics!$A$5:$U$5,0)))</f>
        <v>119</v>
      </c>
    </row>
    <row r="109" spans="1:16" x14ac:dyDescent="0.4">
      <c r="A109">
        <f t="shared" si="1"/>
        <v>104</v>
      </c>
      <c r="B109" t="str">
        <f>IF($A109="","",INDEX(Metrics!$A$6:$U$305,MATCH($A109,Metrics!$U$6:$U$305,0),MATCH(B$5,Metrics!$A$5:$U$5,0)))</f>
        <v>TRN</v>
      </c>
      <c r="C109" t="str">
        <f>IF($A109="","",INDEX(Metrics!$A$6:$U$305,MATCH($A109,Metrics!$U$6:$U$305,0),MATCH(C$5,Metrics!$A$5:$U$5,0)))</f>
        <v>Trainline</v>
      </c>
      <c r="D109" t="str">
        <f>IF($A109="","",INDEX(Metrics!$A$6:$U$305,MATCH($A109,Metrics!$U$6:$U$305,0),MATCH(D$5,Metrics!$A$5:$U$5,0)))</f>
        <v>Consumer Discretionary</v>
      </c>
      <c r="E109" s="14" t="e">
        <f>IF($A109="","",INDEX(Metrics!$A$6:$U$305,MATCH($A109,Metrics!$U$6:$U$305,0),MATCH(E$5,Metrics!$A$5:$U$5,0)))</f>
        <v>#N/A</v>
      </c>
      <c r="F109" s="7" t="str">
        <f>IF($A109="","",INDEX(Metrics!$A$6:$U$305,MATCH($A109,Metrics!$U$6:$U$305,0),MATCH(F$5,Metrics!$A$5:$U$5,0)))</f>
        <v/>
      </c>
      <c r="G109" s="9" t="str">
        <f>IF($A109="","",INDEX(Metrics!$A$6:$U$305,MATCH($A109,Metrics!$U$6:$U$305,0),MATCH(G$5,Metrics!$A$5:$U$5,0)))</f>
        <v/>
      </c>
      <c r="H109" s="9" t="str">
        <f>IF($A109="","",INDEX(Metrics!$A$6:$U$305,MATCH($A109,Metrics!$U$6:$U$305,0),MATCH(H$5,Metrics!$A$5:$U$5,0)))</f>
        <v>n/m</v>
      </c>
      <c r="I109" s="7" t="str">
        <f>IF($A109="","",INDEX(Metrics!$A$6:$U$305,MATCH($A109,Metrics!$U$6:$U$305,0),MATCH(I$5,Metrics!$A$5:$U$5,0)))</f>
        <v/>
      </c>
      <c r="J109" s="9" t="str">
        <f>IF($A109="","",INDEX(Metrics!$A$6:$U$305,MATCH($A109,Metrics!$U$6:$U$305,0),MATCH(J$5,Metrics!$A$5:$U$5,0)))</f>
        <v/>
      </c>
      <c r="K109" s="10">
        <f>IF($A109="","",INDEX(Metrics!$A$6:$U$305,MATCH($A109,Metrics!$U$6:$U$305,0),MATCH(K$5,Metrics!$A$5:$U$5,0)))</f>
        <v>119</v>
      </c>
      <c r="L109">
        <f>IF($A109="","",INDEX(Metrics!$A$6:$U$305,MATCH($A109,Metrics!$U$6:$U$305,0),MATCH(L$5,Metrics!$A$5:$U$5,0)))</f>
        <v>119</v>
      </c>
      <c r="M109">
        <f>IF($A109="","",INDEX(Metrics!$A$6:$U$305,MATCH($A109,Metrics!$U$6:$U$305,0),MATCH(M$5,Metrics!$A$5:$U$5,0)))</f>
        <v>119</v>
      </c>
      <c r="N109">
        <f>IF($A109="","",INDEX(Metrics!$A$6:$U$305,MATCH($A109,Metrics!$U$6:$U$305,0),MATCH(N$5,Metrics!$A$5:$U$5,0)))</f>
        <v>119</v>
      </c>
      <c r="O109">
        <f>IF($A109="","",INDEX(Metrics!$A$6:$U$305,MATCH($A109,Metrics!$U$6:$U$305,0),MATCH(O$5,Metrics!$A$5:$U$5,0)))</f>
        <v>119</v>
      </c>
      <c r="P109">
        <f>IF($A109="","",INDEX(Metrics!$A$6:$U$305,MATCH($A109,Metrics!$U$6:$U$305,0),MATCH(P$5,Metrics!$A$5:$U$5,0)))</f>
        <v>119</v>
      </c>
    </row>
    <row r="110" spans="1:16" x14ac:dyDescent="0.4">
      <c r="A110">
        <f t="shared" si="1"/>
        <v>105</v>
      </c>
      <c r="B110" t="str">
        <f>IF($A110="","",INDEX(Metrics!$A$6:$U$305,MATCH($A110,Metrics!$U$6:$U$305,0),MATCH(B$5,Metrics!$A$5:$U$5,0)))</f>
        <v>TPK</v>
      </c>
      <c r="C110" t="str">
        <f>IF($A110="","",INDEX(Metrics!$A$6:$U$305,MATCH($A110,Metrics!$U$6:$U$305,0),MATCH(C$5,Metrics!$A$5:$U$5,0)))</f>
        <v>Travis Perkins</v>
      </c>
      <c r="D110" t="str">
        <f>IF($A110="","",INDEX(Metrics!$A$6:$U$305,MATCH($A110,Metrics!$U$6:$U$305,0),MATCH(D$5,Metrics!$A$5:$U$5,0)))</f>
        <v>Industrials</v>
      </c>
      <c r="E110" s="14" t="e">
        <f>IF($A110="","",INDEX(Metrics!$A$6:$U$305,MATCH($A110,Metrics!$U$6:$U$305,0),MATCH(E$5,Metrics!$A$5:$U$5,0)))</f>
        <v>#N/A</v>
      </c>
      <c r="F110" s="7" t="str">
        <f>IF($A110="","",INDEX(Metrics!$A$6:$U$305,MATCH($A110,Metrics!$U$6:$U$305,0),MATCH(F$5,Metrics!$A$5:$U$5,0)))</f>
        <v/>
      </c>
      <c r="G110" s="9" t="str">
        <f>IF($A110="","",INDEX(Metrics!$A$6:$U$305,MATCH($A110,Metrics!$U$6:$U$305,0),MATCH(G$5,Metrics!$A$5:$U$5,0)))</f>
        <v/>
      </c>
      <c r="H110" s="9" t="str">
        <f>IF($A110="","",INDEX(Metrics!$A$6:$U$305,MATCH($A110,Metrics!$U$6:$U$305,0),MATCH(H$5,Metrics!$A$5:$U$5,0)))</f>
        <v>n/m</v>
      </c>
      <c r="I110" s="7" t="str">
        <f>IF($A110="","",INDEX(Metrics!$A$6:$U$305,MATCH($A110,Metrics!$U$6:$U$305,0),MATCH(I$5,Metrics!$A$5:$U$5,0)))</f>
        <v/>
      </c>
      <c r="J110" s="9" t="str">
        <f>IF($A110="","",INDEX(Metrics!$A$6:$U$305,MATCH($A110,Metrics!$U$6:$U$305,0),MATCH(J$5,Metrics!$A$5:$U$5,0)))</f>
        <v/>
      </c>
      <c r="K110" s="10">
        <f>IF($A110="","",INDEX(Metrics!$A$6:$U$305,MATCH($A110,Metrics!$U$6:$U$305,0),MATCH(K$5,Metrics!$A$5:$U$5,0)))</f>
        <v>119</v>
      </c>
      <c r="L110">
        <f>IF($A110="","",INDEX(Metrics!$A$6:$U$305,MATCH($A110,Metrics!$U$6:$U$305,0),MATCH(L$5,Metrics!$A$5:$U$5,0)))</f>
        <v>119</v>
      </c>
      <c r="M110">
        <f>IF($A110="","",INDEX(Metrics!$A$6:$U$305,MATCH($A110,Metrics!$U$6:$U$305,0),MATCH(M$5,Metrics!$A$5:$U$5,0)))</f>
        <v>119</v>
      </c>
      <c r="N110">
        <f>IF($A110="","",INDEX(Metrics!$A$6:$U$305,MATCH($A110,Metrics!$U$6:$U$305,0),MATCH(N$5,Metrics!$A$5:$U$5,0)))</f>
        <v>119</v>
      </c>
      <c r="O110">
        <f>IF($A110="","",INDEX(Metrics!$A$6:$U$305,MATCH($A110,Metrics!$U$6:$U$305,0),MATCH(O$5,Metrics!$A$5:$U$5,0)))</f>
        <v>119</v>
      </c>
      <c r="P110">
        <f>IF($A110="","",INDEX(Metrics!$A$6:$U$305,MATCH($A110,Metrics!$U$6:$U$305,0),MATCH(P$5,Metrics!$A$5:$U$5,0)))</f>
        <v>119</v>
      </c>
    </row>
    <row r="111" spans="1:16" x14ac:dyDescent="0.4">
      <c r="A111">
        <f t="shared" si="1"/>
        <v>106</v>
      </c>
      <c r="B111" t="str">
        <f>IF($A111="","",INDEX(Metrics!$A$6:$U$305,MATCH($A111,Metrics!$U$6:$U$305,0),MATCH(B$5,Metrics!$A$5:$U$5,0)))</f>
        <v>TRST</v>
      </c>
      <c r="C111" t="str">
        <f>IF($A111="","",INDEX(Metrics!$A$6:$U$305,MATCH($A111,Metrics!$U$6:$U$305,0),MATCH(C$5,Metrics!$A$5:$U$5,0)))</f>
        <v>Trustpilot</v>
      </c>
      <c r="D111" t="str">
        <f>IF($A111="","",INDEX(Metrics!$A$6:$U$305,MATCH($A111,Metrics!$U$6:$U$305,0),MATCH(D$5,Metrics!$A$5:$U$5,0)))</f>
        <v>Technology</v>
      </c>
      <c r="E111" s="14" t="e">
        <f>IF($A111="","",INDEX(Metrics!$A$6:$U$305,MATCH($A111,Metrics!$U$6:$U$305,0),MATCH(E$5,Metrics!$A$5:$U$5,0)))</f>
        <v>#N/A</v>
      </c>
      <c r="F111" s="7" t="str">
        <f>IF($A111="","",INDEX(Metrics!$A$6:$U$305,MATCH($A111,Metrics!$U$6:$U$305,0),MATCH(F$5,Metrics!$A$5:$U$5,0)))</f>
        <v/>
      </c>
      <c r="G111" s="9" t="str">
        <f>IF($A111="","",INDEX(Metrics!$A$6:$U$305,MATCH($A111,Metrics!$U$6:$U$305,0),MATCH(G$5,Metrics!$A$5:$U$5,0)))</f>
        <v/>
      </c>
      <c r="H111" s="9" t="str">
        <f>IF($A111="","",INDEX(Metrics!$A$6:$U$305,MATCH($A111,Metrics!$U$6:$U$305,0),MATCH(H$5,Metrics!$A$5:$U$5,0)))</f>
        <v>n/m</v>
      </c>
      <c r="I111" s="7" t="str">
        <f>IF($A111="","",INDEX(Metrics!$A$6:$U$305,MATCH($A111,Metrics!$U$6:$U$305,0),MATCH(I$5,Metrics!$A$5:$U$5,0)))</f>
        <v/>
      </c>
      <c r="J111" s="9" t="str">
        <f>IF($A111="","",INDEX(Metrics!$A$6:$U$305,MATCH($A111,Metrics!$U$6:$U$305,0),MATCH(J$5,Metrics!$A$5:$U$5,0)))</f>
        <v/>
      </c>
      <c r="K111" s="10">
        <f>IF($A111="","",INDEX(Metrics!$A$6:$U$305,MATCH($A111,Metrics!$U$6:$U$305,0),MATCH(K$5,Metrics!$A$5:$U$5,0)))</f>
        <v>119</v>
      </c>
      <c r="L111">
        <f>IF($A111="","",INDEX(Metrics!$A$6:$U$305,MATCH($A111,Metrics!$U$6:$U$305,0),MATCH(L$5,Metrics!$A$5:$U$5,0)))</f>
        <v>119</v>
      </c>
      <c r="M111">
        <f>IF($A111="","",INDEX(Metrics!$A$6:$U$305,MATCH($A111,Metrics!$U$6:$U$305,0),MATCH(M$5,Metrics!$A$5:$U$5,0)))</f>
        <v>119</v>
      </c>
      <c r="N111">
        <f>IF($A111="","",INDEX(Metrics!$A$6:$U$305,MATCH($A111,Metrics!$U$6:$U$305,0),MATCH(N$5,Metrics!$A$5:$U$5,0)))</f>
        <v>119</v>
      </c>
      <c r="O111">
        <f>IF($A111="","",INDEX(Metrics!$A$6:$U$305,MATCH($A111,Metrics!$U$6:$U$305,0),MATCH(O$5,Metrics!$A$5:$U$5,0)))</f>
        <v>119</v>
      </c>
      <c r="P111">
        <f>IF($A111="","",INDEX(Metrics!$A$6:$U$305,MATCH($A111,Metrics!$U$6:$U$305,0),MATCH(P$5,Metrics!$A$5:$U$5,0)))</f>
        <v>119</v>
      </c>
    </row>
    <row r="112" spans="1:16" x14ac:dyDescent="0.4">
      <c r="A112">
        <f t="shared" si="1"/>
        <v>107</v>
      </c>
      <c r="B112" t="str">
        <f>IF($A112="","",INDEX(Metrics!$A$6:$U$305,MATCH($A112,Metrics!$U$6:$U$305,0),MATCH(B$5,Metrics!$A$5:$U$5,0)))</f>
        <v>VSVS</v>
      </c>
      <c r="C112" t="str">
        <f>IF($A112="","",INDEX(Metrics!$A$6:$U$305,MATCH($A112,Metrics!$U$6:$U$305,0),MATCH(C$5,Metrics!$A$5:$U$5,0)))</f>
        <v>Vesuvius</v>
      </c>
      <c r="D112" t="str">
        <f>IF($A112="","",INDEX(Metrics!$A$6:$U$305,MATCH($A112,Metrics!$U$6:$U$305,0),MATCH(D$5,Metrics!$A$5:$U$5,0)))</f>
        <v>Industrials</v>
      </c>
      <c r="E112" s="14" t="e">
        <f>IF($A112="","",INDEX(Metrics!$A$6:$U$305,MATCH($A112,Metrics!$U$6:$U$305,0),MATCH(E$5,Metrics!$A$5:$U$5,0)))</f>
        <v>#N/A</v>
      </c>
      <c r="F112" s="7" t="str">
        <f>IF($A112="","",INDEX(Metrics!$A$6:$U$305,MATCH($A112,Metrics!$U$6:$U$305,0),MATCH(F$5,Metrics!$A$5:$U$5,0)))</f>
        <v/>
      </c>
      <c r="G112" s="9" t="str">
        <f>IF($A112="","",INDEX(Metrics!$A$6:$U$305,MATCH($A112,Metrics!$U$6:$U$305,0),MATCH(G$5,Metrics!$A$5:$U$5,0)))</f>
        <v/>
      </c>
      <c r="H112" s="9" t="str">
        <f>IF($A112="","",INDEX(Metrics!$A$6:$U$305,MATCH($A112,Metrics!$U$6:$U$305,0),MATCH(H$5,Metrics!$A$5:$U$5,0)))</f>
        <v>n/m</v>
      </c>
      <c r="I112" s="7" t="str">
        <f>IF($A112="","",INDEX(Metrics!$A$6:$U$305,MATCH($A112,Metrics!$U$6:$U$305,0),MATCH(I$5,Metrics!$A$5:$U$5,0)))</f>
        <v/>
      </c>
      <c r="J112" s="9" t="str">
        <f>IF($A112="","",INDEX(Metrics!$A$6:$U$305,MATCH($A112,Metrics!$U$6:$U$305,0),MATCH(J$5,Metrics!$A$5:$U$5,0)))</f>
        <v/>
      </c>
      <c r="K112" s="10">
        <f>IF($A112="","",INDEX(Metrics!$A$6:$U$305,MATCH($A112,Metrics!$U$6:$U$305,0),MATCH(K$5,Metrics!$A$5:$U$5,0)))</f>
        <v>119</v>
      </c>
      <c r="L112">
        <f>IF($A112="","",INDEX(Metrics!$A$6:$U$305,MATCH($A112,Metrics!$U$6:$U$305,0),MATCH(L$5,Metrics!$A$5:$U$5,0)))</f>
        <v>119</v>
      </c>
      <c r="M112">
        <f>IF($A112="","",INDEX(Metrics!$A$6:$U$305,MATCH($A112,Metrics!$U$6:$U$305,0),MATCH(M$5,Metrics!$A$5:$U$5,0)))</f>
        <v>119</v>
      </c>
      <c r="N112">
        <f>IF($A112="","",INDEX(Metrics!$A$6:$U$305,MATCH($A112,Metrics!$U$6:$U$305,0),MATCH(N$5,Metrics!$A$5:$U$5,0)))</f>
        <v>119</v>
      </c>
      <c r="O112">
        <f>IF($A112="","",INDEX(Metrics!$A$6:$U$305,MATCH($A112,Metrics!$U$6:$U$305,0),MATCH(O$5,Metrics!$A$5:$U$5,0)))</f>
        <v>119</v>
      </c>
      <c r="P112">
        <f>IF($A112="","",INDEX(Metrics!$A$6:$U$305,MATCH($A112,Metrics!$U$6:$U$305,0),MATCH(P$5,Metrics!$A$5:$U$5,0)))</f>
        <v>119</v>
      </c>
    </row>
    <row r="113" spans="1:16" x14ac:dyDescent="0.4">
      <c r="A113">
        <f t="shared" si="1"/>
        <v>108</v>
      </c>
      <c r="B113" t="str">
        <f>IF($A113="","",INDEX(Metrics!$A$6:$U$305,MATCH($A113,Metrics!$U$6:$U$305,0),MATCH(B$5,Metrics!$A$5:$U$5,0)))</f>
        <v>VCT</v>
      </c>
      <c r="C113" t="str">
        <f>IF($A113="","",INDEX(Metrics!$A$6:$U$305,MATCH($A113,Metrics!$U$6:$U$305,0),MATCH(C$5,Metrics!$A$5:$U$5,0)))</f>
        <v>Victrex</v>
      </c>
      <c r="D113" t="str">
        <f>IF($A113="","",INDEX(Metrics!$A$6:$U$305,MATCH($A113,Metrics!$U$6:$U$305,0),MATCH(D$5,Metrics!$A$5:$U$5,0)))</f>
        <v>Basic Materials</v>
      </c>
      <c r="E113" s="14" t="e">
        <f>IF($A113="","",INDEX(Metrics!$A$6:$U$305,MATCH($A113,Metrics!$U$6:$U$305,0),MATCH(E$5,Metrics!$A$5:$U$5,0)))</f>
        <v>#N/A</v>
      </c>
      <c r="F113" s="7" t="str">
        <f>IF($A113="","",INDEX(Metrics!$A$6:$U$305,MATCH($A113,Metrics!$U$6:$U$305,0),MATCH(F$5,Metrics!$A$5:$U$5,0)))</f>
        <v/>
      </c>
      <c r="G113" s="9" t="str">
        <f>IF($A113="","",INDEX(Metrics!$A$6:$U$305,MATCH($A113,Metrics!$U$6:$U$305,0),MATCH(G$5,Metrics!$A$5:$U$5,0)))</f>
        <v/>
      </c>
      <c r="H113" s="9" t="str">
        <f>IF($A113="","",INDEX(Metrics!$A$6:$U$305,MATCH($A113,Metrics!$U$6:$U$305,0),MATCH(H$5,Metrics!$A$5:$U$5,0)))</f>
        <v>n/m</v>
      </c>
      <c r="I113" s="7" t="str">
        <f>IF($A113="","",INDEX(Metrics!$A$6:$U$305,MATCH($A113,Metrics!$U$6:$U$305,0),MATCH(I$5,Metrics!$A$5:$U$5,0)))</f>
        <v/>
      </c>
      <c r="J113" s="9" t="str">
        <f>IF($A113="","",INDEX(Metrics!$A$6:$U$305,MATCH($A113,Metrics!$U$6:$U$305,0),MATCH(J$5,Metrics!$A$5:$U$5,0)))</f>
        <v/>
      </c>
      <c r="K113" s="10">
        <f>IF($A113="","",INDEX(Metrics!$A$6:$U$305,MATCH($A113,Metrics!$U$6:$U$305,0),MATCH(K$5,Metrics!$A$5:$U$5,0)))</f>
        <v>119</v>
      </c>
      <c r="L113">
        <f>IF($A113="","",INDEX(Metrics!$A$6:$U$305,MATCH($A113,Metrics!$U$6:$U$305,0),MATCH(L$5,Metrics!$A$5:$U$5,0)))</f>
        <v>119</v>
      </c>
      <c r="M113">
        <f>IF($A113="","",INDEX(Metrics!$A$6:$U$305,MATCH($A113,Metrics!$U$6:$U$305,0),MATCH(M$5,Metrics!$A$5:$U$5,0)))</f>
        <v>119</v>
      </c>
      <c r="N113">
        <f>IF($A113="","",INDEX(Metrics!$A$6:$U$305,MATCH($A113,Metrics!$U$6:$U$305,0),MATCH(N$5,Metrics!$A$5:$U$5,0)))</f>
        <v>119</v>
      </c>
      <c r="O113">
        <f>IF($A113="","",INDEX(Metrics!$A$6:$U$305,MATCH($A113,Metrics!$U$6:$U$305,0),MATCH(O$5,Metrics!$A$5:$U$5,0)))</f>
        <v>119</v>
      </c>
      <c r="P113">
        <f>IF($A113="","",INDEX(Metrics!$A$6:$U$305,MATCH($A113,Metrics!$U$6:$U$305,0),MATCH(P$5,Metrics!$A$5:$U$5,0)))</f>
        <v>119</v>
      </c>
    </row>
    <row r="114" spans="1:16" x14ac:dyDescent="0.4">
      <c r="A114">
        <f t="shared" si="1"/>
        <v>109</v>
      </c>
      <c r="B114" t="str">
        <f>IF($A114="","",INDEX(Metrics!$A$6:$U$305,MATCH($A114,Metrics!$U$6:$U$305,0),MATCH(B$5,Metrics!$A$5:$U$5,0)))</f>
        <v>VTY</v>
      </c>
      <c r="C114" t="str">
        <f>IF($A114="","",INDEX(Metrics!$A$6:$U$305,MATCH($A114,Metrics!$U$6:$U$305,0),MATCH(C$5,Metrics!$A$5:$U$5,0)))</f>
        <v>Vistry Group</v>
      </c>
      <c r="D114" t="str">
        <f>IF($A114="","",INDEX(Metrics!$A$6:$U$305,MATCH($A114,Metrics!$U$6:$U$305,0),MATCH(D$5,Metrics!$A$5:$U$5,0)))</f>
        <v>Consumer Discretionary</v>
      </c>
      <c r="E114" s="14" t="e">
        <f>IF($A114="","",INDEX(Metrics!$A$6:$U$305,MATCH($A114,Metrics!$U$6:$U$305,0),MATCH(E$5,Metrics!$A$5:$U$5,0)))</f>
        <v>#N/A</v>
      </c>
      <c r="F114" s="7" t="str">
        <f>IF($A114="","",INDEX(Metrics!$A$6:$U$305,MATCH($A114,Metrics!$U$6:$U$305,0),MATCH(F$5,Metrics!$A$5:$U$5,0)))</f>
        <v/>
      </c>
      <c r="G114" s="9" t="str">
        <f>IF($A114="","",INDEX(Metrics!$A$6:$U$305,MATCH($A114,Metrics!$U$6:$U$305,0),MATCH(G$5,Metrics!$A$5:$U$5,0)))</f>
        <v/>
      </c>
      <c r="H114" s="9" t="str">
        <f>IF($A114="","",INDEX(Metrics!$A$6:$U$305,MATCH($A114,Metrics!$U$6:$U$305,0),MATCH(H$5,Metrics!$A$5:$U$5,0)))</f>
        <v>n/m</v>
      </c>
      <c r="I114" s="7" t="str">
        <f>IF($A114="","",INDEX(Metrics!$A$6:$U$305,MATCH($A114,Metrics!$U$6:$U$305,0),MATCH(I$5,Metrics!$A$5:$U$5,0)))</f>
        <v/>
      </c>
      <c r="J114" s="9" t="str">
        <f>IF($A114="","",INDEX(Metrics!$A$6:$U$305,MATCH($A114,Metrics!$U$6:$U$305,0),MATCH(J$5,Metrics!$A$5:$U$5,0)))</f>
        <v/>
      </c>
      <c r="K114" s="10">
        <f>IF($A114="","",INDEX(Metrics!$A$6:$U$305,MATCH($A114,Metrics!$U$6:$U$305,0),MATCH(K$5,Metrics!$A$5:$U$5,0)))</f>
        <v>119</v>
      </c>
      <c r="L114">
        <f>IF($A114="","",INDEX(Metrics!$A$6:$U$305,MATCH($A114,Metrics!$U$6:$U$305,0),MATCH(L$5,Metrics!$A$5:$U$5,0)))</f>
        <v>119</v>
      </c>
      <c r="M114">
        <f>IF($A114="","",INDEX(Metrics!$A$6:$U$305,MATCH($A114,Metrics!$U$6:$U$305,0),MATCH(M$5,Metrics!$A$5:$U$5,0)))</f>
        <v>119</v>
      </c>
      <c r="N114">
        <f>IF($A114="","",INDEX(Metrics!$A$6:$U$305,MATCH($A114,Metrics!$U$6:$U$305,0),MATCH(N$5,Metrics!$A$5:$U$5,0)))</f>
        <v>119</v>
      </c>
      <c r="O114">
        <f>IF($A114="","",INDEX(Metrics!$A$6:$U$305,MATCH($A114,Metrics!$U$6:$U$305,0),MATCH(O$5,Metrics!$A$5:$U$5,0)))</f>
        <v>119</v>
      </c>
      <c r="P114">
        <f>IF($A114="","",INDEX(Metrics!$A$6:$U$305,MATCH($A114,Metrics!$U$6:$U$305,0),MATCH(P$5,Metrics!$A$5:$U$5,0)))</f>
        <v>119</v>
      </c>
    </row>
    <row r="115" spans="1:16" x14ac:dyDescent="0.4">
      <c r="A115">
        <f t="shared" si="1"/>
        <v>110</v>
      </c>
      <c r="B115" t="str">
        <f>IF($A115="","",INDEX(Metrics!$A$6:$U$305,MATCH($A115,Metrics!$U$6:$U$305,0),MATCH(B$5,Metrics!$A$5:$U$5,0)))</f>
        <v>VLX</v>
      </c>
      <c r="C115" t="str">
        <f>IF($A115="","",INDEX(Metrics!$A$6:$U$305,MATCH($A115,Metrics!$U$6:$U$305,0),MATCH(C$5,Metrics!$A$5:$U$5,0)))</f>
        <v>Volex</v>
      </c>
      <c r="D115" t="str">
        <f>IF($A115="","",INDEX(Metrics!$A$6:$U$305,MATCH($A115,Metrics!$U$6:$U$305,0),MATCH(D$5,Metrics!$A$5:$U$5,0)))</f>
        <v>Industrials</v>
      </c>
      <c r="E115" s="14" t="e">
        <f>IF($A115="","",INDEX(Metrics!$A$6:$U$305,MATCH($A115,Metrics!$U$6:$U$305,0),MATCH(E$5,Metrics!$A$5:$U$5,0)))</f>
        <v>#N/A</v>
      </c>
      <c r="F115" s="7" t="str">
        <f>IF($A115="","",INDEX(Metrics!$A$6:$U$305,MATCH($A115,Metrics!$U$6:$U$305,0),MATCH(F$5,Metrics!$A$5:$U$5,0)))</f>
        <v/>
      </c>
      <c r="G115" s="9" t="str">
        <f>IF($A115="","",INDEX(Metrics!$A$6:$U$305,MATCH($A115,Metrics!$U$6:$U$305,0),MATCH(G$5,Metrics!$A$5:$U$5,0)))</f>
        <v/>
      </c>
      <c r="H115" s="9" t="str">
        <f>IF($A115="","",INDEX(Metrics!$A$6:$U$305,MATCH($A115,Metrics!$U$6:$U$305,0),MATCH(H$5,Metrics!$A$5:$U$5,0)))</f>
        <v>n/m</v>
      </c>
      <c r="I115" s="7" t="str">
        <f>IF($A115="","",INDEX(Metrics!$A$6:$U$305,MATCH($A115,Metrics!$U$6:$U$305,0),MATCH(I$5,Metrics!$A$5:$U$5,0)))</f>
        <v/>
      </c>
      <c r="J115" s="9" t="str">
        <f>IF($A115="","",INDEX(Metrics!$A$6:$U$305,MATCH($A115,Metrics!$U$6:$U$305,0),MATCH(J$5,Metrics!$A$5:$U$5,0)))</f>
        <v/>
      </c>
      <c r="K115" s="10">
        <f>IF($A115="","",INDEX(Metrics!$A$6:$U$305,MATCH($A115,Metrics!$U$6:$U$305,0),MATCH(K$5,Metrics!$A$5:$U$5,0)))</f>
        <v>119</v>
      </c>
      <c r="L115">
        <f>IF($A115="","",INDEX(Metrics!$A$6:$U$305,MATCH($A115,Metrics!$U$6:$U$305,0),MATCH(L$5,Metrics!$A$5:$U$5,0)))</f>
        <v>119</v>
      </c>
      <c r="M115">
        <f>IF($A115="","",INDEX(Metrics!$A$6:$U$305,MATCH($A115,Metrics!$U$6:$U$305,0),MATCH(M$5,Metrics!$A$5:$U$5,0)))</f>
        <v>119</v>
      </c>
      <c r="N115">
        <f>IF($A115="","",INDEX(Metrics!$A$6:$U$305,MATCH($A115,Metrics!$U$6:$U$305,0),MATCH(N$5,Metrics!$A$5:$U$5,0)))</f>
        <v>119</v>
      </c>
      <c r="O115">
        <f>IF($A115="","",INDEX(Metrics!$A$6:$U$305,MATCH($A115,Metrics!$U$6:$U$305,0),MATCH(O$5,Metrics!$A$5:$U$5,0)))</f>
        <v>119</v>
      </c>
      <c r="P115">
        <f>IF($A115="","",INDEX(Metrics!$A$6:$U$305,MATCH($A115,Metrics!$U$6:$U$305,0),MATCH(P$5,Metrics!$A$5:$U$5,0)))</f>
        <v>119</v>
      </c>
    </row>
    <row r="116" spans="1:16" x14ac:dyDescent="0.4">
      <c r="A116">
        <f t="shared" si="1"/>
        <v>111</v>
      </c>
      <c r="B116" t="str">
        <f>IF($A116="","",INDEX(Metrics!$A$6:$U$305,MATCH($A116,Metrics!$U$6:$U$305,0),MATCH(B$5,Metrics!$A$5:$U$5,0)))</f>
        <v>FAN</v>
      </c>
      <c r="C116" t="str">
        <f>IF($A116="","",INDEX(Metrics!$A$6:$U$305,MATCH($A116,Metrics!$U$6:$U$305,0),MATCH(C$5,Metrics!$A$5:$U$5,0)))</f>
        <v>Volution Group</v>
      </c>
      <c r="D116" t="str">
        <f>IF($A116="","",INDEX(Metrics!$A$6:$U$305,MATCH($A116,Metrics!$U$6:$U$305,0),MATCH(D$5,Metrics!$A$5:$U$5,0)))</f>
        <v>Industrials</v>
      </c>
      <c r="E116" s="14" t="e">
        <f>IF($A116="","",INDEX(Metrics!$A$6:$U$305,MATCH($A116,Metrics!$U$6:$U$305,0),MATCH(E$5,Metrics!$A$5:$U$5,0)))</f>
        <v>#N/A</v>
      </c>
      <c r="F116" s="7" t="str">
        <f>IF($A116="","",INDEX(Metrics!$A$6:$U$305,MATCH($A116,Metrics!$U$6:$U$305,0),MATCH(F$5,Metrics!$A$5:$U$5,0)))</f>
        <v/>
      </c>
      <c r="G116" s="9" t="str">
        <f>IF($A116="","",INDEX(Metrics!$A$6:$U$305,MATCH($A116,Metrics!$U$6:$U$305,0),MATCH(G$5,Metrics!$A$5:$U$5,0)))</f>
        <v/>
      </c>
      <c r="H116" s="9" t="str">
        <f>IF($A116="","",INDEX(Metrics!$A$6:$U$305,MATCH($A116,Metrics!$U$6:$U$305,0),MATCH(H$5,Metrics!$A$5:$U$5,0)))</f>
        <v>n/m</v>
      </c>
      <c r="I116" s="7" t="str">
        <f>IF($A116="","",INDEX(Metrics!$A$6:$U$305,MATCH($A116,Metrics!$U$6:$U$305,0),MATCH(I$5,Metrics!$A$5:$U$5,0)))</f>
        <v/>
      </c>
      <c r="J116" s="9" t="str">
        <f>IF($A116="","",INDEX(Metrics!$A$6:$U$305,MATCH($A116,Metrics!$U$6:$U$305,0),MATCH(J$5,Metrics!$A$5:$U$5,0)))</f>
        <v/>
      </c>
      <c r="K116" s="10">
        <f>IF($A116="","",INDEX(Metrics!$A$6:$U$305,MATCH($A116,Metrics!$U$6:$U$305,0),MATCH(K$5,Metrics!$A$5:$U$5,0)))</f>
        <v>119</v>
      </c>
      <c r="L116">
        <f>IF($A116="","",INDEX(Metrics!$A$6:$U$305,MATCH($A116,Metrics!$U$6:$U$305,0),MATCH(L$5,Metrics!$A$5:$U$5,0)))</f>
        <v>119</v>
      </c>
      <c r="M116">
        <f>IF($A116="","",INDEX(Metrics!$A$6:$U$305,MATCH($A116,Metrics!$U$6:$U$305,0),MATCH(M$5,Metrics!$A$5:$U$5,0)))</f>
        <v>119</v>
      </c>
      <c r="N116">
        <f>IF($A116="","",INDEX(Metrics!$A$6:$U$305,MATCH($A116,Metrics!$U$6:$U$305,0),MATCH(N$5,Metrics!$A$5:$U$5,0)))</f>
        <v>119</v>
      </c>
      <c r="O116">
        <f>IF($A116="","",INDEX(Metrics!$A$6:$U$305,MATCH($A116,Metrics!$U$6:$U$305,0),MATCH(O$5,Metrics!$A$5:$U$5,0)))</f>
        <v>119</v>
      </c>
      <c r="P116">
        <f>IF($A116="","",INDEX(Metrics!$A$6:$U$305,MATCH($A116,Metrics!$U$6:$U$305,0),MATCH(P$5,Metrics!$A$5:$U$5,0)))</f>
        <v>119</v>
      </c>
    </row>
    <row r="117" spans="1:16" x14ac:dyDescent="0.4">
      <c r="A117">
        <f t="shared" si="1"/>
        <v>112</v>
      </c>
      <c r="B117" t="str">
        <f>IF($A117="","",INDEX(Metrics!$A$6:$U$305,MATCH($A117,Metrics!$U$6:$U$305,0),MATCH(B$5,Metrics!$A$5:$U$5,0)))</f>
        <v>WOSG</v>
      </c>
      <c r="C117" t="str">
        <f>IF($A117="","",INDEX(Metrics!$A$6:$U$305,MATCH($A117,Metrics!$U$6:$U$305,0),MATCH(C$5,Metrics!$A$5:$U$5,0)))</f>
        <v>Watches of Switzerland</v>
      </c>
      <c r="D117" t="str">
        <f>IF($A117="","",INDEX(Metrics!$A$6:$U$305,MATCH($A117,Metrics!$U$6:$U$305,0),MATCH(D$5,Metrics!$A$5:$U$5,0)))</f>
        <v>Consumer Discretionary</v>
      </c>
      <c r="E117" s="14" t="e">
        <f>IF($A117="","",INDEX(Metrics!$A$6:$U$305,MATCH($A117,Metrics!$U$6:$U$305,0),MATCH(E$5,Metrics!$A$5:$U$5,0)))</f>
        <v>#N/A</v>
      </c>
      <c r="F117" s="7" t="str">
        <f>IF($A117="","",INDEX(Metrics!$A$6:$U$305,MATCH($A117,Metrics!$U$6:$U$305,0),MATCH(F$5,Metrics!$A$5:$U$5,0)))</f>
        <v/>
      </c>
      <c r="G117" s="9" t="str">
        <f>IF($A117="","",INDEX(Metrics!$A$6:$U$305,MATCH($A117,Metrics!$U$6:$U$305,0),MATCH(G$5,Metrics!$A$5:$U$5,0)))</f>
        <v/>
      </c>
      <c r="H117" s="9" t="str">
        <f>IF($A117="","",INDEX(Metrics!$A$6:$U$305,MATCH($A117,Metrics!$U$6:$U$305,0),MATCH(H$5,Metrics!$A$5:$U$5,0)))</f>
        <v>n/m</v>
      </c>
      <c r="I117" s="7" t="str">
        <f>IF($A117="","",INDEX(Metrics!$A$6:$U$305,MATCH($A117,Metrics!$U$6:$U$305,0),MATCH(I$5,Metrics!$A$5:$U$5,0)))</f>
        <v/>
      </c>
      <c r="J117" s="9" t="str">
        <f>IF($A117="","",INDEX(Metrics!$A$6:$U$305,MATCH($A117,Metrics!$U$6:$U$305,0),MATCH(J$5,Metrics!$A$5:$U$5,0)))</f>
        <v/>
      </c>
      <c r="K117" s="10">
        <f>IF($A117="","",INDEX(Metrics!$A$6:$U$305,MATCH($A117,Metrics!$U$6:$U$305,0),MATCH(K$5,Metrics!$A$5:$U$5,0)))</f>
        <v>119</v>
      </c>
      <c r="L117">
        <f>IF($A117="","",INDEX(Metrics!$A$6:$U$305,MATCH($A117,Metrics!$U$6:$U$305,0),MATCH(L$5,Metrics!$A$5:$U$5,0)))</f>
        <v>119</v>
      </c>
      <c r="M117">
        <f>IF($A117="","",INDEX(Metrics!$A$6:$U$305,MATCH($A117,Metrics!$U$6:$U$305,0),MATCH(M$5,Metrics!$A$5:$U$5,0)))</f>
        <v>119</v>
      </c>
      <c r="N117">
        <f>IF($A117="","",INDEX(Metrics!$A$6:$U$305,MATCH($A117,Metrics!$U$6:$U$305,0),MATCH(N$5,Metrics!$A$5:$U$5,0)))</f>
        <v>119</v>
      </c>
      <c r="O117">
        <f>IF($A117="","",INDEX(Metrics!$A$6:$U$305,MATCH($A117,Metrics!$U$6:$U$305,0),MATCH(O$5,Metrics!$A$5:$U$5,0)))</f>
        <v>119</v>
      </c>
      <c r="P117">
        <f>IF($A117="","",INDEX(Metrics!$A$6:$U$305,MATCH($A117,Metrics!$U$6:$U$305,0),MATCH(P$5,Metrics!$A$5:$U$5,0)))</f>
        <v>119</v>
      </c>
    </row>
    <row r="118" spans="1:16" x14ac:dyDescent="0.4">
      <c r="A118">
        <f t="shared" si="1"/>
        <v>113</v>
      </c>
      <c r="B118" t="str">
        <f>IF($A118="","",INDEX(Metrics!$A$6:$U$305,MATCH($A118,Metrics!$U$6:$U$305,0),MATCH(B$5,Metrics!$A$5:$U$5,0)))</f>
        <v>JDW</v>
      </c>
      <c r="C118" t="str">
        <f>IF($A118="","",INDEX(Metrics!$A$6:$U$305,MATCH($A118,Metrics!$U$6:$U$305,0),MATCH(C$5,Metrics!$A$5:$U$5,0)))</f>
        <v>Wetherspoons</v>
      </c>
      <c r="D118" t="str">
        <f>IF($A118="","",INDEX(Metrics!$A$6:$U$305,MATCH($A118,Metrics!$U$6:$U$305,0),MATCH(D$5,Metrics!$A$5:$U$5,0)))</f>
        <v>Consumer Discretionary</v>
      </c>
      <c r="E118" s="14" t="e">
        <f>IF($A118="","",INDEX(Metrics!$A$6:$U$305,MATCH($A118,Metrics!$U$6:$U$305,0),MATCH(E$5,Metrics!$A$5:$U$5,0)))</f>
        <v>#N/A</v>
      </c>
      <c r="F118" s="7" t="str">
        <f>IF($A118="","",INDEX(Metrics!$A$6:$U$305,MATCH($A118,Metrics!$U$6:$U$305,0),MATCH(F$5,Metrics!$A$5:$U$5,0)))</f>
        <v/>
      </c>
      <c r="G118" s="9" t="str">
        <f>IF($A118="","",INDEX(Metrics!$A$6:$U$305,MATCH($A118,Metrics!$U$6:$U$305,0),MATCH(G$5,Metrics!$A$5:$U$5,0)))</f>
        <v/>
      </c>
      <c r="H118" s="9" t="str">
        <f>IF($A118="","",INDEX(Metrics!$A$6:$U$305,MATCH($A118,Metrics!$U$6:$U$305,0),MATCH(H$5,Metrics!$A$5:$U$5,0)))</f>
        <v>n/m</v>
      </c>
      <c r="I118" s="7" t="str">
        <f>IF($A118="","",INDEX(Metrics!$A$6:$U$305,MATCH($A118,Metrics!$U$6:$U$305,0),MATCH(I$5,Metrics!$A$5:$U$5,0)))</f>
        <v/>
      </c>
      <c r="J118" s="9" t="str">
        <f>IF($A118="","",INDEX(Metrics!$A$6:$U$305,MATCH($A118,Metrics!$U$6:$U$305,0),MATCH(J$5,Metrics!$A$5:$U$5,0)))</f>
        <v/>
      </c>
      <c r="K118" s="10">
        <f>IF($A118="","",INDEX(Metrics!$A$6:$U$305,MATCH($A118,Metrics!$U$6:$U$305,0),MATCH(K$5,Metrics!$A$5:$U$5,0)))</f>
        <v>119</v>
      </c>
      <c r="L118">
        <f>IF($A118="","",INDEX(Metrics!$A$6:$U$305,MATCH($A118,Metrics!$U$6:$U$305,0),MATCH(L$5,Metrics!$A$5:$U$5,0)))</f>
        <v>119</v>
      </c>
      <c r="M118">
        <f>IF($A118="","",INDEX(Metrics!$A$6:$U$305,MATCH($A118,Metrics!$U$6:$U$305,0),MATCH(M$5,Metrics!$A$5:$U$5,0)))</f>
        <v>119</v>
      </c>
      <c r="N118">
        <f>IF($A118="","",INDEX(Metrics!$A$6:$U$305,MATCH($A118,Metrics!$U$6:$U$305,0),MATCH(N$5,Metrics!$A$5:$U$5,0)))</f>
        <v>119</v>
      </c>
      <c r="O118">
        <f>IF($A118="","",INDEX(Metrics!$A$6:$U$305,MATCH($A118,Metrics!$U$6:$U$305,0),MATCH(O$5,Metrics!$A$5:$U$5,0)))</f>
        <v>119</v>
      </c>
      <c r="P118">
        <f>IF($A118="","",INDEX(Metrics!$A$6:$U$305,MATCH($A118,Metrics!$U$6:$U$305,0),MATCH(P$5,Metrics!$A$5:$U$5,0)))</f>
        <v>119</v>
      </c>
    </row>
    <row r="119" spans="1:16" x14ac:dyDescent="0.4">
      <c r="A119">
        <f t="shared" si="1"/>
        <v>114</v>
      </c>
      <c r="B119" t="str">
        <f>IF($A119="","",INDEX(Metrics!$A$6:$U$305,MATCH($A119,Metrics!$U$6:$U$305,0),MATCH(B$5,Metrics!$A$5:$U$5,0)))</f>
        <v>SMWH</v>
      </c>
      <c r="C119" t="str">
        <f>IF($A119="","",INDEX(Metrics!$A$6:$U$305,MATCH($A119,Metrics!$U$6:$U$305,0),MATCH(C$5,Metrics!$A$5:$U$5,0)))</f>
        <v>WHSmith</v>
      </c>
      <c r="D119" t="str">
        <f>IF($A119="","",INDEX(Metrics!$A$6:$U$305,MATCH($A119,Metrics!$U$6:$U$305,0),MATCH(D$5,Metrics!$A$5:$U$5,0)))</f>
        <v>Consumer Discretionary</v>
      </c>
      <c r="E119" s="14" t="e">
        <f>IF($A119="","",INDEX(Metrics!$A$6:$U$305,MATCH($A119,Metrics!$U$6:$U$305,0),MATCH(E$5,Metrics!$A$5:$U$5,0)))</f>
        <v>#N/A</v>
      </c>
      <c r="F119" s="7" t="str">
        <f>IF($A119="","",INDEX(Metrics!$A$6:$U$305,MATCH($A119,Metrics!$U$6:$U$305,0),MATCH(F$5,Metrics!$A$5:$U$5,0)))</f>
        <v/>
      </c>
      <c r="G119" s="9" t="str">
        <f>IF($A119="","",INDEX(Metrics!$A$6:$U$305,MATCH($A119,Metrics!$U$6:$U$305,0),MATCH(G$5,Metrics!$A$5:$U$5,0)))</f>
        <v/>
      </c>
      <c r="H119" s="9" t="str">
        <f>IF($A119="","",INDEX(Metrics!$A$6:$U$305,MATCH($A119,Metrics!$U$6:$U$305,0),MATCH(H$5,Metrics!$A$5:$U$5,0)))</f>
        <v>n/m</v>
      </c>
      <c r="I119" s="7" t="str">
        <f>IF($A119="","",INDEX(Metrics!$A$6:$U$305,MATCH($A119,Metrics!$U$6:$U$305,0),MATCH(I$5,Metrics!$A$5:$U$5,0)))</f>
        <v/>
      </c>
      <c r="J119" s="9" t="str">
        <f>IF($A119="","",INDEX(Metrics!$A$6:$U$305,MATCH($A119,Metrics!$U$6:$U$305,0),MATCH(J$5,Metrics!$A$5:$U$5,0)))</f>
        <v/>
      </c>
      <c r="K119" s="10">
        <f>IF($A119="","",INDEX(Metrics!$A$6:$U$305,MATCH($A119,Metrics!$U$6:$U$305,0),MATCH(K$5,Metrics!$A$5:$U$5,0)))</f>
        <v>119</v>
      </c>
      <c r="L119">
        <f>IF($A119="","",INDEX(Metrics!$A$6:$U$305,MATCH($A119,Metrics!$U$6:$U$305,0),MATCH(L$5,Metrics!$A$5:$U$5,0)))</f>
        <v>119</v>
      </c>
      <c r="M119">
        <f>IF($A119="","",INDEX(Metrics!$A$6:$U$305,MATCH($A119,Metrics!$U$6:$U$305,0),MATCH(M$5,Metrics!$A$5:$U$5,0)))</f>
        <v>119</v>
      </c>
      <c r="N119">
        <f>IF($A119="","",INDEX(Metrics!$A$6:$U$305,MATCH($A119,Metrics!$U$6:$U$305,0),MATCH(N$5,Metrics!$A$5:$U$5,0)))</f>
        <v>119</v>
      </c>
      <c r="O119">
        <f>IF($A119="","",INDEX(Metrics!$A$6:$U$305,MATCH($A119,Metrics!$U$6:$U$305,0),MATCH(O$5,Metrics!$A$5:$U$5,0)))</f>
        <v>119</v>
      </c>
      <c r="P119">
        <f>IF($A119="","",INDEX(Metrics!$A$6:$U$305,MATCH($A119,Metrics!$U$6:$U$305,0),MATCH(P$5,Metrics!$A$5:$U$5,0)))</f>
        <v>119</v>
      </c>
    </row>
    <row r="120" spans="1:16" x14ac:dyDescent="0.4">
      <c r="A120">
        <f t="shared" si="1"/>
        <v>115</v>
      </c>
      <c r="B120" t="str">
        <f>IF($A120="","",INDEX(Metrics!$A$6:$U$305,MATCH($A120,Metrics!$U$6:$U$305,0),MATCH(B$5,Metrics!$A$5:$U$5,0)))</f>
        <v>WIX</v>
      </c>
      <c r="C120" t="str">
        <f>IF($A120="","",INDEX(Metrics!$A$6:$U$305,MATCH($A120,Metrics!$U$6:$U$305,0),MATCH(C$5,Metrics!$A$5:$U$5,0)))</f>
        <v>Wickes</v>
      </c>
      <c r="D120" t="str">
        <f>IF($A120="","",INDEX(Metrics!$A$6:$U$305,MATCH($A120,Metrics!$U$6:$U$305,0),MATCH(D$5,Metrics!$A$5:$U$5,0)))</f>
        <v>Consumer Discretionary</v>
      </c>
      <c r="E120" s="14" t="e">
        <f>IF($A120="","",INDEX(Metrics!$A$6:$U$305,MATCH($A120,Metrics!$U$6:$U$305,0),MATCH(E$5,Metrics!$A$5:$U$5,0)))</f>
        <v>#N/A</v>
      </c>
      <c r="F120" s="7" t="str">
        <f>IF($A120="","",INDEX(Metrics!$A$6:$U$305,MATCH($A120,Metrics!$U$6:$U$305,0),MATCH(F$5,Metrics!$A$5:$U$5,0)))</f>
        <v/>
      </c>
      <c r="G120" s="9" t="str">
        <f>IF($A120="","",INDEX(Metrics!$A$6:$U$305,MATCH($A120,Metrics!$U$6:$U$305,0),MATCH(G$5,Metrics!$A$5:$U$5,0)))</f>
        <v/>
      </c>
      <c r="H120" s="9" t="str">
        <f>IF($A120="","",INDEX(Metrics!$A$6:$U$305,MATCH($A120,Metrics!$U$6:$U$305,0),MATCH(H$5,Metrics!$A$5:$U$5,0)))</f>
        <v>n/m</v>
      </c>
      <c r="I120" s="7" t="str">
        <f>IF($A120="","",INDEX(Metrics!$A$6:$U$305,MATCH($A120,Metrics!$U$6:$U$305,0),MATCH(I$5,Metrics!$A$5:$U$5,0)))</f>
        <v/>
      </c>
      <c r="J120" s="9" t="str">
        <f>IF($A120="","",INDEX(Metrics!$A$6:$U$305,MATCH($A120,Metrics!$U$6:$U$305,0),MATCH(J$5,Metrics!$A$5:$U$5,0)))</f>
        <v/>
      </c>
      <c r="K120" s="10">
        <f>IF($A120="","",INDEX(Metrics!$A$6:$U$305,MATCH($A120,Metrics!$U$6:$U$305,0),MATCH(K$5,Metrics!$A$5:$U$5,0)))</f>
        <v>119</v>
      </c>
      <c r="L120">
        <f>IF($A120="","",INDEX(Metrics!$A$6:$U$305,MATCH($A120,Metrics!$U$6:$U$305,0),MATCH(L$5,Metrics!$A$5:$U$5,0)))</f>
        <v>119</v>
      </c>
      <c r="M120">
        <f>IF($A120="","",INDEX(Metrics!$A$6:$U$305,MATCH($A120,Metrics!$U$6:$U$305,0),MATCH(M$5,Metrics!$A$5:$U$5,0)))</f>
        <v>119</v>
      </c>
      <c r="N120">
        <f>IF($A120="","",INDEX(Metrics!$A$6:$U$305,MATCH($A120,Metrics!$U$6:$U$305,0),MATCH(N$5,Metrics!$A$5:$U$5,0)))</f>
        <v>119</v>
      </c>
      <c r="O120">
        <f>IF($A120="","",INDEX(Metrics!$A$6:$U$305,MATCH($A120,Metrics!$U$6:$U$305,0),MATCH(O$5,Metrics!$A$5:$U$5,0)))</f>
        <v>119</v>
      </c>
      <c r="P120">
        <f>IF($A120="","",INDEX(Metrics!$A$6:$U$305,MATCH($A120,Metrics!$U$6:$U$305,0),MATCH(P$5,Metrics!$A$5:$U$5,0)))</f>
        <v>119</v>
      </c>
    </row>
    <row r="121" spans="1:16" x14ac:dyDescent="0.4">
      <c r="A121">
        <f t="shared" si="1"/>
        <v>116</v>
      </c>
      <c r="B121" t="str">
        <f>IF($A121="","",INDEX(Metrics!$A$6:$U$305,MATCH($A121,Metrics!$U$6:$U$305,0),MATCH(B$5,Metrics!$A$5:$U$5,0)))</f>
        <v>WIZZ</v>
      </c>
      <c r="C121" t="str">
        <f>IF($A121="","",INDEX(Metrics!$A$6:$U$305,MATCH($A121,Metrics!$U$6:$U$305,0),MATCH(C$5,Metrics!$A$5:$U$5,0)))</f>
        <v>Wizz Air</v>
      </c>
      <c r="D121" t="str">
        <f>IF($A121="","",INDEX(Metrics!$A$6:$U$305,MATCH($A121,Metrics!$U$6:$U$305,0),MATCH(D$5,Metrics!$A$5:$U$5,0)))</f>
        <v>Consumer Discretionary</v>
      </c>
      <c r="E121" s="14" t="e">
        <f>IF($A121="","",INDEX(Metrics!$A$6:$U$305,MATCH($A121,Metrics!$U$6:$U$305,0),MATCH(E$5,Metrics!$A$5:$U$5,0)))</f>
        <v>#N/A</v>
      </c>
      <c r="F121" s="7" t="str">
        <f>IF($A121="","",INDEX(Metrics!$A$6:$U$305,MATCH($A121,Metrics!$U$6:$U$305,0),MATCH(F$5,Metrics!$A$5:$U$5,0)))</f>
        <v/>
      </c>
      <c r="G121" s="9" t="str">
        <f>IF($A121="","",INDEX(Metrics!$A$6:$U$305,MATCH($A121,Metrics!$U$6:$U$305,0),MATCH(G$5,Metrics!$A$5:$U$5,0)))</f>
        <v/>
      </c>
      <c r="H121" s="9" t="str">
        <f>IF($A121="","",INDEX(Metrics!$A$6:$U$305,MATCH($A121,Metrics!$U$6:$U$305,0),MATCH(H$5,Metrics!$A$5:$U$5,0)))</f>
        <v>n/m</v>
      </c>
      <c r="I121" s="7" t="str">
        <f>IF($A121="","",INDEX(Metrics!$A$6:$U$305,MATCH($A121,Metrics!$U$6:$U$305,0),MATCH(I$5,Metrics!$A$5:$U$5,0)))</f>
        <v/>
      </c>
      <c r="J121" s="9" t="str">
        <f>IF($A121="","",INDEX(Metrics!$A$6:$U$305,MATCH($A121,Metrics!$U$6:$U$305,0),MATCH(J$5,Metrics!$A$5:$U$5,0)))</f>
        <v/>
      </c>
      <c r="K121" s="10">
        <f>IF($A121="","",INDEX(Metrics!$A$6:$U$305,MATCH($A121,Metrics!$U$6:$U$305,0),MATCH(K$5,Metrics!$A$5:$U$5,0)))</f>
        <v>119</v>
      </c>
      <c r="L121">
        <f>IF($A121="","",INDEX(Metrics!$A$6:$U$305,MATCH($A121,Metrics!$U$6:$U$305,0),MATCH(L$5,Metrics!$A$5:$U$5,0)))</f>
        <v>119</v>
      </c>
      <c r="M121">
        <f>IF($A121="","",INDEX(Metrics!$A$6:$U$305,MATCH($A121,Metrics!$U$6:$U$305,0),MATCH(M$5,Metrics!$A$5:$U$5,0)))</f>
        <v>119</v>
      </c>
      <c r="N121">
        <f>IF($A121="","",INDEX(Metrics!$A$6:$U$305,MATCH($A121,Metrics!$U$6:$U$305,0),MATCH(N$5,Metrics!$A$5:$U$5,0)))</f>
        <v>119</v>
      </c>
      <c r="O121">
        <f>IF($A121="","",INDEX(Metrics!$A$6:$U$305,MATCH($A121,Metrics!$U$6:$U$305,0),MATCH(O$5,Metrics!$A$5:$U$5,0)))</f>
        <v>119</v>
      </c>
      <c r="P121">
        <f>IF($A121="","",INDEX(Metrics!$A$6:$U$305,MATCH($A121,Metrics!$U$6:$U$305,0),MATCH(P$5,Metrics!$A$5:$U$5,0)))</f>
        <v>119</v>
      </c>
    </row>
    <row r="122" spans="1:16" x14ac:dyDescent="0.4">
      <c r="A122">
        <f t="shared" si="1"/>
        <v>117</v>
      </c>
      <c r="B122" t="str">
        <f>IF($A122="","",INDEX(Metrics!$A$6:$U$305,MATCH($A122,Metrics!$U$6:$U$305,0),MATCH(B$5,Metrics!$A$5:$U$5,0)))</f>
        <v>XPP</v>
      </c>
      <c r="C122" t="str">
        <f>IF($A122="","",INDEX(Metrics!$A$6:$U$305,MATCH($A122,Metrics!$U$6:$U$305,0),MATCH(C$5,Metrics!$A$5:$U$5,0)))</f>
        <v>XP Power</v>
      </c>
      <c r="D122" t="str">
        <f>IF($A122="","",INDEX(Metrics!$A$6:$U$305,MATCH($A122,Metrics!$U$6:$U$305,0),MATCH(D$5,Metrics!$A$5:$U$5,0)))</f>
        <v>Industrials</v>
      </c>
      <c r="E122" s="14" t="e">
        <f>IF($A122="","",INDEX(Metrics!$A$6:$U$305,MATCH($A122,Metrics!$U$6:$U$305,0),MATCH(E$5,Metrics!$A$5:$U$5,0)))</f>
        <v>#N/A</v>
      </c>
      <c r="F122" s="7" t="str">
        <f>IF($A122="","",INDEX(Metrics!$A$6:$U$305,MATCH($A122,Metrics!$U$6:$U$305,0),MATCH(F$5,Metrics!$A$5:$U$5,0)))</f>
        <v/>
      </c>
      <c r="G122" s="9" t="str">
        <f>IF($A122="","",INDEX(Metrics!$A$6:$U$305,MATCH($A122,Metrics!$U$6:$U$305,0),MATCH(G$5,Metrics!$A$5:$U$5,0)))</f>
        <v/>
      </c>
      <c r="H122" s="9" t="str">
        <f>IF($A122="","",INDEX(Metrics!$A$6:$U$305,MATCH($A122,Metrics!$U$6:$U$305,0),MATCH(H$5,Metrics!$A$5:$U$5,0)))</f>
        <v>n/m</v>
      </c>
      <c r="I122" s="7" t="str">
        <f>IF($A122="","",INDEX(Metrics!$A$6:$U$305,MATCH($A122,Metrics!$U$6:$U$305,0),MATCH(I$5,Metrics!$A$5:$U$5,0)))</f>
        <v/>
      </c>
      <c r="J122" s="9" t="str">
        <f>IF($A122="","",INDEX(Metrics!$A$6:$U$305,MATCH($A122,Metrics!$U$6:$U$305,0),MATCH(J$5,Metrics!$A$5:$U$5,0)))</f>
        <v/>
      </c>
      <c r="K122" s="10">
        <f>IF($A122="","",INDEX(Metrics!$A$6:$U$305,MATCH($A122,Metrics!$U$6:$U$305,0),MATCH(K$5,Metrics!$A$5:$U$5,0)))</f>
        <v>119</v>
      </c>
      <c r="L122">
        <f>IF($A122="","",INDEX(Metrics!$A$6:$U$305,MATCH($A122,Metrics!$U$6:$U$305,0),MATCH(L$5,Metrics!$A$5:$U$5,0)))</f>
        <v>119</v>
      </c>
      <c r="M122">
        <f>IF($A122="","",INDEX(Metrics!$A$6:$U$305,MATCH($A122,Metrics!$U$6:$U$305,0),MATCH(M$5,Metrics!$A$5:$U$5,0)))</f>
        <v>119</v>
      </c>
      <c r="N122">
        <f>IF($A122="","",INDEX(Metrics!$A$6:$U$305,MATCH($A122,Metrics!$U$6:$U$305,0),MATCH(N$5,Metrics!$A$5:$U$5,0)))</f>
        <v>119</v>
      </c>
      <c r="O122">
        <f>IF($A122="","",INDEX(Metrics!$A$6:$U$305,MATCH($A122,Metrics!$U$6:$U$305,0),MATCH(O$5,Metrics!$A$5:$U$5,0)))</f>
        <v>119</v>
      </c>
      <c r="P122">
        <f>IF($A122="","",INDEX(Metrics!$A$6:$U$305,MATCH($A122,Metrics!$U$6:$U$305,0),MATCH(P$5,Metrics!$A$5:$U$5,0)))</f>
        <v>119</v>
      </c>
    </row>
    <row r="123" spans="1:16" x14ac:dyDescent="0.4">
      <c r="A123">
        <f t="shared" si="1"/>
        <v>118</v>
      </c>
      <c r="B123" t="str">
        <f>IF($A123="","",INDEX(Metrics!$A$6:$U$305,MATCH($A123,Metrics!$U$6:$U$305,0),MATCH(B$5,Metrics!$A$5:$U$5,0)))</f>
        <v>YNGA</v>
      </c>
      <c r="C123" t="str">
        <f>IF($A123="","",INDEX(Metrics!$A$6:$U$305,MATCH($A123,Metrics!$U$6:$U$305,0),MATCH(C$5,Metrics!$A$5:$U$5,0)))</f>
        <v>Young's</v>
      </c>
      <c r="D123" t="str">
        <f>IF($A123="","",INDEX(Metrics!$A$6:$U$305,MATCH($A123,Metrics!$U$6:$U$305,0),MATCH(D$5,Metrics!$A$5:$U$5,0)))</f>
        <v>Consumer Discretionary</v>
      </c>
      <c r="E123" s="14" t="e">
        <f>IF($A123="","",INDEX(Metrics!$A$6:$U$305,MATCH($A123,Metrics!$U$6:$U$305,0),MATCH(E$5,Metrics!$A$5:$U$5,0)))</f>
        <v>#N/A</v>
      </c>
      <c r="F123" s="7" t="str">
        <f>IF($A123="","",INDEX(Metrics!$A$6:$U$305,MATCH($A123,Metrics!$U$6:$U$305,0),MATCH(F$5,Metrics!$A$5:$U$5,0)))</f>
        <v/>
      </c>
      <c r="G123" s="9" t="str">
        <f>IF($A123="","",INDEX(Metrics!$A$6:$U$305,MATCH($A123,Metrics!$U$6:$U$305,0),MATCH(G$5,Metrics!$A$5:$U$5,0)))</f>
        <v/>
      </c>
      <c r="H123" s="9" t="str">
        <f>IF($A123="","",INDEX(Metrics!$A$6:$U$305,MATCH($A123,Metrics!$U$6:$U$305,0),MATCH(H$5,Metrics!$A$5:$U$5,0)))</f>
        <v>n/m</v>
      </c>
      <c r="I123" s="7" t="str">
        <f>IF($A123="","",INDEX(Metrics!$A$6:$U$305,MATCH($A123,Metrics!$U$6:$U$305,0),MATCH(I$5,Metrics!$A$5:$U$5,0)))</f>
        <v/>
      </c>
      <c r="J123" s="9" t="str">
        <f>IF($A123="","",INDEX(Metrics!$A$6:$U$305,MATCH($A123,Metrics!$U$6:$U$305,0),MATCH(J$5,Metrics!$A$5:$U$5,0)))</f>
        <v/>
      </c>
      <c r="K123" s="10">
        <f>IF($A123="","",INDEX(Metrics!$A$6:$U$305,MATCH($A123,Metrics!$U$6:$U$305,0),MATCH(K$5,Metrics!$A$5:$U$5,0)))</f>
        <v>119</v>
      </c>
      <c r="L123">
        <f>IF($A123="","",INDEX(Metrics!$A$6:$U$305,MATCH($A123,Metrics!$U$6:$U$305,0),MATCH(L$5,Metrics!$A$5:$U$5,0)))</f>
        <v>119</v>
      </c>
      <c r="M123">
        <f>IF($A123="","",INDEX(Metrics!$A$6:$U$305,MATCH($A123,Metrics!$U$6:$U$305,0),MATCH(M$5,Metrics!$A$5:$U$5,0)))</f>
        <v>119</v>
      </c>
      <c r="N123">
        <f>IF($A123="","",INDEX(Metrics!$A$6:$U$305,MATCH($A123,Metrics!$U$6:$U$305,0),MATCH(N$5,Metrics!$A$5:$U$5,0)))</f>
        <v>119</v>
      </c>
      <c r="O123">
        <f>IF($A123="","",INDEX(Metrics!$A$6:$U$305,MATCH($A123,Metrics!$U$6:$U$305,0),MATCH(O$5,Metrics!$A$5:$U$5,0)))</f>
        <v>119</v>
      </c>
      <c r="P123">
        <f>IF($A123="","",INDEX(Metrics!$A$6:$U$305,MATCH($A123,Metrics!$U$6:$U$305,0),MATCH(P$5,Metrics!$A$5:$U$5,0)))</f>
        <v>119</v>
      </c>
    </row>
    <row r="124" spans="1:16" x14ac:dyDescent="0.4">
      <c r="A124">
        <f t="shared" si="1"/>
        <v>119</v>
      </c>
      <c r="B124" t="str">
        <f>IF($A124="","",INDEX(Metrics!$A$6:$U$305,MATCH($A124,Metrics!$U$6:$U$305,0),MATCH(B$5,Metrics!$A$5:$U$5,0)))</f>
        <v>ZIG</v>
      </c>
      <c r="C124" t="str">
        <f>IF($A124="","",INDEX(Metrics!$A$6:$U$305,MATCH($A124,Metrics!$U$6:$U$305,0),MATCH(C$5,Metrics!$A$5:$U$5,0)))</f>
        <v>Zigup</v>
      </c>
      <c r="D124" t="str">
        <f>IF($A124="","",INDEX(Metrics!$A$6:$U$305,MATCH($A124,Metrics!$U$6:$U$305,0),MATCH(D$5,Metrics!$A$5:$U$5,0)))</f>
        <v>Industrials</v>
      </c>
      <c r="E124" s="14" t="e">
        <f>IF($A124="","",INDEX(Metrics!$A$6:$U$305,MATCH($A124,Metrics!$U$6:$U$305,0),MATCH(E$5,Metrics!$A$5:$U$5,0)))</f>
        <v>#N/A</v>
      </c>
      <c r="F124" s="7" t="str">
        <f>IF($A124="","",INDEX(Metrics!$A$6:$U$305,MATCH($A124,Metrics!$U$6:$U$305,0),MATCH(F$5,Metrics!$A$5:$U$5,0)))</f>
        <v/>
      </c>
      <c r="G124" s="9" t="str">
        <f>IF($A124="","",INDEX(Metrics!$A$6:$U$305,MATCH($A124,Metrics!$U$6:$U$305,0),MATCH(G$5,Metrics!$A$5:$U$5,0)))</f>
        <v/>
      </c>
      <c r="H124" s="9" t="str">
        <f>IF($A124="","",INDEX(Metrics!$A$6:$U$305,MATCH($A124,Metrics!$U$6:$U$305,0),MATCH(H$5,Metrics!$A$5:$U$5,0)))</f>
        <v>n/m</v>
      </c>
      <c r="I124" s="7" t="str">
        <f>IF($A124="","",INDEX(Metrics!$A$6:$U$305,MATCH($A124,Metrics!$U$6:$U$305,0),MATCH(I$5,Metrics!$A$5:$U$5,0)))</f>
        <v/>
      </c>
      <c r="J124" s="9" t="str">
        <f>IF($A124="","",INDEX(Metrics!$A$6:$U$305,MATCH($A124,Metrics!$U$6:$U$305,0),MATCH(J$5,Metrics!$A$5:$U$5,0)))</f>
        <v/>
      </c>
      <c r="K124" s="10">
        <f>IF($A124="","",INDEX(Metrics!$A$6:$U$305,MATCH($A124,Metrics!$U$6:$U$305,0),MATCH(K$5,Metrics!$A$5:$U$5,0)))</f>
        <v>119</v>
      </c>
      <c r="L124">
        <f>IF($A124="","",INDEX(Metrics!$A$6:$U$305,MATCH($A124,Metrics!$U$6:$U$305,0),MATCH(L$5,Metrics!$A$5:$U$5,0)))</f>
        <v>119</v>
      </c>
      <c r="M124">
        <f>IF($A124="","",INDEX(Metrics!$A$6:$U$305,MATCH($A124,Metrics!$U$6:$U$305,0),MATCH(M$5,Metrics!$A$5:$U$5,0)))</f>
        <v>119</v>
      </c>
      <c r="N124">
        <f>IF($A124="","",INDEX(Metrics!$A$6:$U$305,MATCH($A124,Metrics!$U$6:$U$305,0),MATCH(N$5,Metrics!$A$5:$U$5,0)))</f>
        <v>119</v>
      </c>
      <c r="O124">
        <f>IF($A124="","",INDEX(Metrics!$A$6:$U$305,MATCH($A124,Metrics!$U$6:$U$305,0),MATCH(O$5,Metrics!$A$5:$U$5,0)))</f>
        <v>119</v>
      </c>
      <c r="P124">
        <f>IF($A124="","",INDEX(Metrics!$A$6:$U$305,MATCH($A124,Metrics!$U$6:$U$305,0),MATCH(P$5,Metrics!$A$5:$U$5,0)))</f>
        <v>119</v>
      </c>
    </row>
    <row r="125" spans="1:16" x14ac:dyDescent="0.4">
      <c r="A125" t="str">
        <f t="shared" si="1"/>
        <v/>
      </c>
      <c r="B125" t="str">
        <f>IF($A125="","",INDEX(Metrics!$A$6:$U$305,MATCH($A125,Metrics!$U$6:$U$305,0),MATCH(B$5,Metrics!$A$5:$U$5,0)))</f>
        <v/>
      </c>
      <c r="C125" t="str">
        <f>IF($A125="","",INDEX(Metrics!$A$6:$U$305,MATCH($A125,Metrics!$U$6:$U$305,0),MATCH(C$5,Metrics!$A$5:$U$5,0)))</f>
        <v/>
      </c>
      <c r="D125" t="str">
        <f>IF($A125="","",INDEX(Metrics!$A$6:$U$305,MATCH($A125,Metrics!$U$6:$U$305,0),MATCH(D$5,Metrics!$A$5:$U$5,0)))</f>
        <v/>
      </c>
      <c r="E125" s="14" t="str">
        <f>IF($A125="","",INDEX(Metrics!$A$6:$U$305,MATCH($A125,Metrics!$U$6:$U$305,0),MATCH(E$5,Metrics!$A$5:$U$5,0)))</f>
        <v/>
      </c>
      <c r="F125" s="7" t="str">
        <f>IF($A125="","",INDEX(Metrics!$A$6:$U$305,MATCH($A125,Metrics!$U$6:$U$305,0),MATCH(F$5,Metrics!$A$5:$U$5,0)))</f>
        <v/>
      </c>
      <c r="G125" s="9" t="str">
        <f>IF($A125="","",INDEX(Metrics!$A$6:$U$305,MATCH($A125,Metrics!$U$6:$U$305,0),MATCH(G$5,Metrics!$A$5:$U$5,0)))</f>
        <v/>
      </c>
      <c r="H125" s="9" t="str">
        <f>IF($A125="","",INDEX(Metrics!$A$6:$U$305,MATCH($A125,Metrics!$U$6:$U$305,0),MATCH(H$5,Metrics!$A$5:$U$5,0)))</f>
        <v/>
      </c>
      <c r="I125" s="7" t="str">
        <f>IF($A125="","",INDEX(Metrics!$A$6:$U$305,MATCH($A125,Metrics!$U$6:$U$305,0),MATCH(I$5,Metrics!$A$5:$U$5,0)))</f>
        <v/>
      </c>
      <c r="J125" s="9" t="str">
        <f>IF($A125="","",INDEX(Metrics!$A$6:$U$305,MATCH($A125,Metrics!$U$6:$U$305,0),MATCH(J$5,Metrics!$A$5:$U$5,0)))</f>
        <v/>
      </c>
      <c r="K125" s="10" t="str">
        <f>IF($A125="","",INDEX(Metrics!$A$6:$U$305,MATCH($A125,Metrics!$U$6:$U$305,0),MATCH(K$5,Metrics!$A$5:$U$5,0)))</f>
        <v/>
      </c>
      <c r="L125" t="str">
        <f>IF($A125="","",INDEX(Metrics!$A$6:$U$305,MATCH($A125,Metrics!$U$6:$U$305,0),MATCH(L$5,Metrics!$A$5:$U$5,0)))</f>
        <v/>
      </c>
      <c r="M125" t="str">
        <f>IF($A125="","",INDEX(Metrics!$A$6:$U$305,MATCH($A125,Metrics!$U$6:$U$305,0),MATCH(M$5,Metrics!$A$5:$U$5,0)))</f>
        <v/>
      </c>
      <c r="N125" t="str">
        <f>IF($A125="","",INDEX(Metrics!$A$6:$U$305,MATCH($A125,Metrics!$U$6:$U$305,0),MATCH(N$5,Metrics!$A$5:$U$5,0)))</f>
        <v/>
      </c>
      <c r="O125" t="str">
        <f>IF($A125="","",INDEX(Metrics!$A$6:$U$305,MATCH($A125,Metrics!$U$6:$U$305,0),MATCH(O$5,Metrics!$A$5:$U$5,0)))</f>
        <v/>
      </c>
      <c r="P125" t="str">
        <f>IF($A125="","",INDEX(Metrics!$A$6:$U$305,MATCH($A125,Metrics!$U$6:$U$305,0),MATCH(P$5,Metrics!$A$5:$U$5,0)))</f>
        <v/>
      </c>
    </row>
    <row r="126" spans="1:16" x14ac:dyDescent="0.4">
      <c r="A126" t="str">
        <f t="shared" si="1"/>
        <v/>
      </c>
      <c r="B126" t="str">
        <f>IF($A126="","",INDEX(Metrics!$A$6:$U$305,MATCH($A126,Metrics!$U$6:$U$305,0),MATCH(B$5,Metrics!$A$5:$U$5,0)))</f>
        <v/>
      </c>
      <c r="C126" t="str">
        <f>IF($A126="","",INDEX(Metrics!$A$6:$U$305,MATCH($A126,Metrics!$U$6:$U$305,0),MATCH(C$5,Metrics!$A$5:$U$5,0)))</f>
        <v/>
      </c>
      <c r="D126" t="str">
        <f>IF($A126="","",INDEX(Metrics!$A$6:$U$305,MATCH($A126,Metrics!$U$6:$U$305,0),MATCH(D$5,Metrics!$A$5:$U$5,0)))</f>
        <v/>
      </c>
      <c r="E126" s="14" t="str">
        <f>IF($A126="","",INDEX(Metrics!$A$6:$U$305,MATCH($A126,Metrics!$U$6:$U$305,0),MATCH(E$5,Metrics!$A$5:$U$5,0)))</f>
        <v/>
      </c>
      <c r="F126" s="7" t="str">
        <f>IF($A126="","",INDEX(Metrics!$A$6:$U$305,MATCH($A126,Metrics!$U$6:$U$305,0),MATCH(F$5,Metrics!$A$5:$U$5,0)))</f>
        <v/>
      </c>
      <c r="G126" s="9" t="str">
        <f>IF($A126="","",INDEX(Metrics!$A$6:$U$305,MATCH($A126,Metrics!$U$6:$U$305,0),MATCH(G$5,Metrics!$A$5:$U$5,0)))</f>
        <v/>
      </c>
      <c r="H126" s="9" t="str">
        <f>IF($A126="","",INDEX(Metrics!$A$6:$U$305,MATCH($A126,Metrics!$U$6:$U$305,0),MATCH(H$5,Metrics!$A$5:$U$5,0)))</f>
        <v/>
      </c>
      <c r="I126" s="7" t="str">
        <f>IF($A126="","",INDEX(Metrics!$A$6:$U$305,MATCH($A126,Metrics!$U$6:$U$305,0),MATCH(I$5,Metrics!$A$5:$U$5,0)))</f>
        <v/>
      </c>
      <c r="J126" s="9" t="str">
        <f>IF($A126="","",INDEX(Metrics!$A$6:$U$305,MATCH($A126,Metrics!$U$6:$U$305,0),MATCH(J$5,Metrics!$A$5:$U$5,0)))</f>
        <v/>
      </c>
      <c r="K126" s="10" t="str">
        <f>IF($A126="","",INDEX(Metrics!$A$6:$U$305,MATCH($A126,Metrics!$U$6:$U$305,0),MATCH(K$5,Metrics!$A$5:$U$5,0)))</f>
        <v/>
      </c>
      <c r="L126" t="str">
        <f>IF($A126="","",INDEX(Metrics!$A$6:$U$305,MATCH($A126,Metrics!$U$6:$U$305,0),MATCH(L$5,Metrics!$A$5:$U$5,0)))</f>
        <v/>
      </c>
      <c r="M126" t="str">
        <f>IF($A126="","",INDEX(Metrics!$A$6:$U$305,MATCH($A126,Metrics!$U$6:$U$305,0),MATCH(M$5,Metrics!$A$5:$U$5,0)))</f>
        <v/>
      </c>
      <c r="N126" t="str">
        <f>IF($A126="","",INDEX(Metrics!$A$6:$U$305,MATCH($A126,Metrics!$U$6:$U$305,0),MATCH(N$5,Metrics!$A$5:$U$5,0)))</f>
        <v/>
      </c>
      <c r="O126" t="str">
        <f>IF($A126="","",INDEX(Metrics!$A$6:$U$305,MATCH($A126,Metrics!$U$6:$U$305,0),MATCH(O$5,Metrics!$A$5:$U$5,0)))</f>
        <v/>
      </c>
      <c r="P126" t="str">
        <f>IF($A126="","",INDEX(Metrics!$A$6:$U$305,MATCH($A126,Metrics!$U$6:$U$305,0),MATCH(P$5,Metrics!$A$5:$U$5,0)))</f>
        <v/>
      </c>
    </row>
    <row r="127" spans="1:16" x14ac:dyDescent="0.4">
      <c r="A127" t="str">
        <f t="shared" si="1"/>
        <v/>
      </c>
      <c r="B127" t="str">
        <f>IF($A127="","",INDEX(Metrics!$A$6:$U$305,MATCH($A127,Metrics!$U$6:$U$305,0),MATCH(B$5,Metrics!$A$5:$U$5,0)))</f>
        <v/>
      </c>
      <c r="C127" t="str">
        <f>IF($A127="","",INDEX(Metrics!$A$6:$U$305,MATCH($A127,Metrics!$U$6:$U$305,0),MATCH(C$5,Metrics!$A$5:$U$5,0)))</f>
        <v/>
      </c>
      <c r="D127" t="str">
        <f>IF($A127="","",INDEX(Metrics!$A$6:$U$305,MATCH($A127,Metrics!$U$6:$U$305,0),MATCH(D$5,Metrics!$A$5:$U$5,0)))</f>
        <v/>
      </c>
      <c r="E127" s="14" t="str">
        <f>IF($A127="","",INDEX(Metrics!$A$6:$U$305,MATCH($A127,Metrics!$U$6:$U$305,0),MATCH(E$5,Metrics!$A$5:$U$5,0)))</f>
        <v/>
      </c>
      <c r="F127" s="7" t="str">
        <f>IF($A127="","",INDEX(Metrics!$A$6:$U$305,MATCH($A127,Metrics!$U$6:$U$305,0),MATCH(F$5,Metrics!$A$5:$U$5,0)))</f>
        <v/>
      </c>
      <c r="G127" s="9" t="str">
        <f>IF($A127="","",INDEX(Metrics!$A$6:$U$305,MATCH($A127,Metrics!$U$6:$U$305,0),MATCH(G$5,Metrics!$A$5:$U$5,0)))</f>
        <v/>
      </c>
      <c r="H127" s="9" t="str">
        <f>IF($A127="","",INDEX(Metrics!$A$6:$U$305,MATCH($A127,Metrics!$U$6:$U$305,0),MATCH(H$5,Metrics!$A$5:$U$5,0)))</f>
        <v/>
      </c>
      <c r="I127" s="7" t="str">
        <f>IF($A127="","",INDEX(Metrics!$A$6:$U$305,MATCH($A127,Metrics!$U$6:$U$305,0),MATCH(I$5,Metrics!$A$5:$U$5,0)))</f>
        <v/>
      </c>
      <c r="J127" s="9" t="str">
        <f>IF($A127="","",INDEX(Metrics!$A$6:$U$305,MATCH($A127,Metrics!$U$6:$U$305,0),MATCH(J$5,Metrics!$A$5:$U$5,0)))</f>
        <v/>
      </c>
      <c r="K127" s="10" t="str">
        <f>IF($A127="","",INDEX(Metrics!$A$6:$U$305,MATCH($A127,Metrics!$U$6:$U$305,0),MATCH(K$5,Metrics!$A$5:$U$5,0)))</f>
        <v/>
      </c>
      <c r="L127" t="str">
        <f>IF($A127="","",INDEX(Metrics!$A$6:$U$305,MATCH($A127,Metrics!$U$6:$U$305,0),MATCH(L$5,Metrics!$A$5:$U$5,0)))</f>
        <v/>
      </c>
      <c r="M127" t="str">
        <f>IF($A127="","",INDEX(Metrics!$A$6:$U$305,MATCH($A127,Metrics!$U$6:$U$305,0),MATCH(M$5,Metrics!$A$5:$U$5,0)))</f>
        <v/>
      </c>
      <c r="N127" t="str">
        <f>IF($A127="","",INDEX(Metrics!$A$6:$U$305,MATCH($A127,Metrics!$U$6:$U$305,0),MATCH(N$5,Metrics!$A$5:$U$5,0)))</f>
        <v/>
      </c>
      <c r="O127" t="str">
        <f>IF($A127="","",INDEX(Metrics!$A$6:$U$305,MATCH($A127,Metrics!$U$6:$U$305,0),MATCH(O$5,Metrics!$A$5:$U$5,0)))</f>
        <v/>
      </c>
      <c r="P127" t="str">
        <f>IF($A127="","",INDEX(Metrics!$A$6:$U$305,MATCH($A127,Metrics!$U$6:$U$305,0),MATCH(P$5,Metrics!$A$5:$U$5,0)))</f>
        <v/>
      </c>
    </row>
    <row r="128" spans="1:16" x14ac:dyDescent="0.4">
      <c r="A128" t="str">
        <f t="shared" si="1"/>
        <v/>
      </c>
      <c r="B128" t="str">
        <f>IF($A128="","",INDEX(Metrics!$A$6:$U$305,MATCH($A128,Metrics!$U$6:$U$305,0),MATCH(B$5,Metrics!$A$5:$U$5,0)))</f>
        <v/>
      </c>
      <c r="C128" t="str">
        <f>IF($A128="","",INDEX(Metrics!$A$6:$U$305,MATCH($A128,Metrics!$U$6:$U$305,0),MATCH(C$5,Metrics!$A$5:$U$5,0)))</f>
        <v/>
      </c>
      <c r="D128" t="str">
        <f>IF($A128="","",INDEX(Metrics!$A$6:$U$305,MATCH($A128,Metrics!$U$6:$U$305,0),MATCH(D$5,Metrics!$A$5:$U$5,0)))</f>
        <v/>
      </c>
      <c r="E128" s="14" t="str">
        <f>IF($A128="","",INDEX(Metrics!$A$6:$U$305,MATCH($A128,Metrics!$U$6:$U$305,0),MATCH(E$5,Metrics!$A$5:$U$5,0)))</f>
        <v/>
      </c>
      <c r="F128" s="7" t="str">
        <f>IF($A128="","",INDEX(Metrics!$A$6:$U$305,MATCH($A128,Metrics!$U$6:$U$305,0),MATCH(F$5,Metrics!$A$5:$U$5,0)))</f>
        <v/>
      </c>
      <c r="G128" s="9" t="str">
        <f>IF($A128="","",INDEX(Metrics!$A$6:$U$305,MATCH($A128,Metrics!$U$6:$U$305,0),MATCH(G$5,Metrics!$A$5:$U$5,0)))</f>
        <v/>
      </c>
      <c r="H128" s="9" t="str">
        <f>IF($A128="","",INDEX(Metrics!$A$6:$U$305,MATCH($A128,Metrics!$U$6:$U$305,0),MATCH(H$5,Metrics!$A$5:$U$5,0)))</f>
        <v/>
      </c>
      <c r="I128" s="7" t="str">
        <f>IF($A128="","",INDEX(Metrics!$A$6:$U$305,MATCH($A128,Metrics!$U$6:$U$305,0),MATCH(I$5,Metrics!$A$5:$U$5,0)))</f>
        <v/>
      </c>
      <c r="J128" s="9" t="str">
        <f>IF($A128="","",INDEX(Metrics!$A$6:$U$305,MATCH($A128,Metrics!$U$6:$U$305,0),MATCH(J$5,Metrics!$A$5:$U$5,0)))</f>
        <v/>
      </c>
      <c r="K128" s="10" t="str">
        <f>IF($A128="","",INDEX(Metrics!$A$6:$U$305,MATCH($A128,Metrics!$U$6:$U$305,0),MATCH(K$5,Metrics!$A$5:$U$5,0)))</f>
        <v/>
      </c>
      <c r="L128" t="str">
        <f>IF($A128="","",INDEX(Metrics!$A$6:$U$305,MATCH($A128,Metrics!$U$6:$U$305,0),MATCH(L$5,Metrics!$A$5:$U$5,0)))</f>
        <v/>
      </c>
      <c r="M128" t="str">
        <f>IF($A128="","",INDEX(Metrics!$A$6:$U$305,MATCH($A128,Metrics!$U$6:$U$305,0),MATCH(M$5,Metrics!$A$5:$U$5,0)))</f>
        <v/>
      </c>
      <c r="N128" t="str">
        <f>IF($A128="","",INDEX(Metrics!$A$6:$U$305,MATCH($A128,Metrics!$U$6:$U$305,0),MATCH(N$5,Metrics!$A$5:$U$5,0)))</f>
        <v/>
      </c>
      <c r="O128" t="str">
        <f>IF($A128="","",INDEX(Metrics!$A$6:$U$305,MATCH($A128,Metrics!$U$6:$U$305,0),MATCH(O$5,Metrics!$A$5:$U$5,0)))</f>
        <v/>
      </c>
      <c r="P128" t="str">
        <f>IF($A128="","",INDEX(Metrics!$A$6:$U$305,MATCH($A128,Metrics!$U$6:$U$305,0),MATCH(P$5,Metrics!$A$5:$U$5,0)))</f>
        <v/>
      </c>
    </row>
    <row r="129" spans="1:16" x14ac:dyDescent="0.4">
      <c r="A129" t="str">
        <f t="shared" si="1"/>
        <v/>
      </c>
      <c r="B129" t="str">
        <f>IF($A129="","",INDEX(Metrics!$A$6:$U$305,MATCH($A129,Metrics!$U$6:$U$305,0),MATCH(B$5,Metrics!$A$5:$U$5,0)))</f>
        <v/>
      </c>
      <c r="C129" t="str">
        <f>IF($A129="","",INDEX(Metrics!$A$6:$U$305,MATCH($A129,Metrics!$U$6:$U$305,0),MATCH(C$5,Metrics!$A$5:$U$5,0)))</f>
        <v/>
      </c>
      <c r="D129" t="str">
        <f>IF($A129="","",INDEX(Metrics!$A$6:$U$305,MATCH($A129,Metrics!$U$6:$U$305,0),MATCH(D$5,Metrics!$A$5:$U$5,0)))</f>
        <v/>
      </c>
      <c r="E129" s="14" t="str">
        <f>IF($A129="","",INDEX(Metrics!$A$6:$U$305,MATCH($A129,Metrics!$U$6:$U$305,0),MATCH(E$5,Metrics!$A$5:$U$5,0)))</f>
        <v/>
      </c>
      <c r="F129" s="7" t="str">
        <f>IF($A129="","",INDEX(Metrics!$A$6:$U$305,MATCH($A129,Metrics!$U$6:$U$305,0),MATCH(F$5,Metrics!$A$5:$U$5,0)))</f>
        <v/>
      </c>
      <c r="G129" s="9" t="str">
        <f>IF($A129="","",INDEX(Metrics!$A$6:$U$305,MATCH($A129,Metrics!$U$6:$U$305,0),MATCH(G$5,Metrics!$A$5:$U$5,0)))</f>
        <v/>
      </c>
      <c r="H129" s="9" t="str">
        <f>IF($A129="","",INDEX(Metrics!$A$6:$U$305,MATCH($A129,Metrics!$U$6:$U$305,0),MATCH(H$5,Metrics!$A$5:$U$5,0)))</f>
        <v/>
      </c>
      <c r="I129" s="7" t="str">
        <f>IF($A129="","",INDEX(Metrics!$A$6:$U$305,MATCH($A129,Metrics!$U$6:$U$305,0),MATCH(I$5,Metrics!$A$5:$U$5,0)))</f>
        <v/>
      </c>
      <c r="J129" s="9" t="str">
        <f>IF($A129="","",INDEX(Metrics!$A$6:$U$305,MATCH($A129,Metrics!$U$6:$U$305,0),MATCH(J$5,Metrics!$A$5:$U$5,0)))</f>
        <v/>
      </c>
      <c r="K129" s="10" t="str">
        <f>IF($A129="","",INDEX(Metrics!$A$6:$U$305,MATCH($A129,Metrics!$U$6:$U$305,0),MATCH(K$5,Metrics!$A$5:$U$5,0)))</f>
        <v/>
      </c>
      <c r="L129" t="str">
        <f>IF($A129="","",INDEX(Metrics!$A$6:$U$305,MATCH($A129,Metrics!$U$6:$U$305,0),MATCH(L$5,Metrics!$A$5:$U$5,0)))</f>
        <v/>
      </c>
      <c r="M129" t="str">
        <f>IF($A129="","",INDEX(Metrics!$A$6:$U$305,MATCH($A129,Metrics!$U$6:$U$305,0),MATCH(M$5,Metrics!$A$5:$U$5,0)))</f>
        <v/>
      </c>
      <c r="N129" t="str">
        <f>IF($A129="","",INDEX(Metrics!$A$6:$U$305,MATCH($A129,Metrics!$U$6:$U$305,0),MATCH(N$5,Metrics!$A$5:$U$5,0)))</f>
        <v/>
      </c>
      <c r="O129" t="str">
        <f>IF($A129="","",INDEX(Metrics!$A$6:$U$305,MATCH($A129,Metrics!$U$6:$U$305,0),MATCH(O$5,Metrics!$A$5:$U$5,0)))</f>
        <v/>
      </c>
      <c r="P129" t="str">
        <f>IF($A129="","",INDEX(Metrics!$A$6:$U$305,MATCH($A129,Metrics!$U$6:$U$305,0),MATCH(P$5,Metrics!$A$5:$U$5,0)))</f>
        <v/>
      </c>
    </row>
    <row r="130" spans="1:16" x14ac:dyDescent="0.4">
      <c r="A130" t="str">
        <f t="shared" si="1"/>
        <v/>
      </c>
      <c r="B130" t="str">
        <f>IF($A130="","",INDEX(Metrics!$A$6:$U$305,MATCH($A130,Metrics!$U$6:$U$305,0),MATCH(B$5,Metrics!$A$5:$U$5,0)))</f>
        <v/>
      </c>
      <c r="C130" t="str">
        <f>IF($A130="","",INDEX(Metrics!$A$6:$U$305,MATCH($A130,Metrics!$U$6:$U$305,0),MATCH(C$5,Metrics!$A$5:$U$5,0)))</f>
        <v/>
      </c>
      <c r="D130" t="str">
        <f>IF($A130="","",INDEX(Metrics!$A$6:$U$305,MATCH($A130,Metrics!$U$6:$U$305,0),MATCH(D$5,Metrics!$A$5:$U$5,0)))</f>
        <v/>
      </c>
      <c r="E130" s="14" t="str">
        <f>IF($A130="","",INDEX(Metrics!$A$6:$U$305,MATCH($A130,Metrics!$U$6:$U$305,0),MATCH(E$5,Metrics!$A$5:$U$5,0)))</f>
        <v/>
      </c>
      <c r="F130" s="7" t="str">
        <f>IF($A130="","",INDEX(Metrics!$A$6:$U$305,MATCH($A130,Metrics!$U$6:$U$305,0),MATCH(F$5,Metrics!$A$5:$U$5,0)))</f>
        <v/>
      </c>
      <c r="G130" s="9" t="str">
        <f>IF($A130="","",INDEX(Metrics!$A$6:$U$305,MATCH($A130,Metrics!$U$6:$U$305,0),MATCH(G$5,Metrics!$A$5:$U$5,0)))</f>
        <v/>
      </c>
      <c r="H130" s="9" t="str">
        <f>IF($A130="","",INDEX(Metrics!$A$6:$U$305,MATCH($A130,Metrics!$U$6:$U$305,0),MATCH(H$5,Metrics!$A$5:$U$5,0)))</f>
        <v/>
      </c>
      <c r="I130" s="7" t="str">
        <f>IF($A130="","",INDEX(Metrics!$A$6:$U$305,MATCH($A130,Metrics!$U$6:$U$305,0),MATCH(I$5,Metrics!$A$5:$U$5,0)))</f>
        <v/>
      </c>
      <c r="J130" s="9" t="str">
        <f>IF($A130="","",INDEX(Metrics!$A$6:$U$305,MATCH($A130,Metrics!$U$6:$U$305,0),MATCH(J$5,Metrics!$A$5:$U$5,0)))</f>
        <v/>
      </c>
      <c r="K130" s="10" t="str">
        <f>IF($A130="","",INDEX(Metrics!$A$6:$U$305,MATCH($A130,Metrics!$U$6:$U$305,0),MATCH(K$5,Metrics!$A$5:$U$5,0)))</f>
        <v/>
      </c>
      <c r="L130" t="str">
        <f>IF($A130="","",INDEX(Metrics!$A$6:$U$305,MATCH($A130,Metrics!$U$6:$U$305,0),MATCH(L$5,Metrics!$A$5:$U$5,0)))</f>
        <v/>
      </c>
      <c r="M130" t="str">
        <f>IF($A130="","",INDEX(Metrics!$A$6:$U$305,MATCH($A130,Metrics!$U$6:$U$305,0),MATCH(M$5,Metrics!$A$5:$U$5,0)))</f>
        <v/>
      </c>
      <c r="N130" t="str">
        <f>IF($A130="","",INDEX(Metrics!$A$6:$U$305,MATCH($A130,Metrics!$U$6:$U$305,0),MATCH(N$5,Metrics!$A$5:$U$5,0)))</f>
        <v/>
      </c>
      <c r="O130" t="str">
        <f>IF($A130="","",INDEX(Metrics!$A$6:$U$305,MATCH($A130,Metrics!$U$6:$U$305,0),MATCH(O$5,Metrics!$A$5:$U$5,0)))</f>
        <v/>
      </c>
      <c r="P130" t="str">
        <f>IF($A130="","",INDEX(Metrics!$A$6:$U$305,MATCH($A130,Metrics!$U$6:$U$305,0),MATCH(P$5,Metrics!$A$5:$U$5,0)))</f>
        <v/>
      </c>
    </row>
    <row r="131" spans="1:16" x14ac:dyDescent="0.4">
      <c r="A131" t="str">
        <f t="shared" si="1"/>
        <v/>
      </c>
      <c r="B131" t="str">
        <f>IF($A131="","",INDEX(Metrics!$A$6:$U$305,MATCH($A131,Metrics!$U$6:$U$305,0),MATCH(B$5,Metrics!$A$5:$U$5,0)))</f>
        <v/>
      </c>
      <c r="C131" t="str">
        <f>IF($A131="","",INDEX(Metrics!$A$6:$U$305,MATCH($A131,Metrics!$U$6:$U$305,0),MATCH(C$5,Metrics!$A$5:$U$5,0)))</f>
        <v/>
      </c>
      <c r="D131" t="str">
        <f>IF($A131="","",INDEX(Metrics!$A$6:$U$305,MATCH($A131,Metrics!$U$6:$U$305,0),MATCH(D$5,Metrics!$A$5:$U$5,0)))</f>
        <v/>
      </c>
      <c r="E131" s="14" t="str">
        <f>IF($A131="","",INDEX(Metrics!$A$6:$U$305,MATCH($A131,Metrics!$U$6:$U$305,0),MATCH(E$5,Metrics!$A$5:$U$5,0)))</f>
        <v/>
      </c>
      <c r="F131" s="7" t="str">
        <f>IF($A131="","",INDEX(Metrics!$A$6:$U$305,MATCH($A131,Metrics!$U$6:$U$305,0),MATCH(F$5,Metrics!$A$5:$U$5,0)))</f>
        <v/>
      </c>
      <c r="G131" s="9" t="str">
        <f>IF($A131="","",INDEX(Metrics!$A$6:$U$305,MATCH($A131,Metrics!$U$6:$U$305,0),MATCH(G$5,Metrics!$A$5:$U$5,0)))</f>
        <v/>
      </c>
      <c r="H131" s="9" t="str">
        <f>IF($A131="","",INDEX(Metrics!$A$6:$U$305,MATCH($A131,Metrics!$U$6:$U$305,0),MATCH(H$5,Metrics!$A$5:$U$5,0)))</f>
        <v/>
      </c>
      <c r="I131" s="7" t="str">
        <f>IF($A131="","",INDEX(Metrics!$A$6:$U$305,MATCH($A131,Metrics!$U$6:$U$305,0),MATCH(I$5,Metrics!$A$5:$U$5,0)))</f>
        <v/>
      </c>
      <c r="J131" s="9" t="str">
        <f>IF($A131="","",INDEX(Metrics!$A$6:$U$305,MATCH($A131,Metrics!$U$6:$U$305,0),MATCH(J$5,Metrics!$A$5:$U$5,0)))</f>
        <v/>
      </c>
      <c r="K131" s="10" t="str">
        <f>IF($A131="","",INDEX(Metrics!$A$6:$U$305,MATCH($A131,Metrics!$U$6:$U$305,0),MATCH(K$5,Metrics!$A$5:$U$5,0)))</f>
        <v/>
      </c>
      <c r="L131" t="str">
        <f>IF($A131="","",INDEX(Metrics!$A$6:$U$305,MATCH($A131,Metrics!$U$6:$U$305,0),MATCH(L$5,Metrics!$A$5:$U$5,0)))</f>
        <v/>
      </c>
      <c r="M131" t="str">
        <f>IF($A131="","",INDEX(Metrics!$A$6:$U$305,MATCH($A131,Metrics!$U$6:$U$305,0),MATCH(M$5,Metrics!$A$5:$U$5,0)))</f>
        <v/>
      </c>
      <c r="N131" t="str">
        <f>IF($A131="","",INDEX(Metrics!$A$6:$U$305,MATCH($A131,Metrics!$U$6:$U$305,0),MATCH(N$5,Metrics!$A$5:$U$5,0)))</f>
        <v/>
      </c>
      <c r="O131" t="str">
        <f>IF($A131="","",INDEX(Metrics!$A$6:$U$305,MATCH($A131,Metrics!$U$6:$U$305,0),MATCH(O$5,Metrics!$A$5:$U$5,0)))</f>
        <v/>
      </c>
      <c r="P131" t="str">
        <f>IF($A131="","",INDEX(Metrics!$A$6:$U$305,MATCH($A131,Metrics!$U$6:$U$305,0),MATCH(P$5,Metrics!$A$5:$U$5,0)))</f>
        <v/>
      </c>
    </row>
    <row r="132" spans="1:16" x14ac:dyDescent="0.4">
      <c r="A132" t="str">
        <f t="shared" si="1"/>
        <v/>
      </c>
      <c r="B132" t="str">
        <f>IF($A132="","",INDEX(Metrics!$A$6:$U$305,MATCH($A132,Metrics!$U$6:$U$305,0),MATCH(B$5,Metrics!$A$5:$U$5,0)))</f>
        <v/>
      </c>
      <c r="C132" t="str">
        <f>IF($A132="","",INDEX(Metrics!$A$6:$U$305,MATCH($A132,Metrics!$U$6:$U$305,0),MATCH(C$5,Metrics!$A$5:$U$5,0)))</f>
        <v/>
      </c>
      <c r="D132" t="str">
        <f>IF($A132="","",INDEX(Metrics!$A$6:$U$305,MATCH($A132,Metrics!$U$6:$U$305,0),MATCH(D$5,Metrics!$A$5:$U$5,0)))</f>
        <v/>
      </c>
      <c r="E132" s="14" t="str">
        <f>IF($A132="","",INDEX(Metrics!$A$6:$U$305,MATCH($A132,Metrics!$U$6:$U$305,0),MATCH(E$5,Metrics!$A$5:$U$5,0)))</f>
        <v/>
      </c>
      <c r="F132" s="7" t="str">
        <f>IF($A132="","",INDEX(Metrics!$A$6:$U$305,MATCH($A132,Metrics!$U$6:$U$305,0),MATCH(F$5,Metrics!$A$5:$U$5,0)))</f>
        <v/>
      </c>
      <c r="G132" s="9" t="str">
        <f>IF($A132="","",INDEX(Metrics!$A$6:$U$305,MATCH($A132,Metrics!$U$6:$U$305,0),MATCH(G$5,Metrics!$A$5:$U$5,0)))</f>
        <v/>
      </c>
      <c r="H132" s="9" t="str">
        <f>IF($A132="","",INDEX(Metrics!$A$6:$U$305,MATCH($A132,Metrics!$U$6:$U$305,0),MATCH(H$5,Metrics!$A$5:$U$5,0)))</f>
        <v/>
      </c>
      <c r="I132" s="7" t="str">
        <f>IF($A132="","",INDEX(Metrics!$A$6:$U$305,MATCH($A132,Metrics!$U$6:$U$305,0),MATCH(I$5,Metrics!$A$5:$U$5,0)))</f>
        <v/>
      </c>
      <c r="J132" s="9" t="str">
        <f>IF($A132="","",INDEX(Metrics!$A$6:$U$305,MATCH($A132,Metrics!$U$6:$U$305,0),MATCH(J$5,Metrics!$A$5:$U$5,0)))</f>
        <v/>
      </c>
      <c r="K132" s="10" t="str">
        <f>IF($A132="","",INDEX(Metrics!$A$6:$U$305,MATCH($A132,Metrics!$U$6:$U$305,0),MATCH(K$5,Metrics!$A$5:$U$5,0)))</f>
        <v/>
      </c>
      <c r="L132" t="str">
        <f>IF($A132="","",INDEX(Metrics!$A$6:$U$305,MATCH($A132,Metrics!$U$6:$U$305,0),MATCH(L$5,Metrics!$A$5:$U$5,0)))</f>
        <v/>
      </c>
      <c r="M132" t="str">
        <f>IF($A132="","",INDEX(Metrics!$A$6:$U$305,MATCH($A132,Metrics!$U$6:$U$305,0),MATCH(M$5,Metrics!$A$5:$U$5,0)))</f>
        <v/>
      </c>
      <c r="N132" t="str">
        <f>IF($A132="","",INDEX(Metrics!$A$6:$U$305,MATCH($A132,Metrics!$U$6:$U$305,0),MATCH(N$5,Metrics!$A$5:$U$5,0)))</f>
        <v/>
      </c>
      <c r="O132" t="str">
        <f>IF($A132="","",INDEX(Metrics!$A$6:$U$305,MATCH($A132,Metrics!$U$6:$U$305,0),MATCH(O$5,Metrics!$A$5:$U$5,0)))</f>
        <v/>
      </c>
      <c r="P132" t="str">
        <f>IF($A132="","",INDEX(Metrics!$A$6:$U$305,MATCH($A132,Metrics!$U$6:$U$305,0),MATCH(P$5,Metrics!$A$5:$U$5,0)))</f>
        <v/>
      </c>
    </row>
    <row r="133" spans="1:16" x14ac:dyDescent="0.4">
      <c r="A133" t="str">
        <f t="shared" si="1"/>
        <v/>
      </c>
      <c r="B133" t="str">
        <f>IF($A133="","",INDEX(Metrics!$A$6:$U$305,MATCH($A133,Metrics!$U$6:$U$305,0),MATCH(B$5,Metrics!$A$5:$U$5,0)))</f>
        <v/>
      </c>
      <c r="C133" t="str">
        <f>IF($A133="","",INDEX(Metrics!$A$6:$U$305,MATCH($A133,Metrics!$U$6:$U$305,0),MATCH(C$5,Metrics!$A$5:$U$5,0)))</f>
        <v/>
      </c>
      <c r="D133" t="str">
        <f>IF($A133="","",INDEX(Metrics!$A$6:$U$305,MATCH($A133,Metrics!$U$6:$U$305,0),MATCH(D$5,Metrics!$A$5:$U$5,0)))</f>
        <v/>
      </c>
      <c r="E133" s="14" t="str">
        <f>IF($A133="","",INDEX(Metrics!$A$6:$U$305,MATCH($A133,Metrics!$U$6:$U$305,0),MATCH(E$5,Metrics!$A$5:$U$5,0)))</f>
        <v/>
      </c>
      <c r="F133" s="7" t="str">
        <f>IF($A133="","",INDEX(Metrics!$A$6:$U$305,MATCH($A133,Metrics!$U$6:$U$305,0),MATCH(F$5,Metrics!$A$5:$U$5,0)))</f>
        <v/>
      </c>
      <c r="G133" s="9" t="str">
        <f>IF($A133="","",INDEX(Metrics!$A$6:$U$305,MATCH($A133,Metrics!$U$6:$U$305,0),MATCH(G$5,Metrics!$A$5:$U$5,0)))</f>
        <v/>
      </c>
      <c r="H133" s="9" t="str">
        <f>IF($A133="","",INDEX(Metrics!$A$6:$U$305,MATCH($A133,Metrics!$U$6:$U$305,0),MATCH(H$5,Metrics!$A$5:$U$5,0)))</f>
        <v/>
      </c>
      <c r="I133" s="7" t="str">
        <f>IF($A133="","",INDEX(Metrics!$A$6:$U$305,MATCH($A133,Metrics!$U$6:$U$305,0),MATCH(I$5,Metrics!$A$5:$U$5,0)))</f>
        <v/>
      </c>
      <c r="J133" s="9" t="str">
        <f>IF($A133="","",INDEX(Metrics!$A$6:$U$305,MATCH($A133,Metrics!$U$6:$U$305,0),MATCH(J$5,Metrics!$A$5:$U$5,0)))</f>
        <v/>
      </c>
      <c r="K133" s="10" t="str">
        <f>IF($A133="","",INDEX(Metrics!$A$6:$U$305,MATCH($A133,Metrics!$U$6:$U$305,0),MATCH(K$5,Metrics!$A$5:$U$5,0)))</f>
        <v/>
      </c>
      <c r="L133" t="str">
        <f>IF($A133="","",INDEX(Metrics!$A$6:$U$305,MATCH($A133,Metrics!$U$6:$U$305,0),MATCH(L$5,Metrics!$A$5:$U$5,0)))</f>
        <v/>
      </c>
      <c r="M133" t="str">
        <f>IF($A133="","",INDEX(Metrics!$A$6:$U$305,MATCH($A133,Metrics!$U$6:$U$305,0),MATCH(M$5,Metrics!$A$5:$U$5,0)))</f>
        <v/>
      </c>
      <c r="N133" t="str">
        <f>IF($A133="","",INDEX(Metrics!$A$6:$U$305,MATCH($A133,Metrics!$U$6:$U$305,0),MATCH(N$5,Metrics!$A$5:$U$5,0)))</f>
        <v/>
      </c>
      <c r="O133" t="str">
        <f>IF($A133="","",INDEX(Metrics!$A$6:$U$305,MATCH($A133,Metrics!$U$6:$U$305,0),MATCH(O$5,Metrics!$A$5:$U$5,0)))</f>
        <v/>
      </c>
      <c r="P133" t="str">
        <f>IF($A133="","",INDEX(Metrics!$A$6:$U$305,MATCH($A133,Metrics!$U$6:$U$305,0),MATCH(P$5,Metrics!$A$5:$U$5,0)))</f>
        <v/>
      </c>
    </row>
    <row r="134" spans="1:16" x14ac:dyDescent="0.4">
      <c r="A134" t="str">
        <f t="shared" si="1"/>
        <v/>
      </c>
      <c r="B134" t="str">
        <f>IF($A134="","",INDEX(Metrics!$A$6:$U$305,MATCH($A134,Metrics!$U$6:$U$305,0),MATCH(B$5,Metrics!$A$5:$U$5,0)))</f>
        <v/>
      </c>
      <c r="C134" t="str">
        <f>IF($A134="","",INDEX(Metrics!$A$6:$U$305,MATCH($A134,Metrics!$U$6:$U$305,0),MATCH(C$5,Metrics!$A$5:$U$5,0)))</f>
        <v/>
      </c>
      <c r="D134" t="str">
        <f>IF($A134="","",INDEX(Metrics!$A$6:$U$305,MATCH($A134,Metrics!$U$6:$U$305,0),MATCH(D$5,Metrics!$A$5:$U$5,0)))</f>
        <v/>
      </c>
      <c r="E134" s="14" t="str">
        <f>IF($A134="","",INDEX(Metrics!$A$6:$U$305,MATCH($A134,Metrics!$U$6:$U$305,0),MATCH(E$5,Metrics!$A$5:$U$5,0)))</f>
        <v/>
      </c>
      <c r="F134" s="7" t="str">
        <f>IF($A134="","",INDEX(Metrics!$A$6:$U$305,MATCH($A134,Metrics!$U$6:$U$305,0),MATCH(F$5,Metrics!$A$5:$U$5,0)))</f>
        <v/>
      </c>
      <c r="G134" s="9" t="str">
        <f>IF($A134="","",INDEX(Metrics!$A$6:$U$305,MATCH($A134,Metrics!$U$6:$U$305,0),MATCH(G$5,Metrics!$A$5:$U$5,0)))</f>
        <v/>
      </c>
      <c r="H134" s="9" t="str">
        <f>IF($A134="","",INDEX(Metrics!$A$6:$U$305,MATCH($A134,Metrics!$U$6:$U$305,0),MATCH(H$5,Metrics!$A$5:$U$5,0)))</f>
        <v/>
      </c>
      <c r="I134" s="7" t="str">
        <f>IF($A134="","",INDEX(Metrics!$A$6:$U$305,MATCH($A134,Metrics!$U$6:$U$305,0),MATCH(I$5,Metrics!$A$5:$U$5,0)))</f>
        <v/>
      </c>
      <c r="J134" s="9" t="str">
        <f>IF($A134="","",INDEX(Metrics!$A$6:$U$305,MATCH($A134,Metrics!$U$6:$U$305,0),MATCH(J$5,Metrics!$A$5:$U$5,0)))</f>
        <v/>
      </c>
      <c r="K134" s="10" t="str">
        <f>IF($A134="","",INDEX(Metrics!$A$6:$U$305,MATCH($A134,Metrics!$U$6:$U$305,0),MATCH(K$5,Metrics!$A$5:$U$5,0)))</f>
        <v/>
      </c>
      <c r="L134" t="str">
        <f>IF($A134="","",INDEX(Metrics!$A$6:$U$305,MATCH($A134,Metrics!$U$6:$U$305,0),MATCH(L$5,Metrics!$A$5:$U$5,0)))</f>
        <v/>
      </c>
      <c r="M134" t="str">
        <f>IF($A134="","",INDEX(Metrics!$A$6:$U$305,MATCH($A134,Metrics!$U$6:$U$305,0),MATCH(M$5,Metrics!$A$5:$U$5,0)))</f>
        <v/>
      </c>
      <c r="N134" t="str">
        <f>IF($A134="","",INDEX(Metrics!$A$6:$U$305,MATCH($A134,Metrics!$U$6:$U$305,0),MATCH(N$5,Metrics!$A$5:$U$5,0)))</f>
        <v/>
      </c>
      <c r="O134" t="str">
        <f>IF($A134="","",INDEX(Metrics!$A$6:$U$305,MATCH($A134,Metrics!$U$6:$U$305,0),MATCH(O$5,Metrics!$A$5:$U$5,0)))</f>
        <v/>
      </c>
      <c r="P134" t="str">
        <f>IF($A134="","",INDEX(Metrics!$A$6:$U$305,MATCH($A134,Metrics!$U$6:$U$305,0),MATCH(P$5,Metrics!$A$5:$U$5,0)))</f>
        <v/>
      </c>
    </row>
    <row r="135" spans="1:16" x14ac:dyDescent="0.4">
      <c r="A135" t="str">
        <f t="shared" ref="A135:A198" si="2">IF($A134="","",IF($A134+1&gt;N_Co,"",$A134+1))</f>
        <v/>
      </c>
      <c r="B135" t="str">
        <f>IF($A135="","",INDEX(Metrics!$A$6:$U$305,MATCH($A135,Metrics!$U$6:$U$305,0),MATCH(B$5,Metrics!$A$5:$U$5,0)))</f>
        <v/>
      </c>
      <c r="C135" t="str">
        <f>IF($A135="","",INDEX(Metrics!$A$6:$U$305,MATCH($A135,Metrics!$U$6:$U$305,0),MATCH(C$5,Metrics!$A$5:$U$5,0)))</f>
        <v/>
      </c>
      <c r="D135" t="str">
        <f>IF($A135="","",INDEX(Metrics!$A$6:$U$305,MATCH($A135,Metrics!$U$6:$U$305,0),MATCH(D$5,Metrics!$A$5:$U$5,0)))</f>
        <v/>
      </c>
      <c r="E135" s="14" t="str">
        <f>IF($A135="","",INDEX(Metrics!$A$6:$U$305,MATCH($A135,Metrics!$U$6:$U$305,0),MATCH(E$5,Metrics!$A$5:$U$5,0)))</f>
        <v/>
      </c>
      <c r="F135" s="7" t="str">
        <f>IF($A135="","",INDEX(Metrics!$A$6:$U$305,MATCH($A135,Metrics!$U$6:$U$305,0),MATCH(F$5,Metrics!$A$5:$U$5,0)))</f>
        <v/>
      </c>
      <c r="G135" s="9" t="str">
        <f>IF($A135="","",INDEX(Metrics!$A$6:$U$305,MATCH($A135,Metrics!$U$6:$U$305,0),MATCH(G$5,Metrics!$A$5:$U$5,0)))</f>
        <v/>
      </c>
      <c r="H135" s="9" t="str">
        <f>IF($A135="","",INDEX(Metrics!$A$6:$U$305,MATCH($A135,Metrics!$U$6:$U$305,0),MATCH(H$5,Metrics!$A$5:$U$5,0)))</f>
        <v/>
      </c>
      <c r="I135" s="7" t="str">
        <f>IF($A135="","",INDEX(Metrics!$A$6:$U$305,MATCH($A135,Metrics!$U$6:$U$305,0),MATCH(I$5,Metrics!$A$5:$U$5,0)))</f>
        <v/>
      </c>
      <c r="J135" s="9" t="str">
        <f>IF($A135="","",INDEX(Metrics!$A$6:$U$305,MATCH($A135,Metrics!$U$6:$U$305,0),MATCH(J$5,Metrics!$A$5:$U$5,0)))</f>
        <v/>
      </c>
      <c r="K135" s="10" t="str">
        <f>IF($A135="","",INDEX(Metrics!$A$6:$U$305,MATCH($A135,Metrics!$U$6:$U$305,0),MATCH(K$5,Metrics!$A$5:$U$5,0)))</f>
        <v/>
      </c>
      <c r="L135" t="str">
        <f>IF($A135="","",INDEX(Metrics!$A$6:$U$305,MATCH($A135,Metrics!$U$6:$U$305,0),MATCH(L$5,Metrics!$A$5:$U$5,0)))</f>
        <v/>
      </c>
      <c r="M135" t="str">
        <f>IF($A135="","",INDEX(Metrics!$A$6:$U$305,MATCH($A135,Metrics!$U$6:$U$305,0),MATCH(M$5,Metrics!$A$5:$U$5,0)))</f>
        <v/>
      </c>
      <c r="N135" t="str">
        <f>IF($A135="","",INDEX(Metrics!$A$6:$U$305,MATCH($A135,Metrics!$U$6:$U$305,0),MATCH(N$5,Metrics!$A$5:$U$5,0)))</f>
        <v/>
      </c>
      <c r="O135" t="str">
        <f>IF($A135="","",INDEX(Metrics!$A$6:$U$305,MATCH($A135,Metrics!$U$6:$U$305,0),MATCH(O$5,Metrics!$A$5:$U$5,0)))</f>
        <v/>
      </c>
      <c r="P135" t="str">
        <f>IF($A135="","",INDEX(Metrics!$A$6:$U$305,MATCH($A135,Metrics!$U$6:$U$305,0),MATCH(P$5,Metrics!$A$5:$U$5,0)))</f>
        <v/>
      </c>
    </row>
    <row r="136" spans="1:16" x14ac:dyDescent="0.4">
      <c r="A136" t="str">
        <f t="shared" si="2"/>
        <v/>
      </c>
      <c r="B136" t="str">
        <f>IF($A136="","",INDEX(Metrics!$A$6:$U$305,MATCH($A136,Metrics!$U$6:$U$305,0),MATCH(B$5,Metrics!$A$5:$U$5,0)))</f>
        <v/>
      </c>
      <c r="C136" t="str">
        <f>IF($A136="","",INDEX(Metrics!$A$6:$U$305,MATCH($A136,Metrics!$U$6:$U$305,0),MATCH(C$5,Metrics!$A$5:$U$5,0)))</f>
        <v/>
      </c>
      <c r="D136" t="str">
        <f>IF($A136="","",INDEX(Metrics!$A$6:$U$305,MATCH($A136,Metrics!$U$6:$U$305,0),MATCH(D$5,Metrics!$A$5:$U$5,0)))</f>
        <v/>
      </c>
      <c r="E136" s="14" t="str">
        <f>IF($A136="","",INDEX(Metrics!$A$6:$U$305,MATCH($A136,Metrics!$U$6:$U$305,0),MATCH(E$5,Metrics!$A$5:$U$5,0)))</f>
        <v/>
      </c>
      <c r="F136" s="7" t="str">
        <f>IF($A136="","",INDEX(Metrics!$A$6:$U$305,MATCH($A136,Metrics!$U$6:$U$305,0),MATCH(F$5,Metrics!$A$5:$U$5,0)))</f>
        <v/>
      </c>
      <c r="G136" s="9" t="str">
        <f>IF($A136="","",INDEX(Metrics!$A$6:$U$305,MATCH($A136,Metrics!$U$6:$U$305,0),MATCH(G$5,Metrics!$A$5:$U$5,0)))</f>
        <v/>
      </c>
      <c r="H136" s="9" t="str">
        <f>IF($A136="","",INDEX(Metrics!$A$6:$U$305,MATCH($A136,Metrics!$U$6:$U$305,0),MATCH(H$5,Metrics!$A$5:$U$5,0)))</f>
        <v/>
      </c>
      <c r="I136" s="7" t="str">
        <f>IF($A136="","",INDEX(Metrics!$A$6:$U$305,MATCH($A136,Metrics!$U$6:$U$305,0),MATCH(I$5,Metrics!$A$5:$U$5,0)))</f>
        <v/>
      </c>
      <c r="J136" s="9" t="str">
        <f>IF($A136="","",INDEX(Metrics!$A$6:$U$305,MATCH($A136,Metrics!$U$6:$U$305,0),MATCH(J$5,Metrics!$A$5:$U$5,0)))</f>
        <v/>
      </c>
      <c r="K136" s="10" t="str">
        <f>IF($A136="","",INDEX(Metrics!$A$6:$U$305,MATCH($A136,Metrics!$U$6:$U$305,0),MATCH(K$5,Metrics!$A$5:$U$5,0)))</f>
        <v/>
      </c>
      <c r="L136" t="str">
        <f>IF($A136="","",INDEX(Metrics!$A$6:$U$305,MATCH($A136,Metrics!$U$6:$U$305,0),MATCH(L$5,Metrics!$A$5:$U$5,0)))</f>
        <v/>
      </c>
      <c r="M136" t="str">
        <f>IF($A136="","",INDEX(Metrics!$A$6:$U$305,MATCH($A136,Metrics!$U$6:$U$305,0),MATCH(M$5,Metrics!$A$5:$U$5,0)))</f>
        <v/>
      </c>
      <c r="N136" t="str">
        <f>IF($A136="","",INDEX(Metrics!$A$6:$U$305,MATCH($A136,Metrics!$U$6:$U$305,0),MATCH(N$5,Metrics!$A$5:$U$5,0)))</f>
        <v/>
      </c>
      <c r="O136" t="str">
        <f>IF($A136="","",INDEX(Metrics!$A$6:$U$305,MATCH($A136,Metrics!$U$6:$U$305,0),MATCH(O$5,Metrics!$A$5:$U$5,0)))</f>
        <v/>
      </c>
      <c r="P136" t="str">
        <f>IF($A136="","",INDEX(Metrics!$A$6:$U$305,MATCH($A136,Metrics!$U$6:$U$305,0),MATCH(P$5,Metrics!$A$5:$U$5,0)))</f>
        <v/>
      </c>
    </row>
    <row r="137" spans="1:16" x14ac:dyDescent="0.4">
      <c r="A137" t="str">
        <f t="shared" si="2"/>
        <v/>
      </c>
      <c r="B137" t="str">
        <f>IF($A137="","",INDEX(Metrics!$A$6:$U$305,MATCH($A137,Metrics!$U$6:$U$305,0),MATCH(B$5,Metrics!$A$5:$U$5,0)))</f>
        <v/>
      </c>
      <c r="C137" t="str">
        <f>IF($A137="","",INDEX(Metrics!$A$6:$U$305,MATCH($A137,Metrics!$U$6:$U$305,0),MATCH(C$5,Metrics!$A$5:$U$5,0)))</f>
        <v/>
      </c>
      <c r="D137" t="str">
        <f>IF($A137="","",INDEX(Metrics!$A$6:$U$305,MATCH($A137,Metrics!$U$6:$U$305,0),MATCH(D$5,Metrics!$A$5:$U$5,0)))</f>
        <v/>
      </c>
      <c r="E137" s="14" t="str">
        <f>IF($A137="","",INDEX(Metrics!$A$6:$U$305,MATCH($A137,Metrics!$U$6:$U$305,0),MATCH(E$5,Metrics!$A$5:$U$5,0)))</f>
        <v/>
      </c>
      <c r="F137" s="7" t="str">
        <f>IF($A137="","",INDEX(Metrics!$A$6:$U$305,MATCH($A137,Metrics!$U$6:$U$305,0),MATCH(F$5,Metrics!$A$5:$U$5,0)))</f>
        <v/>
      </c>
      <c r="G137" s="9" t="str">
        <f>IF($A137="","",INDEX(Metrics!$A$6:$U$305,MATCH($A137,Metrics!$U$6:$U$305,0),MATCH(G$5,Metrics!$A$5:$U$5,0)))</f>
        <v/>
      </c>
      <c r="H137" s="9" t="str">
        <f>IF($A137="","",INDEX(Metrics!$A$6:$U$305,MATCH($A137,Metrics!$U$6:$U$305,0),MATCH(H$5,Metrics!$A$5:$U$5,0)))</f>
        <v/>
      </c>
      <c r="I137" s="7" t="str">
        <f>IF($A137="","",INDEX(Metrics!$A$6:$U$305,MATCH($A137,Metrics!$U$6:$U$305,0),MATCH(I$5,Metrics!$A$5:$U$5,0)))</f>
        <v/>
      </c>
      <c r="J137" s="9" t="str">
        <f>IF($A137="","",INDEX(Metrics!$A$6:$U$305,MATCH($A137,Metrics!$U$6:$U$305,0),MATCH(J$5,Metrics!$A$5:$U$5,0)))</f>
        <v/>
      </c>
      <c r="K137" s="10" t="str">
        <f>IF($A137="","",INDEX(Metrics!$A$6:$U$305,MATCH($A137,Metrics!$U$6:$U$305,0),MATCH(K$5,Metrics!$A$5:$U$5,0)))</f>
        <v/>
      </c>
      <c r="L137" t="str">
        <f>IF($A137="","",INDEX(Metrics!$A$6:$U$305,MATCH($A137,Metrics!$U$6:$U$305,0),MATCH(L$5,Metrics!$A$5:$U$5,0)))</f>
        <v/>
      </c>
      <c r="M137" t="str">
        <f>IF($A137="","",INDEX(Metrics!$A$6:$U$305,MATCH($A137,Metrics!$U$6:$U$305,0),MATCH(M$5,Metrics!$A$5:$U$5,0)))</f>
        <v/>
      </c>
      <c r="N137" t="str">
        <f>IF($A137="","",INDEX(Metrics!$A$6:$U$305,MATCH($A137,Metrics!$U$6:$U$305,0),MATCH(N$5,Metrics!$A$5:$U$5,0)))</f>
        <v/>
      </c>
      <c r="O137" t="str">
        <f>IF($A137="","",INDEX(Metrics!$A$6:$U$305,MATCH($A137,Metrics!$U$6:$U$305,0),MATCH(O$5,Metrics!$A$5:$U$5,0)))</f>
        <v/>
      </c>
      <c r="P137" t="str">
        <f>IF($A137="","",INDEX(Metrics!$A$6:$U$305,MATCH($A137,Metrics!$U$6:$U$305,0),MATCH(P$5,Metrics!$A$5:$U$5,0)))</f>
        <v/>
      </c>
    </row>
    <row r="138" spans="1:16" x14ac:dyDescent="0.4">
      <c r="A138" t="str">
        <f t="shared" si="2"/>
        <v/>
      </c>
      <c r="B138" t="str">
        <f>IF($A138="","",INDEX(Metrics!$A$6:$U$305,MATCH($A138,Metrics!$U$6:$U$305,0),MATCH(B$5,Metrics!$A$5:$U$5,0)))</f>
        <v/>
      </c>
      <c r="C138" t="str">
        <f>IF($A138="","",INDEX(Metrics!$A$6:$U$305,MATCH($A138,Metrics!$U$6:$U$305,0),MATCH(C$5,Metrics!$A$5:$U$5,0)))</f>
        <v/>
      </c>
      <c r="D138" t="str">
        <f>IF($A138="","",INDEX(Metrics!$A$6:$U$305,MATCH($A138,Metrics!$U$6:$U$305,0),MATCH(D$5,Metrics!$A$5:$U$5,0)))</f>
        <v/>
      </c>
      <c r="E138" s="14" t="str">
        <f>IF($A138="","",INDEX(Metrics!$A$6:$U$305,MATCH($A138,Metrics!$U$6:$U$305,0),MATCH(E$5,Metrics!$A$5:$U$5,0)))</f>
        <v/>
      </c>
      <c r="F138" s="7" t="str">
        <f>IF($A138="","",INDEX(Metrics!$A$6:$U$305,MATCH($A138,Metrics!$U$6:$U$305,0),MATCH(F$5,Metrics!$A$5:$U$5,0)))</f>
        <v/>
      </c>
      <c r="G138" s="9" t="str">
        <f>IF($A138="","",INDEX(Metrics!$A$6:$U$305,MATCH($A138,Metrics!$U$6:$U$305,0),MATCH(G$5,Metrics!$A$5:$U$5,0)))</f>
        <v/>
      </c>
      <c r="H138" s="9" t="str">
        <f>IF($A138="","",INDEX(Metrics!$A$6:$U$305,MATCH($A138,Metrics!$U$6:$U$305,0),MATCH(H$5,Metrics!$A$5:$U$5,0)))</f>
        <v/>
      </c>
      <c r="I138" s="7" t="str">
        <f>IF($A138="","",INDEX(Metrics!$A$6:$U$305,MATCH($A138,Metrics!$U$6:$U$305,0),MATCH(I$5,Metrics!$A$5:$U$5,0)))</f>
        <v/>
      </c>
      <c r="J138" s="9" t="str">
        <f>IF($A138="","",INDEX(Metrics!$A$6:$U$305,MATCH($A138,Metrics!$U$6:$U$305,0),MATCH(J$5,Metrics!$A$5:$U$5,0)))</f>
        <v/>
      </c>
      <c r="K138" s="10" t="str">
        <f>IF($A138="","",INDEX(Metrics!$A$6:$U$305,MATCH($A138,Metrics!$U$6:$U$305,0),MATCH(K$5,Metrics!$A$5:$U$5,0)))</f>
        <v/>
      </c>
      <c r="L138" t="str">
        <f>IF($A138="","",INDEX(Metrics!$A$6:$U$305,MATCH($A138,Metrics!$U$6:$U$305,0),MATCH(L$5,Metrics!$A$5:$U$5,0)))</f>
        <v/>
      </c>
      <c r="M138" t="str">
        <f>IF($A138="","",INDEX(Metrics!$A$6:$U$305,MATCH($A138,Metrics!$U$6:$U$305,0),MATCH(M$5,Metrics!$A$5:$U$5,0)))</f>
        <v/>
      </c>
      <c r="N138" t="str">
        <f>IF($A138="","",INDEX(Metrics!$A$6:$U$305,MATCH($A138,Metrics!$U$6:$U$305,0),MATCH(N$5,Metrics!$A$5:$U$5,0)))</f>
        <v/>
      </c>
      <c r="O138" t="str">
        <f>IF($A138="","",INDEX(Metrics!$A$6:$U$305,MATCH($A138,Metrics!$U$6:$U$305,0),MATCH(O$5,Metrics!$A$5:$U$5,0)))</f>
        <v/>
      </c>
      <c r="P138" t="str">
        <f>IF($A138="","",INDEX(Metrics!$A$6:$U$305,MATCH($A138,Metrics!$U$6:$U$305,0),MATCH(P$5,Metrics!$A$5:$U$5,0)))</f>
        <v/>
      </c>
    </row>
    <row r="139" spans="1:16" x14ac:dyDescent="0.4">
      <c r="A139" t="str">
        <f t="shared" si="2"/>
        <v/>
      </c>
      <c r="B139" t="str">
        <f>IF($A139="","",INDEX(Metrics!$A$6:$U$305,MATCH($A139,Metrics!$U$6:$U$305,0),MATCH(B$5,Metrics!$A$5:$U$5,0)))</f>
        <v/>
      </c>
      <c r="C139" t="str">
        <f>IF($A139="","",INDEX(Metrics!$A$6:$U$305,MATCH($A139,Metrics!$U$6:$U$305,0),MATCH(C$5,Metrics!$A$5:$U$5,0)))</f>
        <v/>
      </c>
      <c r="D139" t="str">
        <f>IF($A139="","",INDEX(Metrics!$A$6:$U$305,MATCH($A139,Metrics!$U$6:$U$305,0),MATCH(D$5,Metrics!$A$5:$U$5,0)))</f>
        <v/>
      </c>
      <c r="E139" s="14" t="str">
        <f>IF($A139="","",INDEX(Metrics!$A$6:$U$305,MATCH($A139,Metrics!$U$6:$U$305,0),MATCH(E$5,Metrics!$A$5:$U$5,0)))</f>
        <v/>
      </c>
      <c r="F139" s="7" t="str">
        <f>IF($A139="","",INDEX(Metrics!$A$6:$U$305,MATCH($A139,Metrics!$U$6:$U$305,0),MATCH(F$5,Metrics!$A$5:$U$5,0)))</f>
        <v/>
      </c>
      <c r="G139" s="9" t="str">
        <f>IF($A139="","",INDEX(Metrics!$A$6:$U$305,MATCH($A139,Metrics!$U$6:$U$305,0),MATCH(G$5,Metrics!$A$5:$U$5,0)))</f>
        <v/>
      </c>
      <c r="H139" s="9" t="str">
        <f>IF($A139="","",INDEX(Metrics!$A$6:$U$305,MATCH($A139,Metrics!$U$6:$U$305,0),MATCH(H$5,Metrics!$A$5:$U$5,0)))</f>
        <v/>
      </c>
      <c r="I139" s="7" t="str">
        <f>IF($A139="","",INDEX(Metrics!$A$6:$U$305,MATCH($A139,Metrics!$U$6:$U$305,0),MATCH(I$5,Metrics!$A$5:$U$5,0)))</f>
        <v/>
      </c>
      <c r="J139" s="9" t="str">
        <f>IF($A139="","",INDEX(Metrics!$A$6:$U$305,MATCH($A139,Metrics!$U$6:$U$305,0),MATCH(J$5,Metrics!$A$5:$U$5,0)))</f>
        <v/>
      </c>
      <c r="K139" s="10" t="str">
        <f>IF($A139="","",INDEX(Metrics!$A$6:$U$305,MATCH($A139,Metrics!$U$6:$U$305,0),MATCH(K$5,Metrics!$A$5:$U$5,0)))</f>
        <v/>
      </c>
      <c r="L139" t="str">
        <f>IF($A139="","",INDEX(Metrics!$A$6:$U$305,MATCH($A139,Metrics!$U$6:$U$305,0),MATCH(L$5,Metrics!$A$5:$U$5,0)))</f>
        <v/>
      </c>
      <c r="M139" t="str">
        <f>IF($A139="","",INDEX(Metrics!$A$6:$U$305,MATCH($A139,Metrics!$U$6:$U$305,0),MATCH(M$5,Metrics!$A$5:$U$5,0)))</f>
        <v/>
      </c>
      <c r="N139" t="str">
        <f>IF($A139="","",INDEX(Metrics!$A$6:$U$305,MATCH($A139,Metrics!$U$6:$U$305,0),MATCH(N$5,Metrics!$A$5:$U$5,0)))</f>
        <v/>
      </c>
      <c r="O139" t="str">
        <f>IF($A139="","",INDEX(Metrics!$A$6:$U$305,MATCH($A139,Metrics!$U$6:$U$305,0),MATCH(O$5,Metrics!$A$5:$U$5,0)))</f>
        <v/>
      </c>
      <c r="P139" t="str">
        <f>IF($A139="","",INDEX(Metrics!$A$6:$U$305,MATCH($A139,Metrics!$U$6:$U$305,0),MATCH(P$5,Metrics!$A$5:$U$5,0)))</f>
        <v/>
      </c>
    </row>
    <row r="140" spans="1:16" x14ac:dyDescent="0.4">
      <c r="A140" t="str">
        <f t="shared" si="2"/>
        <v/>
      </c>
      <c r="B140" t="str">
        <f>IF($A140="","",INDEX(Metrics!$A$6:$U$305,MATCH($A140,Metrics!$U$6:$U$305,0),MATCH(B$5,Metrics!$A$5:$U$5,0)))</f>
        <v/>
      </c>
      <c r="C140" t="str">
        <f>IF($A140="","",INDEX(Metrics!$A$6:$U$305,MATCH($A140,Metrics!$U$6:$U$305,0),MATCH(C$5,Metrics!$A$5:$U$5,0)))</f>
        <v/>
      </c>
      <c r="D140" t="str">
        <f>IF($A140="","",INDEX(Metrics!$A$6:$U$305,MATCH($A140,Metrics!$U$6:$U$305,0),MATCH(D$5,Metrics!$A$5:$U$5,0)))</f>
        <v/>
      </c>
      <c r="E140" s="14" t="str">
        <f>IF($A140="","",INDEX(Metrics!$A$6:$U$305,MATCH($A140,Metrics!$U$6:$U$305,0),MATCH(E$5,Metrics!$A$5:$U$5,0)))</f>
        <v/>
      </c>
      <c r="F140" s="7" t="str">
        <f>IF($A140="","",INDEX(Metrics!$A$6:$U$305,MATCH($A140,Metrics!$U$6:$U$305,0),MATCH(F$5,Metrics!$A$5:$U$5,0)))</f>
        <v/>
      </c>
      <c r="G140" s="9" t="str">
        <f>IF($A140="","",INDEX(Metrics!$A$6:$U$305,MATCH($A140,Metrics!$U$6:$U$305,0),MATCH(G$5,Metrics!$A$5:$U$5,0)))</f>
        <v/>
      </c>
      <c r="H140" s="9" t="str">
        <f>IF($A140="","",INDEX(Metrics!$A$6:$U$305,MATCH($A140,Metrics!$U$6:$U$305,0),MATCH(H$5,Metrics!$A$5:$U$5,0)))</f>
        <v/>
      </c>
      <c r="I140" s="7" t="str">
        <f>IF($A140="","",INDEX(Metrics!$A$6:$U$305,MATCH($A140,Metrics!$U$6:$U$305,0),MATCH(I$5,Metrics!$A$5:$U$5,0)))</f>
        <v/>
      </c>
      <c r="J140" s="9" t="str">
        <f>IF($A140="","",INDEX(Metrics!$A$6:$U$305,MATCH($A140,Metrics!$U$6:$U$305,0),MATCH(J$5,Metrics!$A$5:$U$5,0)))</f>
        <v/>
      </c>
      <c r="K140" s="10" t="str">
        <f>IF($A140="","",INDEX(Metrics!$A$6:$U$305,MATCH($A140,Metrics!$U$6:$U$305,0),MATCH(K$5,Metrics!$A$5:$U$5,0)))</f>
        <v/>
      </c>
      <c r="L140" t="str">
        <f>IF($A140="","",INDEX(Metrics!$A$6:$U$305,MATCH($A140,Metrics!$U$6:$U$305,0),MATCH(L$5,Metrics!$A$5:$U$5,0)))</f>
        <v/>
      </c>
      <c r="M140" t="str">
        <f>IF($A140="","",INDEX(Metrics!$A$6:$U$305,MATCH($A140,Metrics!$U$6:$U$305,0),MATCH(M$5,Metrics!$A$5:$U$5,0)))</f>
        <v/>
      </c>
      <c r="N140" t="str">
        <f>IF($A140="","",INDEX(Metrics!$A$6:$U$305,MATCH($A140,Metrics!$U$6:$U$305,0),MATCH(N$5,Metrics!$A$5:$U$5,0)))</f>
        <v/>
      </c>
      <c r="O140" t="str">
        <f>IF($A140="","",INDEX(Metrics!$A$6:$U$305,MATCH($A140,Metrics!$U$6:$U$305,0),MATCH(O$5,Metrics!$A$5:$U$5,0)))</f>
        <v/>
      </c>
      <c r="P140" t="str">
        <f>IF($A140="","",INDEX(Metrics!$A$6:$U$305,MATCH($A140,Metrics!$U$6:$U$305,0),MATCH(P$5,Metrics!$A$5:$U$5,0)))</f>
        <v/>
      </c>
    </row>
    <row r="141" spans="1:16" x14ac:dyDescent="0.4">
      <c r="A141" t="str">
        <f t="shared" si="2"/>
        <v/>
      </c>
      <c r="B141" t="str">
        <f>IF($A141="","",INDEX(Metrics!$A$6:$U$305,MATCH($A141,Metrics!$U$6:$U$305,0),MATCH(B$5,Metrics!$A$5:$U$5,0)))</f>
        <v/>
      </c>
      <c r="C141" t="str">
        <f>IF($A141="","",INDEX(Metrics!$A$6:$U$305,MATCH($A141,Metrics!$U$6:$U$305,0),MATCH(C$5,Metrics!$A$5:$U$5,0)))</f>
        <v/>
      </c>
      <c r="D141" t="str">
        <f>IF($A141="","",INDEX(Metrics!$A$6:$U$305,MATCH($A141,Metrics!$U$6:$U$305,0),MATCH(D$5,Metrics!$A$5:$U$5,0)))</f>
        <v/>
      </c>
      <c r="E141" s="14" t="str">
        <f>IF($A141="","",INDEX(Metrics!$A$6:$U$305,MATCH($A141,Metrics!$U$6:$U$305,0),MATCH(E$5,Metrics!$A$5:$U$5,0)))</f>
        <v/>
      </c>
      <c r="F141" s="7" t="str">
        <f>IF($A141="","",INDEX(Metrics!$A$6:$U$305,MATCH($A141,Metrics!$U$6:$U$305,0),MATCH(F$5,Metrics!$A$5:$U$5,0)))</f>
        <v/>
      </c>
      <c r="G141" s="9" t="str">
        <f>IF($A141="","",INDEX(Metrics!$A$6:$U$305,MATCH($A141,Metrics!$U$6:$U$305,0),MATCH(G$5,Metrics!$A$5:$U$5,0)))</f>
        <v/>
      </c>
      <c r="H141" s="9" t="str">
        <f>IF($A141="","",INDEX(Metrics!$A$6:$U$305,MATCH($A141,Metrics!$U$6:$U$305,0),MATCH(H$5,Metrics!$A$5:$U$5,0)))</f>
        <v/>
      </c>
      <c r="I141" s="7" t="str">
        <f>IF($A141="","",INDEX(Metrics!$A$6:$U$305,MATCH($A141,Metrics!$U$6:$U$305,0),MATCH(I$5,Metrics!$A$5:$U$5,0)))</f>
        <v/>
      </c>
      <c r="J141" s="9" t="str">
        <f>IF($A141="","",INDEX(Metrics!$A$6:$U$305,MATCH($A141,Metrics!$U$6:$U$305,0),MATCH(J$5,Metrics!$A$5:$U$5,0)))</f>
        <v/>
      </c>
      <c r="K141" s="10" t="str">
        <f>IF($A141="","",INDEX(Metrics!$A$6:$U$305,MATCH($A141,Metrics!$U$6:$U$305,0),MATCH(K$5,Metrics!$A$5:$U$5,0)))</f>
        <v/>
      </c>
      <c r="L141" t="str">
        <f>IF($A141="","",INDEX(Metrics!$A$6:$U$305,MATCH($A141,Metrics!$U$6:$U$305,0),MATCH(L$5,Metrics!$A$5:$U$5,0)))</f>
        <v/>
      </c>
      <c r="M141" t="str">
        <f>IF($A141="","",INDEX(Metrics!$A$6:$U$305,MATCH($A141,Metrics!$U$6:$U$305,0),MATCH(M$5,Metrics!$A$5:$U$5,0)))</f>
        <v/>
      </c>
      <c r="N141" t="str">
        <f>IF($A141="","",INDEX(Metrics!$A$6:$U$305,MATCH($A141,Metrics!$U$6:$U$305,0),MATCH(N$5,Metrics!$A$5:$U$5,0)))</f>
        <v/>
      </c>
      <c r="O141" t="str">
        <f>IF($A141="","",INDEX(Metrics!$A$6:$U$305,MATCH($A141,Metrics!$U$6:$U$305,0),MATCH(O$5,Metrics!$A$5:$U$5,0)))</f>
        <v/>
      </c>
      <c r="P141" t="str">
        <f>IF($A141="","",INDEX(Metrics!$A$6:$U$305,MATCH($A141,Metrics!$U$6:$U$305,0),MATCH(P$5,Metrics!$A$5:$U$5,0)))</f>
        <v/>
      </c>
    </row>
    <row r="142" spans="1:16" x14ac:dyDescent="0.4">
      <c r="A142" t="str">
        <f t="shared" si="2"/>
        <v/>
      </c>
      <c r="B142" t="str">
        <f>IF($A142="","",INDEX(Metrics!$A$6:$U$305,MATCH($A142,Metrics!$U$6:$U$305,0),MATCH(B$5,Metrics!$A$5:$U$5,0)))</f>
        <v/>
      </c>
      <c r="C142" t="str">
        <f>IF($A142="","",INDEX(Metrics!$A$6:$U$305,MATCH($A142,Metrics!$U$6:$U$305,0),MATCH(C$5,Metrics!$A$5:$U$5,0)))</f>
        <v/>
      </c>
      <c r="D142" t="str">
        <f>IF($A142="","",INDEX(Metrics!$A$6:$U$305,MATCH($A142,Metrics!$U$6:$U$305,0),MATCH(D$5,Metrics!$A$5:$U$5,0)))</f>
        <v/>
      </c>
      <c r="E142" s="14" t="str">
        <f>IF($A142="","",INDEX(Metrics!$A$6:$U$305,MATCH($A142,Metrics!$U$6:$U$305,0),MATCH(E$5,Metrics!$A$5:$U$5,0)))</f>
        <v/>
      </c>
      <c r="F142" s="7" t="str">
        <f>IF($A142="","",INDEX(Metrics!$A$6:$U$305,MATCH($A142,Metrics!$U$6:$U$305,0),MATCH(F$5,Metrics!$A$5:$U$5,0)))</f>
        <v/>
      </c>
      <c r="G142" s="9" t="str">
        <f>IF($A142="","",INDEX(Metrics!$A$6:$U$305,MATCH($A142,Metrics!$U$6:$U$305,0),MATCH(G$5,Metrics!$A$5:$U$5,0)))</f>
        <v/>
      </c>
      <c r="H142" s="9" t="str">
        <f>IF($A142="","",INDEX(Metrics!$A$6:$U$305,MATCH($A142,Metrics!$U$6:$U$305,0),MATCH(H$5,Metrics!$A$5:$U$5,0)))</f>
        <v/>
      </c>
      <c r="I142" s="7" t="str">
        <f>IF($A142="","",INDEX(Metrics!$A$6:$U$305,MATCH($A142,Metrics!$U$6:$U$305,0),MATCH(I$5,Metrics!$A$5:$U$5,0)))</f>
        <v/>
      </c>
      <c r="J142" s="9" t="str">
        <f>IF($A142="","",INDEX(Metrics!$A$6:$U$305,MATCH($A142,Metrics!$U$6:$U$305,0),MATCH(J$5,Metrics!$A$5:$U$5,0)))</f>
        <v/>
      </c>
      <c r="K142" s="10" t="str">
        <f>IF($A142="","",INDEX(Metrics!$A$6:$U$305,MATCH($A142,Metrics!$U$6:$U$305,0),MATCH(K$5,Metrics!$A$5:$U$5,0)))</f>
        <v/>
      </c>
      <c r="L142" t="str">
        <f>IF($A142="","",INDEX(Metrics!$A$6:$U$305,MATCH($A142,Metrics!$U$6:$U$305,0),MATCH(L$5,Metrics!$A$5:$U$5,0)))</f>
        <v/>
      </c>
      <c r="M142" t="str">
        <f>IF($A142="","",INDEX(Metrics!$A$6:$U$305,MATCH($A142,Metrics!$U$6:$U$305,0),MATCH(M$5,Metrics!$A$5:$U$5,0)))</f>
        <v/>
      </c>
      <c r="N142" t="str">
        <f>IF($A142="","",INDEX(Metrics!$A$6:$U$305,MATCH($A142,Metrics!$U$6:$U$305,0),MATCH(N$5,Metrics!$A$5:$U$5,0)))</f>
        <v/>
      </c>
      <c r="O142" t="str">
        <f>IF($A142="","",INDEX(Metrics!$A$6:$U$305,MATCH($A142,Metrics!$U$6:$U$305,0),MATCH(O$5,Metrics!$A$5:$U$5,0)))</f>
        <v/>
      </c>
      <c r="P142" t="str">
        <f>IF($A142="","",INDEX(Metrics!$A$6:$U$305,MATCH($A142,Metrics!$U$6:$U$305,0),MATCH(P$5,Metrics!$A$5:$U$5,0)))</f>
        <v/>
      </c>
    </row>
    <row r="143" spans="1:16" x14ac:dyDescent="0.4">
      <c r="A143" t="str">
        <f t="shared" si="2"/>
        <v/>
      </c>
      <c r="B143" t="str">
        <f>IF($A143="","",INDEX(Metrics!$A$6:$U$305,MATCH($A143,Metrics!$U$6:$U$305,0),MATCH(B$5,Metrics!$A$5:$U$5,0)))</f>
        <v/>
      </c>
      <c r="C143" t="str">
        <f>IF($A143="","",INDEX(Metrics!$A$6:$U$305,MATCH($A143,Metrics!$U$6:$U$305,0),MATCH(C$5,Metrics!$A$5:$U$5,0)))</f>
        <v/>
      </c>
      <c r="D143" t="str">
        <f>IF($A143="","",INDEX(Metrics!$A$6:$U$305,MATCH($A143,Metrics!$U$6:$U$305,0),MATCH(D$5,Metrics!$A$5:$U$5,0)))</f>
        <v/>
      </c>
      <c r="E143" s="14" t="str">
        <f>IF($A143="","",INDEX(Metrics!$A$6:$U$305,MATCH($A143,Metrics!$U$6:$U$305,0),MATCH(E$5,Metrics!$A$5:$U$5,0)))</f>
        <v/>
      </c>
      <c r="F143" s="7" t="str">
        <f>IF($A143="","",INDEX(Metrics!$A$6:$U$305,MATCH($A143,Metrics!$U$6:$U$305,0),MATCH(F$5,Metrics!$A$5:$U$5,0)))</f>
        <v/>
      </c>
      <c r="G143" s="9" t="str">
        <f>IF($A143="","",INDEX(Metrics!$A$6:$U$305,MATCH($A143,Metrics!$U$6:$U$305,0),MATCH(G$5,Metrics!$A$5:$U$5,0)))</f>
        <v/>
      </c>
      <c r="H143" s="9" t="str">
        <f>IF($A143="","",INDEX(Metrics!$A$6:$U$305,MATCH($A143,Metrics!$U$6:$U$305,0),MATCH(H$5,Metrics!$A$5:$U$5,0)))</f>
        <v/>
      </c>
      <c r="I143" s="7" t="str">
        <f>IF($A143="","",INDEX(Metrics!$A$6:$U$305,MATCH($A143,Metrics!$U$6:$U$305,0),MATCH(I$5,Metrics!$A$5:$U$5,0)))</f>
        <v/>
      </c>
      <c r="J143" s="9" t="str">
        <f>IF($A143="","",INDEX(Metrics!$A$6:$U$305,MATCH($A143,Metrics!$U$6:$U$305,0),MATCH(J$5,Metrics!$A$5:$U$5,0)))</f>
        <v/>
      </c>
      <c r="K143" s="10" t="str">
        <f>IF($A143="","",INDEX(Metrics!$A$6:$U$305,MATCH($A143,Metrics!$U$6:$U$305,0),MATCH(K$5,Metrics!$A$5:$U$5,0)))</f>
        <v/>
      </c>
      <c r="L143" t="str">
        <f>IF($A143="","",INDEX(Metrics!$A$6:$U$305,MATCH($A143,Metrics!$U$6:$U$305,0),MATCH(L$5,Metrics!$A$5:$U$5,0)))</f>
        <v/>
      </c>
      <c r="M143" t="str">
        <f>IF($A143="","",INDEX(Metrics!$A$6:$U$305,MATCH($A143,Metrics!$U$6:$U$305,0),MATCH(M$5,Metrics!$A$5:$U$5,0)))</f>
        <v/>
      </c>
      <c r="N143" t="str">
        <f>IF($A143="","",INDEX(Metrics!$A$6:$U$305,MATCH($A143,Metrics!$U$6:$U$305,0),MATCH(N$5,Metrics!$A$5:$U$5,0)))</f>
        <v/>
      </c>
      <c r="O143" t="str">
        <f>IF($A143="","",INDEX(Metrics!$A$6:$U$305,MATCH($A143,Metrics!$U$6:$U$305,0),MATCH(O$5,Metrics!$A$5:$U$5,0)))</f>
        <v/>
      </c>
      <c r="P143" t="str">
        <f>IF($A143="","",INDEX(Metrics!$A$6:$U$305,MATCH($A143,Metrics!$U$6:$U$305,0),MATCH(P$5,Metrics!$A$5:$U$5,0)))</f>
        <v/>
      </c>
    </row>
    <row r="144" spans="1:16" x14ac:dyDescent="0.4">
      <c r="A144" t="str">
        <f t="shared" si="2"/>
        <v/>
      </c>
      <c r="B144" t="str">
        <f>IF($A144="","",INDEX(Metrics!$A$6:$U$305,MATCH($A144,Metrics!$U$6:$U$305,0),MATCH(B$5,Metrics!$A$5:$U$5,0)))</f>
        <v/>
      </c>
      <c r="C144" t="str">
        <f>IF($A144="","",INDEX(Metrics!$A$6:$U$305,MATCH($A144,Metrics!$U$6:$U$305,0),MATCH(C$5,Metrics!$A$5:$U$5,0)))</f>
        <v/>
      </c>
      <c r="D144" t="str">
        <f>IF($A144="","",INDEX(Metrics!$A$6:$U$305,MATCH($A144,Metrics!$U$6:$U$305,0),MATCH(D$5,Metrics!$A$5:$U$5,0)))</f>
        <v/>
      </c>
      <c r="E144" s="14" t="str">
        <f>IF($A144="","",INDEX(Metrics!$A$6:$U$305,MATCH($A144,Metrics!$U$6:$U$305,0),MATCH(E$5,Metrics!$A$5:$U$5,0)))</f>
        <v/>
      </c>
      <c r="F144" s="7" t="str">
        <f>IF($A144="","",INDEX(Metrics!$A$6:$U$305,MATCH($A144,Metrics!$U$6:$U$305,0),MATCH(F$5,Metrics!$A$5:$U$5,0)))</f>
        <v/>
      </c>
      <c r="G144" s="9" t="str">
        <f>IF($A144="","",INDEX(Metrics!$A$6:$U$305,MATCH($A144,Metrics!$U$6:$U$305,0),MATCH(G$5,Metrics!$A$5:$U$5,0)))</f>
        <v/>
      </c>
      <c r="H144" s="9" t="str">
        <f>IF($A144="","",INDEX(Metrics!$A$6:$U$305,MATCH($A144,Metrics!$U$6:$U$305,0),MATCH(H$5,Metrics!$A$5:$U$5,0)))</f>
        <v/>
      </c>
      <c r="I144" s="7" t="str">
        <f>IF($A144="","",INDEX(Metrics!$A$6:$U$305,MATCH($A144,Metrics!$U$6:$U$305,0),MATCH(I$5,Metrics!$A$5:$U$5,0)))</f>
        <v/>
      </c>
      <c r="J144" s="9" t="str">
        <f>IF($A144="","",INDEX(Metrics!$A$6:$U$305,MATCH($A144,Metrics!$U$6:$U$305,0),MATCH(J$5,Metrics!$A$5:$U$5,0)))</f>
        <v/>
      </c>
      <c r="K144" s="10" t="str">
        <f>IF($A144="","",INDEX(Metrics!$A$6:$U$305,MATCH($A144,Metrics!$U$6:$U$305,0),MATCH(K$5,Metrics!$A$5:$U$5,0)))</f>
        <v/>
      </c>
      <c r="L144" t="str">
        <f>IF($A144="","",INDEX(Metrics!$A$6:$U$305,MATCH($A144,Metrics!$U$6:$U$305,0),MATCH(L$5,Metrics!$A$5:$U$5,0)))</f>
        <v/>
      </c>
      <c r="M144" t="str">
        <f>IF($A144="","",INDEX(Metrics!$A$6:$U$305,MATCH($A144,Metrics!$U$6:$U$305,0),MATCH(M$5,Metrics!$A$5:$U$5,0)))</f>
        <v/>
      </c>
      <c r="N144" t="str">
        <f>IF($A144="","",INDEX(Metrics!$A$6:$U$305,MATCH($A144,Metrics!$U$6:$U$305,0),MATCH(N$5,Metrics!$A$5:$U$5,0)))</f>
        <v/>
      </c>
      <c r="O144" t="str">
        <f>IF($A144="","",INDEX(Metrics!$A$6:$U$305,MATCH($A144,Metrics!$U$6:$U$305,0),MATCH(O$5,Metrics!$A$5:$U$5,0)))</f>
        <v/>
      </c>
      <c r="P144" t="str">
        <f>IF($A144="","",INDEX(Metrics!$A$6:$U$305,MATCH($A144,Metrics!$U$6:$U$305,0),MATCH(P$5,Metrics!$A$5:$U$5,0)))</f>
        <v/>
      </c>
    </row>
    <row r="145" spans="1:16" x14ac:dyDescent="0.4">
      <c r="A145" t="str">
        <f t="shared" si="2"/>
        <v/>
      </c>
      <c r="B145" t="str">
        <f>IF($A145="","",INDEX(Metrics!$A$6:$U$305,MATCH($A145,Metrics!$U$6:$U$305,0),MATCH(B$5,Metrics!$A$5:$U$5,0)))</f>
        <v/>
      </c>
      <c r="C145" t="str">
        <f>IF($A145="","",INDEX(Metrics!$A$6:$U$305,MATCH($A145,Metrics!$U$6:$U$305,0),MATCH(C$5,Metrics!$A$5:$U$5,0)))</f>
        <v/>
      </c>
      <c r="D145" t="str">
        <f>IF($A145="","",INDEX(Metrics!$A$6:$U$305,MATCH($A145,Metrics!$U$6:$U$305,0),MATCH(D$5,Metrics!$A$5:$U$5,0)))</f>
        <v/>
      </c>
      <c r="E145" s="14" t="str">
        <f>IF($A145="","",INDEX(Metrics!$A$6:$U$305,MATCH($A145,Metrics!$U$6:$U$305,0),MATCH(E$5,Metrics!$A$5:$U$5,0)))</f>
        <v/>
      </c>
      <c r="F145" s="7" t="str">
        <f>IF($A145="","",INDEX(Metrics!$A$6:$U$305,MATCH($A145,Metrics!$U$6:$U$305,0),MATCH(F$5,Metrics!$A$5:$U$5,0)))</f>
        <v/>
      </c>
      <c r="G145" s="9" t="str">
        <f>IF($A145="","",INDEX(Metrics!$A$6:$U$305,MATCH($A145,Metrics!$U$6:$U$305,0),MATCH(G$5,Metrics!$A$5:$U$5,0)))</f>
        <v/>
      </c>
      <c r="H145" s="9" t="str">
        <f>IF($A145="","",INDEX(Metrics!$A$6:$U$305,MATCH($A145,Metrics!$U$6:$U$305,0),MATCH(H$5,Metrics!$A$5:$U$5,0)))</f>
        <v/>
      </c>
      <c r="I145" s="7" t="str">
        <f>IF($A145="","",INDEX(Metrics!$A$6:$U$305,MATCH($A145,Metrics!$U$6:$U$305,0),MATCH(I$5,Metrics!$A$5:$U$5,0)))</f>
        <v/>
      </c>
      <c r="J145" s="9" t="str">
        <f>IF($A145="","",INDEX(Metrics!$A$6:$U$305,MATCH($A145,Metrics!$U$6:$U$305,0),MATCH(J$5,Metrics!$A$5:$U$5,0)))</f>
        <v/>
      </c>
      <c r="K145" s="10" t="str">
        <f>IF($A145="","",INDEX(Metrics!$A$6:$U$305,MATCH($A145,Metrics!$U$6:$U$305,0),MATCH(K$5,Metrics!$A$5:$U$5,0)))</f>
        <v/>
      </c>
      <c r="L145" t="str">
        <f>IF($A145="","",INDEX(Metrics!$A$6:$U$305,MATCH($A145,Metrics!$U$6:$U$305,0),MATCH(L$5,Metrics!$A$5:$U$5,0)))</f>
        <v/>
      </c>
      <c r="M145" t="str">
        <f>IF($A145="","",INDEX(Metrics!$A$6:$U$305,MATCH($A145,Metrics!$U$6:$U$305,0),MATCH(M$5,Metrics!$A$5:$U$5,0)))</f>
        <v/>
      </c>
      <c r="N145" t="str">
        <f>IF($A145="","",INDEX(Metrics!$A$6:$U$305,MATCH($A145,Metrics!$U$6:$U$305,0),MATCH(N$5,Metrics!$A$5:$U$5,0)))</f>
        <v/>
      </c>
      <c r="O145" t="str">
        <f>IF($A145="","",INDEX(Metrics!$A$6:$U$305,MATCH($A145,Metrics!$U$6:$U$305,0),MATCH(O$5,Metrics!$A$5:$U$5,0)))</f>
        <v/>
      </c>
      <c r="P145" t="str">
        <f>IF($A145="","",INDEX(Metrics!$A$6:$U$305,MATCH($A145,Metrics!$U$6:$U$305,0),MATCH(P$5,Metrics!$A$5:$U$5,0)))</f>
        <v/>
      </c>
    </row>
    <row r="146" spans="1:16" x14ac:dyDescent="0.4">
      <c r="A146" t="str">
        <f t="shared" si="2"/>
        <v/>
      </c>
      <c r="B146" t="str">
        <f>IF($A146="","",INDEX(Metrics!$A$6:$U$305,MATCH($A146,Metrics!$U$6:$U$305,0),MATCH(B$5,Metrics!$A$5:$U$5,0)))</f>
        <v/>
      </c>
      <c r="C146" t="str">
        <f>IF($A146="","",INDEX(Metrics!$A$6:$U$305,MATCH($A146,Metrics!$U$6:$U$305,0),MATCH(C$5,Metrics!$A$5:$U$5,0)))</f>
        <v/>
      </c>
      <c r="D146" t="str">
        <f>IF($A146="","",INDEX(Metrics!$A$6:$U$305,MATCH($A146,Metrics!$U$6:$U$305,0),MATCH(D$5,Metrics!$A$5:$U$5,0)))</f>
        <v/>
      </c>
      <c r="E146" s="14" t="str">
        <f>IF($A146="","",INDEX(Metrics!$A$6:$U$305,MATCH($A146,Metrics!$U$6:$U$305,0),MATCH(E$5,Metrics!$A$5:$U$5,0)))</f>
        <v/>
      </c>
      <c r="F146" s="7" t="str">
        <f>IF($A146="","",INDEX(Metrics!$A$6:$U$305,MATCH($A146,Metrics!$U$6:$U$305,0),MATCH(F$5,Metrics!$A$5:$U$5,0)))</f>
        <v/>
      </c>
      <c r="G146" s="9" t="str">
        <f>IF($A146="","",INDEX(Metrics!$A$6:$U$305,MATCH($A146,Metrics!$U$6:$U$305,0),MATCH(G$5,Metrics!$A$5:$U$5,0)))</f>
        <v/>
      </c>
      <c r="H146" s="9" t="str">
        <f>IF($A146="","",INDEX(Metrics!$A$6:$U$305,MATCH($A146,Metrics!$U$6:$U$305,0),MATCH(H$5,Metrics!$A$5:$U$5,0)))</f>
        <v/>
      </c>
      <c r="I146" s="7" t="str">
        <f>IF($A146="","",INDEX(Metrics!$A$6:$U$305,MATCH($A146,Metrics!$U$6:$U$305,0),MATCH(I$5,Metrics!$A$5:$U$5,0)))</f>
        <v/>
      </c>
      <c r="J146" s="9" t="str">
        <f>IF($A146="","",INDEX(Metrics!$A$6:$U$305,MATCH($A146,Metrics!$U$6:$U$305,0),MATCH(J$5,Metrics!$A$5:$U$5,0)))</f>
        <v/>
      </c>
      <c r="K146" s="10" t="str">
        <f>IF($A146="","",INDEX(Metrics!$A$6:$U$305,MATCH($A146,Metrics!$U$6:$U$305,0),MATCH(K$5,Metrics!$A$5:$U$5,0)))</f>
        <v/>
      </c>
      <c r="L146" t="str">
        <f>IF($A146="","",INDEX(Metrics!$A$6:$U$305,MATCH($A146,Metrics!$U$6:$U$305,0),MATCH(L$5,Metrics!$A$5:$U$5,0)))</f>
        <v/>
      </c>
      <c r="M146" t="str">
        <f>IF($A146="","",INDEX(Metrics!$A$6:$U$305,MATCH($A146,Metrics!$U$6:$U$305,0),MATCH(M$5,Metrics!$A$5:$U$5,0)))</f>
        <v/>
      </c>
      <c r="N146" t="str">
        <f>IF($A146="","",INDEX(Metrics!$A$6:$U$305,MATCH($A146,Metrics!$U$6:$U$305,0),MATCH(N$5,Metrics!$A$5:$U$5,0)))</f>
        <v/>
      </c>
      <c r="O146" t="str">
        <f>IF($A146="","",INDEX(Metrics!$A$6:$U$305,MATCH($A146,Metrics!$U$6:$U$305,0),MATCH(O$5,Metrics!$A$5:$U$5,0)))</f>
        <v/>
      </c>
      <c r="P146" t="str">
        <f>IF($A146="","",INDEX(Metrics!$A$6:$U$305,MATCH($A146,Metrics!$U$6:$U$305,0),MATCH(P$5,Metrics!$A$5:$U$5,0)))</f>
        <v/>
      </c>
    </row>
    <row r="147" spans="1:16" x14ac:dyDescent="0.4">
      <c r="A147" t="str">
        <f t="shared" si="2"/>
        <v/>
      </c>
      <c r="B147" t="str">
        <f>IF($A147="","",INDEX(Metrics!$A$6:$U$305,MATCH($A147,Metrics!$U$6:$U$305,0),MATCH(B$5,Metrics!$A$5:$U$5,0)))</f>
        <v/>
      </c>
      <c r="C147" t="str">
        <f>IF($A147="","",INDEX(Metrics!$A$6:$U$305,MATCH($A147,Metrics!$U$6:$U$305,0),MATCH(C$5,Metrics!$A$5:$U$5,0)))</f>
        <v/>
      </c>
      <c r="D147" t="str">
        <f>IF($A147="","",INDEX(Metrics!$A$6:$U$305,MATCH($A147,Metrics!$U$6:$U$305,0),MATCH(D$5,Metrics!$A$5:$U$5,0)))</f>
        <v/>
      </c>
      <c r="E147" s="14" t="str">
        <f>IF($A147="","",INDEX(Metrics!$A$6:$U$305,MATCH($A147,Metrics!$U$6:$U$305,0),MATCH(E$5,Metrics!$A$5:$U$5,0)))</f>
        <v/>
      </c>
      <c r="F147" s="7" t="str">
        <f>IF($A147="","",INDEX(Metrics!$A$6:$U$305,MATCH($A147,Metrics!$U$6:$U$305,0),MATCH(F$5,Metrics!$A$5:$U$5,0)))</f>
        <v/>
      </c>
      <c r="G147" s="9" t="str">
        <f>IF($A147="","",INDEX(Metrics!$A$6:$U$305,MATCH($A147,Metrics!$U$6:$U$305,0),MATCH(G$5,Metrics!$A$5:$U$5,0)))</f>
        <v/>
      </c>
      <c r="H147" s="9" t="str">
        <f>IF($A147="","",INDEX(Metrics!$A$6:$U$305,MATCH($A147,Metrics!$U$6:$U$305,0),MATCH(H$5,Metrics!$A$5:$U$5,0)))</f>
        <v/>
      </c>
      <c r="I147" s="7" t="str">
        <f>IF($A147="","",INDEX(Metrics!$A$6:$U$305,MATCH($A147,Metrics!$U$6:$U$305,0),MATCH(I$5,Metrics!$A$5:$U$5,0)))</f>
        <v/>
      </c>
      <c r="J147" s="9" t="str">
        <f>IF($A147="","",INDEX(Metrics!$A$6:$U$305,MATCH($A147,Metrics!$U$6:$U$305,0),MATCH(J$5,Metrics!$A$5:$U$5,0)))</f>
        <v/>
      </c>
      <c r="K147" s="10" t="str">
        <f>IF($A147="","",INDEX(Metrics!$A$6:$U$305,MATCH($A147,Metrics!$U$6:$U$305,0),MATCH(K$5,Metrics!$A$5:$U$5,0)))</f>
        <v/>
      </c>
      <c r="L147" t="str">
        <f>IF($A147="","",INDEX(Metrics!$A$6:$U$305,MATCH($A147,Metrics!$U$6:$U$305,0),MATCH(L$5,Metrics!$A$5:$U$5,0)))</f>
        <v/>
      </c>
      <c r="M147" t="str">
        <f>IF($A147="","",INDEX(Metrics!$A$6:$U$305,MATCH($A147,Metrics!$U$6:$U$305,0),MATCH(M$5,Metrics!$A$5:$U$5,0)))</f>
        <v/>
      </c>
      <c r="N147" t="str">
        <f>IF($A147="","",INDEX(Metrics!$A$6:$U$305,MATCH($A147,Metrics!$U$6:$U$305,0),MATCH(N$5,Metrics!$A$5:$U$5,0)))</f>
        <v/>
      </c>
      <c r="O147" t="str">
        <f>IF($A147="","",INDEX(Metrics!$A$6:$U$305,MATCH($A147,Metrics!$U$6:$U$305,0),MATCH(O$5,Metrics!$A$5:$U$5,0)))</f>
        <v/>
      </c>
      <c r="P147" t="str">
        <f>IF($A147="","",INDEX(Metrics!$A$6:$U$305,MATCH($A147,Metrics!$U$6:$U$305,0),MATCH(P$5,Metrics!$A$5:$U$5,0)))</f>
        <v/>
      </c>
    </row>
    <row r="148" spans="1:16" x14ac:dyDescent="0.4">
      <c r="A148" t="str">
        <f t="shared" si="2"/>
        <v/>
      </c>
      <c r="B148" t="str">
        <f>IF($A148="","",INDEX(Metrics!$A$6:$U$305,MATCH($A148,Metrics!$U$6:$U$305,0),MATCH(B$5,Metrics!$A$5:$U$5,0)))</f>
        <v/>
      </c>
      <c r="C148" t="str">
        <f>IF($A148="","",INDEX(Metrics!$A$6:$U$305,MATCH($A148,Metrics!$U$6:$U$305,0),MATCH(C$5,Metrics!$A$5:$U$5,0)))</f>
        <v/>
      </c>
      <c r="D148" t="str">
        <f>IF($A148="","",INDEX(Metrics!$A$6:$U$305,MATCH($A148,Metrics!$U$6:$U$305,0),MATCH(D$5,Metrics!$A$5:$U$5,0)))</f>
        <v/>
      </c>
      <c r="E148" s="14" t="str">
        <f>IF($A148="","",INDEX(Metrics!$A$6:$U$305,MATCH($A148,Metrics!$U$6:$U$305,0),MATCH(E$5,Metrics!$A$5:$U$5,0)))</f>
        <v/>
      </c>
      <c r="F148" s="7" t="str">
        <f>IF($A148="","",INDEX(Metrics!$A$6:$U$305,MATCH($A148,Metrics!$U$6:$U$305,0),MATCH(F$5,Metrics!$A$5:$U$5,0)))</f>
        <v/>
      </c>
      <c r="G148" s="9" t="str">
        <f>IF($A148="","",INDEX(Metrics!$A$6:$U$305,MATCH($A148,Metrics!$U$6:$U$305,0),MATCH(G$5,Metrics!$A$5:$U$5,0)))</f>
        <v/>
      </c>
      <c r="H148" s="9" t="str">
        <f>IF($A148="","",INDEX(Metrics!$A$6:$U$305,MATCH($A148,Metrics!$U$6:$U$305,0),MATCH(H$5,Metrics!$A$5:$U$5,0)))</f>
        <v/>
      </c>
      <c r="I148" s="7" t="str">
        <f>IF($A148="","",INDEX(Metrics!$A$6:$U$305,MATCH($A148,Metrics!$U$6:$U$305,0),MATCH(I$5,Metrics!$A$5:$U$5,0)))</f>
        <v/>
      </c>
      <c r="J148" s="9" t="str">
        <f>IF($A148="","",INDEX(Metrics!$A$6:$U$305,MATCH($A148,Metrics!$U$6:$U$305,0),MATCH(J$5,Metrics!$A$5:$U$5,0)))</f>
        <v/>
      </c>
      <c r="K148" s="10" t="str">
        <f>IF($A148="","",INDEX(Metrics!$A$6:$U$305,MATCH($A148,Metrics!$U$6:$U$305,0),MATCH(K$5,Metrics!$A$5:$U$5,0)))</f>
        <v/>
      </c>
      <c r="L148" t="str">
        <f>IF($A148="","",INDEX(Metrics!$A$6:$U$305,MATCH($A148,Metrics!$U$6:$U$305,0),MATCH(L$5,Metrics!$A$5:$U$5,0)))</f>
        <v/>
      </c>
      <c r="M148" t="str">
        <f>IF($A148="","",INDEX(Metrics!$A$6:$U$305,MATCH($A148,Metrics!$U$6:$U$305,0),MATCH(M$5,Metrics!$A$5:$U$5,0)))</f>
        <v/>
      </c>
      <c r="N148" t="str">
        <f>IF($A148="","",INDEX(Metrics!$A$6:$U$305,MATCH($A148,Metrics!$U$6:$U$305,0),MATCH(N$5,Metrics!$A$5:$U$5,0)))</f>
        <v/>
      </c>
      <c r="O148" t="str">
        <f>IF($A148="","",INDEX(Metrics!$A$6:$U$305,MATCH($A148,Metrics!$U$6:$U$305,0),MATCH(O$5,Metrics!$A$5:$U$5,0)))</f>
        <v/>
      </c>
      <c r="P148" t="str">
        <f>IF($A148="","",INDEX(Metrics!$A$6:$U$305,MATCH($A148,Metrics!$U$6:$U$305,0),MATCH(P$5,Metrics!$A$5:$U$5,0)))</f>
        <v/>
      </c>
    </row>
    <row r="149" spans="1:16" x14ac:dyDescent="0.4">
      <c r="A149" t="str">
        <f t="shared" si="2"/>
        <v/>
      </c>
      <c r="B149" t="str">
        <f>IF($A149="","",INDEX(Metrics!$A$6:$U$305,MATCH($A149,Metrics!$U$6:$U$305,0),MATCH(B$5,Metrics!$A$5:$U$5,0)))</f>
        <v/>
      </c>
      <c r="C149" t="str">
        <f>IF($A149="","",INDEX(Metrics!$A$6:$U$305,MATCH($A149,Metrics!$U$6:$U$305,0),MATCH(C$5,Metrics!$A$5:$U$5,0)))</f>
        <v/>
      </c>
      <c r="D149" t="str">
        <f>IF($A149="","",INDEX(Metrics!$A$6:$U$305,MATCH($A149,Metrics!$U$6:$U$305,0),MATCH(D$5,Metrics!$A$5:$U$5,0)))</f>
        <v/>
      </c>
      <c r="E149" s="14" t="str">
        <f>IF($A149="","",INDEX(Metrics!$A$6:$U$305,MATCH($A149,Metrics!$U$6:$U$305,0),MATCH(E$5,Metrics!$A$5:$U$5,0)))</f>
        <v/>
      </c>
      <c r="F149" s="7" t="str">
        <f>IF($A149="","",INDEX(Metrics!$A$6:$U$305,MATCH($A149,Metrics!$U$6:$U$305,0),MATCH(F$5,Metrics!$A$5:$U$5,0)))</f>
        <v/>
      </c>
      <c r="G149" s="9" t="str">
        <f>IF($A149="","",INDEX(Metrics!$A$6:$U$305,MATCH($A149,Metrics!$U$6:$U$305,0),MATCH(G$5,Metrics!$A$5:$U$5,0)))</f>
        <v/>
      </c>
      <c r="H149" s="9" t="str">
        <f>IF($A149="","",INDEX(Metrics!$A$6:$U$305,MATCH($A149,Metrics!$U$6:$U$305,0),MATCH(H$5,Metrics!$A$5:$U$5,0)))</f>
        <v/>
      </c>
      <c r="I149" s="7" t="str">
        <f>IF($A149="","",INDEX(Metrics!$A$6:$U$305,MATCH($A149,Metrics!$U$6:$U$305,0),MATCH(I$5,Metrics!$A$5:$U$5,0)))</f>
        <v/>
      </c>
      <c r="J149" s="9" t="str">
        <f>IF($A149="","",INDEX(Metrics!$A$6:$U$305,MATCH($A149,Metrics!$U$6:$U$305,0),MATCH(J$5,Metrics!$A$5:$U$5,0)))</f>
        <v/>
      </c>
      <c r="K149" s="10" t="str">
        <f>IF($A149="","",INDEX(Metrics!$A$6:$U$305,MATCH($A149,Metrics!$U$6:$U$305,0),MATCH(K$5,Metrics!$A$5:$U$5,0)))</f>
        <v/>
      </c>
      <c r="L149" t="str">
        <f>IF($A149="","",INDEX(Metrics!$A$6:$U$305,MATCH($A149,Metrics!$U$6:$U$305,0),MATCH(L$5,Metrics!$A$5:$U$5,0)))</f>
        <v/>
      </c>
      <c r="M149" t="str">
        <f>IF($A149="","",INDEX(Metrics!$A$6:$U$305,MATCH($A149,Metrics!$U$6:$U$305,0),MATCH(M$5,Metrics!$A$5:$U$5,0)))</f>
        <v/>
      </c>
      <c r="N149" t="str">
        <f>IF($A149="","",INDEX(Metrics!$A$6:$U$305,MATCH($A149,Metrics!$U$6:$U$305,0),MATCH(N$5,Metrics!$A$5:$U$5,0)))</f>
        <v/>
      </c>
      <c r="O149" t="str">
        <f>IF($A149="","",INDEX(Metrics!$A$6:$U$305,MATCH($A149,Metrics!$U$6:$U$305,0),MATCH(O$5,Metrics!$A$5:$U$5,0)))</f>
        <v/>
      </c>
      <c r="P149" t="str">
        <f>IF($A149="","",INDEX(Metrics!$A$6:$U$305,MATCH($A149,Metrics!$U$6:$U$305,0),MATCH(P$5,Metrics!$A$5:$U$5,0)))</f>
        <v/>
      </c>
    </row>
    <row r="150" spans="1:16" x14ac:dyDescent="0.4">
      <c r="A150" t="str">
        <f t="shared" si="2"/>
        <v/>
      </c>
      <c r="B150" t="str">
        <f>IF($A150="","",INDEX(Metrics!$A$6:$U$305,MATCH($A150,Metrics!$U$6:$U$305,0),MATCH(B$5,Metrics!$A$5:$U$5,0)))</f>
        <v/>
      </c>
      <c r="C150" t="str">
        <f>IF($A150="","",INDEX(Metrics!$A$6:$U$305,MATCH($A150,Metrics!$U$6:$U$305,0),MATCH(C$5,Metrics!$A$5:$U$5,0)))</f>
        <v/>
      </c>
      <c r="D150" t="str">
        <f>IF($A150="","",INDEX(Metrics!$A$6:$U$305,MATCH($A150,Metrics!$U$6:$U$305,0),MATCH(D$5,Metrics!$A$5:$U$5,0)))</f>
        <v/>
      </c>
      <c r="E150" s="14" t="str">
        <f>IF($A150="","",INDEX(Metrics!$A$6:$U$305,MATCH($A150,Metrics!$U$6:$U$305,0),MATCH(E$5,Metrics!$A$5:$U$5,0)))</f>
        <v/>
      </c>
      <c r="F150" s="7" t="str">
        <f>IF($A150="","",INDEX(Metrics!$A$6:$U$305,MATCH($A150,Metrics!$U$6:$U$305,0),MATCH(F$5,Metrics!$A$5:$U$5,0)))</f>
        <v/>
      </c>
      <c r="G150" s="9" t="str">
        <f>IF($A150="","",INDEX(Metrics!$A$6:$U$305,MATCH($A150,Metrics!$U$6:$U$305,0),MATCH(G$5,Metrics!$A$5:$U$5,0)))</f>
        <v/>
      </c>
      <c r="H150" s="9" t="str">
        <f>IF($A150="","",INDEX(Metrics!$A$6:$U$305,MATCH($A150,Metrics!$U$6:$U$305,0),MATCH(H$5,Metrics!$A$5:$U$5,0)))</f>
        <v/>
      </c>
      <c r="I150" s="7" t="str">
        <f>IF($A150="","",INDEX(Metrics!$A$6:$U$305,MATCH($A150,Metrics!$U$6:$U$305,0),MATCH(I$5,Metrics!$A$5:$U$5,0)))</f>
        <v/>
      </c>
      <c r="J150" s="9" t="str">
        <f>IF($A150="","",INDEX(Metrics!$A$6:$U$305,MATCH($A150,Metrics!$U$6:$U$305,0),MATCH(J$5,Metrics!$A$5:$U$5,0)))</f>
        <v/>
      </c>
      <c r="K150" s="10" t="str">
        <f>IF($A150="","",INDEX(Metrics!$A$6:$U$305,MATCH($A150,Metrics!$U$6:$U$305,0),MATCH(K$5,Metrics!$A$5:$U$5,0)))</f>
        <v/>
      </c>
      <c r="L150" t="str">
        <f>IF($A150="","",INDEX(Metrics!$A$6:$U$305,MATCH($A150,Metrics!$U$6:$U$305,0),MATCH(L$5,Metrics!$A$5:$U$5,0)))</f>
        <v/>
      </c>
      <c r="M150" t="str">
        <f>IF($A150="","",INDEX(Metrics!$A$6:$U$305,MATCH($A150,Metrics!$U$6:$U$305,0),MATCH(M$5,Metrics!$A$5:$U$5,0)))</f>
        <v/>
      </c>
      <c r="N150" t="str">
        <f>IF($A150="","",INDEX(Metrics!$A$6:$U$305,MATCH($A150,Metrics!$U$6:$U$305,0),MATCH(N$5,Metrics!$A$5:$U$5,0)))</f>
        <v/>
      </c>
      <c r="O150" t="str">
        <f>IF($A150="","",INDEX(Metrics!$A$6:$U$305,MATCH($A150,Metrics!$U$6:$U$305,0),MATCH(O$5,Metrics!$A$5:$U$5,0)))</f>
        <v/>
      </c>
      <c r="P150" t="str">
        <f>IF($A150="","",INDEX(Metrics!$A$6:$U$305,MATCH($A150,Metrics!$U$6:$U$305,0),MATCH(P$5,Metrics!$A$5:$U$5,0)))</f>
        <v/>
      </c>
    </row>
    <row r="151" spans="1:16" x14ac:dyDescent="0.4">
      <c r="A151" t="str">
        <f t="shared" si="2"/>
        <v/>
      </c>
      <c r="B151" t="str">
        <f>IF($A151="","",INDEX(Metrics!$A$6:$U$305,MATCH($A151,Metrics!$U$6:$U$305,0),MATCH(B$5,Metrics!$A$5:$U$5,0)))</f>
        <v/>
      </c>
      <c r="C151" t="str">
        <f>IF($A151="","",INDEX(Metrics!$A$6:$U$305,MATCH($A151,Metrics!$U$6:$U$305,0),MATCH(C$5,Metrics!$A$5:$U$5,0)))</f>
        <v/>
      </c>
      <c r="D151" t="str">
        <f>IF($A151="","",INDEX(Metrics!$A$6:$U$305,MATCH($A151,Metrics!$U$6:$U$305,0),MATCH(D$5,Metrics!$A$5:$U$5,0)))</f>
        <v/>
      </c>
      <c r="E151" s="14" t="str">
        <f>IF($A151="","",INDEX(Metrics!$A$6:$U$305,MATCH($A151,Metrics!$U$6:$U$305,0),MATCH(E$5,Metrics!$A$5:$U$5,0)))</f>
        <v/>
      </c>
      <c r="F151" s="7" t="str">
        <f>IF($A151="","",INDEX(Metrics!$A$6:$U$305,MATCH($A151,Metrics!$U$6:$U$305,0),MATCH(F$5,Metrics!$A$5:$U$5,0)))</f>
        <v/>
      </c>
      <c r="G151" s="9" t="str">
        <f>IF($A151="","",INDEX(Metrics!$A$6:$U$305,MATCH($A151,Metrics!$U$6:$U$305,0),MATCH(G$5,Metrics!$A$5:$U$5,0)))</f>
        <v/>
      </c>
      <c r="H151" s="9" t="str">
        <f>IF($A151="","",INDEX(Metrics!$A$6:$U$305,MATCH($A151,Metrics!$U$6:$U$305,0),MATCH(H$5,Metrics!$A$5:$U$5,0)))</f>
        <v/>
      </c>
      <c r="I151" s="7" t="str">
        <f>IF($A151="","",INDEX(Metrics!$A$6:$U$305,MATCH($A151,Metrics!$U$6:$U$305,0),MATCH(I$5,Metrics!$A$5:$U$5,0)))</f>
        <v/>
      </c>
      <c r="J151" s="9" t="str">
        <f>IF($A151="","",INDEX(Metrics!$A$6:$U$305,MATCH($A151,Metrics!$U$6:$U$305,0),MATCH(J$5,Metrics!$A$5:$U$5,0)))</f>
        <v/>
      </c>
      <c r="K151" s="10" t="str">
        <f>IF($A151="","",INDEX(Metrics!$A$6:$U$305,MATCH($A151,Metrics!$U$6:$U$305,0),MATCH(K$5,Metrics!$A$5:$U$5,0)))</f>
        <v/>
      </c>
      <c r="L151" t="str">
        <f>IF($A151="","",INDEX(Metrics!$A$6:$U$305,MATCH($A151,Metrics!$U$6:$U$305,0),MATCH(L$5,Metrics!$A$5:$U$5,0)))</f>
        <v/>
      </c>
      <c r="M151" t="str">
        <f>IF($A151="","",INDEX(Metrics!$A$6:$U$305,MATCH($A151,Metrics!$U$6:$U$305,0),MATCH(M$5,Metrics!$A$5:$U$5,0)))</f>
        <v/>
      </c>
      <c r="N151" t="str">
        <f>IF($A151="","",INDEX(Metrics!$A$6:$U$305,MATCH($A151,Metrics!$U$6:$U$305,0),MATCH(N$5,Metrics!$A$5:$U$5,0)))</f>
        <v/>
      </c>
      <c r="O151" t="str">
        <f>IF($A151="","",INDEX(Metrics!$A$6:$U$305,MATCH($A151,Metrics!$U$6:$U$305,0),MATCH(O$5,Metrics!$A$5:$U$5,0)))</f>
        <v/>
      </c>
      <c r="P151" t="str">
        <f>IF($A151="","",INDEX(Metrics!$A$6:$U$305,MATCH($A151,Metrics!$U$6:$U$305,0),MATCH(P$5,Metrics!$A$5:$U$5,0)))</f>
        <v/>
      </c>
    </row>
    <row r="152" spans="1:16" x14ac:dyDescent="0.4">
      <c r="A152" t="str">
        <f t="shared" si="2"/>
        <v/>
      </c>
      <c r="B152" t="str">
        <f>IF($A152="","",INDEX(Metrics!$A$6:$U$305,MATCH($A152,Metrics!$U$6:$U$305,0),MATCH(B$5,Metrics!$A$5:$U$5,0)))</f>
        <v/>
      </c>
      <c r="C152" t="str">
        <f>IF($A152="","",INDEX(Metrics!$A$6:$U$305,MATCH($A152,Metrics!$U$6:$U$305,0),MATCH(C$5,Metrics!$A$5:$U$5,0)))</f>
        <v/>
      </c>
      <c r="D152" t="str">
        <f>IF($A152="","",INDEX(Metrics!$A$6:$U$305,MATCH($A152,Metrics!$U$6:$U$305,0),MATCH(D$5,Metrics!$A$5:$U$5,0)))</f>
        <v/>
      </c>
      <c r="E152" s="14" t="str">
        <f>IF($A152="","",INDEX(Metrics!$A$6:$U$305,MATCH($A152,Metrics!$U$6:$U$305,0),MATCH(E$5,Metrics!$A$5:$U$5,0)))</f>
        <v/>
      </c>
      <c r="F152" s="7" t="str">
        <f>IF($A152="","",INDEX(Metrics!$A$6:$U$305,MATCH($A152,Metrics!$U$6:$U$305,0),MATCH(F$5,Metrics!$A$5:$U$5,0)))</f>
        <v/>
      </c>
      <c r="G152" s="9" t="str">
        <f>IF($A152="","",INDEX(Metrics!$A$6:$U$305,MATCH($A152,Metrics!$U$6:$U$305,0),MATCH(G$5,Metrics!$A$5:$U$5,0)))</f>
        <v/>
      </c>
      <c r="H152" s="9" t="str">
        <f>IF($A152="","",INDEX(Metrics!$A$6:$U$305,MATCH($A152,Metrics!$U$6:$U$305,0),MATCH(H$5,Metrics!$A$5:$U$5,0)))</f>
        <v/>
      </c>
      <c r="I152" s="7" t="str">
        <f>IF($A152="","",INDEX(Metrics!$A$6:$U$305,MATCH($A152,Metrics!$U$6:$U$305,0),MATCH(I$5,Metrics!$A$5:$U$5,0)))</f>
        <v/>
      </c>
      <c r="J152" s="9" t="str">
        <f>IF($A152="","",INDEX(Metrics!$A$6:$U$305,MATCH($A152,Metrics!$U$6:$U$305,0),MATCH(J$5,Metrics!$A$5:$U$5,0)))</f>
        <v/>
      </c>
      <c r="K152" s="10" t="str">
        <f>IF($A152="","",INDEX(Metrics!$A$6:$U$305,MATCH($A152,Metrics!$U$6:$U$305,0),MATCH(K$5,Metrics!$A$5:$U$5,0)))</f>
        <v/>
      </c>
      <c r="L152" t="str">
        <f>IF($A152="","",INDEX(Metrics!$A$6:$U$305,MATCH($A152,Metrics!$U$6:$U$305,0),MATCH(L$5,Metrics!$A$5:$U$5,0)))</f>
        <v/>
      </c>
      <c r="M152" t="str">
        <f>IF($A152="","",INDEX(Metrics!$A$6:$U$305,MATCH($A152,Metrics!$U$6:$U$305,0),MATCH(M$5,Metrics!$A$5:$U$5,0)))</f>
        <v/>
      </c>
      <c r="N152" t="str">
        <f>IF($A152="","",INDEX(Metrics!$A$6:$U$305,MATCH($A152,Metrics!$U$6:$U$305,0),MATCH(N$5,Metrics!$A$5:$U$5,0)))</f>
        <v/>
      </c>
      <c r="O152" t="str">
        <f>IF($A152="","",INDEX(Metrics!$A$6:$U$305,MATCH($A152,Metrics!$U$6:$U$305,0),MATCH(O$5,Metrics!$A$5:$U$5,0)))</f>
        <v/>
      </c>
      <c r="P152" t="str">
        <f>IF($A152="","",INDEX(Metrics!$A$6:$U$305,MATCH($A152,Metrics!$U$6:$U$305,0),MATCH(P$5,Metrics!$A$5:$U$5,0)))</f>
        <v/>
      </c>
    </row>
    <row r="153" spans="1:16" x14ac:dyDescent="0.4">
      <c r="A153" t="str">
        <f t="shared" si="2"/>
        <v/>
      </c>
      <c r="B153" t="str">
        <f>IF($A153="","",INDEX(Metrics!$A$6:$U$305,MATCH($A153,Metrics!$U$6:$U$305,0),MATCH(B$5,Metrics!$A$5:$U$5,0)))</f>
        <v/>
      </c>
      <c r="C153" t="str">
        <f>IF($A153="","",INDEX(Metrics!$A$6:$U$305,MATCH($A153,Metrics!$U$6:$U$305,0),MATCH(C$5,Metrics!$A$5:$U$5,0)))</f>
        <v/>
      </c>
      <c r="D153" t="str">
        <f>IF($A153="","",INDEX(Metrics!$A$6:$U$305,MATCH($A153,Metrics!$U$6:$U$305,0),MATCH(D$5,Metrics!$A$5:$U$5,0)))</f>
        <v/>
      </c>
      <c r="E153" s="14" t="str">
        <f>IF($A153="","",INDEX(Metrics!$A$6:$U$305,MATCH($A153,Metrics!$U$6:$U$305,0),MATCH(E$5,Metrics!$A$5:$U$5,0)))</f>
        <v/>
      </c>
      <c r="F153" s="7" t="str">
        <f>IF($A153="","",INDEX(Metrics!$A$6:$U$305,MATCH($A153,Metrics!$U$6:$U$305,0),MATCH(F$5,Metrics!$A$5:$U$5,0)))</f>
        <v/>
      </c>
      <c r="G153" s="9" t="str">
        <f>IF($A153="","",INDEX(Metrics!$A$6:$U$305,MATCH($A153,Metrics!$U$6:$U$305,0),MATCH(G$5,Metrics!$A$5:$U$5,0)))</f>
        <v/>
      </c>
      <c r="H153" s="9" t="str">
        <f>IF($A153="","",INDEX(Metrics!$A$6:$U$305,MATCH($A153,Metrics!$U$6:$U$305,0),MATCH(H$5,Metrics!$A$5:$U$5,0)))</f>
        <v/>
      </c>
      <c r="I153" s="7" t="str">
        <f>IF($A153="","",INDEX(Metrics!$A$6:$U$305,MATCH($A153,Metrics!$U$6:$U$305,0),MATCH(I$5,Metrics!$A$5:$U$5,0)))</f>
        <v/>
      </c>
      <c r="J153" s="9" t="str">
        <f>IF($A153="","",INDEX(Metrics!$A$6:$U$305,MATCH($A153,Metrics!$U$6:$U$305,0),MATCH(J$5,Metrics!$A$5:$U$5,0)))</f>
        <v/>
      </c>
      <c r="K153" s="10" t="str">
        <f>IF($A153="","",INDEX(Metrics!$A$6:$U$305,MATCH($A153,Metrics!$U$6:$U$305,0),MATCH(K$5,Metrics!$A$5:$U$5,0)))</f>
        <v/>
      </c>
      <c r="L153" t="str">
        <f>IF($A153="","",INDEX(Metrics!$A$6:$U$305,MATCH($A153,Metrics!$U$6:$U$305,0),MATCH(L$5,Metrics!$A$5:$U$5,0)))</f>
        <v/>
      </c>
      <c r="M153" t="str">
        <f>IF($A153="","",INDEX(Metrics!$A$6:$U$305,MATCH($A153,Metrics!$U$6:$U$305,0),MATCH(M$5,Metrics!$A$5:$U$5,0)))</f>
        <v/>
      </c>
      <c r="N153" t="str">
        <f>IF($A153="","",INDEX(Metrics!$A$6:$U$305,MATCH($A153,Metrics!$U$6:$U$305,0),MATCH(N$5,Metrics!$A$5:$U$5,0)))</f>
        <v/>
      </c>
      <c r="O153" t="str">
        <f>IF($A153="","",INDEX(Metrics!$A$6:$U$305,MATCH($A153,Metrics!$U$6:$U$305,0),MATCH(O$5,Metrics!$A$5:$U$5,0)))</f>
        <v/>
      </c>
      <c r="P153" t="str">
        <f>IF($A153="","",INDEX(Metrics!$A$6:$U$305,MATCH($A153,Metrics!$U$6:$U$305,0),MATCH(P$5,Metrics!$A$5:$U$5,0)))</f>
        <v/>
      </c>
    </row>
    <row r="154" spans="1:16" x14ac:dyDescent="0.4">
      <c r="A154" t="str">
        <f t="shared" si="2"/>
        <v/>
      </c>
      <c r="B154" t="str">
        <f>IF($A154="","",INDEX(Metrics!$A$6:$U$305,MATCH($A154,Metrics!$U$6:$U$305,0),MATCH(B$5,Metrics!$A$5:$U$5,0)))</f>
        <v/>
      </c>
      <c r="C154" t="str">
        <f>IF($A154="","",INDEX(Metrics!$A$6:$U$305,MATCH($A154,Metrics!$U$6:$U$305,0),MATCH(C$5,Metrics!$A$5:$U$5,0)))</f>
        <v/>
      </c>
      <c r="D154" t="str">
        <f>IF($A154="","",INDEX(Metrics!$A$6:$U$305,MATCH($A154,Metrics!$U$6:$U$305,0),MATCH(D$5,Metrics!$A$5:$U$5,0)))</f>
        <v/>
      </c>
      <c r="E154" s="14" t="str">
        <f>IF($A154="","",INDEX(Metrics!$A$6:$U$305,MATCH($A154,Metrics!$U$6:$U$305,0),MATCH(E$5,Metrics!$A$5:$U$5,0)))</f>
        <v/>
      </c>
      <c r="F154" s="7" t="str">
        <f>IF($A154="","",INDEX(Metrics!$A$6:$U$305,MATCH($A154,Metrics!$U$6:$U$305,0),MATCH(F$5,Metrics!$A$5:$U$5,0)))</f>
        <v/>
      </c>
      <c r="G154" s="9" t="str">
        <f>IF($A154="","",INDEX(Metrics!$A$6:$U$305,MATCH($A154,Metrics!$U$6:$U$305,0),MATCH(G$5,Metrics!$A$5:$U$5,0)))</f>
        <v/>
      </c>
      <c r="H154" s="9" t="str">
        <f>IF($A154="","",INDEX(Metrics!$A$6:$U$305,MATCH($A154,Metrics!$U$6:$U$305,0),MATCH(H$5,Metrics!$A$5:$U$5,0)))</f>
        <v/>
      </c>
      <c r="I154" s="7" t="str">
        <f>IF($A154="","",INDEX(Metrics!$A$6:$U$305,MATCH($A154,Metrics!$U$6:$U$305,0),MATCH(I$5,Metrics!$A$5:$U$5,0)))</f>
        <v/>
      </c>
      <c r="J154" s="9" t="str">
        <f>IF($A154="","",INDEX(Metrics!$A$6:$U$305,MATCH($A154,Metrics!$U$6:$U$305,0),MATCH(J$5,Metrics!$A$5:$U$5,0)))</f>
        <v/>
      </c>
      <c r="K154" s="10" t="str">
        <f>IF($A154="","",INDEX(Metrics!$A$6:$U$305,MATCH($A154,Metrics!$U$6:$U$305,0),MATCH(K$5,Metrics!$A$5:$U$5,0)))</f>
        <v/>
      </c>
      <c r="L154" t="str">
        <f>IF($A154="","",INDEX(Metrics!$A$6:$U$305,MATCH($A154,Metrics!$U$6:$U$305,0),MATCH(L$5,Metrics!$A$5:$U$5,0)))</f>
        <v/>
      </c>
      <c r="M154" t="str">
        <f>IF($A154="","",INDEX(Metrics!$A$6:$U$305,MATCH($A154,Metrics!$U$6:$U$305,0),MATCH(M$5,Metrics!$A$5:$U$5,0)))</f>
        <v/>
      </c>
      <c r="N154" t="str">
        <f>IF($A154="","",INDEX(Metrics!$A$6:$U$305,MATCH($A154,Metrics!$U$6:$U$305,0),MATCH(N$5,Metrics!$A$5:$U$5,0)))</f>
        <v/>
      </c>
      <c r="O154" t="str">
        <f>IF($A154="","",INDEX(Metrics!$A$6:$U$305,MATCH($A154,Metrics!$U$6:$U$305,0),MATCH(O$5,Metrics!$A$5:$U$5,0)))</f>
        <v/>
      </c>
      <c r="P154" t="str">
        <f>IF($A154="","",INDEX(Metrics!$A$6:$U$305,MATCH($A154,Metrics!$U$6:$U$305,0),MATCH(P$5,Metrics!$A$5:$U$5,0)))</f>
        <v/>
      </c>
    </row>
    <row r="155" spans="1:16" x14ac:dyDescent="0.4">
      <c r="A155" t="str">
        <f t="shared" si="2"/>
        <v/>
      </c>
      <c r="B155" t="str">
        <f>IF($A155="","",INDEX(Metrics!$A$6:$U$305,MATCH($A155,Metrics!$U$6:$U$305,0),MATCH(B$5,Metrics!$A$5:$U$5,0)))</f>
        <v/>
      </c>
      <c r="C155" t="str">
        <f>IF($A155="","",INDEX(Metrics!$A$6:$U$305,MATCH($A155,Metrics!$U$6:$U$305,0),MATCH(C$5,Metrics!$A$5:$U$5,0)))</f>
        <v/>
      </c>
      <c r="D155" t="str">
        <f>IF($A155="","",INDEX(Metrics!$A$6:$U$305,MATCH($A155,Metrics!$U$6:$U$305,0),MATCH(D$5,Metrics!$A$5:$U$5,0)))</f>
        <v/>
      </c>
      <c r="E155" s="14" t="str">
        <f>IF($A155="","",INDEX(Metrics!$A$6:$U$305,MATCH($A155,Metrics!$U$6:$U$305,0),MATCH(E$5,Metrics!$A$5:$U$5,0)))</f>
        <v/>
      </c>
      <c r="F155" s="7" t="str">
        <f>IF($A155="","",INDEX(Metrics!$A$6:$U$305,MATCH($A155,Metrics!$U$6:$U$305,0),MATCH(F$5,Metrics!$A$5:$U$5,0)))</f>
        <v/>
      </c>
      <c r="G155" s="9" t="str">
        <f>IF($A155="","",INDEX(Metrics!$A$6:$U$305,MATCH($A155,Metrics!$U$6:$U$305,0),MATCH(G$5,Metrics!$A$5:$U$5,0)))</f>
        <v/>
      </c>
      <c r="H155" s="9" t="str">
        <f>IF($A155="","",INDEX(Metrics!$A$6:$U$305,MATCH($A155,Metrics!$U$6:$U$305,0),MATCH(H$5,Metrics!$A$5:$U$5,0)))</f>
        <v/>
      </c>
      <c r="I155" s="7" t="str">
        <f>IF($A155="","",INDEX(Metrics!$A$6:$U$305,MATCH($A155,Metrics!$U$6:$U$305,0),MATCH(I$5,Metrics!$A$5:$U$5,0)))</f>
        <v/>
      </c>
      <c r="J155" s="9" t="str">
        <f>IF($A155="","",INDEX(Metrics!$A$6:$U$305,MATCH($A155,Metrics!$U$6:$U$305,0),MATCH(J$5,Metrics!$A$5:$U$5,0)))</f>
        <v/>
      </c>
      <c r="K155" s="10" t="str">
        <f>IF($A155="","",INDEX(Metrics!$A$6:$U$305,MATCH($A155,Metrics!$U$6:$U$305,0),MATCH(K$5,Metrics!$A$5:$U$5,0)))</f>
        <v/>
      </c>
      <c r="L155" t="str">
        <f>IF($A155="","",INDEX(Metrics!$A$6:$U$305,MATCH($A155,Metrics!$U$6:$U$305,0),MATCH(L$5,Metrics!$A$5:$U$5,0)))</f>
        <v/>
      </c>
      <c r="M155" t="str">
        <f>IF($A155="","",INDEX(Metrics!$A$6:$U$305,MATCH($A155,Metrics!$U$6:$U$305,0),MATCH(M$5,Metrics!$A$5:$U$5,0)))</f>
        <v/>
      </c>
      <c r="N155" t="str">
        <f>IF($A155="","",INDEX(Metrics!$A$6:$U$305,MATCH($A155,Metrics!$U$6:$U$305,0),MATCH(N$5,Metrics!$A$5:$U$5,0)))</f>
        <v/>
      </c>
      <c r="O155" t="str">
        <f>IF($A155="","",INDEX(Metrics!$A$6:$U$305,MATCH($A155,Metrics!$U$6:$U$305,0),MATCH(O$5,Metrics!$A$5:$U$5,0)))</f>
        <v/>
      </c>
      <c r="P155" t="str">
        <f>IF($A155="","",INDEX(Metrics!$A$6:$U$305,MATCH($A155,Metrics!$U$6:$U$305,0),MATCH(P$5,Metrics!$A$5:$U$5,0)))</f>
        <v/>
      </c>
    </row>
    <row r="156" spans="1:16" x14ac:dyDescent="0.4">
      <c r="A156" t="str">
        <f t="shared" si="2"/>
        <v/>
      </c>
      <c r="B156" t="str">
        <f>IF($A156="","",INDEX(Metrics!$A$6:$U$305,MATCH($A156,Metrics!$U$6:$U$305,0),MATCH(B$5,Metrics!$A$5:$U$5,0)))</f>
        <v/>
      </c>
      <c r="C156" t="str">
        <f>IF($A156="","",INDEX(Metrics!$A$6:$U$305,MATCH($A156,Metrics!$U$6:$U$305,0),MATCH(C$5,Metrics!$A$5:$U$5,0)))</f>
        <v/>
      </c>
      <c r="D156" t="str">
        <f>IF($A156="","",INDEX(Metrics!$A$6:$U$305,MATCH($A156,Metrics!$U$6:$U$305,0),MATCH(D$5,Metrics!$A$5:$U$5,0)))</f>
        <v/>
      </c>
      <c r="E156" s="14" t="str">
        <f>IF($A156="","",INDEX(Metrics!$A$6:$U$305,MATCH($A156,Metrics!$U$6:$U$305,0),MATCH(E$5,Metrics!$A$5:$U$5,0)))</f>
        <v/>
      </c>
      <c r="F156" s="7" t="str">
        <f>IF($A156="","",INDEX(Metrics!$A$6:$U$305,MATCH($A156,Metrics!$U$6:$U$305,0),MATCH(F$5,Metrics!$A$5:$U$5,0)))</f>
        <v/>
      </c>
      <c r="G156" s="9" t="str">
        <f>IF($A156="","",INDEX(Metrics!$A$6:$U$305,MATCH($A156,Metrics!$U$6:$U$305,0),MATCH(G$5,Metrics!$A$5:$U$5,0)))</f>
        <v/>
      </c>
      <c r="H156" s="9" t="str">
        <f>IF($A156="","",INDEX(Metrics!$A$6:$U$305,MATCH($A156,Metrics!$U$6:$U$305,0),MATCH(H$5,Metrics!$A$5:$U$5,0)))</f>
        <v/>
      </c>
      <c r="I156" s="7" t="str">
        <f>IF($A156="","",INDEX(Metrics!$A$6:$U$305,MATCH($A156,Metrics!$U$6:$U$305,0),MATCH(I$5,Metrics!$A$5:$U$5,0)))</f>
        <v/>
      </c>
      <c r="J156" s="9" t="str">
        <f>IF($A156="","",INDEX(Metrics!$A$6:$U$305,MATCH($A156,Metrics!$U$6:$U$305,0),MATCH(J$5,Metrics!$A$5:$U$5,0)))</f>
        <v/>
      </c>
      <c r="K156" s="10" t="str">
        <f>IF($A156="","",INDEX(Metrics!$A$6:$U$305,MATCH($A156,Metrics!$U$6:$U$305,0),MATCH(K$5,Metrics!$A$5:$U$5,0)))</f>
        <v/>
      </c>
      <c r="L156" t="str">
        <f>IF($A156="","",INDEX(Metrics!$A$6:$U$305,MATCH($A156,Metrics!$U$6:$U$305,0),MATCH(L$5,Metrics!$A$5:$U$5,0)))</f>
        <v/>
      </c>
      <c r="M156" t="str">
        <f>IF($A156="","",INDEX(Metrics!$A$6:$U$305,MATCH($A156,Metrics!$U$6:$U$305,0),MATCH(M$5,Metrics!$A$5:$U$5,0)))</f>
        <v/>
      </c>
      <c r="N156" t="str">
        <f>IF($A156="","",INDEX(Metrics!$A$6:$U$305,MATCH($A156,Metrics!$U$6:$U$305,0),MATCH(N$5,Metrics!$A$5:$U$5,0)))</f>
        <v/>
      </c>
      <c r="O156" t="str">
        <f>IF($A156="","",INDEX(Metrics!$A$6:$U$305,MATCH($A156,Metrics!$U$6:$U$305,0),MATCH(O$5,Metrics!$A$5:$U$5,0)))</f>
        <v/>
      </c>
      <c r="P156" t="str">
        <f>IF($A156="","",INDEX(Metrics!$A$6:$U$305,MATCH($A156,Metrics!$U$6:$U$305,0),MATCH(P$5,Metrics!$A$5:$U$5,0)))</f>
        <v/>
      </c>
    </row>
    <row r="157" spans="1:16" x14ac:dyDescent="0.4">
      <c r="A157" t="str">
        <f t="shared" si="2"/>
        <v/>
      </c>
      <c r="B157" t="str">
        <f>IF($A157="","",INDEX(Metrics!$A$6:$U$305,MATCH($A157,Metrics!$U$6:$U$305,0),MATCH(B$5,Metrics!$A$5:$U$5,0)))</f>
        <v/>
      </c>
      <c r="C157" t="str">
        <f>IF($A157="","",INDEX(Metrics!$A$6:$U$305,MATCH($A157,Metrics!$U$6:$U$305,0),MATCH(C$5,Metrics!$A$5:$U$5,0)))</f>
        <v/>
      </c>
      <c r="D157" t="str">
        <f>IF($A157="","",INDEX(Metrics!$A$6:$U$305,MATCH($A157,Metrics!$U$6:$U$305,0),MATCH(D$5,Metrics!$A$5:$U$5,0)))</f>
        <v/>
      </c>
      <c r="E157" s="14" t="str">
        <f>IF($A157="","",INDEX(Metrics!$A$6:$U$305,MATCH($A157,Metrics!$U$6:$U$305,0),MATCH(E$5,Metrics!$A$5:$U$5,0)))</f>
        <v/>
      </c>
      <c r="F157" s="7" t="str">
        <f>IF($A157="","",INDEX(Metrics!$A$6:$U$305,MATCH($A157,Metrics!$U$6:$U$305,0),MATCH(F$5,Metrics!$A$5:$U$5,0)))</f>
        <v/>
      </c>
      <c r="G157" s="9" t="str">
        <f>IF($A157="","",INDEX(Metrics!$A$6:$U$305,MATCH($A157,Metrics!$U$6:$U$305,0),MATCH(G$5,Metrics!$A$5:$U$5,0)))</f>
        <v/>
      </c>
      <c r="H157" s="9" t="str">
        <f>IF($A157="","",INDEX(Metrics!$A$6:$U$305,MATCH($A157,Metrics!$U$6:$U$305,0),MATCH(H$5,Metrics!$A$5:$U$5,0)))</f>
        <v/>
      </c>
      <c r="I157" s="7" t="str">
        <f>IF($A157="","",INDEX(Metrics!$A$6:$U$305,MATCH($A157,Metrics!$U$6:$U$305,0),MATCH(I$5,Metrics!$A$5:$U$5,0)))</f>
        <v/>
      </c>
      <c r="J157" s="9" t="str">
        <f>IF($A157="","",INDEX(Metrics!$A$6:$U$305,MATCH($A157,Metrics!$U$6:$U$305,0),MATCH(J$5,Metrics!$A$5:$U$5,0)))</f>
        <v/>
      </c>
      <c r="K157" s="10" t="str">
        <f>IF($A157="","",INDEX(Metrics!$A$6:$U$305,MATCH($A157,Metrics!$U$6:$U$305,0),MATCH(K$5,Metrics!$A$5:$U$5,0)))</f>
        <v/>
      </c>
      <c r="L157" t="str">
        <f>IF($A157="","",INDEX(Metrics!$A$6:$U$305,MATCH($A157,Metrics!$U$6:$U$305,0),MATCH(L$5,Metrics!$A$5:$U$5,0)))</f>
        <v/>
      </c>
      <c r="M157" t="str">
        <f>IF($A157="","",INDEX(Metrics!$A$6:$U$305,MATCH($A157,Metrics!$U$6:$U$305,0),MATCH(M$5,Metrics!$A$5:$U$5,0)))</f>
        <v/>
      </c>
      <c r="N157" t="str">
        <f>IF($A157="","",INDEX(Metrics!$A$6:$U$305,MATCH($A157,Metrics!$U$6:$U$305,0),MATCH(N$5,Metrics!$A$5:$U$5,0)))</f>
        <v/>
      </c>
      <c r="O157" t="str">
        <f>IF($A157="","",INDEX(Metrics!$A$6:$U$305,MATCH($A157,Metrics!$U$6:$U$305,0),MATCH(O$5,Metrics!$A$5:$U$5,0)))</f>
        <v/>
      </c>
      <c r="P157" t="str">
        <f>IF($A157="","",INDEX(Metrics!$A$6:$U$305,MATCH($A157,Metrics!$U$6:$U$305,0),MATCH(P$5,Metrics!$A$5:$U$5,0)))</f>
        <v/>
      </c>
    </row>
    <row r="158" spans="1:16" x14ac:dyDescent="0.4">
      <c r="A158" t="str">
        <f t="shared" si="2"/>
        <v/>
      </c>
      <c r="B158" t="str">
        <f>IF($A158="","",INDEX(Metrics!$A$6:$U$305,MATCH($A158,Metrics!$U$6:$U$305,0),MATCH(B$5,Metrics!$A$5:$U$5,0)))</f>
        <v/>
      </c>
      <c r="C158" t="str">
        <f>IF($A158="","",INDEX(Metrics!$A$6:$U$305,MATCH($A158,Metrics!$U$6:$U$305,0),MATCH(C$5,Metrics!$A$5:$U$5,0)))</f>
        <v/>
      </c>
      <c r="D158" t="str">
        <f>IF($A158="","",INDEX(Metrics!$A$6:$U$305,MATCH($A158,Metrics!$U$6:$U$305,0),MATCH(D$5,Metrics!$A$5:$U$5,0)))</f>
        <v/>
      </c>
      <c r="E158" s="14" t="str">
        <f>IF($A158="","",INDEX(Metrics!$A$6:$U$305,MATCH($A158,Metrics!$U$6:$U$305,0),MATCH(E$5,Metrics!$A$5:$U$5,0)))</f>
        <v/>
      </c>
      <c r="F158" s="7" t="str">
        <f>IF($A158="","",INDEX(Metrics!$A$6:$U$305,MATCH($A158,Metrics!$U$6:$U$305,0),MATCH(F$5,Metrics!$A$5:$U$5,0)))</f>
        <v/>
      </c>
      <c r="G158" s="9" t="str">
        <f>IF($A158="","",INDEX(Metrics!$A$6:$U$305,MATCH($A158,Metrics!$U$6:$U$305,0),MATCH(G$5,Metrics!$A$5:$U$5,0)))</f>
        <v/>
      </c>
      <c r="H158" s="9" t="str">
        <f>IF($A158="","",INDEX(Metrics!$A$6:$U$305,MATCH($A158,Metrics!$U$6:$U$305,0),MATCH(H$5,Metrics!$A$5:$U$5,0)))</f>
        <v/>
      </c>
      <c r="I158" s="7" t="str">
        <f>IF($A158="","",INDEX(Metrics!$A$6:$U$305,MATCH($A158,Metrics!$U$6:$U$305,0),MATCH(I$5,Metrics!$A$5:$U$5,0)))</f>
        <v/>
      </c>
      <c r="J158" s="9" t="str">
        <f>IF($A158="","",INDEX(Metrics!$A$6:$U$305,MATCH($A158,Metrics!$U$6:$U$305,0),MATCH(J$5,Metrics!$A$5:$U$5,0)))</f>
        <v/>
      </c>
      <c r="K158" s="10" t="str">
        <f>IF($A158="","",INDEX(Metrics!$A$6:$U$305,MATCH($A158,Metrics!$U$6:$U$305,0),MATCH(K$5,Metrics!$A$5:$U$5,0)))</f>
        <v/>
      </c>
      <c r="L158" t="str">
        <f>IF($A158="","",INDEX(Metrics!$A$6:$U$305,MATCH($A158,Metrics!$U$6:$U$305,0),MATCH(L$5,Metrics!$A$5:$U$5,0)))</f>
        <v/>
      </c>
      <c r="M158" t="str">
        <f>IF($A158="","",INDEX(Metrics!$A$6:$U$305,MATCH($A158,Metrics!$U$6:$U$305,0),MATCH(M$5,Metrics!$A$5:$U$5,0)))</f>
        <v/>
      </c>
      <c r="N158" t="str">
        <f>IF($A158="","",INDEX(Metrics!$A$6:$U$305,MATCH($A158,Metrics!$U$6:$U$305,0),MATCH(N$5,Metrics!$A$5:$U$5,0)))</f>
        <v/>
      </c>
      <c r="O158" t="str">
        <f>IF($A158="","",INDEX(Metrics!$A$6:$U$305,MATCH($A158,Metrics!$U$6:$U$305,0),MATCH(O$5,Metrics!$A$5:$U$5,0)))</f>
        <v/>
      </c>
      <c r="P158" t="str">
        <f>IF($A158="","",INDEX(Metrics!$A$6:$U$305,MATCH($A158,Metrics!$U$6:$U$305,0),MATCH(P$5,Metrics!$A$5:$U$5,0)))</f>
        <v/>
      </c>
    </row>
    <row r="159" spans="1:16" x14ac:dyDescent="0.4">
      <c r="A159" t="str">
        <f t="shared" si="2"/>
        <v/>
      </c>
      <c r="B159" t="str">
        <f>IF($A159="","",INDEX(Metrics!$A$6:$U$305,MATCH($A159,Metrics!$U$6:$U$305,0),MATCH(B$5,Metrics!$A$5:$U$5,0)))</f>
        <v/>
      </c>
      <c r="C159" t="str">
        <f>IF($A159="","",INDEX(Metrics!$A$6:$U$305,MATCH($A159,Metrics!$U$6:$U$305,0),MATCH(C$5,Metrics!$A$5:$U$5,0)))</f>
        <v/>
      </c>
      <c r="D159" t="str">
        <f>IF($A159="","",INDEX(Metrics!$A$6:$U$305,MATCH($A159,Metrics!$U$6:$U$305,0),MATCH(D$5,Metrics!$A$5:$U$5,0)))</f>
        <v/>
      </c>
      <c r="E159" s="14" t="str">
        <f>IF($A159="","",INDEX(Metrics!$A$6:$U$305,MATCH($A159,Metrics!$U$6:$U$305,0),MATCH(E$5,Metrics!$A$5:$U$5,0)))</f>
        <v/>
      </c>
      <c r="F159" s="7" t="str">
        <f>IF($A159="","",INDEX(Metrics!$A$6:$U$305,MATCH($A159,Metrics!$U$6:$U$305,0),MATCH(F$5,Metrics!$A$5:$U$5,0)))</f>
        <v/>
      </c>
      <c r="G159" s="9" t="str">
        <f>IF($A159="","",INDEX(Metrics!$A$6:$U$305,MATCH($A159,Metrics!$U$6:$U$305,0),MATCH(G$5,Metrics!$A$5:$U$5,0)))</f>
        <v/>
      </c>
      <c r="H159" s="9" t="str">
        <f>IF($A159="","",INDEX(Metrics!$A$6:$U$305,MATCH($A159,Metrics!$U$6:$U$305,0),MATCH(H$5,Metrics!$A$5:$U$5,0)))</f>
        <v/>
      </c>
      <c r="I159" s="7" t="str">
        <f>IF($A159="","",INDEX(Metrics!$A$6:$U$305,MATCH($A159,Metrics!$U$6:$U$305,0),MATCH(I$5,Metrics!$A$5:$U$5,0)))</f>
        <v/>
      </c>
      <c r="J159" s="9" t="str">
        <f>IF($A159="","",INDEX(Metrics!$A$6:$U$305,MATCH($A159,Metrics!$U$6:$U$305,0),MATCH(J$5,Metrics!$A$5:$U$5,0)))</f>
        <v/>
      </c>
      <c r="K159" s="10" t="str">
        <f>IF($A159="","",INDEX(Metrics!$A$6:$U$305,MATCH($A159,Metrics!$U$6:$U$305,0),MATCH(K$5,Metrics!$A$5:$U$5,0)))</f>
        <v/>
      </c>
      <c r="L159" t="str">
        <f>IF($A159="","",INDEX(Metrics!$A$6:$U$305,MATCH($A159,Metrics!$U$6:$U$305,0),MATCH(L$5,Metrics!$A$5:$U$5,0)))</f>
        <v/>
      </c>
      <c r="M159" t="str">
        <f>IF($A159="","",INDEX(Metrics!$A$6:$U$305,MATCH($A159,Metrics!$U$6:$U$305,0),MATCH(M$5,Metrics!$A$5:$U$5,0)))</f>
        <v/>
      </c>
      <c r="N159" t="str">
        <f>IF($A159="","",INDEX(Metrics!$A$6:$U$305,MATCH($A159,Metrics!$U$6:$U$305,0),MATCH(N$5,Metrics!$A$5:$U$5,0)))</f>
        <v/>
      </c>
      <c r="O159" t="str">
        <f>IF($A159="","",INDEX(Metrics!$A$6:$U$305,MATCH($A159,Metrics!$U$6:$U$305,0),MATCH(O$5,Metrics!$A$5:$U$5,0)))</f>
        <v/>
      </c>
      <c r="P159" t="str">
        <f>IF($A159="","",INDEX(Metrics!$A$6:$U$305,MATCH($A159,Metrics!$U$6:$U$305,0),MATCH(P$5,Metrics!$A$5:$U$5,0)))</f>
        <v/>
      </c>
    </row>
    <row r="160" spans="1:16" x14ac:dyDescent="0.4">
      <c r="A160" t="str">
        <f t="shared" si="2"/>
        <v/>
      </c>
      <c r="B160" t="str">
        <f>IF($A160="","",INDEX(Metrics!$A$6:$U$305,MATCH($A160,Metrics!$U$6:$U$305,0),MATCH(B$5,Metrics!$A$5:$U$5,0)))</f>
        <v/>
      </c>
      <c r="C160" t="str">
        <f>IF($A160="","",INDEX(Metrics!$A$6:$U$305,MATCH($A160,Metrics!$U$6:$U$305,0),MATCH(C$5,Metrics!$A$5:$U$5,0)))</f>
        <v/>
      </c>
      <c r="D160" t="str">
        <f>IF($A160="","",INDEX(Metrics!$A$6:$U$305,MATCH($A160,Metrics!$U$6:$U$305,0),MATCH(D$5,Metrics!$A$5:$U$5,0)))</f>
        <v/>
      </c>
      <c r="E160" s="14" t="str">
        <f>IF($A160="","",INDEX(Metrics!$A$6:$U$305,MATCH($A160,Metrics!$U$6:$U$305,0),MATCH(E$5,Metrics!$A$5:$U$5,0)))</f>
        <v/>
      </c>
      <c r="F160" s="7" t="str">
        <f>IF($A160="","",INDEX(Metrics!$A$6:$U$305,MATCH($A160,Metrics!$U$6:$U$305,0),MATCH(F$5,Metrics!$A$5:$U$5,0)))</f>
        <v/>
      </c>
      <c r="G160" s="9" t="str">
        <f>IF($A160="","",INDEX(Metrics!$A$6:$U$305,MATCH($A160,Metrics!$U$6:$U$305,0),MATCH(G$5,Metrics!$A$5:$U$5,0)))</f>
        <v/>
      </c>
      <c r="H160" s="9" t="str">
        <f>IF($A160="","",INDEX(Metrics!$A$6:$U$305,MATCH($A160,Metrics!$U$6:$U$305,0),MATCH(H$5,Metrics!$A$5:$U$5,0)))</f>
        <v/>
      </c>
      <c r="I160" s="7" t="str">
        <f>IF($A160="","",INDEX(Metrics!$A$6:$U$305,MATCH($A160,Metrics!$U$6:$U$305,0),MATCH(I$5,Metrics!$A$5:$U$5,0)))</f>
        <v/>
      </c>
      <c r="J160" s="9" t="str">
        <f>IF($A160="","",INDEX(Metrics!$A$6:$U$305,MATCH($A160,Metrics!$U$6:$U$305,0),MATCH(J$5,Metrics!$A$5:$U$5,0)))</f>
        <v/>
      </c>
      <c r="K160" s="10" t="str">
        <f>IF($A160="","",INDEX(Metrics!$A$6:$U$305,MATCH($A160,Metrics!$U$6:$U$305,0),MATCH(K$5,Metrics!$A$5:$U$5,0)))</f>
        <v/>
      </c>
      <c r="L160" t="str">
        <f>IF($A160="","",INDEX(Metrics!$A$6:$U$305,MATCH($A160,Metrics!$U$6:$U$305,0),MATCH(L$5,Metrics!$A$5:$U$5,0)))</f>
        <v/>
      </c>
      <c r="M160" t="str">
        <f>IF($A160="","",INDEX(Metrics!$A$6:$U$305,MATCH($A160,Metrics!$U$6:$U$305,0),MATCH(M$5,Metrics!$A$5:$U$5,0)))</f>
        <v/>
      </c>
      <c r="N160" t="str">
        <f>IF($A160="","",INDEX(Metrics!$A$6:$U$305,MATCH($A160,Metrics!$U$6:$U$305,0),MATCH(N$5,Metrics!$A$5:$U$5,0)))</f>
        <v/>
      </c>
      <c r="O160" t="str">
        <f>IF($A160="","",INDEX(Metrics!$A$6:$U$305,MATCH($A160,Metrics!$U$6:$U$305,0),MATCH(O$5,Metrics!$A$5:$U$5,0)))</f>
        <v/>
      </c>
      <c r="P160" t="str">
        <f>IF($A160="","",INDEX(Metrics!$A$6:$U$305,MATCH($A160,Metrics!$U$6:$U$305,0),MATCH(P$5,Metrics!$A$5:$U$5,0)))</f>
        <v/>
      </c>
    </row>
    <row r="161" spans="1:16" x14ac:dyDescent="0.4">
      <c r="A161" t="str">
        <f t="shared" si="2"/>
        <v/>
      </c>
      <c r="B161" t="str">
        <f>IF($A161="","",INDEX(Metrics!$A$6:$U$305,MATCH($A161,Metrics!$U$6:$U$305,0),MATCH(B$5,Metrics!$A$5:$U$5,0)))</f>
        <v/>
      </c>
      <c r="C161" t="str">
        <f>IF($A161="","",INDEX(Metrics!$A$6:$U$305,MATCH($A161,Metrics!$U$6:$U$305,0),MATCH(C$5,Metrics!$A$5:$U$5,0)))</f>
        <v/>
      </c>
      <c r="D161" t="str">
        <f>IF($A161="","",INDEX(Metrics!$A$6:$U$305,MATCH($A161,Metrics!$U$6:$U$305,0),MATCH(D$5,Metrics!$A$5:$U$5,0)))</f>
        <v/>
      </c>
      <c r="E161" s="14" t="str">
        <f>IF($A161="","",INDEX(Metrics!$A$6:$U$305,MATCH($A161,Metrics!$U$6:$U$305,0),MATCH(E$5,Metrics!$A$5:$U$5,0)))</f>
        <v/>
      </c>
      <c r="F161" s="7" t="str">
        <f>IF($A161="","",INDEX(Metrics!$A$6:$U$305,MATCH($A161,Metrics!$U$6:$U$305,0),MATCH(F$5,Metrics!$A$5:$U$5,0)))</f>
        <v/>
      </c>
      <c r="G161" s="9" t="str">
        <f>IF($A161="","",INDEX(Metrics!$A$6:$U$305,MATCH($A161,Metrics!$U$6:$U$305,0),MATCH(G$5,Metrics!$A$5:$U$5,0)))</f>
        <v/>
      </c>
      <c r="H161" s="9" t="str">
        <f>IF($A161="","",INDEX(Metrics!$A$6:$U$305,MATCH($A161,Metrics!$U$6:$U$305,0),MATCH(H$5,Metrics!$A$5:$U$5,0)))</f>
        <v/>
      </c>
      <c r="I161" s="7" t="str">
        <f>IF($A161="","",INDEX(Metrics!$A$6:$U$305,MATCH($A161,Metrics!$U$6:$U$305,0),MATCH(I$5,Metrics!$A$5:$U$5,0)))</f>
        <v/>
      </c>
      <c r="J161" s="9" t="str">
        <f>IF($A161="","",INDEX(Metrics!$A$6:$U$305,MATCH($A161,Metrics!$U$6:$U$305,0),MATCH(J$5,Metrics!$A$5:$U$5,0)))</f>
        <v/>
      </c>
      <c r="K161" s="10" t="str">
        <f>IF($A161="","",INDEX(Metrics!$A$6:$U$305,MATCH($A161,Metrics!$U$6:$U$305,0),MATCH(K$5,Metrics!$A$5:$U$5,0)))</f>
        <v/>
      </c>
      <c r="L161" t="str">
        <f>IF($A161="","",INDEX(Metrics!$A$6:$U$305,MATCH($A161,Metrics!$U$6:$U$305,0),MATCH(L$5,Metrics!$A$5:$U$5,0)))</f>
        <v/>
      </c>
      <c r="M161" t="str">
        <f>IF($A161="","",INDEX(Metrics!$A$6:$U$305,MATCH($A161,Metrics!$U$6:$U$305,0),MATCH(M$5,Metrics!$A$5:$U$5,0)))</f>
        <v/>
      </c>
      <c r="N161" t="str">
        <f>IF($A161="","",INDEX(Metrics!$A$6:$U$305,MATCH($A161,Metrics!$U$6:$U$305,0),MATCH(N$5,Metrics!$A$5:$U$5,0)))</f>
        <v/>
      </c>
      <c r="O161" t="str">
        <f>IF($A161="","",INDEX(Metrics!$A$6:$U$305,MATCH($A161,Metrics!$U$6:$U$305,0),MATCH(O$5,Metrics!$A$5:$U$5,0)))</f>
        <v/>
      </c>
      <c r="P161" t="str">
        <f>IF($A161="","",INDEX(Metrics!$A$6:$U$305,MATCH($A161,Metrics!$U$6:$U$305,0),MATCH(P$5,Metrics!$A$5:$U$5,0)))</f>
        <v/>
      </c>
    </row>
    <row r="162" spans="1:16" x14ac:dyDescent="0.4">
      <c r="A162" t="str">
        <f t="shared" si="2"/>
        <v/>
      </c>
      <c r="B162" t="str">
        <f>IF($A162="","",INDEX(Metrics!$A$6:$U$305,MATCH($A162,Metrics!$U$6:$U$305,0),MATCH(B$5,Metrics!$A$5:$U$5,0)))</f>
        <v/>
      </c>
      <c r="C162" t="str">
        <f>IF($A162="","",INDEX(Metrics!$A$6:$U$305,MATCH($A162,Metrics!$U$6:$U$305,0),MATCH(C$5,Metrics!$A$5:$U$5,0)))</f>
        <v/>
      </c>
      <c r="D162" t="str">
        <f>IF($A162="","",INDEX(Metrics!$A$6:$U$305,MATCH($A162,Metrics!$U$6:$U$305,0),MATCH(D$5,Metrics!$A$5:$U$5,0)))</f>
        <v/>
      </c>
      <c r="E162" s="14" t="str">
        <f>IF($A162="","",INDEX(Metrics!$A$6:$U$305,MATCH($A162,Metrics!$U$6:$U$305,0),MATCH(E$5,Metrics!$A$5:$U$5,0)))</f>
        <v/>
      </c>
      <c r="F162" s="7" t="str">
        <f>IF($A162="","",INDEX(Metrics!$A$6:$U$305,MATCH($A162,Metrics!$U$6:$U$305,0),MATCH(F$5,Metrics!$A$5:$U$5,0)))</f>
        <v/>
      </c>
      <c r="G162" s="9" t="str">
        <f>IF($A162="","",INDEX(Metrics!$A$6:$U$305,MATCH($A162,Metrics!$U$6:$U$305,0),MATCH(G$5,Metrics!$A$5:$U$5,0)))</f>
        <v/>
      </c>
      <c r="H162" s="9" t="str">
        <f>IF($A162="","",INDEX(Metrics!$A$6:$U$305,MATCH($A162,Metrics!$U$6:$U$305,0),MATCH(H$5,Metrics!$A$5:$U$5,0)))</f>
        <v/>
      </c>
      <c r="I162" s="7" t="str">
        <f>IF($A162="","",INDEX(Metrics!$A$6:$U$305,MATCH($A162,Metrics!$U$6:$U$305,0),MATCH(I$5,Metrics!$A$5:$U$5,0)))</f>
        <v/>
      </c>
      <c r="J162" s="9" t="str">
        <f>IF($A162="","",INDEX(Metrics!$A$6:$U$305,MATCH($A162,Metrics!$U$6:$U$305,0),MATCH(J$5,Metrics!$A$5:$U$5,0)))</f>
        <v/>
      </c>
      <c r="K162" s="10" t="str">
        <f>IF($A162="","",INDEX(Metrics!$A$6:$U$305,MATCH($A162,Metrics!$U$6:$U$305,0),MATCH(K$5,Metrics!$A$5:$U$5,0)))</f>
        <v/>
      </c>
      <c r="L162" t="str">
        <f>IF($A162="","",INDEX(Metrics!$A$6:$U$305,MATCH($A162,Metrics!$U$6:$U$305,0),MATCH(L$5,Metrics!$A$5:$U$5,0)))</f>
        <v/>
      </c>
      <c r="M162" t="str">
        <f>IF($A162="","",INDEX(Metrics!$A$6:$U$305,MATCH($A162,Metrics!$U$6:$U$305,0),MATCH(M$5,Metrics!$A$5:$U$5,0)))</f>
        <v/>
      </c>
      <c r="N162" t="str">
        <f>IF($A162="","",INDEX(Metrics!$A$6:$U$305,MATCH($A162,Metrics!$U$6:$U$305,0),MATCH(N$5,Metrics!$A$5:$U$5,0)))</f>
        <v/>
      </c>
      <c r="O162" t="str">
        <f>IF($A162="","",INDEX(Metrics!$A$6:$U$305,MATCH($A162,Metrics!$U$6:$U$305,0),MATCH(O$5,Metrics!$A$5:$U$5,0)))</f>
        <v/>
      </c>
      <c r="P162" t="str">
        <f>IF($A162="","",INDEX(Metrics!$A$6:$U$305,MATCH($A162,Metrics!$U$6:$U$305,0),MATCH(P$5,Metrics!$A$5:$U$5,0)))</f>
        <v/>
      </c>
    </row>
    <row r="163" spans="1:16" x14ac:dyDescent="0.4">
      <c r="A163" t="str">
        <f t="shared" si="2"/>
        <v/>
      </c>
      <c r="B163" t="str">
        <f>IF($A163="","",INDEX(Metrics!$A$6:$U$305,MATCH($A163,Metrics!$U$6:$U$305,0),MATCH(B$5,Metrics!$A$5:$U$5,0)))</f>
        <v/>
      </c>
      <c r="C163" t="str">
        <f>IF($A163="","",INDEX(Metrics!$A$6:$U$305,MATCH($A163,Metrics!$U$6:$U$305,0),MATCH(C$5,Metrics!$A$5:$U$5,0)))</f>
        <v/>
      </c>
      <c r="D163" t="str">
        <f>IF($A163="","",INDEX(Metrics!$A$6:$U$305,MATCH($A163,Metrics!$U$6:$U$305,0),MATCH(D$5,Metrics!$A$5:$U$5,0)))</f>
        <v/>
      </c>
      <c r="E163" s="14" t="str">
        <f>IF($A163="","",INDEX(Metrics!$A$6:$U$305,MATCH($A163,Metrics!$U$6:$U$305,0),MATCH(E$5,Metrics!$A$5:$U$5,0)))</f>
        <v/>
      </c>
      <c r="F163" s="7" t="str">
        <f>IF($A163="","",INDEX(Metrics!$A$6:$U$305,MATCH($A163,Metrics!$U$6:$U$305,0),MATCH(F$5,Metrics!$A$5:$U$5,0)))</f>
        <v/>
      </c>
      <c r="G163" s="9" t="str">
        <f>IF($A163="","",INDEX(Metrics!$A$6:$U$305,MATCH($A163,Metrics!$U$6:$U$305,0),MATCH(G$5,Metrics!$A$5:$U$5,0)))</f>
        <v/>
      </c>
      <c r="H163" s="9" t="str">
        <f>IF($A163="","",INDEX(Metrics!$A$6:$U$305,MATCH($A163,Metrics!$U$6:$U$305,0),MATCH(H$5,Metrics!$A$5:$U$5,0)))</f>
        <v/>
      </c>
      <c r="I163" s="7" t="str">
        <f>IF($A163="","",INDEX(Metrics!$A$6:$U$305,MATCH($A163,Metrics!$U$6:$U$305,0),MATCH(I$5,Metrics!$A$5:$U$5,0)))</f>
        <v/>
      </c>
      <c r="J163" s="9" t="str">
        <f>IF($A163="","",INDEX(Metrics!$A$6:$U$305,MATCH($A163,Metrics!$U$6:$U$305,0),MATCH(J$5,Metrics!$A$5:$U$5,0)))</f>
        <v/>
      </c>
      <c r="K163" s="10" t="str">
        <f>IF($A163="","",INDEX(Metrics!$A$6:$U$305,MATCH($A163,Metrics!$U$6:$U$305,0),MATCH(K$5,Metrics!$A$5:$U$5,0)))</f>
        <v/>
      </c>
      <c r="L163" t="str">
        <f>IF($A163="","",INDEX(Metrics!$A$6:$U$305,MATCH($A163,Metrics!$U$6:$U$305,0),MATCH(L$5,Metrics!$A$5:$U$5,0)))</f>
        <v/>
      </c>
      <c r="M163" t="str">
        <f>IF($A163="","",INDEX(Metrics!$A$6:$U$305,MATCH($A163,Metrics!$U$6:$U$305,0),MATCH(M$5,Metrics!$A$5:$U$5,0)))</f>
        <v/>
      </c>
      <c r="N163" t="str">
        <f>IF($A163="","",INDEX(Metrics!$A$6:$U$305,MATCH($A163,Metrics!$U$6:$U$305,0),MATCH(N$5,Metrics!$A$5:$U$5,0)))</f>
        <v/>
      </c>
      <c r="O163" t="str">
        <f>IF($A163="","",INDEX(Metrics!$A$6:$U$305,MATCH($A163,Metrics!$U$6:$U$305,0),MATCH(O$5,Metrics!$A$5:$U$5,0)))</f>
        <v/>
      </c>
      <c r="P163" t="str">
        <f>IF($A163="","",INDEX(Metrics!$A$6:$U$305,MATCH($A163,Metrics!$U$6:$U$305,0),MATCH(P$5,Metrics!$A$5:$U$5,0)))</f>
        <v/>
      </c>
    </row>
    <row r="164" spans="1:16" x14ac:dyDescent="0.4">
      <c r="A164" t="str">
        <f t="shared" si="2"/>
        <v/>
      </c>
      <c r="B164" t="str">
        <f>IF($A164="","",INDEX(Metrics!$A$6:$U$305,MATCH($A164,Metrics!$U$6:$U$305,0),MATCH(B$5,Metrics!$A$5:$U$5,0)))</f>
        <v/>
      </c>
      <c r="C164" t="str">
        <f>IF($A164="","",INDEX(Metrics!$A$6:$U$305,MATCH($A164,Metrics!$U$6:$U$305,0),MATCH(C$5,Metrics!$A$5:$U$5,0)))</f>
        <v/>
      </c>
      <c r="D164" t="str">
        <f>IF($A164="","",INDEX(Metrics!$A$6:$U$305,MATCH($A164,Metrics!$U$6:$U$305,0),MATCH(D$5,Metrics!$A$5:$U$5,0)))</f>
        <v/>
      </c>
      <c r="E164" s="14" t="str">
        <f>IF($A164="","",INDEX(Metrics!$A$6:$U$305,MATCH($A164,Metrics!$U$6:$U$305,0),MATCH(E$5,Metrics!$A$5:$U$5,0)))</f>
        <v/>
      </c>
      <c r="F164" s="7" t="str">
        <f>IF($A164="","",INDEX(Metrics!$A$6:$U$305,MATCH($A164,Metrics!$U$6:$U$305,0),MATCH(F$5,Metrics!$A$5:$U$5,0)))</f>
        <v/>
      </c>
      <c r="G164" s="9" t="str">
        <f>IF($A164="","",INDEX(Metrics!$A$6:$U$305,MATCH($A164,Metrics!$U$6:$U$305,0),MATCH(G$5,Metrics!$A$5:$U$5,0)))</f>
        <v/>
      </c>
      <c r="H164" s="9" t="str">
        <f>IF($A164="","",INDEX(Metrics!$A$6:$U$305,MATCH($A164,Metrics!$U$6:$U$305,0),MATCH(H$5,Metrics!$A$5:$U$5,0)))</f>
        <v/>
      </c>
      <c r="I164" s="7" t="str">
        <f>IF($A164="","",INDEX(Metrics!$A$6:$U$305,MATCH($A164,Metrics!$U$6:$U$305,0),MATCH(I$5,Metrics!$A$5:$U$5,0)))</f>
        <v/>
      </c>
      <c r="J164" s="9" t="str">
        <f>IF($A164="","",INDEX(Metrics!$A$6:$U$305,MATCH($A164,Metrics!$U$6:$U$305,0),MATCH(J$5,Metrics!$A$5:$U$5,0)))</f>
        <v/>
      </c>
      <c r="K164" s="10" t="str">
        <f>IF($A164="","",INDEX(Metrics!$A$6:$U$305,MATCH($A164,Metrics!$U$6:$U$305,0),MATCH(K$5,Metrics!$A$5:$U$5,0)))</f>
        <v/>
      </c>
      <c r="L164" t="str">
        <f>IF($A164="","",INDEX(Metrics!$A$6:$U$305,MATCH($A164,Metrics!$U$6:$U$305,0),MATCH(L$5,Metrics!$A$5:$U$5,0)))</f>
        <v/>
      </c>
      <c r="M164" t="str">
        <f>IF($A164="","",INDEX(Metrics!$A$6:$U$305,MATCH($A164,Metrics!$U$6:$U$305,0),MATCH(M$5,Metrics!$A$5:$U$5,0)))</f>
        <v/>
      </c>
      <c r="N164" t="str">
        <f>IF($A164="","",INDEX(Metrics!$A$6:$U$305,MATCH($A164,Metrics!$U$6:$U$305,0),MATCH(N$5,Metrics!$A$5:$U$5,0)))</f>
        <v/>
      </c>
      <c r="O164" t="str">
        <f>IF($A164="","",INDEX(Metrics!$A$6:$U$305,MATCH($A164,Metrics!$U$6:$U$305,0),MATCH(O$5,Metrics!$A$5:$U$5,0)))</f>
        <v/>
      </c>
      <c r="P164" t="str">
        <f>IF($A164="","",INDEX(Metrics!$A$6:$U$305,MATCH($A164,Metrics!$U$6:$U$305,0),MATCH(P$5,Metrics!$A$5:$U$5,0)))</f>
        <v/>
      </c>
    </row>
    <row r="165" spans="1:16" x14ac:dyDescent="0.4">
      <c r="A165" t="str">
        <f t="shared" si="2"/>
        <v/>
      </c>
      <c r="B165" t="str">
        <f>IF($A165="","",INDEX(Metrics!$A$6:$U$305,MATCH($A165,Metrics!$U$6:$U$305,0),MATCH(B$5,Metrics!$A$5:$U$5,0)))</f>
        <v/>
      </c>
      <c r="C165" t="str">
        <f>IF($A165="","",INDEX(Metrics!$A$6:$U$305,MATCH($A165,Metrics!$U$6:$U$305,0),MATCH(C$5,Metrics!$A$5:$U$5,0)))</f>
        <v/>
      </c>
      <c r="D165" t="str">
        <f>IF($A165="","",INDEX(Metrics!$A$6:$U$305,MATCH($A165,Metrics!$U$6:$U$305,0),MATCH(D$5,Metrics!$A$5:$U$5,0)))</f>
        <v/>
      </c>
      <c r="E165" s="14" t="str">
        <f>IF($A165="","",INDEX(Metrics!$A$6:$U$305,MATCH($A165,Metrics!$U$6:$U$305,0),MATCH(E$5,Metrics!$A$5:$U$5,0)))</f>
        <v/>
      </c>
      <c r="F165" s="7" t="str">
        <f>IF($A165="","",INDEX(Metrics!$A$6:$U$305,MATCH($A165,Metrics!$U$6:$U$305,0),MATCH(F$5,Metrics!$A$5:$U$5,0)))</f>
        <v/>
      </c>
      <c r="G165" s="9" t="str">
        <f>IF($A165="","",INDEX(Metrics!$A$6:$U$305,MATCH($A165,Metrics!$U$6:$U$305,0),MATCH(G$5,Metrics!$A$5:$U$5,0)))</f>
        <v/>
      </c>
      <c r="H165" s="9" t="str">
        <f>IF($A165="","",INDEX(Metrics!$A$6:$U$305,MATCH($A165,Metrics!$U$6:$U$305,0),MATCH(H$5,Metrics!$A$5:$U$5,0)))</f>
        <v/>
      </c>
      <c r="I165" s="7" t="str">
        <f>IF($A165="","",INDEX(Metrics!$A$6:$U$305,MATCH($A165,Metrics!$U$6:$U$305,0),MATCH(I$5,Metrics!$A$5:$U$5,0)))</f>
        <v/>
      </c>
      <c r="J165" s="9" t="str">
        <f>IF($A165="","",INDEX(Metrics!$A$6:$U$305,MATCH($A165,Metrics!$U$6:$U$305,0),MATCH(J$5,Metrics!$A$5:$U$5,0)))</f>
        <v/>
      </c>
      <c r="K165" s="10" t="str">
        <f>IF($A165="","",INDEX(Metrics!$A$6:$U$305,MATCH($A165,Metrics!$U$6:$U$305,0),MATCH(K$5,Metrics!$A$5:$U$5,0)))</f>
        <v/>
      </c>
      <c r="L165" t="str">
        <f>IF($A165="","",INDEX(Metrics!$A$6:$U$305,MATCH($A165,Metrics!$U$6:$U$305,0),MATCH(L$5,Metrics!$A$5:$U$5,0)))</f>
        <v/>
      </c>
      <c r="M165" t="str">
        <f>IF($A165="","",INDEX(Metrics!$A$6:$U$305,MATCH($A165,Metrics!$U$6:$U$305,0),MATCH(M$5,Metrics!$A$5:$U$5,0)))</f>
        <v/>
      </c>
      <c r="N165" t="str">
        <f>IF($A165="","",INDEX(Metrics!$A$6:$U$305,MATCH($A165,Metrics!$U$6:$U$305,0),MATCH(N$5,Metrics!$A$5:$U$5,0)))</f>
        <v/>
      </c>
      <c r="O165" t="str">
        <f>IF($A165="","",INDEX(Metrics!$A$6:$U$305,MATCH($A165,Metrics!$U$6:$U$305,0),MATCH(O$5,Metrics!$A$5:$U$5,0)))</f>
        <v/>
      </c>
      <c r="P165" t="str">
        <f>IF($A165="","",INDEX(Metrics!$A$6:$U$305,MATCH($A165,Metrics!$U$6:$U$305,0),MATCH(P$5,Metrics!$A$5:$U$5,0)))</f>
        <v/>
      </c>
    </row>
    <row r="166" spans="1:16" x14ac:dyDescent="0.4">
      <c r="A166" t="str">
        <f t="shared" si="2"/>
        <v/>
      </c>
      <c r="B166" t="str">
        <f>IF($A166="","",INDEX(Metrics!$A$6:$U$305,MATCH($A166,Metrics!$U$6:$U$305,0),MATCH(B$5,Metrics!$A$5:$U$5,0)))</f>
        <v/>
      </c>
      <c r="C166" t="str">
        <f>IF($A166="","",INDEX(Metrics!$A$6:$U$305,MATCH($A166,Metrics!$U$6:$U$305,0),MATCH(C$5,Metrics!$A$5:$U$5,0)))</f>
        <v/>
      </c>
      <c r="D166" t="str">
        <f>IF($A166="","",INDEX(Metrics!$A$6:$U$305,MATCH($A166,Metrics!$U$6:$U$305,0),MATCH(D$5,Metrics!$A$5:$U$5,0)))</f>
        <v/>
      </c>
      <c r="E166" s="14" t="str">
        <f>IF($A166="","",INDEX(Metrics!$A$6:$U$305,MATCH($A166,Metrics!$U$6:$U$305,0),MATCH(E$5,Metrics!$A$5:$U$5,0)))</f>
        <v/>
      </c>
      <c r="F166" s="7" t="str">
        <f>IF($A166="","",INDEX(Metrics!$A$6:$U$305,MATCH($A166,Metrics!$U$6:$U$305,0),MATCH(F$5,Metrics!$A$5:$U$5,0)))</f>
        <v/>
      </c>
      <c r="G166" s="9" t="str">
        <f>IF($A166="","",INDEX(Metrics!$A$6:$U$305,MATCH($A166,Metrics!$U$6:$U$305,0),MATCH(G$5,Metrics!$A$5:$U$5,0)))</f>
        <v/>
      </c>
      <c r="H166" s="9" t="str">
        <f>IF($A166="","",INDEX(Metrics!$A$6:$U$305,MATCH($A166,Metrics!$U$6:$U$305,0),MATCH(H$5,Metrics!$A$5:$U$5,0)))</f>
        <v/>
      </c>
      <c r="I166" s="7" t="str">
        <f>IF($A166="","",INDEX(Metrics!$A$6:$U$305,MATCH($A166,Metrics!$U$6:$U$305,0),MATCH(I$5,Metrics!$A$5:$U$5,0)))</f>
        <v/>
      </c>
      <c r="J166" s="9" t="str">
        <f>IF($A166="","",INDEX(Metrics!$A$6:$U$305,MATCH($A166,Metrics!$U$6:$U$305,0),MATCH(J$5,Metrics!$A$5:$U$5,0)))</f>
        <v/>
      </c>
      <c r="K166" s="10" t="str">
        <f>IF($A166="","",INDEX(Metrics!$A$6:$U$305,MATCH($A166,Metrics!$U$6:$U$305,0),MATCH(K$5,Metrics!$A$5:$U$5,0)))</f>
        <v/>
      </c>
      <c r="L166" t="str">
        <f>IF($A166="","",INDEX(Metrics!$A$6:$U$305,MATCH($A166,Metrics!$U$6:$U$305,0),MATCH(L$5,Metrics!$A$5:$U$5,0)))</f>
        <v/>
      </c>
      <c r="M166" t="str">
        <f>IF($A166="","",INDEX(Metrics!$A$6:$U$305,MATCH($A166,Metrics!$U$6:$U$305,0),MATCH(M$5,Metrics!$A$5:$U$5,0)))</f>
        <v/>
      </c>
      <c r="N166" t="str">
        <f>IF($A166="","",INDEX(Metrics!$A$6:$U$305,MATCH($A166,Metrics!$U$6:$U$305,0),MATCH(N$5,Metrics!$A$5:$U$5,0)))</f>
        <v/>
      </c>
      <c r="O166" t="str">
        <f>IF($A166="","",INDEX(Metrics!$A$6:$U$305,MATCH($A166,Metrics!$U$6:$U$305,0),MATCH(O$5,Metrics!$A$5:$U$5,0)))</f>
        <v/>
      </c>
      <c r="P166" t="str">
        <f>IF($A166="","",INDEX(Metrics!$A$6:$U$305,MATCH($A166,Metrics!$U$6:$U$305,0),MATCH(P$5,Metrics!$A$5:$U$5,0)))</f>
        <v/>
      </c>
    </row>
    <row r="167" spans="1:16" x14ac:dyDescent="0.4">
      <c r="A167" t="str">
        <f t="shared" si="2"/>
        <v/>
      </c>
      <c r="B167" t="str">
        <f>IF($A167="","",INDEX(Metrics!$A$6:$U$305,MATCH($A167,Metrics!$U$6:$U$305,0),MATCH(B$5,Metrics!$A$5:$U$5,0)))</f>
        <v/>
      </c>
      <c r="C167" t="str">
        <f>IF($A167="","",INDEX(Metrics!$A$6:$U$305,MATCH($A167,Metrics!$U$6:$U$305,0),MATCH(C$5,Metrics!$A$5:$U$5,0)))</f>
        <v/>
      </c>
      <c r="D167" t="str">
        <f>IF($A167="","",INDEX(Metrics!$A$6:$U$305,MATCH($A167,Metrics!$U$6:$U$305,0),MATCH(D$5,Metrics!$A$5:$U$5,0)))</f>
        <v/>
      </c>
      <c r="E167" s="14" t="str">
        <f>IF($A167="","",INDEX(Metrics!$A$6:$U$305,MATCH($A167,Metrics!$U$6:$U$305,0),MATCH(E$5,Metrics!$A$5:$U$5,0)))</f>
        <v/>
      </c>
      <c r="F167" s="7" t="str">
        <f>IF($A167="","",INDEX(Metrics!$A$6:$U$305,MATCH($A167,Metrics!$U$6:$U$305,0),MATCH(F$5,Metrics!$A$5:$U$5,0)))</f>
        <v/>
      </c>
      <c r="G167" s="9" t="str">
        <f>IF($A167="","",INDEX(Metrics!$A$6:$U$305,MATCH($A167,Metrics!$U$6:$U$305,0),MATCH(G$5,Metrics!$A$5:$U$5,0)))</f>
        <v/>
      </c>
      <c r="H167" s="9" t="str">
        <f>IF($A167="","",INDEX(Metrics!$A$6:$U$305,MATCH($A167,Metrics!$U$6:$U$305,0),MATCH(H$5,Metrics!$A$5:$U$5,0)))</f>
        <v/>
      </c>
      <c r="I167" s="7" t="str">
        <f>IF($A167="","",INDEX(Metrics!$A$6:$U$305,MATCH($A167,Metrics!$U$6:$U$305,0),MATCH(I$5,Metrics!$A$5:$U$5,0)))</f>
        <v/>
      </c>
      <c r="J167" s="9" t="str">
        <f>IF($A167="","",INDEX(Metrics!$A$6:$U$305,MATCH($A167,Metrics!$U$6:$U$305,0),MATCH(J$5,Metrics!$A$5:$U$5,0)))</f>
        <v/>
      </c>
      <c r="K167" s="10" t="str">
        <f>IF($A167="","",INDEX(Metrics!$A$6:$U$305,MATCH($A167,Metrics!$U$6:$U$305,0),MATCH(K$5,Metrics!$A$5:$U$5,0)))</f>
        <v/>
      </c>
      <c r="L167" t="str">
        <f>IF($A167="","",INDEX(Metrics!$A$6:$U$305,MATCH($A167,Metrics!$U$6:$U$305,0),MATCH(L$5,Metrics!$A$5:$U$5,0)))</f>
        <v/>
      </c>
      <c r="M167" t="str">
        <f>IF($A167="","",INDEX(Metrics!$A$6:$U$305,MATCH($A167,Metrics!$U$6:$U$305,0),MATCH(M$5,Metrics!$A$5:$U$5,0)))</f>
        <v/>
      </c>
      <c r="N167" t="str">
        <f>IF($A167="","",INDEX(Metrics!$A$6:$U$305,MATCH($A167,Metrics!$U$6:$U$305,0),MATCH(N$5,Metrics!$A$5:$U$5,0)))</f>
        <v/>
      </c>
      <c r="O167" t="str">
        <f>IF($A167="","",INDEX(Metrics!$A$6:$U$305,MATCH($A167,Metrics!$U$6:$U$305,0),MATCH(O$5,Metrics!$A$5:$U$5,0)))</f>
        <v/>
      </c>
      <c r="P167" t="str">
        <f>IF($A167="","",INDEX(Metrics!$A$6:$U$305,MATCH($A167,Metrics!$U$6:$U$305,0),MATCH(P$5,Metrics!$A$5:$U$5,0)))</f>
        <v/>
      </c>
    </row>
    <row r="168" spans="1:16" x14ac:dyDescent="0.4">
      <c r="A168" t="str">
        <f t="shared" si="2"/>
        <v/>
      </c>
      <c r="B168" t="str">
        <f>IF($A168="","",INDEX(Metrics!$A$6:$U$305,MATCH($A168,Metrics!$U$6:$U$305,0),MATCH(B$5,Metrics!$A$5:$U$5,0)))</f>
        <v/>
      </c>
      <c r="C168" t="str">
        <f>IF($A168="","",INDEX(Metrics!$A$6:$U$305,MATCH($A168,Metrics!$U$6:$U$305,0),MATCH(C$5,Metrics!$A$5:$U$5,0)))</f>
        <v/>
      </c>
      <c r="D168" t="str">
        <f>IF($A168="","",INDEX(Metrics!$A$6:$U$305,MATCH($A168,Metrics!$U$6:$U$305,0),MATCH(D$5,Metrics!$A$5:$U$5,0)))</f>
        <v/>
      </c>
      <c r="E168" s="14" t="str">
        <f>IF($A168="","",INDEX(Metrics!$A$6:$U$305,MATCH($A168,Metrics!$U$6:$U$305,0),MATCH(E$5,Metrics!$A$5:$U$5,0)))</f>
        <v/>
      </c>
      <c r="F168" s="7" t="str">
        <f>IF($A168="","",INDEX(Metrics!$A$6:$U$305,MATCH($A168,Metrics!$U$6:$U$305,0),MATCH(F$5,Metrics!$A$5:$U$5,0)))</f>
        <v/>
      </c>
      <c r="G168" s="9" t="str">
        <f>IF($A168="","",INDEX(Metrics!$A$6:$U$305,MATCH($A168,Metrics!$U$6:$U$305,0),MATCH(G$5,Metrics!$A$5:$U$5,0)))</f>
        <v/>
      </c>
      <c r="H168" s="9" t="str">
        <f>IF($A168="","",INDEX(Metrics!$A$6:$U$305,MATCH($A168,Metrics!$U$6:$U$305,0),MATCH(H$5,Metrics!$A$5:$U$5,0)))</f>
        <v/>
      </c>
      <c r="I168" s="7" t="str">
        <f>IF($A168="","",INDEX(Metrics!$A$6:$U$305,MATCH($A168,Metrics!$U$6:$U$305,0),MATCH(I$5,Metrics!$A$5:$U$5,0)))</f>
        <v/>
      </c>
      <c r="J168" s="9" t="str">
        <f>IF($A168="","",INDEX(Metrics!$A$6:$U$305,MATCH($A168,Metrics!$U$6:$U$305,0),MATCH(J$5,Metrics!$A$5:$U$5,0)))</f>
        <v/>
      </c>
      <c r="K168" s="10" t="str">
        <f>IF($A168="","",INDEX(Metrics!$A$6:$U$305,MATCH($A168,Metrics!$U$6:$U$305,0),MATCH(K$5,Metrics!$A$5:$U$5,0)))</f>
        <v/>
      </c>
      <c r="L168" t="str">
        <f>IF($A168="","",INDEX(Metrics!$A$6:$U$305,MATCH($A168,Metrics!$U$6:$U$305,0),MATCH(L$5,Metrics!$A$5:$U$5,0)))</f>
        <v/>
      </c>
      <c r="M168" t="str">
        <f>IF($A168="","",INDEX(Metrics!$A$6:$U$305,MATCH($A168,Metrics!$U$6:$U$305,0),MATCH(M$5,Metrics!$A$5:$U$5,0)))</f>
        <v/>
      </c>
      <c r="N168" t="str">
        <f>IF($A168="","",INDEX(Metrics!$A$6:$U$305,MATCH($A168,Metrics!$U$6:$U$305,0),MATCH(N$5,Metrics!$A$5:$U$5,0)))</f>
        <v/>
      </c>
      <c r="O168" t="str">
        <f>IF($A168="","",INDEX(Metrics!$A$6:$U$305,MATCH($A168,Metrics!$U$6:$U$305,0),MATCH(O$5,Metrics!$A$5:$U$5,0)))</f>
        <v/>
      </c>
      <c r="P168" t="str">
        <f>IF($A168="","",INDEX(Metrics!$A$6:$U$305,MATCH($A168,Metrics!$U$6:$U$305,0),MATCH(P$5,Metrics!$A$5:$U$5,0)))</f>
        <v/>
      </c>
    </row>
    <row r="169" spans="1:16" x14ac:dyDescent="0.4">
      <c r="A169" t="str">
        <f t="shared" si="2"/>
        <v/>
      </c>
      <c r="B169" t="str">
        <f>IF($A169="","",INDEX(Metrics!$A$6:$U$305,MATCH($A169,Metrics!$U$6:$U$305,0),MATCH(B$5,Metrics!$A$5:$U$5,0)))</f>
        <v/>
      </c>
      <c r="C169" t="str">
        <f>IF($A169="","",INDEX(Metrics!$A$6:$U$305,MATCH($A169,Metrics!$U$6:$U$305,0),MATCH(C$5,Metrics!$A$5:$U$5,0)))</f>
        <v/>
      </c>
      <c r="D169" t="str">
        <f>IF($A169="","",INDEX(Metrics!$A$6:$U$305,MATCH($A169,Metrics!$U$6:$U$305,0),MATCH(D$5,Metrics!$A$5:$U$5,0)))</f>
        <v/>
      </c>
      <c r="E169" s="14" t="str">
        <f>IF($A169="","",INDEX(Metrics!$A$6:$U$305,MATCH($A169,Metrics!$U$6:$U$305,0),MATCH(E$5,Metrics!$A$5:$U$5,0)))</f>
        <v/>
      </c>
      <c r="F169" s="7" t="str">
        <f>IF($A169="","",INDEX(Metrics!$A$6:$U$305,MATCH($A169,Metrics!$U$6:$U$305,0),MATCH(F$5,Metrics!$A$5:$U$5,0)))</f>
        <v/>
      </c>
      <c r="G169" s="9" t="str">
        <f>IF($A169="","",INDEX(Metrics!$A$6:$U$305,MATCH($A169,Metrics!$U$6:$U$305,0),MATCH(G$5,Metrics!$A$5:$U$5,0)))</f>
        <v/>
      </c>
      <c r="H169" s="9" t="str">
        <f>IF($A169="","",INDEX(Metrics!$A$6:$U$305,MATCH($A169,Metrics!$U$6:$U$305,0),MATCH(H$5,Metrics!$A$5:$U$5,0)))</f>
        <v/>
      </c>
      <c r="I169" s="7" t="str">
        <f>IF($A169="","",INDEX(Metrics!$A$6:$U$305,MATCH($A169,Metrics!$U$6:$U$305,0),MATCH(I$5,Metrics!$A$5:$U$5,0)))</f>
        <v/>
      </c>
      <c r="J169" s="9" t="str">
        <f>IF($A169="","",INDEX(Metrics!$A$6:$U$305,MATCH($A169,Metrics!$U$6:$U$305,0),MATCH(J$5,Metrics!$A$5:$U$5,0)))</f>
        <v/>
      </c>
      <c r="K169" s="10" t="str">
        <f>IF($A169="","",INDEX(Metrics!$A$6:$U$305,MATCH($A169,Metrics!$U$6:$U$305,0),MATCH(K$5,Metrics!$A$5:$U$5,0)))</f>
        <v/>
      </c>
      <c r="L169" t="str">
        <f>IF($A169="","",INDEX(Metrics!$A$6:$U$305,MATCH($A169,Metrics!$U$6:$U$305,0),MATCH(L$5,Metrics!$A$5:$U$5,0)))</f>
        <v/>
      </c>
      <c r="M169" t="str">
        <f>IF($A169="","",INDEX(Metrics!$A$6:$U$305,MATCH($A169,Metrics!$U$6:$U$305,0),MATCH(M$5,Metrics!$A$5:$U$5,0)))</f>
        <v/>
      </c>
      <c r="N169" t="str">
        <f>IF($A169="","",INDEX(Metrics!$A$6:$U$305,MATCH($A169,Metrics!$U$6:$U$305,0),MATCH(N$5,Metrics!$A$5:$U$5,0)))</f>
        <v/>
      </c>
      <c r="O169" t="str">
        <f>IF($A169="","",INDEX(Metrics!$A$6:$U$305,MATCH($A169,Metrics!$U$6:$U$305,0),MATCH(O$5,Metrics!$A$5:$U$5,0)))</f>
        <v/>
      </c>
      <c r="P169" t="str">
        <f>IF($A169="","",INDEX(Metrics!$A$6:$U$305,MATCH($A169,Metrics!$U$6:$U$305,0),MATCH(P$5,Metrics!$A$5:$U$5,0)))</f>
        <v/>
      </c>
    </row>
    <row r="170" spans="1:16" x14ac:dyDescent="0.4">
      <c r="A170" t="str">
        <f t="shared" si="2"/>
        <v/>
      </c>
      <c r="B170" t="str">
        <f>IF($A170="","",INDEX(Metrics!$A$6:$U$305,MATCH($A170,Metrics!$U$6:$U$305,0),MATCH(B$5,Metrics!$A$5:$U$5,0)))</f>
        <v/>
      </c>
      <c r="C170" t="str">
        <f>IF($A170="","",INDEX(Metrics!$A$6:$U$305,MATCH($A170,Metrics!$U$6:$U$305,0),MATCH(C$5,Metrics!$A$5:$U$5,0)))</f>
        <v/>
      </c>
      <c r="D170" t="str">
        <f>IF($A170="","",INDEX(Metrics!$A$6:$U$305,MATCH($A170,Metrics!$U$6:$U$305,0),MATCH(D$5,Metrics!$A$5:$U$5,0)))</f>
        <v/>
      </c>
      <c r="E170" s="14" t="str">
        <f>IF($A170="","",INDEX(Metrics!$A$6:$U$305,MATCH($A170,Metrics!$U$6:$U$305,0),MATCH(E$5,Metrics!$A$5:$U$5,0)))</f>
        <v/>
      </c>
      <c r="F170" s="7" t="str">
        <f>IF($A170="","",INDEX(Metrics!$A$6:$U$305,MATCH($A170,Metrics!$U$6:$U$305,0),MATCH(F$5,Metrics!$A$5:$U$5,0)))</f>
        <v/>
      </c>
      <c r="G170" s="9" t="str">
        <f>IF($A170="","",INDEX(Metrics!$A$6:$U$305,MATCH($A170,Metrics!$U$6:$U$305,0),MATCH(G$5,Metrics!$A$5:$U$5,0)))</f>
        <v/>
      </c>
      <c r="H170" s="9" t="str">
        <f>IF($A170="","",INDEX(Metrics!$A$6:$U$305,MATCH($A170,Metrics!$U$6:$U$305,0),MATCH(H$5,Metrics!$A$5:$U$5,0)))</f>
        <v/>
      </c>
      <c r="I170" s="7" t="str">
        <f>IF($A170="","",INDEX(Metrics!$A$6:$U$305,MATCH($A170,Metrics!$U$6:$U$305,0),MATCH(I$5,Metrics!$A$5:$U$5,0)))</f>
        <v/>
      </c>
      <c r="J170" s="9" t="str">
        <f>IF($A170="","",INDEX(Metrics!$A$6:$U$305,MATCH($A170,Metrics!$U$6:$U$305,0),MATCH(J$5,Metrics!$A$5:$U$5,0)))</f>
        <v/>
      </c>
      <c r="K170" s="10" t="str">
        <f>IF($A170="","",INDEX(Metrics!$A$6:$U$305,MATCH($A170,Metrics!$U$6:$U$305,0),MATCH(K$5,Metrics!$A$5:$U$5,0)))</f>
        <v/>
      </c>
      <c r="L170" t="str">
        <f>IF($A170="","",INDEX(Metrics!$A$6:$U$305,MATCH($A170,Metrics!$U$6:$U$305,0),MATCH(L$5,Metrics!$A$5:$U$5,0)))</f>
        <v/>
      </c>
      <c r="M170" t="str">
        <f>IF($A170="","",INDEX(Metrics!$A$6:$U$305,MATCH($A170,Metrics!$U$6:$U$305,0),MATCH(M$5,Metrics!$A$5:$U$5,0)))</f>
        <v/>
      </c>
      <c r="N170" t="str">
        <f>IF($A170="","",INDEX(Metrics!$A$6:$U$305,MATCH($A170,Metrics!$U$6:$U$305,0),MATCH(N$5,Metrics!$A$5:$U$5,0)))</f>
        <v/>
      </c>
      <c r="O170" t="str">
        <f>IF($A170="","",INDEX(Metrics!$A$6:$U$305,MATCH($A170,Metrics!$U$6:$U$305,0),MATCH(O$5,Metrics!$A$5:$U$5,0)))</f>
        <v/>
      </c>
      <c r="P170" t="str">
        <f>IF($A170="","",INDEX(Metrics!$A$6:$U$305,MATCH($A170,Metrics!$U$6:$U$305,0),MATCH(P$5,Metrics!$A$5:$U$5,0)))</f>
        <v/>
      </c>
    </row>
    <row r="171" spans="1:16" x14ac:dyDescent="0.4">
      <c r="A171" t="str">
        <f t="shared" si="2"/>
        <v/>
      </c>
      <c r="B171" t="str">
        <f>IF($A171="","",INDEX(Metrics!$A$6:$U$305,MATCH($A171,Metrics!$U$6:$U$305,0),MATCH(B$5,Metrics!$A$5:$U$5,0)))</f>
        <v/>
      </c>
      <c r="C171" t="str">
        <f>IF($A171="","",INDEX(Metrics!$A$6:$U$305,MATCH($A171,Metrics!$U$6:$U$305,0),MATCH(C$5,Metrics!$A$5:$U$5,0)))</f>
        <v/>
      </c>
      <c r="D171" t="str">
        <f>IF($A171="","",INDEX(Metrics!$A$6:$U$305,MATCH($A171,Metrics!$U$6:$U$305,0),MATCH(D$5,Metrics!$A$5:$U$5,0)))</f>
        <v/>
      </c>
      <c r="E171" s="14" t="str">
        <f>IF($A171="","",INDEX(Metrics!$A$6:$U$305,MATCH($A171,Metrics!$U$6:$U$305,0),MATCH(E$5,Metrics!$A$5:$U$5,0)))</f>
        <v/>
      </c>
      <c r="F171" s="7" t="str">
        <f>IF($A171="","",INDEX(Metrics!$A$6:$U$305,MATCH($A171,Metrics!$U$6:$U$305,0),MATCH(F$5,Metrics!$A$5:$U$5,0)))</f>
        <v/>
      </c>
      <c r="G171" s="9" t="str">
        <f>IF($A171="","",INDEX(Metrics!$A$6:$U$305,MATCH($A171,Metrics!$U$6:$U$305,0),MATCH(G$5,Metrics!$A$5:$U$5,0)))</f>
        <v/>
      </c>
      <c r="H171" s="9" t="str">
        <f>IF($A171="","",INDEX(Metrics!$A$6:$U$305,MATCH($A171,Metrics!$U$6:$U$305,0),MATCH(H$5,Metrics!$A$5:$U$5,0)))</f>
        <v/>
      </c>
      <c r="I171" s="7" t="str">
        <f>IF($A171="","",INDEX(Metrics!$A$6:$U$305,MATCH($A171,Metrics!$U$6:$U$305,0),MATCH(I$5,Metrics!$A$5:$U$5,0)))</f>
        <v/>
      </c>
      <c r="J171" s="9" t="str">
        <f>IF($A171="","",INDEX(Metrics!$A$6:$U$305,MATCH($A171,Metrics!$U$6:$U$305,0),MATCH(J$5,Metrics!$A$5:$U$5,0)))</f>
        <v/>
      </c>
      <c r="K171" s="10" t="str">
        <f>IF($A171="","",INDEX(Metrics!$A$6:$U$305,MATCH($A171,Metrics!$U$6:$U$305,0),MATCH(K$5,Metrics!$A$5:$U$5,0)))</f>
        <v/>
      </c>
      <c r="L171" t="str">
        <f>IF($A171="","",INDEX(Metrics!$A$6:$U$305,MATCH($A171,Metrics!$U$6:$U$305,0),MATCH(L$5,Metrics!$A$5:$U$5,0)))</f>
        <v/>
      </c>
      <c r="M171" t="str">
        <f>IF($A171="","",INDEX(Metrics!$A$6:$U$305,MATCH($A171,Metrics!$U$6:$U$305,0),MATCH(M$5,Metrics!$A$5:$U$5,0)))</f>
        <v/>
      </c>
      <c r="N171" t="str">
        <f>IF($A171="","",INDEX(Metrics!$A$6:$U$305,MATCH($A171,Metrics!$U$6:$U$305,0),MATCH(N$5,Metrics!$A$5:$U$5,0)))</f>
        <v/>
      </c>
      <c r="O171" t="str">
        <f>IF($A171="","",INDEX(Metrics!$A$6:$U$305,MATCH($A171,Metrics!$U$6:$U$305,0),MATCH(O$5,Metrics!$A$5:$U$5,0)))</f>
        <v/>
      </c>
      <c r="P171" t="str">
        <f>IF($A171="","",INDEX(Metrics!$A$6:$U$305,MATCH($A171,Metrics!$U$6:$U$305,0),MATCH(P$5,Metrics!$A$5:$U$5,0)))</f>
        <v/>
      </c>
    </row>
    <row r="172" spans="1:16" x14ac:dyDescent="0.4">
      <c r="A172" t="str">
        <f t="shared" si="2"/>
        <v/>
      </c>
      <c r="B172" t="str">
        <f>IF($A172="","",INDEX(Metrics!$A$6:$U$305,MATCH($A172,Metrics!$U$6:$U$305,0),MATCH(B$5,Metrics!$A$5:$U$5,0)))</f>
        <v/>
      </c>
      <c r="C172" t="str">
        <f>IF($A172="","",INDEX(Metrics!$A$6:$U$305,MATCH($A172,Metrics!$U$6:$U$305,0),MATCH(C$5,Metrics!$A$5:$U$5,0)))</f>
        <v/>
      </c>
      <c r="D172" t="str">
        <f>IF($A172="","",INDEX(Metrics!$A$6:$U$305,MATCH($A172,Metrics!$U$6:$U$305,0),MATCH(D$5,Metrics!$A$5:$U$5,0)))</f>
        <v/>
      </c>
      <c r="E172" s="14" t="str">
        <f>IF($A172="","",INDEX(Metrics!$A$6:$U$305,MATCH($A172,Metrics!$U$6:$U$305,0),MATCH(E$5,Metrics!$A$5:$U$5,0)))</f>
        <v/>
      </c>
      <c r="F172" s="7" t="str">
        <f>IF($A172="","",INDEX(Metrics!$A$6:$U$305,MATCH($A172,Metrics!$U$6:$U$305,0),MATCH(F$5,Metrics!$A$5:$U$5,0)))</f>
        <v/>
      </c>
      <c r="G172" s="9" t="str">
        <f>IF($A172="","",INDEX(Metrics!$A$6:$U$305,MATCH($A172,Metrics!$U$6:$U$305,0),MATCH(G$5,Metrics!$A$5:$U$5,0)))</f>
        <v/>
      </c>
      <c r="H172" s="9" t="str">
        <f>IF($A172="","",INDEX(Metrics!$A$6:$U$305,MATCH($A172,Metrics!$U$6:$U$305,0),MATCH(H$5,Metrics!$A$5:$U$5,0)))</f>
        <v/>
      </c>
      <c r="I172" s="7" t="str">
        <f>IF($A172="","",INDEX(Metrics!$A$6:$U$305,MATCH($A172,Metrics!$U$6:$U$305,0),MATCH(I$5,Metrics!$A$5:$U$5,0)))</f>
        <v/>
      </c>
      <c r="J172" s="9" t="str">
        <f>IF($A172="","",INDEX(Metrics!$A$6:$U$305,MATCH($A172,Metrics!$U$6:$U$305,0),MATCH(J$5,Metrics!$A$5:$U$5,0)))</f>
        <v/>
      </c>
      <c r="K172" s="10" t="str">
        <f>IF($A172="","",INDEX(Metrics!$A$6:$U$305,MATCH($A172,Metrics!$U$6:$U$305,0),MATCH(K$5,Metrics!$A$5:$U$5,0)))</f>
        <v/>
      </c>
      <c r="L172" t="str">
        <f>IF($A172="","",INDEX(Metrics!$A$6:$U$305,MATCH($A172,Metrics!$U$6:$U$305,0),MATCH(L$5,Metrics!$A$5:$U$5,0)))</f>
        <v/>
      </c>
      <c r="M172" t="str">
        <f>IF($A172="","",INDEX(Metrics!$A$6:$U$305,MATCH($A172,Metrics!$U$6:$U$305,0),MATCH(M$5,Metrics!$A$5:$U$5,0)))</f>
        <v/>
      </c>
      <c r="N172" t="str">
        <f>IF($A172="","",INDEX(Metrics!$A$6:$U$305,MATCH($A172,Metrics!$U$6:$U$305,0),MATCH(N$5,Metrics!$A$5:$U$5,0)))</f>
        <v/>
      </c>
      <c r="O172" t="str">
        <f>IF($A172="","",INDEX(Metrics!$A$6:$U$305,MATCH($A172,Metrics!$U$6:$U$305,0),MATCH(O$5,Metrics!$A$5:$U$5,0)))</f>
        <v/>
      </c>
      <c r="P172" t="str">
        <f>IF($A172="","",INDEX(Metrics!$A$6:$U$305,MATCH($A172,Metrics!$U$6:$U$305,0),MATCH(P$5,Metrics!$A$5:$U$5,0)))</f>
        <v/>
      </c>
    </row>
    <row r="173" spans="1:16" x14ac:dyDescent="0.4">
      <c r="A173" t="str">
        <f t="shared" si="2"/>
        <v/>
      </c>
      <c r="B173" t="str">
        <f>IF($A173="","",INDEX(Metrics!$A$6:$U$305,MATCH($A173,Metrics!$U$6:$U$305,0),MATCH(B$5,Metrics!$A$5:$U$5,0)))</f>
        <v/>
      </c>
      <c r="C173" t="str">
        <f>IF($A173="","",INDEX(Metrics!$A$6:$U$305,MATCH($A173,Metrics!$U$6:$U$305,0),MATCH(C$5,Metrics!$A$5:$U$5,0)))</f>
        <v/>
      </c>
      <c r="D173" t="str">
        <f>IF($A173="","",INDEX(Metrics!$A$6:$U$305,MATCH($A173,Metrics!$U$6:$U$305,0),MATCH(D$5,Metrics!$A$5:$U$5,0)))</f>
        <v/>
      </c>
      <c r="E173" s="14" t="str">
        <f>IF($A173="","",INDEX(Metrics!$A$6:$U$305,MATCH($A173,Metrics!$U$6:$U$305,0),MATCH(E$5,Metrics!$A$5:$U$5,0)))</f>
        <v/>
      </c>
      <c r="F173" s="7" t="str">
        <f>IF($A173="","",INDEX(Metrics!$A$6:$U$305,MATCH($A173,Metrics!$U$6:$U$305,0),MATCH(F$5,Metrics!$A$5:$U$5,0)))</f>
        <v/>
      </c>
      <c r="G173" s="9" t="str">
        <f>IF($A173="","",INDEX(Metrics!$A$6:$U$305,MATCH($A173,Metrics!$U$6:$U$305,0),MATCH(G$5,Metrics!$A$5:$U$5,0)))</f>
        <v/>
      </c>
      <c r="H173" s="9" t="str">
        <f>IF($A173="","",INDEX(Metrics!$A$6:$U$305,MATCH($A173,Metrics!$U$6:$U$305,0),MATCH(H$5,Metrics!$A$5:$U$5,0)))</f>
        <v/>
      </c>
      <c r="I173" s="7" t="str">
        <f>IF($A173="","",INDEX(Metrics!$A$6:$U$305,MATCH($A173,Metrics!$U$6:$U$305,0),MATCH(I$5,Metrics!$A$5:$U$5,0)))</f>
        <v/>
      </c>
      <c r="J173" s="9" t="str">
        <f>IF($A173="","",INDEX(Metrics!$A$6:$U$305,MATCH($A173,Metrics!$U$6:$U$305,0),MATCH(J$5,Metrics!$A$5:$U$5,0)))</f>
        <v/>
      </c>
      <c r="K173" s="10" t="str">
        <f>IF($A173="","",INDEX(Metrics!$A$6:$U$305,MATCH($A173,Metrics!$U$6:$U$305,0),MATCH(K$5,Metrics!$A$5:$U$5,0)))</f>
        <v/>
      </c>
      <c r="L173" t="str">
        <f>IF($A173="","",INDEX(Metrics!$A$6:$U$305,MATCH($A173,Metrics!$U$6:$U$305,0),MATCH(L$5,Metrics!$A$5:$U$5,0)))</f>
        <v/>
      </c>
      <c r="M173" t="str">
        <f>IF($A173="","",INDEX(Metrics!$A$6:$U$305,MATCH($A173,Metrics!$U$6:$U$305,0),MATCH(M$5,Metrics!$A$5:$U$5,0)))</f>
        <v/>
      </c>
      <c r="N173" t="str">
        <f>IF($A173="","",INDEX(Metrics!$A$6:$U$305,MATCH($A173,Metrics!$U$6:$U$305,0),MATCH(N$5,Metrics!$A$5:$U$5,0)))</f>
        <v/>
      </c>
      <c r="O173" t="str">
        <f>IF($A173="","",INDEX(Metrics!$A$6:$U$305,MATCH($A173,Metrics!$U$6:$U$305,0),MATCH(O$5,Metrics!$A$5:$U$5,0)))</f>
        <v/>
      </c>
      <c r="P173" t="str">
        <f>IF($A173="","",INDEX(Metrics!$A$6:$U$305,MATCH($A173,Metrics!$U$6:$U$305,0),MATCH(P$5,Metrics!$A$5:$U$5,0)))</f>
        <v/>
      </c>
    </row>
    <row r="174" spans="1:16" x14ac:dyDescent="0.4">
      <c r="A174" t="str">
        <f t="shared" si="2"/>
        <v/>
      </c>
      <c r="B174" t="str">
        <f>IF($A174="","",INDEX(Metrics!$A$6:$U$305,MATCH($A174,Metrics!$U$6:$U$305,0),MATCH(B$5,Metrics!$A$5:$U$5,0)))</f>
        <v/>
      </c>
      <c r="C174" t="str">
        <f>IF($A174="","",INDEX(Metrics!$A$6:$U$305,MATCH($A174,Metrics!$U$6:$U$305,0),MATCH(C$5,Metrics!$A$5:$U$5,0)))</f>
        <v/>
      </c>
      <c r="D174" t="str">
        <f>IF($A174="","",INDEX(Metrics!$A$6:$U$305,MATCH($A174,Metrics!$U$6:$U$305,0),MATCH(D$5,Metrics!$A$5:$U$5,0)))</f>
        <v/>
      </c>
      <c r="E174" s="14" t="str">
        <f>IF($A174="","",INDEX(Metrics!$A$6:$U$305,MATCH($A174,Metrics!$U$6:$U$305,0),MATCH(E$5,Metrics!$A$5:$U$5,0)))</f>
        <v/>
      </c>
      <c r="F174" s="7" t="str">
        <f>IF($A174="","",INDEX(Metrics!$A$6:$U$305,MATCH($A174,Metrics!$U$6:$U$305,0),MATCH(F$5,Metrics!$A$5:$U$5,0)))</f>
        <v/>
      </c>
      <c r="G174" s="9" t="str">
        <f>IF($A174="","",INDEX(Metrics!$A$6:$U$305,MATCH($A174,Metrics!$U$6:$U$305,0),MATCH(G$5,Metrics!$A$5:$U$5,0)))</f>
        <v/>
      </c>
      <c r="H174" s="9" t="str">
        <f>IF($A174="","",INDEX(Metrics!$A$6:$U$305,MATCH($A174,Metrics!$U$6:$U$305,0),MATCH(H$5,Metrics!$A$5:$U$5,0)))</f>
        <v/>
      </c>
      <c r="I174" s="7" t="str">
        <f>IF($A174="","",INDEX(Metrics!$A$6:$U$305,MATCH($A174,Metrics!$U$6:$U$305,0),MATCH(I$5,Metrics!$A$5:$U$5,0)))</f>
        <v/>
      </c>
      <c r="J174" s="9" t="str">
        <f>IF($A174="","",INDEX(Metrics!$A$6:$U$305,MATCH($A174,Metrics!$U$6:$U$305,0),MATCH(J$5,Metrics!$A$5:$U$5,0)))</f>
        <v/>
      </c>
      <c r="K174" s="10" t="str">
        <f>IF($A174="","",INDEX(Metrics!$A$6:$U$305,MATCH($A174,Metrics!$U$6:$U$305,0),MATCH(K$5,Metrics!$A$5:$U$5,0)))</f>
        <v/>
      </c>
      <c r="L174" t="str">
        <f>IF($A174="","",INDEX(Metrics!$A$6:$U$305,MATCH($A174,Metrics!$U$6:$U$305,0),MATCH(L$5,Metrics!$A$5:$U$5,0)))</f>
        <v/>
      </c>
      <c r="M174" t="str">
        <f>IF($A174="","",INDEX(Metrics!$A$6:$U$305,MATCH($A174,Metrics!$U$6:$U$305,0),MATCH(M$5,Metrics!$A$5:$U$5,0)))</f>
        <v/>
      </c>
      <c r="N174" t="str">
        <f>IF($A174="","",INDEX(Metrics!$A$6:$U$305,MATCH($A174,Metrics!$U$6:$U$305,0),MATCH(N$5,Metrics!$A$5:$U$5,0)))</f>
        <v/>
      </c>
      <c r="O174" t="str">
        <f>IF($A174="","",INDEX(Metrics!$A$6:$U$305,MATCH($A174,Metrics!$U$6:$U$305,0),MATCH(O$5,Metrics!$A$5:$U$5,0)))</f>
        <v/>
      </c>
      <c r="P174" t="str">
        <f>IF($A174="","",INDEX(Metrics!$A$6:$U$305,MATCH($A174,Metrics!$U$6:$U$305,0),MATCH(P$5,Metrics!$A$5:$U$5,0)))</f>
        <v/>
      </c>
    </row>
    <row r="175" spans="1:16" x14ac:dyDescent="0.4">
      <c r="A175" t="str">
        <f t="shared" si="2"/>
        <v/>
      </c>
      <c r="B175" t="str">
        <f>IF($A175="","",INDEX(Metrics!$A$6:$U$305,MATCH($A175,Metrics!$U$6:$U$305,0),MATCH(B$5,Metrics!$A$5:$U$5,0)))</f>
        <v/>
      </c>
      <c r="C175" t="str">
        <f>IF($A175="","",INDEX(Metrics!$A$6:$U$305,MATCH($A175,Metrics!$U$6:$U$305,0),MATCH(C$5,Metrics!$A$5:$U$5,0)))</f>
        <v/>
      </c>
      <c r="D175" t="str">
        <f>IF($A175="","",INDEX(Metrics!$A$6:$U$305,MATCH($A175,Metrics!$U$6:$U$305,0),MATCH(D$5,Metrics!$A$5:$U$5,0)))</f>
        <v/>
      </c>
      <c r="E175" s="14" t="str">
        <f>IF($A175="","",INDEX(Metrics!$A$6:$U$305,MATCH($A175,Metrics!$U$6:$U$305,0),MATCH(E$5,Metrics!$A$5:$U$5,0)))</f>
        <v/>
      </c>
      <c r="F175" s="7" t="str">
        <f>IF($A175="","",INDEX(Metrics!$A$6:$U$305,MATCH($A175,Metrics!$U$6:$U$305,0),MATCH(F$5,Metrics!$A$5:$U$5,0)))</f>
        <v/>
      </c>
      <c r="G175" s="9" t="str">
        <f>IF($A175="","",INDEX(Metrics!$A$6:$U$305,MATCH($A175,Metrics!$U$6:$U$305,0),MATCH(G$5,Metrics!$A$5:$U$5,0)))</f>
        <v/>
      </c>
      <c r="H175" s="9" t="str">
        <f>IF($A175="","",INDEX(Metrics!$A$6:$U$305,MATCH($A175,Metrics!$U$6:$U$305,0),MATCH(H$5,Metrics!$A$5:$U$5,0)))</f>
        <v/>
      </c>
      <c r="I175" s="7" t="str">
        <f>IF($A175="","",INDEX(Metrics!$A$6:$U$305,MATCH($A175,Metrics!$U$6:$U$305,0),MATCH(I$5,Metrics!$A$5:$U$5,0)))</f>
        <v/>
      </c>
      <c r="J175" s="9" t="str">
        <f>IF($A175="","",INDEX(Metrics!$A$6:$U$305,MATCH($A175,Metrics!$U$6:$U$305,0),MATCH(J$5,Metrics!$A$5:$U$5,0)))</f>
        <v/>
      </c>
      <c r="K175" s="10" t="str">
        <f>IF($A175="","",INDEX(Metrics!$A$6:$U$305,MATCH($A175,Metrics!$U$6:$U$305,0),MATCH(K$5,Metrics!$A$5:$U$5,0)))</f>
        <v/>
      </c>
      <c r="L175" t="str">
        <f>IF($A175="","",INDEX(Metrics!$A$6:$U$305,MATCH($A175,Metrics!$U$6:$U$305,0),MATCH(L$5,Metrics!$A$5:$U$5,0)))</f>
        <v/>
      </c>
      <c r="M175" t="str">
        <f>IF($A175="","",INDEX(Metrics!$A$6:$U$305,MATCH($A175,Metrics!$U$6:$U$305,0),MATCH(M$5,Metrics!$A$5:$U$5,0)))</f>
        <v/>
      </c>
      <c r="N175" t="str">
        <f>IF($A175="","",INDEX(Metrics!$A$6:$U$305,MATCH($A175,Metrics!$U$6:$U$305,0),MATCH(N$5,Metrics!$A$5:$U$5,0)))</f>
        <v/>
      </c>
      <c r="O175" t="str">
        <f>IF($A175="","",INDEX(Metrics!$A$6:$U$305,MATCH($A175,Metrics!$U$6:$U$305,0),MATCH(O$5,Metrics!$A$5:$U$5,0)))</f>
        <v/>
      </c>
      <c r="P175" t="str">
        <f>IF($A175="","",INDEX(Metrics!$A$6:$U$305,MATCH($A175,Metrics!$U$6:$U$305,0),MATCH(P$5,Metrics!$A$5:$U$5,0)))</f>
        <v/>
      </c>
    </row>
    <row r="176" spans="1:16" x14ac:dyDescent="0.4">
      <c r="A176" t="str">
        <f t="shared" si="2"/>
        <v/>
      </c>
      <c r="B176" t="str">
        <f>IF($A176="","",INDEX(Metrics!$A$6:$U$305,MATCH($A176,Metrics!$U$6:$U$305,0),MATCH(B$5,Metrics!$A$5:$U$5,0)))</f>
        <v/>
      </c>
      <c r="C176" t="str">
        <f>IF($A176="","",INDEX(Metrics!$A$6:$U$305,MATCH($A176,Metrics!$U$6:$U$305,0),MATCH(C$5,Metrics!$A$5:$U$5,0)))</f>
        <v/>
      </c>
      <c r="D176" t="str">
        <f>IF($A176="","",INDEX(Metrics!$A$6:$U$305,MATCH($A176,Metrics!$U$6:$U$305,0),MATCH(D$5,Metrics!$A$5:$U$5,0)))</f>
        <v/>
      </c>
      <c r="E176" s="14" t="str">
        <f>IF($A176="","",INDEX(Metrics!$A$6:$U$305,MATCH($A176,Metrics!$U$6:$U$305,0),MATCH(E$5,Metrics!$A$5:$U$5,0)))</f>
        <v/>
      </c>
      <c r="F176" s="7" t="str">
        <f>IF($A176="","",INDEX(Metrics!$A$6:$U$305,MATCH($A176,Metrics!$U$6:$U$305,0),MATCH(F$5,Metrics!$A$5:$U$5,0)))</f>
        <v/>
      </c>
      <c r="G176" s="9" t="str">
        <f>IF($A176="","",INDEX(Metrics!$A$6:$U$305,MATCH($A176,Metrics!$U$6:$U$305,0),MATCH(G$5,Metrics!$A$5:$U$5,0)))</f>
        <v/>
      </c>
      <c r="H176" s="9" t="str">
        <f>IF($A176="","",INDEX(Metrics!$A$6:$U$305,MATCH($A176,Metrics!$U$6:$U$305,0),MATCH(H$5,Metrics!$A$5:$U$5,0)))</f>
        <v/>
      </c>
      <c r="I176" s="7" t="str">
        <f>IF($A176="","",INDEX(Metrics!$A$6:$U$305,MATCH($A176,Metrics!$U$6:$U$305,0),MATCH(I$5,Metrics!$A$5:$U$5,0)))</f>
        <v/>
      </c>
      <c r="J176" s="9" t="str">
        <f>IF($A176="","",INDEX(Metrics!$A$6:$U$305,MATCH($A176,Metrics!$U$6:$U$305,0),MATCH(J$5,Metrics!$A$5:$U$5,0)))</f>
        <v/>
      </c>
      <c r="K176" s="10" t="str">
        <f>IF($A176="","",INDEX(Metrics!$A$6:$U$305,MATCH($A176,Metrics!$U$6:$U$305,0),MATCH(K$5,Metrics!$A$5:$U$5,0)))</f>
        <v/>
      </c>
      <c r="L176" t="str">
        <f>IF($A176="","",INDEX(Metrics!$A$6:$U$305,MATCH($A176,Metrics!$U$6:$U$305,0),MATCH(L$5,Metrics!$A$5:$U$5,0)))</f>
        <v/>
      </c>
      <c r="M176" t="str">
        <f>IF($A176="","",INDEX(Metrics!$A$6:$U$305,MATCH($A176,Metrics!$U$6:$U$305,0),MATCH(M$5,Metrics!$A$5:$U$5,0)))</f>
        <v/>
      </c>
      <c r="N176" t="str">
        <f>IF($A176="","",INDEX(Metrics!$A$6:$U$305,MATCH($A176,Metrics!$U$6:$U$305,0),MATCH(N$5,Metrics!$A$5:$U$5,0)))</f>
        <v/>
      </c>
      <c r="O176" t="str">
        <f>IF($A176="","",INDEX(Metrics!$A$6:$U$305,MATCH($A176,Metrics!$U$6:$U$305,0),MATCH(O$5,Metrics!$A$5:$U$5,0)))</f>
        <v/>
      </c>
      <c r="P176" t="str">
        <f>IF($A176="","",INDEX(Metrics!$A$6:$U$305,MATCH($A176,Metrics!$U$6:$U$305,0),MATCH(P$5,Metrics!$A$5:$U$5,0)))</f>
        <v/>
      </c>
    </row>
    <row r="177" spans="1:16" x14ac:dyDescent="0.4">
      <c r="A177" t="str">
        <f t="shared" si="2"/>
        <v/>
      </c>
      <c r="B177" t="str">
        <f>IF($A177="","",INDEX(Metrics!$A$6:$U$305,MATCH($A177,Metrics!$U$6:$U$305,0),MATCH(B$5,Metrics!$A$5:$U$5,0)))</f>
        <v/>
      </c>
      <c r="C177" t="str">
        <f>IF($A177="","",INDEX(Metrics!$A$6:$U$305,MATCH($A177,Metrics!$U$6:$U$305,0),MATCH(C$5,Metrics!$A$5:$U$5,0)))</f>
        <v/>
      </c>
      <c r="D177" t="str">
        <f>IF($A177="","",INDEX(Metrics!$A$6:$U$305,MATCH($A177,Metrics!$U$6:$U$305,0),MATCH(D$5,Metrics!$A$5:$U$5,0)))</f>
        <v/>
      </c>
      <c r="E177" s="14" t="str">
        <f>IF($A177="","",INDEX(Metrics!$A$6:$U$305,MATCH($A177,Metrics!$U$6:$U$305,0),MATCH(E$5,Metrics!$A$5:$U$5,0)))</f>
        <v/>
      </c>
      <c r="F177" s="7" t="str">
        <f>IF($A177="","",INDEX(Metrics!$A$6:$U$305,MATCH($A177,Metrics!$U$6:$U$305,0),MATCH(F$5,Metrics!$A$5:$U$5,0)))</f>
        <v/>
      </c>
      <c r="G177" s="9" t="str">
        <f>IF($A177="","",INDEX(Metrics!$A$6:$U$305,MATCH($A177,Metrics!$U$6:$U$305,0),MATCH(G$5,Metrics!$A$5:$U$5,0)))</f>
        <v/>
      </c>
      <c r="H177" s="9" t="str">
        <f>IF($A177="","",INDEX(Metrics!$A$6:$U$305,MATCH($A177,Metrics!$U$6:$U$305,0),MATCH(H$5,Metrics!$A$5:$U$5,0)))</f>
        <v/>
      </c>
      <c r="I177" s="7" t="str">
        <f>IF($A177="","",INDEX(Metrics!$A$6:$U$305,MATCH($A177,Metrics!$U$6:$U$305,0),MATCH(I$5,Metrics!$A$5:$U$5,0)))</f>
        <v/>
      </c>
      <c r="J177" s="9" t="str">
        <f>IF($A177="","",INDEX(Metrics!$A$6:$U$305,MATCH($A177,Metrics!$U$6:$U$305,0),MATCH(J$5,Metrics!$A$5:$U$5,0)))</f>
        <v/>
      </c>
      <c r="K177" s="10" t="str">
        <f>IF($A177="","",INDEX(Metrics!$A$6:$U$305,MATCH($A177,Metrics!$U$6:$U$305,0),MATCH(K$5,Metrics!$A$5:$U$5,0)))</f>
        <v/>
      </c>
      <c r="L177" t="str">
        <f>IF($A177="","",INDEX(Metrics!$A$6:$U$305,MATCH($A177,Metrics!$U$6:$U$305,0),MATCH(L$5,Metrics!$A$5:$U$5,0)))</f>
        <v/>
      </c>
      <c r="M177" t="str">
        <f>IF($A177="","",INDEX(Metrics!$A$6:$U$305,MATCH($A177,Metrics!$U$6:$U$305,0),MATCH(M$5,Metrics!$A$5:$U$5,0)))</f>
        <v/>
      </c>
      <c r="N177" t="str">
        <f>IF($A177="","",INDEX(Metrics!$A$6:$U$305,MATCH($A177,Metrics!$U$6:$U$305,0),MATCH(N$5,Metrics!$A$5:$U$5,0)))</f>
        <v/>
      </c>
      <c r="O177" t="str">
        <f>IF($A177="","",INDEX(Metrics!$A$6:$U$305,MATCH($A177,Metrics!$U$6:$U$305,0),MATCH(O$5,Metrics!$A$5:$U$5,0)))</f>
        <v/>
      </c>
      <c r="P177" t="str">
        <f>IF($A177="","",INDEX(Metrics!$A$6:$U$305,MATCH($A177,Metrics!$U$6:$U$305,0),MATCH(P$5,Metrics!$A$5:$U$5,0)))</f>
        <v/>
      </c>
    </row>
    <row r="178" spans="1:16" x14ac:dyDescent="0.4">
      <c r="A178" t="str">
        <f t="shared" si="2"/>
        <v/>
      </c>
      <c r="B178" t="str">
        <f>IF($A178="","",INDEX(Metrics!$A$6:$U$305,MATCH($A178,Metrics!$U$6:$U$305,0),MATCH(B$5,Metrics!$A$5:$U$5,0)))</f>
        <v/>
      </c>
      <c r="C178" t="str">
        <f>IF($A178="","",INDEX(Metrics!$A$6:$U$305,MATCH($A178,Metrics!$U$6:$U$305,0),MATCH(C$5,Metrics!$A$5:$U$5,0)))</f>
        <v/>
      </c>
      <c r="D178" t="str">
        <f>IF($A178="","",INDEX(Metrics!$A$6:$U$305,MATCH($A178,Metrics!$U$6:$U$305,0),MATCH(D$5,Metrics!$A$5:$U$5,0)))</f>
        <v/>
      </c>
      <c r="E178" s="14" t="str">
        <f>IF($A178="","",INDEX(Metrics!$A$6:$U$305,MATCH($A178,Metrics!$U$6:$U$305,0),MATCH(E$5,Metrics!$A$5:$U$5,0)))</f>
        <v/>
      </c>
      <c r="F178" s="7" t="str">
        <f>IF($A178="","",INDEX(Metrics!$A$6:$U$305,MATCH($A178,Metrics!$U$6:$U$305,0),MATCH(F$5,Metrics!$A$5:$U$5,0)))</f>
        <v/>
      </c>
      <c r="G178" s="9" t="str">
        <f>IF($A178="","",INDEX(Metrics!$A$6:$U$305,MATCH($A178,Metrics!$U$6:$U$305,0),MATCH(G$5,Metrics!$A$5:$U$5,0)))</f>
        <v/>
      </c>
      <c r="H178" s="9" t="str">
        <f>IF($A178="","",INDEX(Metrics!$A$6:$U$305,MATCH($A178,Metrics!$U$6:$U$305,0),MATCH(H$5,Metrics!$A$5:$U$5,0)))</f>
        <v/>
      </c>
      <c r="I178" s="7" t="str">
        <f>IF($A178="","",INDEX(Metrics!$A$6:$U$305,MATCH($A178,Metrics!$U$6:$U$305,0),MATCH(I$5,Metrics!$A$5:$U$5,0)))</f>
        <v/>
      </c>
      <c r="J178" s="9" t="str">
        <f>IF($A178="","",INDEX(Metrics!$A$6:$U$305,MATCH($A178,Metrics!$U$6:$U$305,0),MATCH(J$5,Metrics!$A$5:$U$5,0)))</f>
        <v/>
      </c>
      <c r="K178" s="10" t="str">
        <f>IF($A178="","",INDEX(Metrics!$A$6:$U$305,MATCH($A178,Metrics!$U$6:$U$305,0),MATCH(K$5,Metrics!$A$5:$U$5,0)))</f>
        <v/>
      </c>
      <c r="L178" t="str">
        <f>IF($A178="","",INDEX(Metrics!$A$6:$U$305,MATCH($A178,Metrics!$U$6:$U$305,0),MATCH(L$5,Metrics!$A$5:$U$5,0)))</f>
        <v/>
      </c>
      <c r="M178" t="str">
        <f>IF($A178="","",INDEX(Metrics!$A$6:$U$305,MATCH($A178,Metrics!$U$6:$U$305,0),MATCH(M$5,Metrics!$A$5:$U$5,0)))</f>
        <v/>
      </c>
      <c r="N178" t="str">
        <f>IF($A178="","",INDEX(Metrics!$A$6:$U$305,MATCH($A178,Metrics!$U$6:$U$305,0),MATCH(N$5,Metrics!$A$5:$U$5,0)))</f>
        <v/>
      </c>
      <c r="O178" t="str">
        <f>IF($A178="","",INDEX(Metrics!$A$6:$U$305,MATCH($A178,Metrics!$U$6:$U$305,0),MATCH(O$5,Metrics!$A$5:$U$5,0)))</f>
        <v/>
      </c>
      <c r="P178" t="str">
        <f>IF($A178="","",INDEX(Metrics!$A$6:$U$305,MATCH($A178,Metrics!$U$6:$U$305,0),MATCH(P$5,Metrics!$A$5:$U$5,0)))</f>
        <v/>
      </c>
    </row>
    <row r="179" spans="1:16" x14ac:dyDescent="0.4">
      <c r="A179" t="str">
        <f t="shared" si="2"/>
        <v/>
      </c>
      <c r="B179" t="str">
        <f>IF($A179="","",INDEX(Metrics!$A$6:$U$305,MATCH($A179,Metrics!$U$6:$U$305,0),MATCH(B$5,Metrics!$A$5:$U$5,0)))</f>
        <v/>
      </c>
      <c r="C179" t="str">
        <f>IF($A179="","",INDEX(Metrics!$A$6:$U$305,MATCH($A179,Metrics!$U$6:$U$305,0),MATCH(C$5,Metrics!$A$5:$U$5,0)))</f>
        <v/>
      </c>
      <c r="D179" t="str">
        <f>IF($A179="","",INDEX(Metrics!$A$6:$U$305,MATCH($A179,Metrics!$U$6:$U$305,0),MATCH(D$5,Metrics!$A$5:$U$5,0)))</f>
        <v/>
      </c>
      <c r="E179" s="14" t="str">
        <f>IF($A179="","",INDEX(Metrics!$A$6:$U$305,MATCH($A179,Metrics!$U$6:$U$305,0),MATCH(E$5,Metrics!$A$5:$U$5,0)))</f>
        <v/>
      </c>
      <c r="F179" s="7" t="str">
        <f>IF($A179="","",INDEX(Metrics!$A$6:$U$305,MATCH($A179,Metrics!$U$6:$U$305,0),MATCH(F$5,Metrics!$A$5:$U$5,0)))</f>
        <v/>
      </c>
      <c r="G179" s="9" t="str">
        <f>IF($A179="","",INDEX(Metrics!$A$6:$U$305,MATCH($A179,Metrics!$U$6:$U$305,0),MATCH(G$5,Metrics!$A$5:$U$5,0)))</f>
        <v/>
      </c>
      <c r="H179" s="9" t="str">
        <f>IF($A179="","",INDEX(Metrics!$A$6:$U$305,MATCH($A179,Metrics!$U$6:$U$305,0),MATCH(H$5,Metrics!$A$5:$U$5,0)))</f>
        <v/>
      </c>
      <c r="I179" s="7" t="str">
        <f>IF($A179="","",INDEX(Metrics!$A$6:$U$305,MATCH($A179,Metrics!$U$6:$U$305,0),MATCH(I$5,Metrics!$A$5:$U$5,0)))</f>
        <v/>
      </c>
      <c r="J179" s="9" t="str">
        <f>IF($A179="","",INDEX(Metrics!$A$6:$U$305,MATCH($A179,Metrics!$U$6:$U$305,0),MATCH(J$5,Metrics!$A$5:$U$5,0)))</f>
        <v/>
      </c>
      <c r="K179" s="10" t="str">
        <f>IF($A179="","",INDEX(Metrics!$A$6:$U$305,MATCH($A179,Metrics!$U$6:$U$305,0),MATCH(K$5,Metrics!$A$5:$U$5,0)))</f>
        <v/>
      </c>
      <c r="L179" t="str">
        <f>IF($A179="","",INDEX(Metrics!$A$6:$U$305,MATCH($A179,Metrics!$U$6:$U$305,0),MATCH(L$5,Metrics!$A$5:$U$5,0)))</f>
        <v/>
      </c>
      <c r="M179" t="str">
        <f>IF($A179="","",INDEX(Metrics!$A$6:$U$305,MATCH($A179,Metrics!$U$6:$U$305,0),MATCH(M$5,Metrics!$A$5:$U$5,0)))</f>
        <v/>
      </c>
      <c r="N179" t="str">
        <f>IF($A179="","",INDEX(Metrics!$A$6:$U$305,MATCH($A179,Metrics!$U$6:$U$305,0),MATCH(N$5,Metrics!$A$5:$U$5,0)))</f>
        <v/>
      </c>
      <c r="O179" t="str">
        <f>IF($A179="","",INDEX(Metrics!$A$6:$U$305,MATCH($A179,Metrics!$U$6:$U$305,0),MATCH(O$5,Metrics!$A$5:$U$5,0)))</f>
        <v/>
      </c>
      <c r="P179" t="str">
        <f>IF($A179="","",INDEX(Metrics!$A$6:$U$305,MATCH($A179,Metrics!$U$6:$U$305,0),MATCH(P$5,Metrics!$A$5:$U$5,0)))</f>
        <v/>
      </c>
    </row>
    <row r="180" spans="1:16" x14ac:dyDescent="0.4">
      <c r="A180" t="str">
        <f t="shared" si="2"/>
        <v/>
      </c>
      <c r="B180" t="str">
        <f>IF($A180="","",INDEX(Metrics!$A$6:$U$305,MATCH($A180,Metrics!$U$6:$U$305,0),MATCH(B$5,Metrics!$A$5:$U$5,0)))</f>
        <v/>
      </c>
      <c r="C180" t="str">
        <f>IF($A180="","",INDEX(Metrics!$A$6:$U$305,MATCH($A180,Metrics!$U$6:$U$305,0),MATCH(C$5,Metrics!$A$5:$U$5,0)))</f>
        <v/>
      </c>
      <c r="D180" t="str">
        <f>IF($A180="","",INDEX(Metrics!$A$6:$U$305,MATCH($A180,Metrics!$U$6:$U$305,0),MATCH(D$5,Metrics!$A$5:$U$5,0)))</f>
        <v/>
      </c>
      <c r="E180" s="14" t="str">
        <f>IF($A180="","",INDEX(Metrics!$A$6:$U$305,MATCH($A180,Metrics!$U$6:$U$305,0),MATCH(E$5,Metrics!$A$5:$U$5,0)))</f>
        <v/>
      </c>
      <c r="F180" s="7" t="str">
        <f>IF($A180="","",INDEX(Metrics!$A$6:$U$305,MATCH($A180,Metrics!$U$6:$U$305,0),MATCH(F$5,Metrics!$A$5:$U$5,0)))</f>
        <v/>
      </c>
      <c r="G180" s="9" t="str">
        <f>IF($A180="","",INDEX(Metrics!$A$6:$U$305,MATCH($A180,Metrics!$U$6:$U$305,0),MATCH(G$5,Metrics!$A$5:$U$5,0)))</f>
        <v/>
      </c>
      <c r="H180" s="9" t="str">
        <f>IF($A180="","",INDEX(Metrics!$A$6:$U$305,MATCH($A180,Metrics!$U$6:$U$305,0),MATCH(H$5,Metrics!$A$5:$U$5,0)))</f>
        <v/>
      </c>
      <c r="I180" s="7" t="str">
        <f>IF($A180="","",INDEX(Metrics!$A$6:$U$305,MATCH($A180,Metrics!$U$6:$U$305,0),MATCH(I$5,Metrics!$A$5:$U$5,0)))</f>
        <v/>
      </c>
      <c r="J180" s="9" t="str">
        <f>IF($A180="","",INDEX(Metrics!$A$6:$U$305,MATCH($A180,Metrics!$U$6:$U$305,0),MATCH(J$5,Metrics!$A$5:$U$5,0)))</f>
        <v/>
      </c>
      <c r="K180" s="10" t="str">
        <f>IF($A180="","",INDEX(Metrics!$A$6:$U$305,MATCH($A180,Metrics!$U$6:$U$305,0),MATCH(K$5,Metrics!$A$5:$U$5,0)))</f>
        <v/>
      </c>
      <c r="L180" t="str">
        <f>IF($A180="","",INDEX(Metrics!$A$6:$U$305,MATCH($A180,Metrics!$U$6:$U$305,0),MATCH(L$5,Metrics!$A$5:$U$5,0)))</f>
        <v/>
      </c>
      <c r="M180" t="str">
        <f>IF($A180="","",INDEX(Metrics!$A$6:$U$305,MATCH($A180,Metrics!$U$6:$U$305,0),MATCH(M$5,Metrics!$A$5:$U$5,0)))</f>
        <v/>
      </c>
      <c r="N180" t="str">
        <f>IF($A180="","",INDEX(Metrics!$A$6:$U$305,MATCH($A180,Metrics!$U$6:$U$305,0),MATCH(N$5,Metrics!$A$5:$U$5,0)))</f>
        <v/>
      </c>
      <c r="O180" t="str">
        <f>IF($A180="","",INDEX(Metrics!$A$6:$U$305,MATCH($A180,Metrics!$U$6:$U$305,0),MATCH(O$5,Metrics!$A$5:$U$5,0)))</f>
        <v/>
      </c>
      <c r="P180" t="str">
        <f>IF($A180="","",INDEX(Metrics!$A$6:$U$305,MATCH($A180,Metrics!$U$6:$U$305,0),MATCH(P$5,Metrics!$A$5:$U$5,0)))</f>
        <v/>
      </c>
    </row>
    <row r="181" spans="1:16" x14ac:dyDescent="0.4">
      <c r="A181" t="str">
        <f t="shared" si="2"/>
        <v/>
      </c>
      <c r="B181" t="str">
        <f>IF($A181="","",INDEX(Metrics!$A$6:$U$305,MATCH($A181,Metrics!$U$6:$U$305,0),MATCH(B$5,Metrics!$A$5:$U$5,0)))</f>
        <v/>
      </c>
      <c r="C181" t="str">
        <f>IF($A181="","",INDEX(Metrics!$A$6:$U$305,MATCH($A181,Metrics!$U$6:$U$305,0),MATCH(C$5,Metrics!$A$5:$U$5,0)))</f>
        <v/>
      </c>
      <c r="D181" t="str">
        <f>IF($A181="","",INDEX(Metrics!$A$6:$U$305,MATCH($A181,Metrics!$U$6:$U$305,0),MATCH(D$5,Metrics!$A$5:$U$5,0)))</f>
        <v/>
      </c>
      <c r="E181" s="14" t="str">
        <f>IF($A181="","",INDEX(Metrics!$A$6:$U$305,MATCH($A181,Metrics!$U$6:$U$305,0),MATCH(E$5,Metrics!$A$5:$U$5,0)))</f>
        <v/>
      </c>
      <c r="F181" s="7" t="str">
        <f>IF($A181="","",INDEX(Metrics!$A$6:$U$305,MATCH($A181,Metrics!$U$6:$U$305,0),MATCH(F$5,Metrics!$A$5:$U$5,0)))</f>
        <v/>
      </c>
      <c r="G181" s="9" t="str">
        <f>IF($A181="","",INDEX(Metrics!$A$6:$U$305,MATCH($A181,Metrics!$U$6:$U$305,0),MATCH(G$5,Metrics!$A$5:$U$5,0)))</f>
        <v/>
      </c>
      <c r="H181" s="9" t="str">
        <f>IF($A181="","",INDEX(Metrics!$A$6:$U$305,MATCH($A181,Metrics!$U$6:$U$305,0),MATCH(H$5,Metrics!$A$5:$U$5,0)))</f>
        <v/>
      </c>
      <c r="I181" s="7" t="str">
        <f>IF($A181="","",INDEX(Metrics!$A$6:$U$305,MATCH($A181,Metrics!$U$6:$U$305,0),MATCH(I$5,Metrics!$A$5:$U$5,0)))</f>
        <v/>
      </c>
      <c r="J181" s="9" t="str">
        <f>IF($A181="","",INDEX(Metrics!$A$6:$U$305,MATCH($A181,Metrics!$U$6:$U$305,0),MATCH(J$5,Metrics!$A$5:$U$5,0)))</f>
        <v/>
      </c>
      <c r="K181" s="10" t="str">
        <f>IF($A181="","",INDEX(Metrics!$A$6:$U$305,MATCH($A181,Metrics!$U$6:$U$305,0),MATCH(K$5,Metrics!$A$5:$U$5,0)))</f>
        <v/>
      </c>
      <c r="L181" t="str">
        <f>IF($A181="","",INDEX(Metrics!$A$6:$U$305,MATCH($A181,Metrics!$U$6:$U$305,0),MATCH(L$5,Metrics!$A$5:$U$5,0)))</f>
        <v/>
      </c>
      <c r="M181" t="str">
        <f>IF($A181="","",INDEX(Metrics!$A$6:$U$305,MATCH($A181,Metrics!$U$6:$U$305,0),MATCH(M$5,Metrics!$A$5:$U$5,0)))</f>
        <v/>
      </c>
      <c r="N181" t="str">
        <f>IF($A181="","",INDEX(Metrics!$A$6:$U$305,MATCH($A181,Metrics!$U$6:$U$305,0),MATCH(N$5,Metrics!$A$5:$U$5,0)))</f>
        <v/>
      </c>
      <c r="O181" t="str">
        <f>IF($A181="","",INDEX(Metrics!$A$6:$U$305,MATCH($A181,Metrics!$U$6:$U$305,0),MATCH(O$5,Metrics!$A$5:$U$5,0)))</f>
        <v/>
      </c>
      <c r="P181" t="str">
        <f>IF($A181="","",INDEX(Metrics!$A$6:$U$305,MATCH($A181,Metrics!$U$6:$U$305,0),MATCH(P$5,Metrics!$A$5:$U$5,0)))</f>
        <v/>
      </c>
    </row>
    <row r="182" spans="1:16" x14ac:dyDescent="0.4">
      <c r="A182" t="str">
        <f t="shared" si="2"/>
        <v/>
      </c>
      <c r="B182" t="str">
        <f>IF($A182="","",INDEX(Metrics!$A$6:$U$305,MATCH($A182,Metrics!$U$6:$U$305,0),MATCH(B$5,Metrics!$A$5:$U$5,0)))</f>
        <v/>
      </c>
      <c r="C182" t="str">
        <f>IF($A182="","",INDEX(Metrics!$A$6:$U$305,MATCH($A182,Metrics!$U$6:$U$305,0),MATCH(C$5,Metrics!$A$5:$U$5,0)))</f>
        <v/>
      </c>
      <c r="D182" t="str">
        <f>IF($A182="","",INDEX(Metrics!$A$6:$U$305,MATCH($A182,Metrics!$U$6:$U$305,0),MATCH(D$5,Metrics!$A$5:$U$5,0)))</f>
        <v/>
      </c>
      <c r="E182" s="14" t="str">
        <f>IF($A182="","",INDEX(Metrics!$A$6:$U$305,MATCH($A182,Metrics!$U$6:$U$305,0),MATCH(E$5,Metrics!$A$5:$U$5,0)))</f>
        <v/>
      </c>
      <c r="F182" s="7" t="str">
        <f>IF($A182="","",INDEX(Metrics!$A$6:$U$305,MATCH($A182,Metrics!$U$6:$U$305,0),MATCH(F$5,Metrics!$A$5:$U$5,0)))</f>
        <v/>
      </c>
      <c r="G182" s="9" t="str">
        <f>IF($A182="","",INDEX(Metrics!$A$6:$U$305,MATCH($A182,Metrics!$U$6:$U$305,0),MATCH(G$5,Metrics!$A$5:$U$5,0)))</f>
        <v/>
      </c>
      <c r="H182" s="9" t="str">
        <f>IF($A182="","",INDEX(Metrics!$A$6:$U$305,MATCH($A182,Metrics!$U$6:$U$305,0),MATCH(H$5,Metrics!$A$5:$U$5,0)))</f>
        <v/>
      </c>
      <c r="I182" s="7" t="str">
        <f>IF($A182="","",INDEX(Metrics!$A$6:$U$305,MATCH($A182,Metrics!$U$6:$U$305,0),MATCH(I$5,Metrics!$A$5:$U$5,0)))</f>
        <v/>
      </c>
      <c r="J182" s="9" t="str">
        <f>IF($A182="","",INDEX(Metrics!$A$6:$U$305,MATCH($A182,Metrics!$U$6:$U$305,0),MATCH(J$5,Metrics!$A$5:$U$5,0)))</f>
        <v/>
      </c>
      <c r="K182" s="10" t="str">
        <f>IF($A182="","",INDEX(Metrics!$A$6:$U$305,MATCH($A182,Metrics!$U$6:$U$305,0),MATCH(K$5,Metrics!$A$5:$U$5,0)))</f>
        <v/>
      </c>
      <c r="L182" t="str">
        <f>IF($A182="","",INDEX(Metrics!$A$6:$U$305,MATCH($A182,Metrics!$U$6:$U$305,0),MATCH(L$5,Metrics!$A$5:$U$5,0)))</f>
        <v/>
      </c>
      <c r="M182" t="str">
        <f>IF($A182="","",INDEX(Metrics!$A$6:$U$305,MATCH($A182,Metrics!$U$6:$U$305,0),MATCH(M$5,Metrics!$A$5:$U$5,0)))</f>
        <v/>
      </c>
      <c r="N182" t="str">
        <f>IF($A182="","",INDEX(Metrics!$A$6:$U$305,MATCH($A182,Metrics!$U$6:$U$305,0),MATCH(N$5,Metrics!$A$5:$U$5,0)))</f>
        <v/>
      </c>
      <c r="O182" t="str">
        <f>IF($A182="","",INDEX(Metrics!$A$6:$U$305,MATCH($A182,Metrics!$U$6:$U$305,0),MATCH(O$5,Metrics!$A$5:$U$5,0)))</f>
        <v/>
      </c>
      <c r="P182" t="str">
        <f>IF($A182="","",INDEX(Metrics!$A$6:$U$305,MATCH($A182,Metrics!$U$6:$U$305,0),MATCH(P$5,Metrics!$A$5:$U$5,0)))</f>
        <v/>
      </c>
    </row>
    <row r="183" spans="1:16" x14ac:dyDescent="0.4">
      <c r="A183" t="str">
        <f t="shared" si="2"/>
        <v/>
      </c>
      <c r="B183" t="str">
        <f>IF($A183="","",INDEX(Metrics!$A$6:$U$305,MATCH($A183,Metrics!$U$6:$U$305,0),MATCH(B$5,Metrics!$A$5:$U$5,0)))</f>
        <v/>
      </c>
      <c r="C183" t="str">
        <f>IF($A183="","",INDEX(Metrics!$A$6:$U$305,MATCH($A183,Metrics!$U$6:$U$305,0),MATCH(C$5,Metrics!$A$5:$U$5,0)))</f>
        <v/>
      </c>
      <c r="D183" t="str">
        <f>IF($A183="","",INDEX(Metrics!$A$6:$U$305,MATCH($A183,Metrics!$U$6:$U$305,0),MATCH(D$5,Metrics!$A$5:$U$5,0)))</f>
        <v/>
      </c>
      <c r="E183" s="14" t="str">
        <f>IF($A183="","",INDEX(Metrics!$A$6:$U$305,MATCH($A183,Metrics!$U$6:$U$305,0),MATCH(E$5,Metrics!$A$5:$U$5,0)))</f>
        <v/>
      </c>
      <c r="F183" s="7" t="str">
        <f>IF($A183="","",INDEX(Metrics!$A$6:$U$305,MATCH($A183,Metrics!$U$6:$U$305,0),MATCH(F$5,Metrics!$A$5:$U$5,0)))</f>
        <v/>
      </c>
      <c r="G183" s="9" t="str">
        <f>IF($A183="","",INDEX(Metrics!$A$6:$U$305,MATCH($A183,Metrics!$U$6:$U$305,0),MATCH(G$5,Metrics!$A$5:$U$5,0)))</f>
        <v/>
      </c>
      <c r="H183" s="9" t="str">
        <f>IF($A183="","",INDEX(Metrics!$A$6:$U$305,MATCH($A183,Metrics!$U$6:$U$305,0),MATCH(H$5,Metrics!$A$5:$U$5,0)))</f>
        <v/>
      </c>
      <c r="I183" s="7" t="str">
        <f>IF($A183="","",INDEX(Metrics!$A$6:$U$305,MATCH($A183,Metrics!$U$6:$U$305,0),MATCH(I$5,Metrics!$A$5:$U$5,0)))</f>
        <v/>
      </c>
      <c r="J183" s="9" t="str">
        <f>IF($A183="","",INDEX(Metrics!$A$6:$U$305,MATCH($A183,Metrics!$U$6:$U$305,0),MATCH(J$5,Metrics!$A$5:$U$5,0)))</f>
        <v/>
      </c>
      <c r="K183" s="10" t="str">
        <f>IF($A183="","",INDEX(Metrics!$A$6:$U$305,MATCH($A183,Metrics!$U$6:$U$305,0),MATCH(K$5,Metrics!$A$5:$U$5,0)))</f>
        <v/>
      </c>
      <c r="L183" t="str">
        <f>IF($A183="","",INDEX(Metrics!$A$6:$U$305,MATCH($A183,Metrics!$U$6:$U$305,0),MATCH(L$5,Metrics!$A$5:$U$5,0)))</f>
        <v/>
      </c>
      <c r="M183" t="str">
        <f>IF($A183="","",INDEX(Metrics!$A$6:$U$305,MATCH($A183,Metrics!$U$6:$U$305,0),MATCH(M$5,Metrics!$A$5:$U$5,0)))</f>
        <v/>
      </c>
      <c r="N183" t="str">
        <f>IF($A183="","",INDEX(Metrics!$A$6:$U$305,MATCH($A183,Metrics!$U$6:$U$305,0),MATCH(N$5,Metrics!$A$5:$U$5,0)))</f>
        <v/>
      </c>
      <c r="O183" t="str">
        <f>IF($A183="","",INDEX(Metrics!$A$6:$U$305,MATCH($A183,Metrics!$U$6:$U$305,0),MATCH(O$5,Metrics!$A$5:$U$5,0)))</f>
        <v/>
      </c>
      <c r="P183" t="str">
        <f>IF($A183="","",INDEX(Metrics!$A$6:$U$305,MATCH($A183,Metrics!$U$6:$U$305,0),MATCH(P$5,Metrics!$A$5:$U$5,0)))</f>
        <v/>
      </c>
    </row>
    <row r="184" spans="1:16" x14ac:dyDescent="0.4">
      <c r="A184" t="str">
        <f t="shared" si="2"/>
        <v/>
      </c>
      <c r="B184" t="str">
        <f>IF($A184="","",INDEX(Metrics!$A$6:$U$305,MATCH($A184,Metrics!$U$6:$U$305,0),MATCH(B$5,Metrics!$A$5:$U$5,0)))</f>
        <v/>
      </c>
      <c r="C184" t="str">
        <f>IF($A184="","",INDEX(Metrics!$A$6:$U$305,MATCH($A184,Metrics!$U$6:$U$305,0),MATCH(C$5,Metrics!$A$5:$U$5,0)))</f>
        <v/>
      </c>
      <c r="D184" t="str">
        <f>IF($A184="","",INDEX(Metrics!$A$6:$U$305,MATCH($A184,Metrics!$U$6:$U$305,0),MATCH(D$5,Metrics!$A$5:$U$5,0)))</f>
        <v/>
      </c>
      <c r="E184" s="14" t="str">
        <f>IF($A184="","",INDEX(Metrics!$A$6:$U$305,MATCH($A184,Metrics!$U$6:$U$305,0),MATCH(E$5,Metrics!$A$5:$U$5,0)))</f>
        <v/>
      </c>
      <c r="F184" s="7" t="str">
        <f>IF($A184="","",INDEX(Metrics!$A$6:$U$305,MATCH($A184,Metrics!$U$6:$U$305,0),MATCH(F$5,Metrics!$A$5:$U$5,0)))</f>
        <v/>
      </c>
      <c r="G184" s="9" t="str">
        <f>IF($A184="","",INDEX(Metrics!$A$6:$U$305,MATCH($A184,Metrics!$U$6:$U$305,0),MATCH(G$5,Metrics!$A$5:$U$5,0)))</f>
        <v/>
      </c>
      <c r="H184" s="9" t="str">
        <f>IF($A184="","",INDEX(Metrics!$A$6:$U$305,MATCH($A184,Metrics!$U$6:$U$305,0),MATCH(H$5,Metrics!$A$5:$U$5,0)))</f>
        <v/>
      </c>
      <c r="I184" s="7" t="str">
        <f>IF($A184="","",INDEX(Metrics!$A$6:$U$305,MATCH($A184,Metrics!$U$6:$U$305,0),MATCH(I$5,Metrics!$A$5:$U$5,0)))</f>
        <v/>
      </c>
      <c r="J184" s="9" t="str">
        <f>IF($A184="","",INDEX(Metrics!$A$6:$U$305,MATCH($A184,Metrics!$U$6:$U$305,0),MATCH(J$5,Metrics!$A$5:$U$5,0)))</f>
        <v/>
      </c>
      <c r="K184" s="10" t="str">
        <f>IF($A184="","",INDEX(Metrics!$A$6:$U$305,MATCH($A184,Metrics!$U$6:$U$305,0),MATCH(K$5,Metrics!$A$5:$U$5,0)))</f>
        <v/>
      </c>
      <c r="L184" t="str">
        <f>IF($A184="","",INDEX(Metrics!$A$6:$U$305,MATCH($A184,Metrics!$U$6:$U$305,0),MATCH(L$5,Metrics!$A$5:$U$5,0)))</f>
        <v/>
      </c>
      <c r="M184" t="str">
        <f>IF($A184="","",INDEX(Metrics!$A$6:$U$305,MATCH($A184,Metrics!$U$6:$U$305,0),MATCH(M$5,Metrics!$A$5:$U$5,0)))</f>
        <v/>
      </c>
      <c r="N184" t="str">
        <f>IF($A184="","",INDEX(Metrics!$A$6:$U$305,MATCH($A184,Metrics!$U$6:$U$305,0),MATCH(N$5,Metrics!$A$5:$U$5,0)))</f>
        <v/>
      </c>
      <c r="O184" t="str">
        <f>IF($A184="","",INDEX(Metrics!$A$6:$U$305,MATCH($A184,Metrics!$U$6:$U$305,0),MATCH(O$5,Metrics!$A$5:$U$5,0)))</f>
        <v/>
      </c>
      <c r="P184" t="str">
        <f>IF($A184="","",INDEX(Metrics!$A$6:$U$305,MATCH($A184,Metrics!$U$6:$U$305,0),MATCH(P$5,Metrics!$A$5:$U$5,0)))</f>
        <v/>
      </c>
    </row>
    <row r="185" spans="1:16" x14ac:dyDescent="0.4">
      <c r="A185" t="str">
        <f t="shared" si="2"/>
        <v/>
      </c>
      <c r="B185" t="str">
        <f>IF($A185="","",INDEX(Metrics!$A$6:$U$305,MATCH($A185,Metrics!$U$6:$U$305,0),MATCH(B$5,Metrics!$A$5:$U$5,0)))</f>
        <v/>
      </c>
      <c r="C185" t="str">
        <f>IF($A185="","",INDEX(Metrics!$A$6:$U$305,MATCH($A185,Metrics!$U$6:$U$305,0),MATCH(C$5,Metrics!$A$5:$U$5,0)))</f>
        <v/>
      </c>
      <c r="D185" t="str">
        <f>IF($A185="","",INDEX(Metrics!$A$6:$U$305,MATCH($A185,Metrics!$U$6:$U$305,0),MATCH(D$5,Metrics!$A$5:$U$5,0)))</f>
        <v/>
      </c>
      <c r="E185" s="14" t="str">
        <f>IF($A185="","",INDEX(Metrics!$A$6:$U$305,MATCH($A185,Metrics!$U$6:$U$305,0),MATCH(E$5,Metrics!$A$5:$U$5,0)))</f>
        <v/>
      </c>
      <c r="F185" s="7" t="str">
        <f>IF($A185="","",INDEX(Metrics!$A$6:$U$305,MATCH($A185,Metrics!$U$6:$U$305,0),MATCH(F$5,Metrics!$A$5:$U$5,0)))</f>
        <v/>
      </c>
      <c r="G185" s="9" t="str">
        <f>IF($A185="","",INDEX(Metrics!$A$6:$U$305,MATCH($A185,Metrics!$U$6:$U$305,0),MATCH(G$5,Metrics!$A$5:$U$5,0)))</f>
        <v/>
      </c>
      <c r="H185" s="9" t="str">
        <f>IF($A185="","",INDEX(Metrics!$A$6:$U$305,MATCH($A185,Metrics!$U$6:$U$305,0),MATCH(H$5,Metrics!$A$5:$U$5,0)))</f>
        <v/>
      </c>
      <c r="I185" s="7" t="str">
        <f>IF($A185="","",INDEX(Metrics!$A$6:$U$305,MATCH($A185,Metrics!$U$6:$U$305,0),MATCH(I$5,Metrics!$A$5:$U$5,0)))</f>
        <v/>
      </c>
      <c r="J185" s="9" t="str">
        <f>IF($A185="","",INDEX(Metrics!$A$6:$U$305,MATCH($A185,Metrics!$U$6:$U$305,0),MATCH(J$5,Metrics!$A$5:$U$5,0)))</f>
        <v/>
      </c>
      <c r="K185" s="10" t="str">
        <f>IF($A185="","",INDEX(Metrics!$A$6:$U$305,MATCH($A185,Metrics!$U$6:$U$305,0),MATCH(K$5,Metrics!$A$5:$U$5,0)))</f>
        <v/>
      </c>
      <c r="L185" t="str">
        <f>IF($A185="","",INDEX(Metrics!$A$6:$U$305,MATCH($A185,Metrics!$U$6:$U$305,0),MATCH(L$5,Metrics!$A$5:$U$5,0)))</f>
        <v/>
      </c>
      <c r="M185" t="str">
        <f>IF($A185="","",INDEX(Metrics!$A$6:$U$305,MATCH($A185,Metrics!$U$6:$U$305,0),MATCH(M$5,Metrics!$A$5:$U$5,0)))</f>
        <v/>
      </c>
      <c r="N185" t="str">
        <f>IF($A185="","",INDEX(Metrics!$A$6:$U$305,MATCH($A185,Metrics!$U$6:$U$305,0),MATCH(N$5,Metrics!$A$5:$U$5,0)))</f>
        <v/>
      </c>
      <c r="O185" t="str">
        <f>IF($A185="","",INDEX(Metrics!$A$6:$U$305,MATCH($A185,Metrics!$U$6:$U$305,0),MATCH(O$5,Metrics!$A$5:$U$5,0)))</f>
        <v/>
      </c>
      <c r="P185" t="str">
        <f>IF($A185="","",INDEX(Metrics!$A$6:$U$305,MATCH($A185,Metrics!$U$6:$U$305,0),MATCH(P$5,Metrics!$A$5:$U$5,0)))</f>
        <v/>
      </c>
    </row>
    <row r="186" spans="1:16" x14ac:dyDescent="0.4">
      <c r="A186" t="str">
        <f t="shared" si="2"/>
        <v/>
      </c>
      <c r="B186" t="str">
        <f>IF($A186="","",INDEX(Metrics!$A$6:$U$305,MATCH($A186,Metrics!$U$6:$U$305,0),MATCH(B$5,Metrics!$A$5:$U$5,0)))</f>
        <v/>
      </c>
      <c r="C186" t="str">
        <f>IF($A186="","",INDEX(Metrics!$A$6:$U$305,MATCH($A186,Metrics!$U$6:$U$305,0),MATCH(C$5,Metrics!$A$5:$U$5,0)))</f>
        <v/>
      </c>
      <c r="D186" t="str">
        <f>IF($A186="","",INDEX(Metrics!$A$6:$U$305,MATCH($A186,Metrics!$U$6:$U$305,0),MATCH(D$5,Metrics!$A$5:$U$5,0)))</f>
        <v/>
      </c>
      <c r="E186" s="14" t="str">
        <f>IF($A186="","",INDEX(Metrics!$A$6:$U$305,MATCH($A186,Metrics!$U$6:$U$305,0),MATCH(E$5,Metrics!$A$5:$U$5,0)))</f>
        <v/>
      </c>
      <c r="F186" s="7" t="str">
        <f>IF($A186="","",INDEX(Metrics!$A$6:$U$305,MATCH($A186,Metrics!$U$6:$U$305,0),MATCH(F$5,Metrics!$A$5:$U$5,0)))</f>
        <v/>
      </c>
      <c r="G186" s="9" t="str">
        <f>IF($A186="","",INDEX(Metrics!$A$6:$U$305,MATCH($A186,Metrics!$U$6:$U$305,0),MATCH(G$5,Metrics!$A$5:$U$5,0)))</f>
        <v/>
      </c>
      <c r="H186" s="9" t="str">
        <f>IF($A186="","",INDEX(Metrics!$A$6:$U$305,MATCH($A186,Metrics!$U$6:$U$305,0),MATCH(H$5,Metrics!$A$5:$U$5,0)))</f>
        <v/>
      </c>
      <c r="I186" s="7" t="str">
        <f>IF($A186="","",INDEX(Metrics!$A$6:$U$305,MATCH($A186,Metrics!$U$6:$U$305,0),MATCH(I$5,Metrics!$A$5:$U$5,0)))</f>
        <v/>
      </c>
      <c r="J186" s="9" t="str">
        <f>IF($A186="","",INDEX(Metrics!$A$6:$U$305,MATCH($A186,Metrics!$U$6:$U$305,0),MATCH(J$5,Metrics!$A$5:$U$5,0)))</f>
        <v/>
      </c>
      <c r="K186" s="10" t="str">
        <f>IF($A186="","",INDEX(Metrics!$A$6:$U$305,MATCH($A186,Metrics!$U$6:$U$305,0),MATCH(K$5,Metrics!$A$5:$U$5,0)))</f>
        <v/>
      </c>
      <c r="L186" t="str">
        <f>IF($A186="","",INDEX(Metrics!$A$6:$U$305,MATCH($A186,Metrics!$U$6:$U$305,0),MATCH(L$5,Metrics!$A$5:$U$5,0)))</f>
        <v/>
      </c>
      <c r="M186" t="str">
        <f>IF($A186="","",INDEX(Metrics!$A$6:$U$305,MATCH($A186,Metrics!$U$6:$U$305,0),MATCH(M$5,Metrics!$A$5:$U$5,0)))</f>
        <v/>
      </c>
      <c r="N186" t="str">
        <f>IF($A186="","",INDEX(Metrics!$A$6:$U$305,MATCH($A186,Metrics!$U$6:$U$305,0),MATCH(N$5,Metrics!$A$5:$U$5,0)))</f>
        <v/>
      </c>
      <c r="O186" t="str">
        <f>IF($A186="","",INDEX(Metrics!$A$6:$U$305,MATCH($A186,Metrics!$U$6:$U$305,0),MATCH(O$5,Metrics!$A$5:$U$5,0)))</f>
        <v/>
      </c>
      <c r="P186" t="str">
        <f>IF($A186="","",INDEX(Metrics!$A$6:$U$305,MATCH($A186,Metrics!$U$6:$U$305,0),MATCH(P$5,Metrics!$A$5:$U$5,0)))</f>
        <v/>
      </c>
    </row>
    <row r="187" spans="1:16" x14ac:dyDescent="0.4">
      <c r="A187" t="str">
        <f t="shared" si="2"/>
        <v/>
      </c>
      <c r="B187" t="str">
        <f>IF($A187="","",INDEX(Metrics!$A$6:$U$305,MATCH($A187,Metrics!$U$6:$U$305,0),MATCH(B$5,Metrics!$A$5:$U$5,0)))</f>
        <v/>
      </c>
      <c r="C187" t="str">
        <f>IF($A187="","",INDEX(Metrics!$A$6:$U$305,MATCH($A187,Metrics!$U$6:$U$305,0),MATCH(C$5,Metrics!$A$5:$U$5,0)))</f>
        <v/>
      </c>
      <c r="D187" t="str">
        <f>IF($A187="","",INDEX(Metrics!$A$6:$U$305,MATCH($A187,Metrics!$U$6:$U$305,0),MATCH(D$5,Metrics!$A$5:$U$5,0)))</f>
        <v/>
      </c>
      <c r="E187" s="14" t="str">
        <f>IF($A187="","",INDEX(Metrics!$A$6:$U$305,MATCH($A187,Metrics!$U$6:$U$305,0),MATCH(E$5,Metrics!$A$5:$U$5,0)))</f>
        <v/>
      </c>
      <c r="F187" s="7" t="str">
        <f>IF($A187="","",INDEX(Metrics!$A$6:$U$305,MATCH($A187,Metrics!$U$6:$U$305,0),MATCH(F$5,Metrics!$A$5:$U$5,0)))</f>
        <v/>
      </c>
      <c r="G187" s="9" t="str">
        <f>IF($A187="","",INDEX(Metrics!$A$6:$U$305,MATCH($A187,Metrics!$U$6:$U$305,0),MATCH(G$5,Metrics!$A$5:$U$5,0)))</f>
        <v/>
      </c>
      <c r="H187" s="9" t="str">
        <f>IF($A187="","",INDEX(Metrics!$A$6:$U$305,MATCH($A187,Metrics!$U$6:$U$305,0),MATCH(H$5,Metrics!$A$5:$U$5,0)))</f>
        <v/>
      </c>
      <c r="I187" s="7" t="str">
        <f>IF($A187="","",INDEX(Metrics!$A$6:$U$305,MATCH($A187,Metrics!$U$6:$U$305,0),MATCH(I$5,Metrics!$A$5:$U$5,0)))</f>
        <v/>
      </c>
      <c r="J187" s="9" t="str">
        <f>IF($A187="","",INDEX(Metrics!$A$6:$U$305,MATCH($A187,Metrics!$U$6:$U$305,0),MATCH(J$5,Metrics!$A$5:$U$5,0)))</f>
        <v/>
      </c>
      <c r="K187" s="10" t="str">
        <f>IF($A187="","",INDEX(Metrics!$A$6:$U$305,MATCH($A187,Metrics!$U$6:$U$305,0),MATCH(K$5,Metrics!$A$5:$U$5,0)))</f>
        <v/>
      </c>
      <c r="L187" t="str">
        <f>IF($A187="","",INDEX(Metrics!$A$6:$U$305,MATCH($A187,Metrics!$U$6:$U$305,0),MATCH(L$5,Metrics!$A$5:$U$5,0)))</f>
        <v/>
      </c>
      <c r="M187" t="str">
        <f>IF($A187="","",INDEX(Metrics!$A$6:$U$305,MATCH($A187,Metrics!$U$6:$U$305,0),MATCH(M$5,Metrics!$A$5:$U$5,0)))</f>
        <v/>
      </c>
      <c r="N187" t="str">
        <f>IF($A187="","",INDEX(Metrics!$A$6:$U$305,MATCH($A187,Metrics!$U$6:$U$305,0),MATCH(N$5,Metrics!$A$5:$U$5,0)))</f>
        <v/>
      </c>
      <c r="O187" t="str">
        <f>IF($A187="","",INDEX(Metrics!$A$6:$U$305,MATCH($A187,Metrics!$U$6:$U$305,0),MATCH(O$5,Metrics!$A$5:$U$5,0)))</f>
        <v/>
      </c>
      <c r="P187" t="str">
        <f>IF($A187="","",INDEX(Metrics!$A$6:$U$305,MATCH($A187,Metrics!$U$6:$U$305,0),MATCH(P$5,Metrics!$A$5:$U$5,0)))</f>
        <v/>
      </c>
    </row>
    <row r="188" spans="1:16" x14ac:dyDescent="0.4">
      <c r="A188" t="str">
        <f t="shared" si="2"/>
        <v/>
      </c>
      <c r="B188" t="str">
        <f>IF($A188="","",INDEX(Metrics!$A$6:$U$305,MATCH($A188,Metrics!$U$6:$U$305,0),MATCH(B$5,Metrics!$A$5:$U$5,0)))</f>
        <v/>
      </c>
      <c r="C188" t="str">
        <f>IF($A188="","",INDEX(Metrics!$A$6:$U$305,MATCH($A188,Metrics!$U$6:$U$305,0),MATCH(C$5,Metrics!$A$5:$U$5,0)))</f>
        <v/>
      </c>
      <c r="D188" t="str">
        <f>IF($A188="","",INDEX(Metrics!$A$6:$U$305,MATCH($A188,Metrics!$U$6:$U$305,0),MATCH(D$5,Metrics!$A$5:$U$5,0)))</f>
        <v/>
      </c>
      <c r="E188" s="14" t="str">
        <f>IF($A188="","",INDEX(Metrics!$A$6:$U$305,MATCH($A188,Metrics!$U$6:$U$305,0),MATCH(E$5,Metrics!$A$5:$U$5,0)))</f>
        <v/>
      </c>
      <c r="F188" s="7" t="str">
        <f>IF($A188="","",INDEX(Metrics!$A$6:$U$305,MATCH($A188,Metrics!$U$6:$U$305,0),MATCH(F$5,Metrics!$A$5:$U$5,0)))</f>
        <v/>
      </c>
      <c r="G188" s="9" t="str">
        <f>IF($A188="","",INDEX(Metrics!$A$6:$U$305,MATCH($A188,Metrics!$U$6:$U$305,0),MATCH(G$5,Metrics!$A$5:$U$5,0)))</f>
        <v/>
      </c>
      <c r="H188" s="9" t="str">
        <f>IF($A188="","",INDEX(Metrics!$A$6:$U$305,MATCH($A188,Metrics!$U$6:$U$305,0),MATCH(H$5,Metrics!$A$5:$U$5,0)))</f>
        <v/>
      </c>
      <c r="I188" s="7" t="str">
        <f>IF($A188="","",INDEX(Metrics!$A$6:$U$305,MATCH($A188,Metrics!$U$6:$U$305,0),MATCH(I$5,Metrics!$A$5:$U$5,0)))</f>
        <v/>
      </c>
      <c r="J188" s="9" t="str">
        <f>IF($A188="","",INDEX(Metrics!$A$6:$U$305,MATCH($A188,Metrics!$U$6:$U$305,0),MATCH(J$5,Metrics!$A$5:$U$5,0)))</f>
        <v/>
      </c>
      <c r="K188" s="10" t="str">
        <f>IF($A188="","",INDEX(Metrics!$A$6:$U$305,MATCH($A188,Metrics!$U$6:$U$305,0),MATCH(K$5,Metrics!$A$5:$U$5,0)))</f>
        <v/>
      </c>
      <c r="L188" t="str">
        <f>IF($A188="","",INDEX(Metrics!$A$6:$U$305,MATCH($A188,Metrics!$U$6:$U$305,0),MATCH(L$5,Metrics!$A$5:$U$5,0)))</f>
        <v/>
      </c>
      <c r="M188" t="str">
        <f>IF($A188="","",INDEX(Metrics!$A$6:$U$305,MATCH($A188,Metrics!$U$6:$U$305,0),MATCH(M$5,Metrics!$A$5:$U$5,0)))</f>
        <v/>
      </c>
      <c r="N188" t="str">
        <f>IF($A188="","",INDEX(Metrics!$A$6:$U$305,MATCH($A188,Metrics!$U$6:$U$305,0),MATCH(N$5,Metrics!$A$5:$U$5,0)))</f>
        <v/>
      </c>
      <c r="O188" t="str">
        <f>IF($A188="","",INDEX(Metrics!$A$6:$U$305,MATCH($A188,Metrics!$U$6:$U$305,0),MATCH(O$5,Metrics!$A$5:$U$5,0)))</f>
        <v/>
      </c>
      <c r="P188" t="str">
        <f>IF($A188="","",INDEX(Metrics!$A$6:$U$305,MATCH($A188,Metrics!$U$6:$U$305,0),MATCH(P$5,Metrics!$A$5:$U$5,0)))</f>
        <v/>
      </c>
    </row>
    <row r="189" spans="1:16" x14ac:dyDescent="0.4">
      <c r="A189" t="str">
        <f t="shared" si="2"/>
        <v/>
      </c>
      <c r="B189" t="str">
        <f>IF($A189="","",INDEX(Metrics!$A$6:$U$305,MATCH($A189,Metrics!$U$6:$U$305,0),MATCH(B$5,Metrics!$A$5:$U$5,0)))</f>
        <v/>
      </c>
      <c r="C189" t="str">
        <f>IF($A189="","",INDEX(Metrics!$A$6:$U$305,MATCH($A189,Metrics!$U$6:$U$305,0),MATCH(C$5,Metrics!$A$5:$U$5,0)))</f>
        <v/>
      </c>
      <c r="D189" t="str">
        <f>IF($A189="","",INDEX(Metrics!$A$6:$U$305,MATCH($A189,Metrics!$U$6:$U$305,0),MATCH(D$5,Metrics!$A$5:$U$5,0)))</f>
        <v/>
      </c>
      <c r="E189" s="14" t="str">
        <f>IF($A189="","",INDEX(Metrics!$A$6:$U$305,MATCH($A189,Metrics!$U$6:$U$305,0),MATCH(E$5,Metrics!$A$5:$U$5,0)))</f>
        <v/>
      </c>
      <c r="F189" s="7" t="str">
        <f>IF($A189="","",INDEX(Metrics!$A$6:$U$305,MATCH($A189,Metrics!$U$6:$U$305,0),MATCH(F$5,Metrics!$A$5:$U$5,0)))</f>
        <v/>
      </c>
      <c r="G189" s="9" t="str">
        <f>IF($A189="","",INDEX(Metrics!$A$6:$U$305,MATCH($A189,Metrics!$U$6:$U$305,0),MATCH(G$5,Metrics!$A$5:$U$5,0)))</f>
        <v/>
      </c>
      <c r="H189" s="9" t="str">
        <f>IF($A189="","",INDEX(Metrics!$A$6:$U$305,MATCH($A189,Metrics!$U$6:$U$305,0),MATCH(H$5,Metrics!$A$5:$U$5,0)))</f>
        <v/>
      </c>
      <c r="I189" s="7" t="str">
        <f>IF($A189="","",INDEX(Metrics!$A$6:$U$305,MATCH($A189,Metrics!$U$6:$U$305,0),MATCH(I$5,Metrics!$A$5:$U$5,0)))</f>
        <v/>
      </c>
      <c r="J189" s="9" t="str">
        <f>IF($A189="","",INDEX(Metrics!$A$6:$U$305,MATCH($A189,Metrics!$U$6:$U$305,0),MATCH(J$5,Metrics!$A$5:$U$5,0)))</f>
        <v/>
      </c>
      <c r="K189" s="10" t="str">
        <f>IF($A189="","",INDEX(Metrics!$A$6:$U$305,MATCH($A189,Metrics!$U$6:$U$305,0),MATCH(K$5,Metrics!$A$5:$U$5,0)))</f>
        <v/>
      </c>
      <c r="L189" t="str">
        <f>IF($A189="","",INDEX(Metrics!$A$6:$U$305,MATCH($A189,Metrics!$U$6:$U$305,0),MATCH(L$5,Metrics!$A$5:$U$5,0)))</f>
        <v/>
      </c>
      <c r="M189" t="str">
        <f>IF($A189="","",INDEX(Metrics!$A$6:$U$305,MATCH($A189,Metrics!$U$6:$U$305,0),MATCH(M$5,Metrics!$A$5:$U$5,0)))</f>
        <v/>
      </c>
      <c r="N189" t="str">
        <f>IF($A189="","",INDEX(Metrics!$A$6:$U$305,MATCH($A189,Metrics!$U$6:$U$305,0),MATCH(N$5,Metrics!$A$5:$U$5,0)))</f>
        <v/>
      </c>
      <c r="O189" t="str">
        <f>IF($A189="","",INDEX(Metrics!$A$6:$U$305,MATCH($A189,Metrics!$U$6:$U$305,0),MATCH(O$5,Metrics!$A$5:$U$5,0)))</f>
        <v/>
      </c>
      <c r="P189" t="str">
        <f>IF($A189="","",INDEX(Metrics!$A$6:$U$305,MATCH($A189,Metrics!$U$6:$U$305,0),MATCH(P$5,Metrics!$A$5:$U$5,0)))</f>
        <v/>
      </c>
    </row>
    <row r="190" spans="1:16" x14ac:dyDescent="0.4">
      <c r="A190" t="str">
        <f t="shared" si="2"/>
        <v/>
      </c>
      <c r="B190" t="str">
        <f>IF($A190="","",INDEX(Metrics!$A$6:$U$305,MATCH($A190,Metrics!$U$6:$U$305,0),MATCH(B$5,Metrics!$A$5:$U$5,0)))</f>
        <v/>
      </c>
      <c r="C190" t="str">
        <f>IF($A190="","",INDEX(Metrics!$A$6:$U$305,MATCH($A190,Metrics!$U$6:$U$305,0),MATCH(C$5,Metrics!$A$5:$U$5,0)))</f>
        <v/>
      </c>
      <c r="D190" t="str">
        <f>IF($A190="","",INDEX(Metrics!$A$6:$U$305,MATCH($A190,Metrics!$U$6:$U$305,0),MATCH(D$5,Metrics!$A$5:$U$5,0)))</f>
        <v/>
      </c>
      <c r="E190" s="14" t="str">
        <f>IF($A190="","",INDEX(Metrics!$A$6:$U$305,MATCH($A190,Metrics!$U$6:$U$305,0),MATCH(E$5,Metrics!$A$5:$U$5,0)))</f>
        <v/>
      </c>
      <c r="F190" s="7" t="str">
        <f>IF($A190="","",INDEX(Metrics!$A$6:$U$305,MATCH($A190,Metrics!$U$6:$U$305,0),MATCH(F$5,Metrics!$A$5:$U$5,0)))</f>
        <v/>
      </c>
      <c r="G190" s="9" t="str">
        <f>IF($A190="","",INDEX(Metrics!$A$6:$U$305,MATCH($A190,Metrics!$U$6:$U$305,0),MATCH(G$5,Metrics!$A$5:$U$5,0)))</f>
        <v/>
      </c>
      <c r="H190" s="9" t="str">
        <f>IF($A190="","",INDEX(Metrics!$A$6:$U$305,MATCH($A190,Metrics!$U$6:$U$305,0),MATCH(H$5,Metrics!$A$5:$U$5,0)))</f>
        <v/>
      </c>
      <c r="I190" s="7" t="str">
        <f>IF($A190="","",INDEX(Metrics!$A$6:$U$305,MATCH($A190,Metrics!$U$6:$U$305,0),MATCH(I$5,Metrics!$A$5:$U$5,0)))</f>
        <v/>
      </c>
      <c r="J190" s="9" t="str">
        <f>IF($A190="","",INDEX(Metrics!$A$6:$U$305,MATCH($A190,Metrics!$U$6:$U$305,0),MATCH(J$5,Metrics!$A$5:$U$5,0)))</f>
        <v/>
      </c>
      <c r="K190" s="10" t="str">
        <f>IF($A190="","",INDEX(Metrics!$A$6:$U$305,MATCH($A190,Metrics!$U$6:$U$305,0),MATCH(K$5,Metrics!$A$5:$U$5,0)))</f>
        <v/>
      </c>
      <c r="L190" t="str">
        <f>IF($A190="","",INDEX(Metrics!$A$6:$U$305,MATCH($A190,Metrics!$U$6:$U$305,0),MATCH(L$5,Metrics!$A$5:$U$5,0)))</f>
        <v/>
      </c>
      <c r="M190" t="str">
        <f>IF($A190="","",INDEX(Metrics!$A$6:$U$305,MATCH($A190,Metrics!$U$6:$U$305,0),MATCH(M$5,Metrics!$A$5:$U$5,0)))</f>
        <v/>
      </c>
      <c r="N190" t="str">
        <f>IF($A190="","",INDEX(Metrics!$A$6:$U$305,MATCH($A190,Metrics!$U$6:$U$305,0),MATCH(N$5,Metrics!$A$5:$U$5,0)))</f>
        <v/>
      </c>
      <c r="O190" t="str">
        <f>IF($A190="","",INDEX(Metrics!$A$6:$U$305,MATCH($A190,Metrics!$U$6:$U$305,0),MATCH(O$5,Metrics!$A$5:$U$5,0)))</f>
        <v/>
      </c>
      <c r="P190" t="str">
        <f>IF($A190="","",INDEX(Metrics!$A$6:$U$305,MATCH($A190,Metrics!$U$6:$U$305,0),MATCH(P$5,Metrics!$A$5:$U$5,0)))</f>
        <v/>
      </c>
    </row>
    <row r="191" spans="1:16" x14ac:dyDescent="0.4">
      <c r="A191" t="str">
        <f t="shared" si="2"/>
        <v/>
      </c>
      <c r="B191" t="str">
        <f>IF($A191="","",INDEX(Metrics!$A$6:$U$305,MATCH($A191,Metrics!$U$6:$U$305,0),MATCH(B$5,Metrics!$A$5:$U$5,0)))</f>
        <v/>
      </c>
      <c r="C191" t="str">
        <f>IF($A191="","",INDEX(Metrics!$A$6:$U$305,MATCH($A191,Metrics!$U$6:$U$305,0),MATCH(C$5,Metrics!$A$5:$U$5,0)))</f>
        <v/>
      </c>
      <c r="D191" t="str">
        <f>IF($A191="","",INDEX(Metrics!$A$6:$U$305,MATCH($A191,Metrics!$U$6:$U$305,0),MATCH(D$5,Metrics!$A$5:$U$5,0)))</f>
        <v/>
      </c>
      <c r="E191" s="14" t="str">
        <f>IF($A191="","",INDEX(Metrics!$A$6:$U$305,MATCH($A191,Metrics!$U$6:$U$305,0),MATCH(E$5,Metrics!$A$5:$U$5,0)))</f>
        <v/>
      </c>
      <c r="F191" s="7" t="str">
        <f>IF($A191="","",INDEX(Metrics!$A$6:$U$305,MATCH($A191,Metrics!$U$6:$U$305,0),MATCH(F$5,Metrics!$A$5:$U$5,0)))</f>
        <v/>
      </c>
      <c r="G191" s="9" t="str">
        <f>IF($A191="","",INDEX(Metrics!$A$6:$U$305,MATCH($A191,Metrics!$U$6:$U$305,0),MATCH(G$5,Metrics!$A$5:$U$5,0)))</f>
        <v/>
      </c>
      <c r="H191" s="9" t="str">
        <f>IF($A191="","",INDEX(Metrics!$A$6:$U$305,MATCH($A191,Metrics!$U$6:$U$305,0),MATCH(H$5,Metrics!$A$5:$U$5,0)))</f>
        <v/>
      </c>
      <c r="I191" s="7" t="str">
        <f>IF($A191="","",INDEX(Metrics!$A$6:$U$305,MATCH($A191,Metrics!$U$6:$U$305,0),MATCH(I$5,Metrics!$A$5:$U$5,0)))</f>
        <v/>
      </c>
      <c r="J191" s="9" t="str">
        <f>IF($A191="","",INDEX(Metrics!$A$6:$U$305,MATCH($A191,Metrics!$U$6:$U$305,0),MATCH(J$5,Metrics!$A$5:$U$5,0)))</f>
        <v/>
      </c>
      <c r="K191" s="10" t="str">
        <f>IF($A191="","",INDEX(Metrics!$A$6:$U$305,MATCH($A191,Metrics!$U$6:$U$305,0),MATCH(K$5,Metrics!$A$5:$U$5,0)))</f>
        <v/>
      </c>
      <c r="L191" t="str">
        <f>IF($A191="","",INDEX(Metrics!$A$6:$U$305,MATCH($A191,Metrics!$U$6:$U$305,0),MATCH(L$5,Metrics!$A$5:$U$5,0)))</f>
        <v/>
      </c>
      <c r="M191" t="str">
        <f>IF($A191="","",INDEX(Metrics!$A$6:$U$305,MATCH($A191,Metrics!$U$6:$U$305,0),MATCH(M$5,Metrics!$A$5:$U$5,0)))</f>
        <v/>
      </c>
      <c r="N191" t="str">
        <f>IF($A191="","",INDEX(Metrics!$A$6:$U$305,MATCH($A191,Metrics!$U$6:$U$305,0),MATCH(N$5,Metrics!$A$5:$U$5,0)))</f>
        <v/>
      </c>
      <c r="O191" t="str">
        <f>IF($A191="","",INDEX(Metrics!$A$6:$U$305,MATCH($A191,Metrics!$U$6:$U$305,0),MATCH(O$5,Metrics!$A$5:$U$5,0)))</f>
        <v/>
      </c>
      <c r="P191" t="str">
        <f>IF($A191="","",INDEX(Metrics!$A$6:$U$305,MATCH($A191,Metrics!$U$6:$U$305,0),MATCH(P$5,Metrics!$A$5:$U$5,0)))</f>
        <v/>
      </c>
    </row>
    <row r="192" spans="1:16" x14ac:dyDescent="0.4">
      <c r="A192" t="str">
        <f t="shared" si="2"/>
        <v/>
      </c>
      <c r="B192" t="str">
        <f>IF($A192="","",INDEX(Metrics!$A$6:$U$305,MATCH($A192,Metrics!$U$6:$U$305,0),MATCH(B$5,Metrics!$A$5:$U$5,0)))</f>
        <v/>
      </c>
      <c r="C192" t="str">
        <f>IF($A192="","",INDEX(Metrics!$A$6:$U$305,MATCH($A192,Metrics!$U$6:$U$305,0),MATCH(C$5,Metrics!$A$5:$U$5,0)))</f>
        <v/>
      </c>
      <c r="D192" t="str">
        <f>IF($A192="","",INDEX(Metrics!$A$6:$U$305,MATCH($A192,Metrics!$U$6:$U$305,0),MATCH(D$5,Metrics!$A$5:$U$5,0)))</f>
        <v/>
      </c>
      <c r="E192" s="14" t="str">
        <f>IF($A192="","",INDEX(Metrics!$A$6:$U$305,MATCH($A192,Metrics!$U$6:$U$305,0),MATCH(E$5,Metrics!$A$5:$U$5,0)))</f>
        <v/>
      </c>
      <c r="F192" s="7" t="str">
        <f>IF($A192="","",INDEX(Metrics!$A$6:$U$305,MATCH($A192,Metrics!$U$6:$U$305,0),MATCH(F$5,Metrics!$A$5:$U$5,0)))</f>
        <v/>
      </c>
      <c r="G192" s="9" t="str">
        <f>IF($A192="","",INDEX(Metrics!$A$6:$U$305,MATCH($A192,Metrics!$U$6:$U$305,0),MATCH(G$5,Metrics!$A$5:$U$5,0)))</f>
        <v/>
      </c>
      <c r="H192" s="9" t="str">
        <f>IF($A192="","",INDEX(Metrics!$A$6:$U$305,MATCH($A192,Metrics!$U$6:$U$305,0),MATCH(H$5,Metrics!$A$5:$U$5,0)))</f>
        <v/>
      </c>
      <c r="I192" s="7" t="str">
        <f>IF($A192="","",INDEX(Metrics!$A$6:$U$305,MATCH($A192,Metrics!$U$6:$U$305,0),MATCH(I$5,Metrics!$A$5:$U$5,0)))</f>
        <v/>
      </c>
      <c r="J192" s="9" t="str">
        <f>IF($A192="","",INDEX(Metrics!$A$6:$U$305,MATCH($A192,Metrics!$U$6:$U$305,0),MATCH(J$5,Metrics!$A$5:$U$5,0)))</f>
        <v/>
      </c>
      <c r="K192" s="10" t="str">
        <f>IF($A192="","",INDEX(Metrics!$A$6:$U$305,MATCH($A192,Metrics!$U$6:$U$305,0),MATCH(K$5,Metrics!$A$5:$U$5,0)))</f>
        <v/>
      </c>
      <c r="L192" t="str">
        <f>IF($A192="","",INDEX(Metrics!$A$6:$U$305,MATCH($A192,Metrics!$U$6:$U$305,0),MATCH(L$5,Metrics!$A$5:$U$5,0)))</f>
        <v/>
      </c>
      <c r="M192" t="str">
        <f>IF($A192="","",INDEX(Metrics!$A$6:$U$305,MATCH($A192,Metrics!$U$6:$U$305,0),MATCH(M$5,Metrics!$A$5:$U$5,0)))</f>
        <v/>
      </c>
      <c r="N192" t="str">
        <f>IF($A192="","",INDEX(Metrics!$A$6:$U$305,MATCH($A192,Metrics!$U$6:$U$305,0),MATCH(N$5,Metrics!$A$5:$U$5,0)))</f>
        <v/>
      </c>
      <c r="O192" t="str">
        <f>IF($A192="","",INDEX(Metrics!$A$6:$U$305,MATCH($A192,Metrics!$U$6:$U$305,0),MATCH(O$5,Metrics!$A$5:$U$5,0)))</f>
        <v/>
      </c>
      <c r="P192" t="str">
        <f>IF($A192="","",INDEX(Metrics!$A$6:$U$305,MATCH($A192,Metrics!$U$6:$U$305,0),MATCH(P$5,Metrics!$A$5:$U$5,0)))</f>
        <v/>
      </c>
    </row>
    <row r="193" spans="1:16" x14ac:dyDescent="0.4">
      <c r="A193" t="str">
        <f t="shared" si="2"/>
        <v/>
      </c>
      <c r="B193" t="str">
        <f>IF($A193="","",INDEX(Metrics!$A$6:$U$305,MATCH($A193,Metrics!$U$6:$U$305,0),MATCH(B$5,Metrics!$A$5:$U$5,0)))</f>
        <v/>
      </c>
      <c r="C193" t="str">
        <f>IF($A193="","",INDEX(Metrics!$A$6:$U$305,MATCH($A193,Metrics!$U$6:$U$305,0),MATCH(C$5,Metrics!$A$5:$U$5,0)))</f>
        <v/>
      </c>
      <c r="D193" t="str">
        <f>IF($A193="","",INDEX(Metrics!$A$6:$U$305,MATCH($A193,Metrics!$U$6:$U$305,0),MATCH(D$5,Metrics!$A$5:$U$5,0)))</f>
        <v/>
      </c>
      <c r="E193" s="14" t="str">
        <f>IF($A193="","",INDEX(Metrics!$A$6:$U$305,MATCH($A193,Metrics!$U$6:$U$305,0),MATCH(E$5,Metrics!$A$5:$U$5,0)))</f>
        <v/>
      </c>
      <c r="F193" s="7" t="str">
        <f>IF($A193="","",INDEX(Metrics!$A$6:$U$305,MATCH($A193,Metrics!$U$6:$U$305,0),MATCH(F$5,Metrics!$A$5:$U$5,0)))</f>
        <v/>
      </c>
      <c r="G193" s="9" t="str">
        <f>IF($A193="","",INDEX(Metrics!$A$6:$U$305,MATCH($A193,Metrics!$U$6:$U$305,0),MATCH(G$5,Metrics!$A$5:$U$5,0)))</f>
        <v/>
      </c>
      <c r="H193" s="9" t="str">
        <f>IF($A193="","",INDEX(Metrics!$A$6:$U$305,MATCH($A193,Metrics!$U$6:$U$305,0),MATCH(H$5,Metrics!$A$5:$U$5,0)))</f>
        <v/>
      </c>
      <c r="I193" s="7" t="str">
        <f>IF($A193="","",INDEX(Metrics!$A$6:$U$305,MATCH($A193,Metrics!$U$6:$U$305,0),MATCH(I$5,Metrics!$A$5:$U$5,0)))</f>
        <v/>
      </c>
      <c r="J193" s="9" t="str">
        <f>IF($A193="","",INDEX(Metrics!$A$6:$U$305,MATCH($A193,Metrics!$U$6:$U$305,0),MATCH(J$5,Metrics!$A$5:$U$5,0)))</f>
        <v/>
      </c>
      <c r="K193" s="10" t="str">
        <f>IF($A193="","",INDEX(Metrics!$A$6:$U$305,MATCH($A193,Metrics!$U$6:$U$305,0),MATCH(K$5,Metrics!$A$5:$U$5,0)))</f>
        <v/>
      </c>
      <c r="L193" t="str">
        <f>IF($A193="","",INDEX(Metrics!$A$6:$U$305,MATCH($A193,Metrics!$U$6:$U$305,0),MATCH(L$5,Metrics!$A$5:$U$5,0)))</f>
        <v/>
      </c>
      <c r="M193" t="str">
        <f>IF($A193="","",INDEX(Metrics!$A$6:$U$305,MATCH($A193,Metrics!$U$6:$U$305,0),MATCH(M$5,Metrics!$A$5:$U$5,0)))</f>
        <v/>
      </c>
      <c r="N193" t="str">
        <f>IF($A193="","",INDEX(Metrics!$A$6:$U$305,MATCH($A193,Metrics!$U$6:$U$305,0),MATCH(N$5,Metrics!$A$5:$U$5,0)))</f>
        <v/>
      </c>
      <c r="O193" t="str">
        <f>IF($A193="","",INDEX(Metrics!$A$6:$U$305,MATCH($A193,Metrics!$U$6:$U$305,0),MATCH(O$5,Metrics!$A$5:$U$5,0)))</f>
        <v/>
      </c>
      <c r="P193" t="str">
        <f>IF($A193="","",INDEX(Metrics!$A$6:$U$305,MATCH($A193,Metrics!$U$6:$U$305,0),MATCH(P$5,Metrics!$A$5:$U$5,0)))</f>
        <v/>
      </c>
    </row>
    <row r="194" spans="1:16" x14ac:dyDescent="0.4">
      <c r="A194" t="str">
        <f t="shared" si="2"/>
        <v/>
      </c>
      <c r="B194" t="str">
        <f>IF($A194="","",INDEX(Metrics!$A$6:$U$305,MATCH($A194,Metrics!$U$6:$U$305,0),MATCH(B$5,Metrics!$A$5:$U$5,0)))</f>
        <v/>
      </c>
      <c r="C194" t="str">
        <f>IF($A194="","",INDEX(Metrics!$A$6:$U$305,MATCH($A194,Metrics!$U$6:$U$305,0),MATCH(C$5,Metrics!$A$5:$U$5,0)))</f>
        <v/>
      </c>
      <c r="D194" t="str">
        <f>IF($A194="","",INDEX(Metrics!$A$6:$U$305,MATCH($A194,Metrics!$U$6:$U$305,0),MATCH(D$5,Metrics!$A$5:$U$5,0)))</f>
        <v/>
      </c>
      <c r="E194" s="14" t="str">
        <f>IF($A194="","",INDEX(Metrics!$A$6:$U$305,MATCH($A194,Metrics!$U$6:$U$305,0),MATCH(E$5,Metrics!$A$5:$U$5,0)))</f>
        <v/>
      </c>
      <c r="F194" s="7" t="str">
        <f>IF($A194="","",INDEX(Metrics!$A$6:$U$305,MATCH($A194,Metrics!$U$6:$U$305,0),MATCH(F$5,Metrics!$A$5:$U$5,0)))</f>
        <v/>
      </c>
      <c r="G194" s="9" t="str">
        <f>IF($A194="","",INDEX(Metrics!$A$6:$U$305,MATCH($A194,Metrics!$U$6:$U$305,0),MATCH(G$5,Metrics!$A$5:$U$5,0)))</f>
        <v/>
      </c>
      <c r="H194" s="9" t="str">
        <f>IF($A194="","",INDEX(Metrics!$A$6:$U$305,MATCH($A194,Metrics!$U$6:$U$305,0),MATCH(H$5,Metrics!$A$5:$U$5,0)))</f>
        <v/>
      </c>
      <c r="I194" s="7" t="str">
        <f>IF($A194="","",INDEX(Metrics!$A$6:$U$305,MATCH($A194,Metrics!$U$6:$U$305,0),MATCH(I$5,Metrics!$A$5:$U$5,0)))</f>
        <v/>
      </c>
      <c r="J194" s="9" t="str">
        <f>IF($A194="","",INDEX(Metrics!$A$6:$U$305,MATCH($A194,Metrics!$U$6:$U$305,0),MATCH(J$5,Metrics!$A$5:$U$5,0)))</f>
        <v/>
      </c>
      <c r="K194" s="10" t="str">
        <f>IF($A194="","",INDEX(Metrics!$A$6:$U$305,MATCH($A194,Metrics!$U$6:$U$305,0),MATCH(K$5,Metrics!$A$5:$U$5,0)))</f>
        <v/>
      </c>
      <c r="L194" t="str">
        <f>IF($A194="","",INDEX(Metrics!$A$6:$U$305,MATCH($A194,Metrics!$U$6:$U$305,0),MATCH(L$5,Metrics!$A$5:$U$5,0)))</f>
        <v/>
      </c>
      <c r="M194" t="str">
        <f>IF($A194="","",INDEX(Metrics!$A$6:$U$305,MATCH($A194,Metrics!$U$6:$U$305,0),MATCH(M$5,Metrics!$A$5:$U$5,0)))</f>
        <v/>
      </c>
      <c r="N194" t="str">
        <f>IF($A194="","",INDEX(Metrics!$A$6:$U$305,MATCH($A194,Metrics!$U$6:$U$305,0),MATCH(N$5,Metrics!$A$5:$U$5,0)))</f>
        <v/>
      </c>
      <c r="O194" t="str">
        <f>IF($A194="","",INDEX(Metrics!$A$6:$U$305,MATCH($A194,Metrics!$U$6:$U$305,0),MATCH(O$5,Metrics!$A$5:$U$5,0)))</f>
        <v/>
      </c>
      <c r="P194" t="str">
        <f>IF($A194="","",INDEX(Metrics!$A$6:$U$305,MATCH($A194,Metrics!$U$6:$U$305,0),MATCH(P$5,Metrics!$A$5:$U$5,0)))</f>
        <v/>
      </c>
    </row>
    <row r="195" spans="1:16" x14ac:dyDescent="0.4">
      <c r="A195" t="str">
        <f t="shared" si="2"/>
        <v/>
      </c>
      <c r="B195" t="str">
        <f>IF($A195="","",INDEX(Metrics!$A$6:$U$305,MATCH($A195,Metrics!$U$6:$U$305,0),MATCH(B$5,Metrics!$A$5:$U$5,0)))</f>
        <v/>
      </c>
      <c r="C195" t="str">
        <f>IF($A195="","",INDEX(Metrics!$A$6:$U$305,MATCH($A195,Metrics!$U$6:$U$305,0),MATCH(C$5,Metrics!$A$5:$U$5,0)))</f>
        <v/>
      </c>
      <c r="D195" t="str">
        <f>IF($A195="","",INDEX(Metrics!$A$6:$U$305,MATCH($A195,Metrics!$U$6:$U$305,0),MATCH(D$5,Metrics!$A$5:$U$5,0)))</f>
        <v/>
      </c>
      <c r="E195" s="14" t="str">
        <f>IF($A195="","",INDEX(Metrics!$A$6:$U$305,MATCH($A195,Metrics!$U$6:$U$305,0),MATCH(E$5,Metrics!$A$5:$U$5,0)))</f>
        <v/>
      </c>
      <c r="F195" s="7" t="str">
        <f>IF($A195="","",INDEX(Metrics!$A$6:$U$305,MATCH($A195,Metrics!$U$6:$U$305,0),MATCH(F$5,Metrics!$A$5:$U$5,0)))</f>
        <v/>
      </c>
      <c r="G195" s="9" t="str">
        <f>IF($A195="","",INDEX(Metrics!$A$6:$U$305,MATCH($A195,Metrics!$U$6:$U$305,0),MATCH(G$5,Metrics!$A$5:$U$5,0)))</f>
        <v/>
      </c>
      <c r="H195" s="9" t="str">
        <f>IF($A195="","",INDEX(Metrics!$A$6:$U$305,MATCH($A195,Metrics!$U$6:$U$305,0),MATCH(H$5,Metrics!$A$5:$U$5,0)))</f>
        <v/>
      </c>
      <c r="I195" s="7" t="str">
        <f>IF($A195="","",INDEX(Metrics!$A$6:$U$305,MATCH($A195,Metrics!$U$6:$U$305,0),MATCH(I$5,Metrics!$A$5:$U$5,0)))</f>
        <v/>
      </c>
      <c r="J195" s="9" t="str">
        <f>IF($A195="","",INDEX(Metrics!$A$6:$U$305,MATCH($A195,Metrics!$U$6:$U$305,0),MATCH(J$5,Metrics!$A$5:$U$5,0)))</f>
        <v/>
      </c>
      <c r="K195" s="10" t="str">
        <f>IF($A195="","",INDEX(Metrics!$A$6:$U$305,MATCH($A195,Metrics!$U$6:$U$305,0),MATCH(K$5,Metrics!$A$5:$U$5,0)))</f>
        <v/>
      </c>
      <c r="L195" t="str">
        <f>IF($A195="","",INDEX(Metrics!$A$6:$U$305,MATCH($A195,Metrics!$U$6:$U$305,0),MATCH(L$5,Metrics!$A$5:$U$5,0)))</f>
        <v/>
      </c>
      <c r="M195" t="str">
        <f>IF($A195="","",INDEX(Metrics!$A$6:$U$305,MATCH($A195,Metrics!$U$6:$U$305,0),MATCH(M$5,Metrics!$A$5:$U$5,0)))</f>
        <v/>
      </c>
      <c r="N195" t="str">
        <f>IF($A195="","",INDEX(Metrics!$A$6:$U$305,MATCH($A195,Metrics!$U$6:$U$305,0),MATCH(N$5,Metrics!$A$5:$U$5,0)))</f>
        <v/>
      </c>
      <c r="O195" t="str">
        <f>IF($A195="","",INDEX(Metrics!$A$6:$U$305,MATCH($A195,Metrics!$U$6:$U$305,0),MATCH(O$5,Metrics!$A$5:$U$5,0)))</f>
        <v/>
      </c>
      <c r="P195" t="str">
        <f>IF($A195="","",INDEX(Metrics!$A$6:$U$305,MATCH($A195,Metrics!$U$6:$U$305,0),MATCH(P$5,Metrics!$A$5:$U$5,0)))</f>
        <v/>
      </c>
    </row>
    <row r="196" spans="1:16" x14ac:dyDescent="0.4">
      <c r="A196" t="str">
        <f t="shared" si="2"/>
        <v/>
      </c>
      <c r="B196" t="str">
        <f>IF($A196="","",INDEX(Metrics!$A$6:$U$305,MATCH($A196,Metrics!$U$6:$U$305,0),MATCH(B$5,Metrics!$A$5:$U$5,0)))</f>
        <v/>
      </c>
      <c r="C196" t="str">
        <f>IF($A196="","",INDEX(Metrics!$A$6:$U$305,MATCH($A196,Metrics!$U$6:$U$305,0),MATCH(C$5,Metrics!$A$5:$U$5,0)))</f>
        <v/>
      </c>
      <c r="D196" t="str">
        <f>IF($A196="","",INDEX(Metrics!$A$6:$U$305,MATCH($A196,Metrics!$U$6:$U$305,0),MATCH(D$5,Metrics!$A$5:$U$5,0)))</f>
        <v/>
      </c>
      <c r="E196" s="14" t="str">
        <f>IF($A196="","",INDEX(Metrics!$A$6:$U$305,MATCH($A196,Metrics!$U$6:$U$305,0),MATCH(E$5,Metrics!$A$5:$U$5,0)))</f>
        <v/>
      </c>
      <c r="F196" s="7" t="str">
        <f>IF($A196="","",INDEX(Metrics!$A$6:$U$305,MATCH($A196,Metrics!$U$6:$U$305,0),MATCH(F$5,Metrics!$A$5:$U$5,0)))</f>
        <v/>
      </c>
      <c r="G196" s="9" t="str">
        <f>IF($A196="","",INDEX(Metrics!$A$6:$U$305,MATCH($A196,Metrics!$U$6:$U$305,0),MATCH(G$5,Metrics!$A$5:$U$5,0)))</f>
        <v/>
      </c>
      <c r="H196" s="9" t="str">
        <f>IF($A196="","",INDEX(Metrics!$A$6:$U$305,MATCH($A196,Metrics!$U$6:$U$305,0),MATCH(H$5,Metrics!$A$5:$U$5,0)))</f>
        <v/>
      </c>
      <c r="I196" s="7" t="str">
        <f>IF($A196="","",INDEX(Metrics!$A$6:$U$305,MATCH($A196,Metrics!$U$6:$U$305,0),MATCH(I$5,Metrics!$A$5:$U$5,0)))</f>
        <v/>
      </c>
      <c r="J196" s="9" t="str">
        <f>IF($A196="","",INDEX(Metrics!$A$6:$U$305,MATCH($A196,Metrics!$U$6:$U$305,0),MATCH(J$5,Metrics!$A$5:$U$5,0)))</f>
        <v/>
      </c>
      <c r="K196" s="10" t="str">
        <f>IF($A196="","",INDEX(Metrics!$A$6:$U$305,MATCH($A196,Metrics!$U$6:$U$305,0),MATCH(K$5,Metrics!$A$5:$U$5,0)))</f>
        <v/>
      </c>
      <c r="L196" t="str">
        <f>IF($A196="","",INDEX(Metrics!$A$6:$U$305,MATCH($A196,Metrics!$U$6:$U$305,0),MATCH(L$5,Metrics!$A$5:$U$5,0)))</f>
        <v/>
      </c>
      <c r="M196" t="str">
        <f>IF($A196="","",INDEX(Metrics!$A$6:$U$305,MATCH($A196,Metrics!$U$6:$U$305,0),MATCH(M$5,Metrics!$A$5:$U$5,0)))</f>
        <v/>
      </c>
      <c r="N196" t="str">
        <f>IF($A196="","",INDEX(Metrics!$A$6:$U$305,MATCH($A196,Metrics!$U$6:$U$305,0),MATCH(N$5,Metrics!$A$5:$U$5,0)))</f>
        <v/>
      </c>
      <c r="O196" t="str">
        <f>IF($A196="","",INDEX(Metrics!$A$6:$U$305,MATCH($A196,Metrics!$U$6:$U$305,0),MATCH(O$5,Metrics!$A$5:$U$5,0)))</f>
        <v/>
      </c>
      <c r="P196" t="str">
        <f>IF($A196="","",INDEX(Metrics!$A$6:$U$305,MATCH($A196,Metrics!$U$6:$U$305,0),MATCH(P$5,Metrics!$A$5:$U$5,0)))</f>
        <v/>
      </c>
    </row>
    <row r="197" spans="1:16" x14ac:dyDescent="0.4">
      <c r="A197" t="str">
        <f t="shared" si="2"/>
        <v/>
      </c>
      <c r="B197" t="str">
        <f>IF($A197="","",INDEX(Metrics!$A$6:$U$305,MATCH($A197,Metrics!$U$6:$U$305,0),MATCH(B$5,Metrics!$A$5:$U$5,0)))</f>
        <v/>
      </c>
      <c r="C197" t="str">
        <f>IF($A197="","",INDEX(Metrics!$A$6:$U$305,MATCH($A197,Metrics!$U$6:$U$305,0),MATCH(C$5,Metrics!$A$5:$U$5,0)))</f>
        <v/>
      </c>
      <c r="D197" t="str">
        <f>IF($A197="","",INDEX(Metrics!$A$6:$U$305,MATCH($A197,Metrics!$U$6:$U$305,0),MATCH(D$5,Metrics!$A$5:$U$5,0)))</f>
        <v/>
      </c>
      <c r="E197" s="14" t="str">
        <f>IF($A197="","",INDEX(Metrics!$A$6:$U$305,MATCH($A197,Metrics!$U$6:$U$305,0),MATCH(E$5,Metrics!$A$5:$U$5,0)))</f>
        <v/>
      </c>
      <c r="F197" s="7" t="str">
        <f>IF($A197="","",INDEX(Metrics!$A$6:$U$305,MATCH($A197,Metrics!$U$6:$U$305,0),MATCH(F$5,Metrics!$A$5:$U$5,0)))</f>
        <v/>
      </c>
      <c r="G197" s="9" t="str">
        <f>IF($A197="","",INDEX(Metrics!$A$6:$U$305,MATCH($A197,Metrics!$U$6:$U$305,0),MATCH(G$5,Metrics!$A$5:$U$5,0)))</f>
        <v/>
      </c>
      <c r="H197" s="9" t="str">
        <f>IF($A197="","",INDEX(Metrics!$A$6:$U$305,MATCH($A197,Metrics!$U$6:$U$305,0),MATCH(H$5,Metrics!$A$5:$U$5,0)))</f>
        <v/>
      </c>
      <c r="I197" s="7" t="str">
        <f>IF($A197="","",INDEX(Metrics!$A$6:$U$305,MATCH($A197,Metrics!$U$6:$U$305,0),MATCH(I$5,Metrics!$A$5:$U$5,0)))</f>
        <v/>
      </c>
      <c r="J197" s="9" t="str">
        <f>IF($A197="","",INDEX(Metrics!$A$6:$U$305,MATCH($A197,Metrics!$U$6:$U$305,0),MATCH(J$5,Metrics!$A$5:$U$5,0)))</f>
        <v/>
      </c>
      <c r="K197" s="10" t="str">
        <f>IF($A197="","",INDEX(Metrics!$A$6:$U$305,MATCH($A197,Metrics!$U$6:$U$305,0),MATCH(K$5,Metrics!$A$5:$U$5,0)))</f>
        <v/>
      </c>
      <c r="L197" t="str">
        <f>IF($A197="","",INDEX(Metrics!$A$6:$U$305,MATCH($A197,Metrics!$U$6:$U$305,0),MATCH(L$5,Metrics!$A$5:$U$5,0)))</f>
        <v/>
      </c>
      <c r="M197" t="str">
        <f>IF($A197="","",INDEX(Metrics!$A$6:$U$305,MATCH($A197,Metrics!$U$6:$U$305,0),MATCH(M$5,Metrics!$A$5:$U$5,0)))</f>
        <v/>
      </c>
      <c r="N197" t="str">
        <f>IF($A197="","",INDEX(Metrics!$A$6:$U$305,MATCH($A197,Metrics!$U$6:$U$305,0),MATCH(N$5,Metrics!$A$5:$U$5,0)))</f>
        <v/>
      </c>
      <c r="O197" t="str">
        <f>IF($A197="","",INDEX(Metrics!$A$6:$U$305,MATCH($A197,Metrics!$U$6:$U$305,0),MATCH(O$5,Metrics!$A$5:$U$5,0)))</f>
        <v/>
      </c>
      <c r="P197" t="str">
        <f>IF($A197="","",INDEX(Metrics!$A$6:$U$305,MATCH($A197,Metrics!$U$6:$U$305,0),MATCH(P$5,Metrics!$A$5:$U$5,0)))</f>
        <v/>
      </c>
    </row>
    <row r="198" spans="1:16" x14ac:dyDescent="0.4">
      <c r="A198" t="str">
        <f t="shared" si="2"/>
        <v/>
      </c>
      <c r="B198" t="str">
        <f>IF($A198="","",INDEX(Metrics!$A$6:$U$305,MATCH($A198,Metrics!$U$6:$U$305,0),MATCH(B$5,Metrics!$A$5:$U$5,0)))</f>
        <v/>
      </c>
      <c r="C198" t="str">
        <f>IF($A198="","",INDEX(Metrics!$A$6:$U$305,MATCH($A198,Metrics!$U$6:$U$305,0),MATCH(C$5,Metrics!$A$5:$U$5,0)))</f>
        <v/>
      </c>
      <c r="D198" t="str">
        <f>IF($A198="","",INDEX(Metrics!$A$6:$U$305,MATCH($A198,Metrics!$U$6:$U$305,0),MATCH(D$5,Metrics!$A$5:$U$5,0)))</f>
        <v/>
      </c>
      <c r="E198" s="14" t="str">
        <f>IF($A198="","",INDEX(Metrics!$A$6:$U$305,MATCH($A198,Metrics!$U$6:$U$305,0),MATCH(E$5,Metrics!$A$5:$U$5,0)))</f>
        <v/>
      </c>
      <c r="F198" s="7" t="str">
        <f>IF($A198="","",INDEX(Metrics!$A$6:$U$305,MATCH($A198,Metrics!$U$6:$U$305,0),MATCH(F$5,Metrics!$A$5:$U$5,0)))</f>
        <v/>
      </c>
      <c r="G198" s="9" t="str">
        <f>IF($A198="","",INDEX(Metrics!$A$6:$U$305,MATCH($A198,Metrics!$U$6:$U$305,0),MATCH(G$5,Metrics!$A$5:$U$5,0)))</f>
        <v/>
      </c>
      <c r="H198" s="9" t="str">
        <f>IF($A198="","",INDEX(Metrics!$A$6:$U$305,MATCH($A198,Metrics!$U$6:$U$305,0),MATCH(H$5,Metrics!$A$5:$U$5,0)))</f>
        <v/>
      </c>
      <c r="I198" s="7" t="str">
        <f>IF($A198="","",INDEX(Metrics!$A$6:$U$305,MATCH($A198,Metrics!$U$6:$U$305,0),MATCH(I$5,Metrics!$A$5:$U$5,0)))</f>
        <v/>
      </c>
      <c r="J198" s="9" t="str">
        <f>IF($A198="","",INDEX(Metrics!$A$6:$U$305,MATCH($A198,Metrics!$U$6:$U$305,0),MATCH(J$5,Metrics!$A$5:$U$5,0)))</f>
        <v/>
      </c>
      <c r="K198" s="10" t="str">
        <f>IF($A198="","",INDEX(Metrics!$A$6:$U$305,MATCH($A198,Metrics!$U$6:$U$305,0),MATCH(K$5,Metrics!$A$5:$U$5,0)))</f>
        <v/>
      </c>
      <c r="L198" t="str">
        <f>IF($A198="","",INDEX(Metrics!$A$6:$U$305,MATCH($A198,Metrics!$U$6:$U$305,0),MATCH(L$5,Metrics!$A$5:$U$5,0)))</f>
        <v/>
      </c>
      <c r="M198" t="str">
        <f>IF($A198="","",INDEX(Metrics!$A$6:$U$305,MATCH($A198,Metrics!$U$6:$U$305,0),MATCH(M$5,Metrics!$A$5:$U$5,0)))</f>
        <v/>
      </c>
      <c r="N198" t="str">
        <f>IF($A198="","",INDEX(Metrics!$A$6:$U$305,MATCH($A198,Metrics!$U$6:$U$305,0),MATCH(N$5,Metrics!$A$5:$U$5,0)))</f>
        <v/>
      </c>
      <c r="O198" t="str">
        <f>IF($A198="","",INDEX(Metrics!$A$6:$U$305,MATCH($A198,Metrics!$U$6:$U$305,0),MATCH(O$5,Metrics!$A$5:$U$5,0)))</f>
        <v/>
      </c>
      <c r="P198" t="str">
        <f>IF($A198="","",INDEX(Metrics!$A$6:$U$305,MATCH($A198,Metrics!$U$6:$U$305,0),MATCH(P$5,Metrics!$A$5:$U$5,0)))</f>
        <v/>
      </c>
    </row>
    <row r="199" spans="1:16" x14ac:dyDescent="0.4">
      <c r="A199" t="str">
        <f t="shared" ref="A199:A262" si="3">IF($A198="","",IF($A198+1&gt;N_Co,"",$A198+1))</f>
        <v/>
      </c>
      <c r="B199" t="str">
        <f>IF($A199="","",INDEX(Metrics!$A$6:$U$305,MATCH($A199,Metrics!$U$6:$U$305,0),MATCH(B$5,Metrics!$A$5:$U$5,0)))</f>
        <v/>
      </c>
      <c r="C199" t="str">
        <f>IF($A199="","",INDEX(Metrics!$A$6:$U$305,MATCH($A199,Metrics!$U$6:$U$305,0),MATCH(C$5,Metrics!$A$5:$U$5,0)))</f>
        <v/>
      </c>
      <c r="D199" t="str">
        <f>IF($A199="","",INDEX(Metrics!$A$6:$U$305,MATCH($A199,Metrics!$U$6:$U$305,0),MATCH(D$5,Metrics!$A$5:$U$5,0)))</f>
        <v/>
      </c>
      <c r="E199" s="14" t="str">
        <f>IF($A199="","",INDEX(Metrics!$A$6:$U$305,MATCH($A199,Metrics!$U$6:$U$305,0),MATCH(E$5,Metrics!$A$5:$U$5,0)))</f>
        <v/>
      </c>
      <c r="F199" s="7" t="str">
        <f>IF($A199="","",INDEX(Metrics!$A$6:$U$305,MATCH($A199,Metrics!$U$6:$U$305,0),MATCH(F$5,Metrics!$A$5:$U$5,0)))</f>
        <v/>
      </c>
      <c r="G199" s="9" t="str">
        <f>IF($A199="","",INDEX(Metrics!$A$6:$U$305,MATCH($A199,Metrics!$U$6:$U$305,0),MATCH(G$5,Metrics!$A$5:$U$5,0)))</f>
        <v/>
      </c>
      <c r="H199" s="9" t="str">
        <f>IF($A199="","",INDEX(Metrics!$A$6:$U$305,MATCH($A199,Metrics!$U$6:$U$305,0),MATCH(H$5,Metrics!$A$5:$U$5,0)))</f>
        <v/>
      </c>
      <c r="I199" s="7" t="str">
        <f>IF($A199="","",INDEX(Metrics!$A$6:$U$305,MATCH($A199,Metrics!$U$6:$U$305,0),MATCH(I$5,Metrics!$A$5:$U$5,0)))</f>
        <v/>
      </c>
      <c r="J199" s="9" t="str">
        <f>IF($A199="","",INDEX(Metrics!$A$6:$U$305,MATCH($A199,Metrics!$U$6:$U$305,0),MATCH(J$5,Metrics!$A$5:$U$5,0)))</f>
        <v/>
      </c>
      <c r="K199" s="10" t="str">
        <f>IF($A199="","",INDEX(Metrics!$A$6:$U$305,MATCH($A199,Metrics!$U$6:$U$305,0),MATCH(K$5,Metrics!$A$5:$U$5,0)))</f>
        <v/>
      </c>
      <c r="L199" t="str">
        <f>IF($A199="","",INDEX(Metrics!$A$6:$U$305,MATCH($A199,Metrics!$U$6:$U$305,0),MATCH(L$5,Metrics!$A$5:$U$5,0)))</f>
        <v/>
      </c>
      <c r="M199" t="str">
        <f>IF($A199="","",INDEX(Metrics!$A$6:$U$305,MATCH($A199,Metrics!$U$6:$U$305,0),MATCH(M$5,Metrics!$A$5:$U$5,0)))</f>
        <v/>
      </c>
      <c r="N199" t="str">
        <f>IF($A199="","",INDEX(Metrics!$A$6:$U$305,MATCH($A199,Metrics!$U$6:$U$305,0),MATCH(N$5,Metrics!$A$5:$U$5,0)))</f>
        <v/>
      </c>
      <c r="O199" t="str">
        <f>IF($A199="","",INDEX(Metrics!$A$6:$U$305,MATCH($A199,Metrics!$U$6:$U$305,0),MATCH(O$5,Metrics!$A$5:$U$5,0)))</f>
        <v/>
      </c>
      <c r="P199" t="str">
        <f>IF($A199="","",INDEX(Metrics!$A$6:$U$305,MATCH($A199,Metrics!$U$6:$U$305,0),MATCH(P$5,Metrics!$A$5:$U$5,0)))</f>
        <v/>
      </c>
    </row>
    <row r="200" spans="1:16" x14ac:dyDescent="0.4">
      <c r="A200" t="str">
        <f t="shared" si="3"/>
        <v/>
      </c>
      <c r="B200" t="str">
        <f>IF($A200="","",INDEX(Metrics!$A$6:$U$305,MATCH($A200,Metrics!$U$6:$U$305,0),MATCH(B$5,Metrics!$A$5:$U$5,0)))</f>
        <v/>
      </c>
      <c r="C200" t="str">
        <f>IF($A200="","",INDEX(Metrics!$A$6:$U$305,MATCH($A200,Metrics!$U$6:$U$305,0),MATCH(C$5,Metrics!$A$5:$U$5,0)))</f>
        <v/>
      </c>
      <c r="D200" t="str">
        <f>IF($A200="","",INDEX(Metrics!$A$6:$U$305,MATCH($A200,Metrics!$U$6:$U$305,0),MATCH(D$5,Metrics!$A$5:$U$5,0)))</f>
        <v/>
      </c>
      <c r="E200" s="14" t="str">
        <f>IF($A200="","",INDEX(Metrics!$A$6:$U$305,MATCH($A200,Metrics!$U$6:$U$305,0),MATCH(E$5,Metrics!$A$5:$U$5,0)))</f>
        <v/>
      </c>
      <c r="F200" s="7" t="str">
        <f>IF($A200="","",INDEX(Metrics!$A$6:$U$305,MATCH($A200,Metrics!$U$6:$U$305,0),MATCH(F$5,Metrics!$A$5:$U$5,0)))</f>
        <v/>
      </c>
      <c r="G200" s="9" t="str">
        <f>IF($A200="","",INDEX(Metrics!$A$6:$U$305,MATCH($A200,Metrics!$U$6:$U$305,0),MATCH(G$5,Metrics!$A$5:$U$5,0)))</f>
        <v/>
      </c>
      <c r="H200" s="9" t="str">
        <f>IF($A200="","",INDEX(Metrics!$A$6:$U$305,MATCH($A200,Metrics!$U$6:$U$305,0),MATCH(H$5,Metrics!$A$5:$U$5,0)))</f>
        <v/>
      </c>
      <c r="I200" s="7" t="str">
        <f>IF($A200="","",INDEX(Metrics!$A$6:$U$305,MATCH($A200,Metrics!$U$6:$U$305,0),MATCH(I$5,Metrics!$A$5:$U$5,0)))</f>
        <v/>
      </c>
      <c r="J200" s="9" t="str">
        <f>IF($A200="","",INDEX(Metrics!$A$6:$U$305,MATCH($A200,Metrics!$U$6:$U$305,0),MATCH(J$5,Metrics!$A$5:$U$5,0)))</f>
        <v/>
      </c>
      <c r="K200" s="10" t="str">
        <f>IF($A200="","",INDEX(Metrics!$A$6:$U$305,MATCH($A200,Metrics!$U$6:$U$305,0),MATCH(K$5,Metrics!$A$5:$U$5,0)))</f>
        <v/>
      </c>
      <c r="L200" t="str">
        <f>IF($A200="","",INDEX(Metrics!$A$6:$U$305,MATCH($A200,Metrics!$U$6:$U$305,0),MATCH(L$5,Metrics!$A$5:$U$5,0)))</f>
        <v/>
      </c>
      <c r="M200" t="str">
        <f>IF($A200="","",INDEX(Metrics!$A$6:$U$305,MATCH($A200,Metrics!$U$6:$U$305,0),MATCH(M$5,Metrics!$A$5:$U$5,0)))</f>
        <v/>
      </c>
      <c r="N200" t="str">
        <f>IF($A200="","",INDEX(Metrics!$A$6:$U$305,MATCH($A200,Metrics!$U$6:$U$305,0),MATCH(N$5,Metrics!$A$5:$U$5,0)))</f>
        <v/>
      </c>
      <c r="O200" t="str">
        <f>IF($A200="","",INDEX(Metrics!$A$6:$U$305,MATCH($A200,Metrics!$U$6:$U$305,0),MATCH(O$5,Metrics!$A$5:$U$5,0)))</f>
        <v/>
      </c>
      <c r="P200" t="str">
        <f>IF($A200="","",INDEX(Metrics!$A$6:$U$305,MATCH($A200,Metrics!$U$6:$U$305,0),MATCH(P$5,Metrics!$A$5:$U$5,0)))</f>
        <v/>
      </c>
    </row>
    <row r="201" spans="1:16" x14ac:dyDescent="0.4">
      <c r="A201" t="str">
        <f t="shared" si="3"/>
        <v/>
      </c>
      <c r="B201" t="str">
        <f>IF($A201="","",INDEX(Metrics!$A$6:$U$305,MATCH($A201,Metrics!$U$6:$U$305,0),MATCH(B$5,Metrics!$A$5:$U$5,0)))</f>
        <v/>
      </c>
      <c r="C201" t="str">
        <f>IF($A201="","",INDEX(Metrics!$A$6:$U$305,MATCH($A201,Metrics!$U$6:$U$305,0),MATCH(C$5,Metrics!$A$5:$U$5,0)))</f>
        <v/>
      </c>
      <c r="D201" t="str">
        <f>IF($A201="","",INDEX(Metrics!$A$6:$U$305,MATCH($A201,Metrics!$U$6:$U$305,0),MATCH(D$5,Metrics!$A$5:$U$5,0)))</f>
        <v/>
      </c>
      <c r="E201" s="14" t="str">
        <f>IF($A201="","",INDEX(Metrics!$A$6:$U$305,MATCH($A201,Metrics!$U$6:$U$305,0),MATCH(E$5,Metrics!$A$5:$U$5,0)))</f>
        <v/>
      </c>
      <c r="F201" s="7" t="str">
        <f>IF($A201="","",INDEX(Metrics!$A$6:$U$305,MATCH($A201,Metrics!$U$6:$U$305,0),MATCH(F$5,Metrics!$A$5:$U$5,0)))</f>
        <v/>
      </c>
      <c r="G201" s="9" t="str">
        <f>IF($A201="","",INDEX(Metrics!$A$6:$U$305,MATCH($A201,Metrics!$U$6:$U$305,0),MATCH(G$5,Metrics!$A$5:$U$5,0)))</f>
        <v/>
      </c>
      <c r="H201" s="9" t="str">
        <f>IF($A201="","",INDEX(Metrics!$A$6:$U$305,MATCH($A201,Metrics!$U$6:$U$305,0),MATCH(H$5,Metrics!$A$5:$U$5,0)))</f>
        <v/>
      </c>
      <c r="I201" s="7" t="str">
        <f>IF($A201="","",INDEX(Metrics!$A$6:$U$305,MATCH($A201,Metrics!$U$6:$U$305,0),MATCH(I$5,Metrics!$A$5:$U$5,0)))</f>
        <v/>
      </c>
      <c r="J201" s="9" t="str">
        <f>IF($A201="","",INDEX(Metrics!$A$6:$U$305,MATCH($A201,Metrics!$U$6:$U$305,0),MATCH(J$5,Metrics!$A$5:$U$5,0)))</f>
        <v/>
      </c>
      <c r="K201" s="10" t="str">
        <f>IF($A201="","",INDEX(Metrics!$A$6:$U$305,MATCH($A201,Metrics!$U$6:$U$305,0),MATCH(K$5,Metrics!$A$5:$U$5,0)))</f>
        <v/>
      </c>
      <c r="L201" t="str">
        <f>IF($A201="","",INDEX(Metrics!$A$6:$U$305,MATCH($A201,Metrics!$U$6:$U$305,0),MATCH(L$5,Metrics!$A$5:$U$5,0)))</f>
        <v/>
      </c>
      <c r="M201" t="str">
        <f>IF($A201="","",INDEX(Metrics!$A$6:$U$305,MATCH($A201,Metrics!$U$6:$U$305,0),MATCH(M$5,Metrics!$A$5:$U$5,0)))</f>
        <v/>
      </c>
      <c r="N201" t="str">
        <f>IF($A201="","",INDEX(Metrics!$A$6:$U$305,MATCH($A201,Metrics!$U$6:$U$305,0),MATCH(N$5,Metrics!$A$5:$U$5,0)))</f>
        <v/>
      </c>
      <c r="O201" t="str">
        <f>IF($A201="","",INDEX(Metrics!$A$6:$U$305,MATCH($A201,Metrics!$U$6:$U$305,0),MATCH(O$5,Metrics!$A$5:$U$5,0)))</f>
        <v/>
      </c>
      <c r="P201" t="str">
        <f>IF($A201="","",INDEX(Metrics!$A$6:$U$305,MATCH($A201,Metrics!$U$6:$U$305,0),MATCH(P$5,Metrics!$A$5:$U$5,0)))</f>
        <v/>
      </c>
    </row>
    <row r="202" spans="1:16" x14ac:dyDescent="0.4">
      <c r="A202" t="str">
        <f t="shared" si="3"/>
        <v/>
      </c>
      <c r="B202" t="str">
        <f>IF($A202="","",INDEX(Metrics!$A$6:$U$305,MATCH($A202,Metrics!$U$6:$U$305,0),MATCH(B$5,Metrics!$A$5:$U$5,0)))</f>
        <v/>
      </c>
      <c r="C202" t="str">
        <f>IF($A202="","",INDEX(Metrics!$A$6:$U$305,MATCH($A202,Metrics!$U$6:$U$305,0),MATCH(C$5,Metrics!$A$5:$U$5,0)))</f>
        <v/>
      </c>
      <c r="D202" t="str">
        <f>IF($A202="","",INDEX(Metrics!$A$6:$U$305,MATCH($A202,Metrics!$U$6:$U$305,0),MATCH(D$5,Metrics!$A$5:$U$5,0)))</f>
        <v/>
      </c>
      <c r="E202" s="14" t="str">
        <f>IF($A202="","",INDEX(Metrics!$A$6:$U$305,MATCH($A202,Metrics!$U$6:$U$305,0),MATCH(E$5,Metrics!$A$5:$U$5,0)))</f>
        <v/>
      </c>
      <c r="F202" s="7" t="str">
        <f>IF($A202="","",INDEX(Metrics!$A$6:$U$305,MATCH($A202,Metrics!$U$6:$U$305,0),MATCH(F$5,Metrics!$A$5:$U$5,0)))</f>
        <v/>
      </c>
      <c r="G202" s="9" t="str">
        <f>IF($A202="","",INDEX(Metrics!$A$6:$U$305,MATCH($A202,Metrics!$U$6:$U$305,0),MATCH(G$5,Metrics!$A$5:$U$5,0)))</f>
        <v/>
      </c>
      <c r="H202" s="9" t="str">
        <f>IF($A202="","",INDEX(Metrics!$A$6:$U$305,MATCH($A202,Metrics!$U$6:$U$305,0),MATCH(H$5,Metrics!$A$5:$U$5,0)))</f>
        <v/>
      </c>
      <c r="I202" s="7" t="str">
        <f>IF($A202="","",INDEX(Metrics!$A$6:$U$305,MATCH($A202,Metrics!$U$6:$U$305,0),MATCH(I$5,Metrics!$A$5:$U$5,0)))</f>
        <v/>
      </c>
      <c r="J202" s="9" t="str">
        <f>IF($A202="","",INDEX(Metrics!$A$6:$U$305,MATCH($A202,Metrics!$U$6:$U$305,0),MATCH(J$5,Metrics!$A$5:$U$5,0)))</f>
        <v/>
      </c>
      <c r="K202" s="10" t="str">
        <f>IF($A202="","",INDEX(Metrics!$A$6:$U$305,MATCH($A202,Metrics!$U$6:$U$305,0),MATCH(K$5,Metrics!$A$5:$U$5,0)))</f>
        <v/>
      </c>
      <c r="L202" t="str">
        <f>IF($A202="","",INDEX(Metrics!$A$6:$U$305,MATCH($A202,Metrics!$U$6:$U$305,0),MATCH(L$5,Metrics!$A$5:$U$5,0)))</f>
        <v/>
      </c>
      <c r="M202" t="str">
        <f>IF($A202="","",INDEX(Metrics!$A$6:$U$305,MATCH($A202,Metrics!$U$6:$U$305,0),MATCH(M$5,Metrics!$A$5:$U$5,0)))</f>
        <v/>
      </c>
      <c r="N202" t="str">
        <f>IF($A202="","",INDEX(Metrics!$A$6:$U$305,MATCH($A202,Metrics!$U$6:$U$305,0),MATCH(N$5,Metrics!$A$5:$U$5,0)))</f>
        <v/>
      </c>
      <c r="O202" t="str">
        <f>IF($A202="","",INDEX(Metrics!$A$6:$U$305,MATCH($A202,Metrics!$U$6:$U$305,0),MATCH(O$5,Metrics!$A$5:$U$5,0)))</f>
        <v/>
      </c>
      <c r="P202" t="str">
        <f>IF($A202="","",INDEX(Metrics!$A$6:$U$305,MATCH($A202,Metrics!$U$6:$U$305,0),MATCH(P$5,Metrics!$A$5:$U$5,0)))</f>
        <v/>
      </c>
    </row>
    <row r="203" spans="1:16" x14ac:dyDescent="0.4">
      <c r="A203" t="str">
        <f t="shared" si="3"/>
        <v/>
      </c>
      <c r="B203" t="str">
        <f>IF($A203="","",INDEX(Metrics!$A$6:$U$305,MATCH($A203,Metrics!$U$6:$U$305,0),MATCH(B$5,Metrics!$A$5:$U$5,0)))</f>
        <v/>
      </c>
      <c r="C203" t="str">
        <f>IF($A203="","",INDEX(Metrics!$A$6:$U$305,MATCH($A203,Metrics!$U$6:$U$305,0),MATCH(C$5,Metrics!$A$5:$U$5,0)))</f>
        <v/>
      </c>
      <c r="D203" t="str">
        <f>IF($A203="","",INDEX(Metrics!$A$6:$U$305,MATCH($A203,Metrics!$U$6:$U$305,0),MATCH(D$5,Metrics!$A$5:$U$5,0)))</f>
        <v/>
      </c>
      <c r="E203" s="14" t="str">
        <f>IF($A203="","",INDEX(Metrics!$A$6:$U$305,MATCH($A203,Metrics!$U$6:$U$305,0),MATCH(E$5,Metrics!$A$5:$U$5,0)))</f>
        <v/>
      </c>
      <c r="F203" s="7" t="str">
        <f>IF($A203="","",INDEX(Metrics!$A$6:$U$305,MATCH($A203,Metrics!$U$6:$U$305,0),MATCH(F$5,Metrics!$A$5:$U$5,0)))</f>
        <v/>
      </c>
      <c r="G203" s="9" t="str">
        <f>IF($A203="","",INDEX(Metrics!$A$6:$U$305,MATCH($A203,Metrics!$U$6:$U$305,0),MATCH(G$5,Metrics!$A$5:$U$5,0)))</f>
        <v/>
      </c>
      <c r="H203" s="9" t="str">
        <f>IF($A203="","",INDEX(Metrics!$A$6:$U$305,MATCH($A203,Metrics!$U$6:$U$305,0),MATCH(H$5,Metrics!$A$5:$U$5,0)))</f>
        <v/>
      </c>
      <c r="I203" s="7" t="str">
        <f>IF($A203="","",INDEX(Metrics!$A$6:$U$305,MATCH($A203,Metrics!$U$6:$U$305,0),MATCH(I$5,Metrics!$A$5:$U$5,0)))</f>
        <v/>
      </c>
      <c r="J203" s="9" t="str">
        <f>IF($A203="","",INDEX(Metrics!$A$6:$U$305,MATCH($A203,Metrics!$U$6:$U$305,0),MATCH(J$5,Metrics!$A$5:$U$5,0)))</f>
        <v/>
      </c>
      <c r="K203" s="10" t="str">
        <f>IF($A203="","",INDEX(Metrics!$A$6:$U$305,MATCH($A203,Metrics!$U$6:$U$305,0),MATCH(K$5,Metrics!$A$5:$U$5,0)))</f>
        <v/>
      </c>
      <c r="L203" t="str">
        <f>IF($A203="","",INDEX(Metrics!$A$6:$U$305,MATCH($A203,Metrics!$U$6:$U$305,0),MATCH(L$5,Metrics!$A$5:$U$5,0)))</f>
        <v/>
      </c>
      <c r="M203" t="str">
        <f>IF($A203="","",INDEX(Metrics!$A$6:$U$305,MATCH($A203,Metrics!$U$6:$U$305,0),MATCH(M$5,Metrics!$A$5:$U$5,0)))</f>
        <v/>
      </c>
      <c r="N203" t="str">
        <f>IF($A203="","",INDEX(Metrics!$A$6:$U$305,MATCH($A203,Metrics!$U$6:$U$305,0),MATCH(N$5,Metrics!$A$5:$U$5,0)))</f>
        <v/>
      </c>
      <c r="O203" t="str">
        <f>IF($A203="","",INDEX(Metrics!$A$6:$U$305,MATCH($A203,Metrics!$U$6:$U$305,0),MATCH(O$5,Metrics!$A$5:$U$5,0)))</f>
        <v/>
      </c>
      <c r="P203" t="str">
        <f>IF($A203="","",INDEX(Metrics!$A$6:$U$305,MATCH($A203,Metrics!$U$6:$U$305,0),MATCH(P$5,Metrics!$A$5:$U$5,0)))</f>
        <v/>
      </c>
    </row>
    <row r="204" spans="1:16" x14ac:dyDescent="0.4">
      <c r="A204" t="str">
        <f t="shared" si="3"/>
        <v/>
      </c>
      <c r="B204" t="str">
        <f>IF($A204="","",INDEX(Metrics!$A$6:$U$305,MATCH($A204,Metrics!$U$6:$U$305,0),MATCH(B$5,Metrics!$A$5:$U$5,0)))</f>
        <v/>
      </c>
      <c r="C204" t="str">
        <f>IF($A204="","",INDEX(Metrics!$A$6:$U$305,MATCH($A204,Metrics!$U$6:$U$305,0),MATCH(C$5,Metrics!$A$5:$U$5,0)))</f>
        <v/>
      </c>
      <c r="D204" t="str">
        <f>IF($A204="","",INDEX(Metrics!$A$6:$U$305,MATCH($A204,Metrics!$U$6:$U$305,0),MATCH(D$5,Metrics!$A$5:$U$5,0)))</f>
        <v/>
      </c>
      <c r="E204" s="14" t="str">
        <f>IF($A204="","",INDEX(Metrics!$A$6:$U$305,MATCH($A204,Metrics!$U$6:$U$305,0),MATCH(E$5,Metrics!$A$5:$U$5,0)))</f>
        <v/>
      </c>
      <c r="F204" s="7" t="str">
        <f>IF($A204="","",INDEX(Metrics!$A$6:$U$305,MATCH($A204,Metrics!$U$6:$U$305,0),MATCH(F$5,Metrics!$A$5:$U$5,0)))</f>
        <v/>
      </c>
      <c r="G204" s="9" t="str">
        <f>IF($A204="","",INDEX(Metrics!$A$6:$U$305,MATCH($A204,Metrics!$U$6:$U$305,0),MATCH(G$5,Metrics!$A$5:$U$5,0)))</f>
        <v/>
      </c>
      <c r="H204" s="9" t="str">
        <f>IF($A204="","",INDEX(Metrics!$A$6:$U$305,MATCH($A204,Metrics!$U$6:$U$305,0),MATCH(H$5,Metrics!$A$5:$U$5,0)))</f>
        <v/>
      </c>
      <c r="I204" s="7" t="str">
        <f>IF($A204="","",INDEX(Metrics!$A$6:$U$305,MATCH($A204,Metrics!$U$6:$U$305,0),MATCH(I$5,Metrics!$A$5:$U$5,0)))</f>
        <v/>
      </c>
      <c r="J204" s="9" t="str">
        <f>IF($A204="","",INDEX(Metrics!$A$6:$U$305,MATCH($A204,Metrics!$U$6:$U$305,0),MATCH(J$5,Metrics!$A$5:$U$5,0)))</f>
        <v/>
      </c>
      <c r="K204" s="10" t="str">
        <f>IF($A204="","",INDEX(Metrics!$A$6:$U$305,MATCH($A204,Metrics!$U$6:$U$305,0),MATCH(K$5,Metrics!$A$5:$U$5,0)))</f>
        <v/>
      </c>
      <c r="L204" t="str">
        <f>IF($A204="","",INDEX(Metrics!$A$6:$U$305,MATCH($A204,Metrics!$U$6:$U$305,0),MATCH(L$5,Metrics!$A$5:$U$5,0)))</f>
        <v/>
      </c>
      <c r="M204" t="str">
        <f>IF($A204="","",INDEX(Metrics!$A$6:$U$305,MATCH($A204,Metrics!$U$6:$U$305,0),MATCH(M$5,Metrics!$A$5:$U$5,0)))</f>
        <v/>
      </c>
      <c r="N204" t="str">
        <f>IF($A204="","",INDEX(Metrics!$A$6:$U$305,MATCH($A204,Metrics!$U$6:$U$305,0),MATCH(N$5,Metrics!$A$5:$U$5,0)))</f>
        <v/>
      </c>
      <c r="O204" t="str">
        <f>IF($A204="","",INDEX(Metrics!$A$6:$U$305,MATCH($A204,Metrics!$U$6:$U$305,0),MATCH(O$5,Metrics!$A$5:$U$5,0)))</f>
        <v/>
      </c>
      <c r="P204" t="str">
        <f>IF($A204="","",INDEX(Metrics!$A$6:$U$305,MATCH($A204,Metrics!$U$6:$U$305,0),MATCH(P$5,Metrics!$A$5:$U$5,0)))</f>
        <v/>
      </c>
    </row>
    <row r="205" spans="1:16" x14ac:dyDescent="0.4">
      <c r="A205" t="str">
        <f t="shared" si="3"/>
        <v/>
      </c>
      <c r="B205" t="str">
        <f>IF($A205="","",INDEX(Metrics!$A$6:$U$305,MATCH($A205,Metrics!$U$6:$U$305,0),MATCH(B$5,Metrics!$A$5:$U$5,0)))</f>
        <v/>
      </c>
      <c r="C205" t="str">
        <f>IF($A205="","",INDEX(Metrics!$A$6:$U$305,MATCH($A205,Metrics!$U$6:$U$305,0),MATCH(C$5,Metrics!$A$5:$U$5,0)))</f>
        <v/>
      </c>
      <c r="D205" t="str">
        <f>IF($A205="","",INDEX(Metrics!$A$6:$U$305,MATCH($A205,Metrics!$U$6:$U$305,0),MATCH(D$5,Metrics!$A$5:$U$5,0)))</f>
        <v/>
      </c>
      <c r="E205" s="14" t="str">
        <f>IF($A205="","",INDEX(Metrics!$A$6:$U$305,MATCH($A205,Metrics!$U$6:$U$305,0),MATCH(E$5,Metrics!$A$5:$U$5,0)))</f>
        <v/>
      </c>
      <c r="F205" s="7" t="str">
        <f>IF($A205="","",INDEX(Metrics!$A$6:$U$305,MATCH($A205,Metrics!$U$6:$U$305,0),MATCH(F$5,Metrics!$A$5:$U$5,0)))</f>
        <v/>
      </c>
      <c r="G205" s="9" t="str">
        <f>IF($A205="","",INDEX(Metrics!$A$6:$U$305,MATCH($A205,Metrics!$U$6:$U$305,0),MATCH(G$5,Metrics!$A$5:$U$5,0)))</f>
        <v/>
      </c>
      <c r="H205" s="9" t="str">
        <f>IF($A205="","",INDEX(Metrics!$A$6:$U$305,MATCH($A205,Metrics!$U$6:$U$305,0),MATCH(H$5,Metrics!$A$5:$U$5,0)))</f>
        <v/>
      </c>
      <c r="I205" s="7" t="str">
        <f>IF($A205="","",INDEX(Metrics!$A$6:$U$305,MATCH($A205,Metrics!$U$6:$U$305,0),MATCH(I$5,Metrics!$A$5:$U$5,0)))</f>
        <v/>
      </c>
      <c r="J205" s="9" t="str">
        <f>IF($A205="","",INDEX(Metrics!$A$6:$U$305,MATCH($A205,Metrics!$U$6:$U$305,0),MATCH(J$5,Metrics!$A$5:$U$5,0)))</f>
        <v/>
      </c>
      <c r="K205" s="10" t="str">
        <f>IF($A205="","",INDEX(Metrics!$A$6:$U$305,MATCH($A205,Metrics!$U$6:$U$305,0),MATCH(K$5,Metrics!$A$5:$U$5,0)))</f>
        <v/>
      </c>
      <c r="L205" t="str">
        <f>IF($A205="","",INDEX(Metrics!$A$6:$U$305,MATCH($A205,Metrics!$U$6:$U$305,0),MATCH(L$5,Metrics!$A$5:$U$5,0)))</f>
        <v/>
      </c>
      <c r="M205" t="str">
        <f>IF($A205="","",INDEX(Metrics!$A$6:$U$305,MATCH($A205,Metrics!$U$6:$U$305,0),MATCH(M$5,Metrics!$A$5:$U$5,0)))</f>
        <v/>
      </c>
      <c r="N205" t="str">
        <f>IF($A205="","",INDEX(Metrics!$A$6:$U$305,MATCH($A205,Metrics!$U$6:$U$305,0),MATCH(N$5,Metrics!$A$5:$U$5,0)))</f>
        <v/>
      </c>
      <c r="O205" t="str">
        <f>IF($A205="","",INDEX(Metrics!$A$6:$U$305,MATCH($A205,Metrics!$U$6:$U$305,0),MATCH(O$5,Metrics!$A$5:$U$5,0)))</f>
        <v/>
      </c>
      <c r="P205" t="str">
        <f>IF($A205="","",INDEX(Metrics!$A$6:$U$305,MATCH($A205,Metrics!$U$6:$U$305,0),MATCH(P$5,Metrics!$A$5:$U$5,0)))</f>
        <v/>
      </c>
    </row>
    <row r="206" spans="1:16" x14ac:dyDescent="0.4">
      <c r="A206" t="str">
        <f t="shared" si="3"/>
        <v/>
      </c>
      <c r="B206" t="str">
        <f>IF($A206="","",INDEX(Metrics!$A$6:$U$305,MATCH($A206,Metrics!$U$6:$U$305,0),MATCH(B$5,Metrics!$A$5:$U$5,0)))</f>
        <v/>
      </c>
      <c r="C206" t="str">
        <f>IF($A206="","",INDEX(Metrics!$A$6:$U$305,MATCH($A206,Metrics!$U$6:$U$305,0),MATCH(C$5,Metrics!$A$5:$U$5,0)))</f>
        <v/>
      </c>
      <c r="D206" t="str">
        <f>IF($A206="","",INDEX(Metrics!$A$6:$U$305,MATCH($A206,Metrics!$U$6:$U$305,0),MATCH(D$5,Metrics!$A$5:$U$5,0)))</f>
        <v/>
      </c>
      <c r="E206" s="14" t="str">
        <f>IF($A206="","",INDEX(Metrics!$A$6:$U$305,MATCH($A206,Metrics!$U$6:$U$305,0),MATCH(E$5,Metrics!$A$5:$U$5,0)))</f>
        <v/>
      </c>
      <c r="F206" s="7" t="str">
        <f>IF($A206="","",INDEX(Metrics!$A$6:$U$305,MATCH($A206,Metrics!$U$6:$U$305,0),MATCH(F$5,Metrics!$A$5:$U$5,0)))</f>
        <v/>
      </c>
      <c r="G206" s="9" t="str">
        <f>IF($A206="","",INDEX(Metrics!$A$6:$U$305,MATCH($A206,Metrics!$U$6:$U$305,0),MATCH(G$5,Metrics!$A$5:$U$5,0)))</f>
        <v/>
      </c>
      <c r="H206" s="9" t="str">
        <f>IF($A206="","",INDEX(Metrics!$A$6:$U$305,MATCH($A206,Metrics!$U$6:$U$305,0),MATCH(H$5,Metrics!$A$5:$U$5,0)))</f>
        <v/>
      </c>
      <c r="I206" s="7" t="str">
        <f>IF($A206="","",INDEX(Metrics!$A$6:$U$305,MATCH($A206,Metrics!$U$6:$U$305,0),MATCH(I$5,Metrics!$A$5:$U$5,0)))</f>
        <v/>
      </c>
      <c r="J206" s="9" t="str">
        <f>IF($A206="","",INDEX(Metrics!$A$6:$U$305,MATCH($A206,Metrics!$U$6:$U$305,0),MATCH(J$5,Metrics!$A$5:$U$5,0)))</f>
        <v/>
      </c>
      <c r="K206" s="10" t="str">
        <f>IF($A206="","",INDEX(Metrics!$A$6:$U$305,MATCH($A206,Metrics!$U$6:$U$305,0),MATCH(K$5,Metrics!$A$5:$U$5,0)))</f>
        <v/>
      </c>
      <c r="L206" t="str">
        <f>IF($A206="","",INDEX(Metrics!$A$6:$U$305,MATCH($A206,Metrics!$U$6:$U$305,0),MATCH(L$5,Metrics!$A$5:$U$5,0)))</f>
        <v/>
      </c>
      <c r="M206" t="str">
        <f>IF($A206="","",INDEX(Metrics!$A$6:$U$305,MATCH($A206,Metrics!$U$6:$U$305,0),MATCH(M$5,Metrics!$A$5:$U$5,0)))</f>
        <v/>
      </c>
      <c r="N206" t="str">
        <f>IF($A206="","",INDEX(Metrics!$A$6:$U$305,MATCH($A206,Metrics!$U$6:$U$305,0),MATCH(N$5,Metrics!$A$5:$U$5,0)))</f>
        <v/>
      </c>
      <c r="O206" t="str">
        <f>IF($A206="","",INDEX(Metrics!$A$6:$U$305,MATCH($A206,Metrics!$U$6:$U$305,0),MATCH(O$5,Metrics!$A$5:$U$5,0)))</f>
        <v/>
      </c>
      <c r="P206" t="str">
        <f>IF($A206="","",INDEX(Metrics!$A$6:$U$305,MATCH($A206,Metrics!$U$6:$U$305,0),MATCH(P$5,Metrics!$A$5:$U$5,0)))</f>
        <v/>
      </c>
    </row>
    <row r="207" spans="1:16" x14ac:dyDescent="0.4">
      <c r="A207" t="str">
        <f t="shared" si="3"/>
        <v/>
      </c>
      <c r="B207" t="str">
        <f>IF($A207="","",INDEX(Metrics!$A$6:$U$305,MATCH($A207,Metrics!$U$6:$U$305,0),MATCH(B$5,Metrics!$A$5:$U$5,0)))</f>
        <v/>
      </c>
      <c r="C207" t="str">
        <f>IF($A207="","",INDEX(Metrics!$A$6:$U$305,MATCH($A207,Metrics!$U$6:$U$305,0),MATCH(C$5,Metrics!$A$5:$U$5,0)))</f>
        <v/>
      </c>
      <c r="D207" t="str">
        <f>IF($A207="","",INDEX(Metrics!$A$6:$U$305,MATCH($A207,Metrics!$U$6:$U$305,0),MATCH(D$5,Metrics!$A$5:$U$5,0)))</f>
        <v/>
      </c>
      <c r="E207" s="14" t="str">
        <f>IF($A207="","",INDEX(Metrics!$A$6:$U$305,MATCH($A207,Metrics!$U$6:$U$305,0),MATCH(E$5,Metrics!$A$5:$U$5,0)))</f>
        <v/>
      </c>
      <c r="F207" s="7" t="str">
        <f>IF($A207="","",INDEX(Metrics!$A$6:$U$305,MATCH($A207,Metrics!$U$6:$U$305,0),MATCH(F$5,Metrics!$A$5:$U$5,0)))</f>
        <v/>
      </c>
      <c r="G207" s="9" t="str">
        <f>IF($A207="","",INDEX(Metrics!$A$6:$U$305,MATCH($A207,Metrics!$U$6:$U$305,0),MATCH(G$5,Metrics!$A$5:$U$5,0)))</f>
        <v/>
      </c>
      <c r="H207" s="9" t="str">
        <f>IF($A207="","",INDEX(Metrics!$A$6:$U$305,MATCH($A207,Metrics!$U$6:$U$305,0),MATCH(H$5,Metrics!$A$5:$U$5,0)))</f>
        <v/>
      </c>
      <c r="I207" s="7" t="str">
        <f>IF($A207="","",INDEX(Metrics!$A$6:$U$305,MATCH($A207,Metrics!$U$6:$U$305,0),MATCH(I$5,Metrics!$A$5:$U$5,0)))</f>
        <v/>
      </c>
      <c r="J207" s="9" t="str">
        <f>IF($A207="","",INDEX(Metrics!$A$6:$U$305,MATCH($A207,Metrics!$U$6:$U$305,0),MATCH(J$5,Metrics!$A$5:$U$5,0)))</f>
        <v/>
      </c>
      <c r="K207" s="10" t="str">
        <f>IF($A207="","",INDEX(Metrics!$A$6:$U$305,MATCH($A207,Metrics!$U$6:$U$305,0),MATCH(K$5,Metrics!$A$5:$U$5,0)))</f>
        <v/>
      </c>
      <c r="L207" t="str">
        <f>IF($A207="","",INDEX(Metrics!$A$6:$U$305,MATCH($A207,Metrics!$U$6:$U$305,0),MATCH(L$5,Metrics!$A$5:$U$5,0)))</f>
        <v/>
      </c>
      <c r="M207" t="str">
        <f>IF($A207="","",INDEX(Metrics!$A$6:$U$305,MATCH($A207,Metrics!$U$6:$U$305,0),MATCH(M$5,Metrics!$A$5:$U$5,0)))</f>
        <v/>
      </c>
      <c r="N207" t="str">
        <f>IF($A207="","",INDEX(Metrics!$A$6:$U$305,MATCH($A207,Metrics!$U$6:$U$305,0),MATCH(N$5,Metrics!$A$5:$U$5,0)))</f>
        <v/>
      </c>
      <c r="O207" t="str">
        <f>IF($A207="","",INDEX(Metrics!$A$6:$U$305,MATCH($A207,Metrics!$U$6:$U$305,0),MATCH(O$5,Metrics!$A$5:$U$5,0)))</f>
        <v/>
      </c>
      <c r="P207" t="str">
        <f>IF($A207="","",INDEX(Metrics!$A$6:$U$305,MATCH($A207,Metrics!$U$6:$U$305,0),MATCH(P$5,Metrics!$A$5:$U$5,0)))</f>
        <v/>
      </c>
    </row>
    <row r="208" spans="1:16" x14ac:dyDescent="0.4">
      <c r="A208" t="str">
        <f t="shared" si="3"/>
        <v/>
      </c>
      <c r="B208" t="str">
        <f>IF($A208="","",INDEX(Metrics!$A$6:$U$305,MATCH($A208,Metrics!$U$6:$U$305,0),MATCH(B$5,Metrics!$A$5:$U$5,0)))</f>
        <v/>
      </c>
      <c r="C208" t="str">
        <f>IF($A208="","",INDEX(Metrics!$A$6:$U$305,MATCH($A208,Metrics!$U$6:$U$305,0),MATCH(C$5,Metrics!$A$5:$U$5,0)))</f>
        <v/>
      </c>
      <c r="D208" t="str">
        <f>IF($A208="","",INDEX(Metrics!$A$6:$U$305,MATCH($A208,Metrics!$U$6:$U$305,0),MATCH(D$5,Metrics!$A$5:$U$5,0)))</f>
        <v/>
      </c>
      <c r="E208" s="14" t="str">
        <f>IF($A208="","",INDEX(Metrics!$A$6:$U$305,MATCH($A208,Metrics!$U$6:$U$305,0),MATCH(E$5,Metrics!$A$5:$U$5,0)))</f>
        <v/>
      </c>
      <c r="F208" s="7" t="str">
        <f>IF($A208="","",INDEX(Metrics!$A$6:$U$305,MATCH($A208,Metrics!$U$6:$U$305,0),MATCH(F$5,Metrics!$A$5:$U$5,0)))</f>
        <v/>
      </c>
      <c r="G208" s="9" t="str">
        <f>IF($A208="","",INDEX(Metrics!$A$6:$U$305,MATCH($A208,Metrics!$U$6:$U$305,0),MATCH(G$5,Metrics!$A$5:$U$5,0)))</f>
        <v/>
      </c>
      <c r="H208" s="9" t="str">
        <f>IF($A208="","",INDEX(Metrics!$A$6:$U$305,MATCH($A208,Metrics!$U$6:$U$305,0),MATCH(H$5,Metrics!$A$5:$U$5,0)))</f>
        <v/>
      </c>
      <c r="I208" s="7" t="str">
        <f>IF($A208="","",INDEX(Metrics!$A$6:$U$305,MATCH($A208,Metrics!$U$6:$U$305,0),MATCH(I$5,Metrics!$A$5:$U$5,0)))</f>
        <v/>
      </c>
      <c r="J208" s="9" t="str">
        <f>IF($A208="","",INDEX(Metrics!$A$6:$U$305,MATCH($A208,Metrics!$U$6:$U$305,0),MATCH(J$5,Metrics!$A$5:$U$5,0)))</f>
        <v/>
      </c>
      <c r="K208" s="10" t="str">
        <f>IF($A208="","",INDEX(Metrics!$A$6:$U$305,MATCH($A208,Metrics!$U$6:$U$305,0),MATCH(K$5,Metrics!$A$5:$U$5,0)))</f>
        <v/>
      </c>
      <c r="L208" t="str">
        <f>IF($A208="","",INDEX(Metrics!$A$6:$U$305,MATCH($A208,Metrics!$U$6:$U$305,0),MATCH(L$5,Metrics!$A$5:$U$5,0)))</f>
        <v/>
      </c>
      <c r="M208" t="str">
        <f>IF($A208="","",INDEX(Metrics!$A$6:$U$305,MATCH($A208,Metrics!$U$6:$U$305,0),MATCH(M$5,Metrics!$A$5:$U$5,0)))</f>
        <v/>
      </c>
      <c r="N208" t="str">
        <f>IF($A208="","",INDEX(Metrics!$A$6:$U$305,MATCH($A208,Metrics!$U$6:$U$305,0),MATCH(N$5,Metrics!$A$5:$U$5,0)))</f>
        <v/>
      </c>
      <c r="O208" t="str">
        <f>IF($A208="","",INDEX(Metrics!$A$6:$U$305,MATCH($A208,Metrics!$U$6:$U$305,0),MATCH(O$5,Metrics!$A$5:$U$5,0)))</f>
        <v/>
      </c>
      <c r="P208" t="str">
        <f>IF($A208="","",INDEX(Metrics!$A$6:$U$305,MATCH($A208,Metrics!$U$6:$U$305,0),MATCH(P$5,Metrics!$A$5:$U$5,0)))</f>
        <v/>
      </c>
    </row>
    <row r="209" spans="1:16" x14ac:dyDescent="0.4">
      <c r="A209" t="str">
        <f t="shared" si="3"/>
        <v/>
      </c>
      <c r="B209" t="str">
        <f>IF($A209="","",INDEX(Metrics!$A$6:$U$305,MATCH($A209,Metrics!$U$6:$U$305,0),MATCH(B$5,Metrics!$A$5:$U$5,0)))</f>
        <v/>
      </c>
      <c r="C209" t="str">
        <f>IF($A209="","",INDEX(Metrics!$A$6:$U$305,MATCH($A209,Metrics!$U$6:$U$305,0),MATCH(C$5,Metrics!$A$5:$U$5,0)))</f>
        <v/>
      </c>
      <c r="D209" t="str">
        <f>IF($A209="","",INDEX(Metrics!$A$6:$U$305,MATCH($A209,Metrics!$U$6:$U$305,0),MATCH(D$5,Metrics!$A$5:$U$5,0)))</f>
        <v/>
      </c>
      <c r="E209" s="14" t="str">
        <f>IF($A209="","",INDEX(Metrics!$A$6:$U$305,MATCH($A209,Metrics!$U$6:$U$305,0),MATCH(E$5,Metrics!$A$5:$U$5,0)))</f>
        <v/>
      </c>
      <c r="F209" s="7" t="str">
        <f>IF($A209="","",INDEX(Metrics!$A$6:$U$305,MATCH($A209,Metrics!$U$6:$U$305,0),MATCH(F$5,Metrics!$A$5:$U$5,0)))</f>
        <v/>
      </c>
      <c r="G209" s="9" t="str">
        <f>IF($A209="","",INDEX(Metrics!$A$6:$U$305,MATCH($A209,Metrics!$U$6:$U$305,0),MATCH(G$5,Metrics!$A$5:$U$5,0)))</f>
        <v/>
      </c>
      <c r="H209" s="9" t="str">
        <f>IF($A209="","",INDEX(Metrics!$A$6:$U$305,MATCH($A209,Metrics!$U$6:$U$305,0),MATCH(H$5,Metrics!$A$5:$U$5,0)))</f>
        <v/>
      </c>
      <c r="I209" s="7" t="str">
        <f>IF($A209="","",INDEX(Metrics!$A$6:$U$305,MATCH($A209,Metrics!$U$6:$U$305,0),MATCH(I$5,Metrics!$A$5:$U$5,0)))</f>
        <v/>
      </c>
      <c r="J209" s="9" t="str">
        <f>IF($A209="","",INDEX(Metrics!$A$6:$U$305,MATCH($A209,Metrics!$U$6:$U$305,0),MATCH(J$5,Metrics!$A$5:$U$5,0)))</f>
        <v/>
      </c>
      <c r="K209" s="10" t="str">
        <f>IF($A209="","",INDEX(Metrics!$A$6:$U$305,MATCH($A209,Metrics!$U$6:$U$305,0),MATCH(K$5,Metrics!$A$5:$U$5,0)))</f>
        <v/>
      </c>
      <c r="L209" t="str">
        <f>IF($A209="","",INDEX(Metrics!$A$6:$U$305,MATCH($A209,Metrics!$U$6:$U$305,0),MATCH(L$5,Metrics!$A$5:$U$5,0)))</f>
        <v/>
      </c>
      <c r="M209" t="str">
        <f>IF($A209="","",INDEX(Metrics!$A$6:$U$305,MATCH($A209,Metrics!$U$6:$U$305,0),MATCH(M$5,Metrics!$A$5:$U$5,0)))</f>
        <v/>
      </c>
      <c r="N209" t="str">
        <f>IF($A209="","",INDEX(Metrics!$A$6:$U$305,MATCH($A209,Metrics!$U$6:$U$305,0),MATCH(N$5,Metrics!$A$5:$U$5,0)))</f>
        <v/>
      </c>
      <c r="O209" t="str">
        <f>IF($A209="","",INDEX(Metrics!$A$6:$U$305,MATCH($A209,Metrics!$U$6:$U$305,0),MATCH(O$5,Metrics!$A$5:$U$5,0)))</f>
        <v/>
      </c>
      <c r="P209" t="str">
        <f>IF($A209="","",INDEX(Metrics!$A$6:$U$305,MATCH($A209,Metrics!$U$6:$U$305,0),MATCH(P$5,Metrics!$A$5:$U$5,0)))</f>
        <v/>
      </c>
    </row>
    <row r="210" spans="1:16" x14ac:dyDescent="0.4">
      <c r="A210" t="str">
        <f t="shared" si="3"/>
        <v/>
      </c>
      <c r="B210" t="str">
        <f>IF($A210="","",INDEX(Metrics!$A$6:$U$305,MATCH($A210,Metrics!$U$6:$U$305,0),MATCH(B$5,Metrics!$A$5:$U$5,0)))</f>
        <v/>
      </c>
      <c r="C210" t="str">
        <f>IF($A210="","",INDEX(Metrics!$A$6:$U$305,MATCH($A210,Metrics!$U$6:$U$305,0),MATCH(C$5,Metrics!$A$5:$U$5,0)))</f>
        <v/>
      </c>
      <c r="D210" t="str">
        <f>IF($A210="","",INDEX(Metrics!$A$6:$U$305,MATCH($A210,Metrics!$U$6:$U$305,0),MATCH(D$5,Metrics!$A$5:$U$5,0)))</f>
        <v/>
      </c>
      <c r="E210" s="14" t="str">
        <f>IF($A210="","",INDEX(Metrics!$A$6:$U$305,MATCH($A210,Metrics!$U$6:$U$305,0),MATCH(E$5,Metrics!$A$5:$U$5,0)))</f>
        <v/>
      </c>
      <c r="F210" s="7" t="str">
        <f>IF($A210="","",INDEX(Metrics!$A$6:$U$305,MATCH($A210,Metrics!$U$6:$U$305,0),MATCH(F$5,Metrics!$A$5:$U$5,0)))</f>
        <v/>
      </c>
      <c r="G210" s="9" t="str">
        <f>IF($A210="","",INDEX(Metrics!$A$6:$U$305,MATCH($A210,Metrics!$U$6:$U$305,0),MATCH(G$5,Metrics!$A$5:$U$5,0)))</f>
        <v/>
      </c>
      <c r="H210" s="9" t="str">
        <f>IF($A210="","",INDEX(Metrics!$A$6:$U$305,MATCH($A210,Metrics!$U$6:$U$305,0),MATCH(H$5,Metrics!$A$5:$U$5,0)))</f>
        <v/>
      </c>
      <c r="I210" s="7" t="str">
        <f>IF($A210="","",INDEX(Metrics!$A$6:$U$305,MATCH($A210,Metrics!$U$6:$U$305,0),MATCH(I$5,Metrics!$A$5:$U$5,0)))</f>
        <v/>
      </c>
      <c r="J210" s="9" t="str">
        <f>IF($A210="","",INDEX(Metrics!$A$6:$U$305,MATCH($A210,Metrics!$U$6:$U$305,0),MATCH(J$5,Metrics!$A$5:$U$5,0)))</f>
        <v/>
      </c>
      <c r="K210" s="10" t="str">
        <f>IF($A210="","",INDEX(Metrics!$A$6:$U$305,MATCH($A210,Metrics!$U$6:$U$305,0),MATCH(K$5,Metrics!$A$5:$U$5,0)))</f>
        <v/>
      </c>
      <c r="L210" t="str">
        <f>IF($A210="","",INDEX(Metrics!$A$6:$U$305,MATCH($A210,Metrics!$U$6:$U$305,0),MATCH(L$5,Metrics!$A$5:$U$5,0)))</f>
        <v/>
      </c>
      <c r="M210" t="str">
        <f>IF($A210="","",INDEX(Metrics!$A$6:$U$305,MATCH($A210,Metrics!$U$6:$U$305,0),MATCH(M$5,Metrics!$A$5:$U$5,0)))</f>
        <v/>
      </c>
      <c r="N210" t="str">
        <f>IF($A210="","",INDEX(Metrics!$A$6:$U$305,MATCH($A210,Metrics!$U$6:$U$305,0),MATCH(N$5,Metrics!$A$5:$U$5,0)))</f>
        <v/>
      </c>
      <c r="O210" t="str">
        <f>IF($A210="","",INDEX(Metrics!$A$6:$U$305,MATCH($A210,Metrics!$U$6:$U$305,0),MATCH(O$5,Metrics!$A$5:$U$5,0)))</f>
        <v/>
      </c>
      <c r="P210" t="str">
        <f>IF($A210="","",INDEX(Metrics!$A$6:$U$305,MATCH($A210,Metrics!$U$6:$U$305,0),MATCH(P$5,Metrics!$A$5:$U$5,0)))</f>
        <v/>
      </c>
    </row>
    <row r="211" spans="1:16" x14ac:dyDescent="0.4">
      <c r="A211" t="str">
        <f t="shared" si="3"/>
        <v/>
      </c>
      <c r="B211" t="str">
        <f>IF($A211="","",INDEX(Metrics!$A$6:$U$305,MATCH($A211,Metrics!$U$6:$U$305,0),MATCH(B$5,Metrics!$A$5:$U$5,0)))</f>
        <v/>
      </c>
      <c r="C211" t="str">
        <f>IF($A211="","",INDEX(Metrics!$A$6:$U$305,MATCH($A211,Metrics!$U$6:$U$305,0),MATCH(C$5,Metrics!$A$5:$U$5,0)))</f>
        <v/>
      </c>
      <c r="D211" t="str">
        <f>IF($A211="","",INDEX(Metrics!$A$6:$U$305,MATCH($A211,Metrics!$U$6:$U$305,0),MATCH(D$5,Metrics!$A$5:$U$5,0)))</f>
        <v/>
      </c>
      <c r="E211" s="14" t="str">
        <f>IF($A211="","",INDEX(Metrics!$A$6:$U$305,MATCH($A211,Metrics!$U$6:$U$305,0),MATCH(E$5,Metrics!$A$5:$U$5,0)))</f>
        <v/>
      </c>
      <c r="F211" s="7" t="str">
        <f>IF($A211="","",INDEX(Metrics!$A$6:$U$305,MATCH($A211,Metrics!$U$6:$U$305,0),MATCH(F$5,Metrics!$A$5:$U$5,0)))</f>
        <v/>
      </c>
      <c r="G211" s="9" t="str">
        <f>IF($A211="","",INDEX(Metrics!$A$6:$U$305,MATCH($A211,Metrics!$U$6:$U$305,0),MATCH(G$5,Metrics!$A$5:$U$5,0)))</f>
        <v/>
      </c>
      <c r="H211" s="9" t="str">
        <f>IF($A211="","",INDEX(Metrics!$A$6:$U$305,MATCH($A211,Metrics!$U$6:$U$305,0),MATCH(H$5,Metrics!$A$5:$U$5,0)))</f>
        <v/>
      </c>
      <c r="I211" s="7" t="str">
        <f>IF($A211="","",INDEX(Metrics!$A$6:$U$305,MATCH($A211,Metrics!$U$6:$U$305,0),MATCH(I$5,Metrics!$A$5:$U$5,0)))</f>
        <v/>
      </c>
      <c r="J211" s="9" t="str">
        <f>IF($A211="","",INDEX(Metrics!$A$6:$U$305,MATCH($A211,Metrics!$U$6:$U$305,0),MATCH(J$5,Metrics!$A$5:$U$5,0)))</f>
        <v/>
      </c>
      <c r="K211" s="10" t="str">
        <f>IF($A211="","",INDEX(Metrics!$A$6:$U$305,MATCH($A211,Metrics!$U$6:$U$305,0),MATCH(K$5,Metrics!$A$5:$U$5,0)))</f>
        <v/>
      </c>
      <c r="L211" t="str">
        <f>IF($A211="","",INDEX(Metrics!$A$6:$U$305,MATCH($A211,Metrics!$U$6:$U$305,0),MATCH(L$5,Metrics!$A$5:$U$5,0)))</f>
        <v/>
      </c>
      <c r="M211" t="str">
        <f>IF($A211="","",INDEX(Metrics!$A$6:$U$305,MATCH($A211,Metrics!$U$6:$U$305,0),MATCH(M$5,Metrics!$A$5:$U$5,0)))</f>
        <v/>
      </c>
      <c r="N211" t="str">
        <f>IF($A211="","",INDEX(Metrics!$A$6:$U$305,MATCH($A211,Metrics!$U$6:$U$305,0),MATCH(N$5,Metrics!$A$5:$U$5,0)))</f>
        <v/>
      </c>
      <c r="O211" t="str">
        <f>IF($A211="","",INDEX(Metrics!$A$6:$U$305,MATCH($A211,Metrics!$U$6:$U$305,0),MATCH(O$5,Metrics!$A$5:$U$5,0)))</f>
        <v/>
      </c>
      <c r="P211" t="str">
        <f>IF($A211="","",INDEX(Metrics!$A$6:$U$305,MATCH($A211,Metrics!$U$6:$U$305,0),MATCH(P$5,Metrics!$A$5:$U$5,0)))</f>
        <v/>
      </c>
    </row>
    <row r="212" spans="1:16" x14ac:dyDescent="0.4">
      <c r="A212" t="str">
        <f t="shared" si="3"/>
        <v/>
      </c>
      <c r="B212" t="str">
        <f>IF($A212="","",INDEX(Metrics!$A$6:$U$305,MATCH($A212,Metrics!$U$6:$U$305,0),MATCH(B$5,Metrics!$A$5:$U$5,0)))</f>
        <v/>
      </c>
      <c r="C212" t="str">
        <f>IF($A212="","",INDEX(Metrics!$A$6:$U$305,MATCH($A212,Metrics!$U$6:$U$305,0),MATCH(C$5,Metrics!$A$5:$U$5,0)))</f>
        <v/>
      </c>
      <c r="D212" t="str">
        <f>IF($A212="","",INDEX(Metrics!$A$6:$U$305,MATCH($A212,Metrics!$U$6:$U$305,0),MATCH(D$5,Metrics!$A$5:$U$5,0)))</f>
        <v/>
      </c>
      <c r="E212" s="14" t="str">
        <f>IF($A212="","",INDEX(Metrics!$A$6:$U$305,MATCH($A212,Metrics!$U$6:$U$305,0),MATCH(E$5,Metrics!$A$5:$U$5,0)))</f>
        <v/>
      </c>
      <c r="F212" s="7" t="str">
        <f>IF($A212="","",INDEX(Metrics!$A$6:$U$305,MATCH($A212,Metrics!$U$6:$U$305,0),MATCH(F$5,Metrics!$A$5:$U$5,0)))</f>
        <v/>
      </c>
      <c r="G212" s="9" t="str">
        <f>IF($A212="","",INDEX(Metrics!$A$6:$U$305,MATCH($A212,Metrics!$U$6:$U$305,0),MATCH(G$5,Metrics!$A$5:$U$5,0)))</f>
        <v/>
      </c>
      <c r="H212" s="9" t="str">
        <f>IF($A212="","",INDEX(Metrics!$A$6:$U$305,MATCH($A212,Metrics!$U$6:$U$305,0),MATCH(H$5,Metrics!$A$5:$U$5,0)))</f>
        <v/>
      </c>
      <c r="I212" s="7" t="str">
        <f>IF($A212="","",INDEX(Metrics!$A$6:$U$305,MATCH($A212,Metrics!$U$6:$U$305,0),MATCH(I$5,Metrics!$A$5:$U$5,0)))</f>
        <v/>
      </c>
      <c r="J212" s="9" t="str">
        <f>IF($A212="","",INDEX(Metrics!$A$6:$U$305,MATCH($A212,Metrics!$U$6:$U$305,0),MATCH(J$5,Metrics!$A$5:$U$5,0)))</f>
        <v/>
      </c>
      <c r="K212" s="10" t="str">
        <f>IF($A212="","",INDEX(Metrics!$A$6:$U$305,MATCH($A212,Metrics!$U$6:$U$305,0),MATCH(K$5,Metrics!$A$5:$U$5,0)))</f>
        <v/>
      </c>
      <c r="L212" t="str">
        <f>IF($A212="","",INDEX(Metrics!$A$6:$U$305,MATCH($A212,Metrics!$U$6:$U$305,0),MATCH(L$5,Metrics!$A$5:$U$5,0)))</f>
        <v/>
      </c>
      <c r="M212" t="str">
        <f>IF($A212="","",INDEX(Metrics!$A$6:$U$305,MATCH($A212,Metrics!$U$6:$U$305,0),MATCH(M$5,Metrics!$A$5:$U$5,0)))</f>
        <v/>
      </c>
      <c r="N212" t="str">
        <f>IF($A212="","",INDEX(Metrics!$A$6:$U$305,MATCH($A212,Metrics!$U$6:$U$305,0),MATCH(N$5,Metrics!$A$5:$U$5,0)))</f>
        <v/>
      </c>
      <c r="O212" t="str">
        <f>IF($A212="","",INDEX(Metrics!$A$6:$U$305,MATCH($A212,Metrics!$U$6:$U$305,0),MATCH(O$5,Metrics!$A$5:$U$5,0)))</f>
        <v/>
      </c>
      <c r="P212" t="str">
        <f>IF($A212="","",INDEX(Metrics!$A$6:$U$305,MATCH($A212,Metrics!$U$6:$U$305,0),MATCH(P$5,Metrics!$A$5:$U$5,0)))</f>
        <v/>
      </c>
    </row>
    <row r="213" spans="1:16" x14ac:dyDescent="0.4">
      <c r="A213" t="str">
        <f t="shared" si="3"/>
        <v/>
      </c>
      <c r="B213" t="str">
        <f>IF($A213="","",INDEX(Metrics!$A$6:$U$305,MATCH($A213,Metrics!$U$6:$U$305,0),MATCH(B$5,Metrics!$A$5:$U$5,0)))</f>
        <v/>
      </c>
      <c r="C213" t="str">
        <f>IF($A213="","",INDEX(Metrics!$A$6:$U$305,MATCH($A213,Metrics!$U$6:$U$305,0),MATCH(C$5,Metrics!$A$5:$U$5,0)))</f>
        <v/>
      </c>
      <c r="D213" t="str">
        <f>IF($A213="","",INDEX(Metrics!$A$6:$U$305,MATCH($A213,Metrics!$U$6:$U$305,0),MATCH(D$5,Metrics!$A$5:$U$5,0)))</f>
        <v/>
      </c>
      <c r="E213" s="14" t="str">
        <f>IF($A213="","",INDEX(Metrics!$A$6:$U$305,MATCH($A213,Metrics!$U$6:$U$305,0),MATCH(E$5,Metrics!$A$5:$U$5,0)))</f>
        <v/>
      </c>
      <c r="F213" s="7" t="str">
        <f>IF($A213="","",INDEX(Metrics!$A$6:$U$305,MATCH($A213,Metrics!$U$6:$U$305,0),MATCH(F$5,Metrics!$A$5:$U$5,0)))</f>
        <v/>
      </c>
      <c r="G213" s="9" t="str">
        <f>IF($A213="","",INDEX(Metrics!$A$6:$U$305,MATCH($A213,Metrics!$U$6:$U$305,0),MATCH(G$5,Metrics!$A$5:$U$5,0)))</f>
        <v/>
      </c>
      <c r="H213" s="9" t="str">
        <f>IF($A213="","",INDEX(Metrics!$A$6:$U$305,MATCH($A213,Metrics!$U$6:$U$305,0),MATCH(H$5,Metrics!$A$5:$U$5,0)))</f>
        <v/>
      </c>
      <c r="I213" s="7" t="str">
        <f>IF($A213="","",INDEX(Metrics!$A$6:$U$305,MATCH($A213,Metrics!$U$6:$U$305,0),MATCH(I$5,Metrics!$A$5:$U$5,0)))</f>
        <v/>
      </c>
      <c r="J213" s="9" t="str">
        <f>IF($A213="","",INDEX(Metrics!$A$6:$U$305,MATCH($A213,Metrics!$U$6:$U$305,0),MATCH(J$5,Metrics!$A$5:$U$5,0)))</f>
        <v/>
      </c>
      <c r="K213" s="10" t="str">
        <f>IF($A213="","",INDEX(Metrics!$A$6:$U$305,MATCH($A213,Metrics!$U$6:$U$305,0),MATCH(K$5,Metrics!$A$5:$U$5,0)))</f>
        <v/>
      </c>
      <c r="L213" t="str">
        <f>IF($A213="","",INDEX(Metrics!$A$6:$U$305,MATCH($A213,Metrics!$U$6:$U$305,0),MATCH(L$5,Metrics!$A$5:$U$5,0)))</f>
        <v/>
      </c>
      <c r="M213" t="str">
        <f>IF($A213="","",INDEX(Metrics!$A$6:$U$305,MATCH($A213,Metrics!$U$6:$U$305,0),MATCH(M$5,Metrics!$A$5:$U$5,0)))</f>
        <v/>
      </c>
      <c r="N213" t="str">
        <f>IF($A213="","",INDEX(Metrics!$A$6:$U$305,MATCH($A213,Metrics!$U$6:$U$305,0),MATCH(N$5,Metrics!$A$5:$U$5,0)))</f>
        <v/>
      </c>
      <c r="O213" t="str">
        <f>IF($A213="","",INDEX(Metrics!$A$6:$U$305,MATCH($A213,Metrics!$U$6:$U$305,0),MATCH(O$5,Metrics!$A$5:$U$5,0)))</f>
        <v/>
      </c>
      <c r="P213" t="str">
        <f>IF($A213="","",INDEX(Metrics!$A$6:$U$305,MATCH($A213,Metrics!$U$6:$U$305,0),MATCH(P$5,Metrics!$A$5:$U$5,0)))</f>
        <v/>
      </c>
    </row>
    <row r="214" spans="1:16" x14ac:dyDescent="0.4">
      <c r="A214" t="str">
        <f t="shared" si="3"/>
        <v/>
      </c>
      <c r="B214" t="str">
        <f>IF($A214="","",INDEX(Metrics!$A$6:$U$305,MATCH($A214,Metrics!$U$6:$U$305,0),MATCH(B$5,Metrics!$A$5:$U$5,0)))</f>
        <v/>
      </c>
      <c r="C214" t="str">
        <f>IF($A214="","",INDEX(Metrics!$A$6:$U$305,MATCH($A214,Metrics!$U$6:$U$305,0),MATCH(C$5,Metrics!$A$5:$U$5,0)))</f>
        <v/>
      </c>
      <c r="D214" t="str">
        <f>IF($A214="","",INDEX(Metrics!$A$6:$U$305,MATCH($A214,Metrics!$U$6:$U$305,0),MATCH(D$5,Metrics!$A$5:$U$5,0)))</f>
        <v/>
      </c>
      <c r="E214" s="14" t="str">
        <f>IF($A214="","",INDEX(Metrics!$A$6:$U$305,MATCH($A214,Metrics!$U$6:$U$305,0),MATCH(E$5,Metrics!$A$5:$U$5,0)))</f>
        <v/>
      </c>
      <c r="F214" s="7" t="str">
        <f>IF($A214="","",INDEX(Metrics!$A$6:$U$305,MATCH($A214,Metrics!$U$6:$U$305,0),MATCH(F$5,Metrics!$A$5:$U$5,0)))</f>
        <v/>
      </c>
      <c r="G214" s="9" t="str">
        <f>IF($A214="","",INDEX(Metrics!$A$6:$U$305,MATCH($A214,Metrics!$U$6:$U$305,0),MATCH(G$5,Metrics!$A$5:$U$5,0)))</f>
        <v/>
      </c>
      <c r="H214" s="9" t="str">
        <f>IF($A214="","",INDEX(Metrics!$A$6:$U$305,MATCH($A214,Metrics!$U$6:$U$305,0),MATCH(H$5,Metrics!$A$5:$U$5,0)))</f>
        <v/>
      </c>
      <c r="I214" s="7" t="str">
        <f>IF($A214="","",INDEX(Metrics!$A$6:$U$305,MATCH($A214,Metrics!$U$6:$U$305,0),MATCH(I$5,Metrics!$A$5:$U$5,0)))</f>
        <v/>
      </c>
      <c r="J214" s="9" t="str">
        <f>IF($A214="","",INDEX(Metrics!$A$6:$U$305,MATCH($A214,Metrics!$U$6:$U$305,0),MATCH(J$5,Metrics!$A$5:$U$5,0)))</f>
        <v/>
      </c>
      <c r="K214" s="10" t="str">
        <f>IF($A214="","",INDEX(Metrics!$A$6:$U$305,MATCH($A214,Metrics!$U$6:$U$305,0),MATCH(K$5,Metrics!$A$5:$U$5,0)))</f>
        <v/>
      </c>
      <c r="L214" t="str">
        <f>IF($A214="","",INDEX(Metrics!$A$6:$U$305,MATCH($A214,Metrics!$U$6:$U$305,0),MATCH(L$5,Metrics!$A$5:$U$5,0)))</f>
        <v/>
      </c>
      <c r="M214" t="str">
        <f>IF($A214="","",INDEX(Metrics!$A$6:$U$305,MATCH($A214,Metrics!$U$6:$U$305,0),MATCH(M$5,Metrics!$A$5:$U$5,0)))</f>
        <v/>
      </c>
      <c r="N214" t="str">
        <f>IF($A214="","",INDEX(Metrics!$A$6:$U$305,MATCH($A214,Metrics!$U$6:$U$305,0),MATCH(N$5,Metrics!$A$5:$U$5,0)))</f>
        <v/>
      </c>
      <c r="O214" t="str">
        <f>IF($A214="","",INDEX(Metrics!$A$6:$U$305,MATCH($A214,Metrics!$U$6:$U$305,0),MATCH(O$5,Metrics!$A$5:$U$5,0)))</f>
        <v/>
      </c>
      <c r="P214" t="str">
        <f>IF($A214="","",INDEX(Metrics!$A$6:$U$305,MATCH($A214,Metrics!$U$6:$U$305,0),MATCH(P$5,Metrics!$A$5:$U$5,0)))</f>
        <v/>
      </c>
    </row>
    <row r="215" spans="1:16" x14ac:dyDescent="0.4">
      <c r="A215" t="str">
        <f t="shared" si="3"/>
        <v/>
      </c>
      <c r="B215" t="str">
        <f>IF($A215="","",INDEX(Metrics!$A$6:$U$305,MATCH($A215,Metrics!$U$6:$U$305,0),MATCH(B$5,Metrics!$A$5:$U$5,0)))</f>
        <v/>
      </c>
      <c r="C215" t="str">
        <f>IF($A215="","",INDEX(Metrics!$A$6:$U$305,MATCH($A215,Metrics!$U$6:$U$305,0),MATCH(C$5,Metrics!$A$5:$U$5,0)))</f>
        <v/>
      </c>
      <c r="D215" t="str">
        <f>IF($A215="","",INDEX(Metrics!$A$6:$U$305,MATCH($A215,Metrics!$U$6:$U$305,0),MATCH(D$5,Metrics!$A$5:$U$5,0)))</f>
        <v/>
      </c>
      <c r="E215" s="14" t="str">
        <f>IF($A215="","",INDEX(Metrics!$A$6:$U$305,MATCH($A215,Metrics!$U$6:$U$305,0),MATCH(E$5,Metrics!$A$5:$U$5,0)))</f>
        <v/>
      </c>
      <c r="F215" s="7" t="str">
        <f>IF($A215="","",INDEX(Metrics!$A$6:$U$305,MATCH($A215,Metrics!$U$6:$U$305,0),MATCH(F$5,Metrics!$A$5:$U$5,0)))</f>
        <v/>
      </c>
      <c r="G215" s="9" t="str">
        <f>IF($A215="","",INDEX(Metrics!$A$6:$U$305,MATCH($A215,Metrics!$U$6:$U$305,0),MATCH(G$5,Metrics!$A$5:$U$5,0)))</f>
        <v/>
      </c>
      <c r="H215" s="9" t="str">
        <f>IF($A215="","",INDEX(Metrics!$A$6:$U$305,MATCH($A215,Metrics!$U$6:$U$305,0),MATCH(H$5,Metrics!$A$5:$U$5,0)))</f>
        <v/>
      </c>
      <c r="I215" s="7" t="str">
        <f>IF($A215="","",INDEX(Metrics!$A$6:$U$305,MATCH($A215,Metrics!$U$6:$U$305,0),MATCH(I$5,Metrics!$A$5:$U$5,0)))</f>
        <v/>
      </c>
      <c r="J215" s="9" t="str">
        <f>IF($A215="","",INDEX(Metrics!$A$6:$U$305,MATCH($A215,Metrics!$U$6:$U$305,0),MATCH(J$5,Metrics!$A$5:$U$5,0)))</f>
        <v/>
      </c>
      <c r="K215" s="10" t="str">
        <f>IF($A215="","",INDEX(Metrics!$A$6:$U$305,MATCH($A215,Metrics!$U$6:$U$305,0),MATCH(K$5,Metrics!$A$5:$U$5,0)))</f>
        <v/>
      </c>
      <c r="L215" t="str">
        <f>IF($A215="","",INDEX(Metrics!$A$6:$U$305,MATCH($A215,Metrics!$U$6:$U$305,0),MATCH(L$5,Metrics!$A$5:$U$5,0)))</f>
        <v/>
      </c>
      <c r="M215" t="str">
        <f>IF($A215="","",INDEX(Metrics!$A$6:$U$305,MATCH($A215,Metrics!$U$6:$U$305,0),MATCH(M$5,Metrics!$A$5:$U$5,0)))</f>
        <v/>
      </c>
      <c r="N215" t="str">
        <f>IF($A215="","",INDEX(Metrics!$A$6:$U$305,MATCH($A215,Metrics!$U$6:$U$305,0),MATCH(N$5,Metrics!$A$5:$U$5,0)))</f>
        <v/>
      </c>
      <c r="O215" t="str">
        <f>IF($A215="","",INDEX(Metrics!$A$6:$U$305,MATCH($A215,Metrics!$U$6:$U$305,0),MATCH(O$5,Metrics!$A$5:$U$5,0)))</f>
        <v/>
      </c>
      <c r="P215" t="str">
        <f>IF($A215="","",INDEX(Metrics!$A$6:$U$305,MATCH($A215,Metrics!$U$6:$U$305,0),MATCH(P$5,Metrics!$A$5:$U$5,0)))</f>
        <v/>
      </c>
    </row>
    <row r="216" spans="1:16" x14ac:dyDescent="0.4">
      <c r="A216" t="str">
        <f t="shared" si="3"/>
        <v/>
      </c>
      <c r="B216" t="str">
        <f>IF($A216="","",INDEX(Metrics!$A$6:$U$305,MATCH($A216,Metrics!$U$6:$U$305,0),MATCH(B$5,Metrics!$A$5:$U$5,0)))</f>
        <v/>
      </c>
      <c r="C216" t="str">
        <f>IF($A216="","",INDEX(Metrics!$A$6:$U$305,MATCH($A216,Metrics!$U$6:$U$305,0),MATCH(C$5,Metrics!$A$5:$U$5,0)))</f>
        <v/>
      </c>
      <c r="D216" t="str">
        <f>IF($A216="","",INDEX(Metrics!$A$6:$U$305,MATCH($A216,Metrics!$U$6:$U$305,0),MATCH(D$5,Metrics!$A$5:$U$5,0)))</f>
        <v/>
      </c>
      <c r="E216" s="14" t="str">
        <f>IF($A216="","",INDEX(Metrics!$A$6:$U$305,MATCH($A216,Metrics!$U$6:$U$305,0),MATCH(E$5,Metrics!$A$5:$U$5,0)))</f>
        <v/>
      </c>
      <c r="F216" s="7" t="str">
        <f>IF($A216="","",INDEX(Metrics!$A$6:$U$305,MATCH($A216,Metrics!$U$6:$U$305,0),MATCH(F$5,Metrics!$A$5:$U$5,0)))</f>
        <v/>
      </c>
      <c r="G216" s="9" t="str">
        <f>IF($A216="","",INDEX(Metrics!$A$6:$U$305,MATCH($A216,Metrics!$U$6:$U$305,0),MATCH(G$5,Metrics!$A$5:$U$5,0)))</f>
        <v/>
      </c>
      <c r="H216" s="9" t="str">
        <f>IF($A216="","",INDEX(Metrics!$A$6:$U$305,MATCH($A216,Metrics!$U$6:$U$305,0),MATCH(H$5,Metrics!$A$5:$U$5,0)))</f>
        <v/>
      </c>
      <c r="I216" s="7" t="str">
        <f>IF($A216="","",INDEX(Metrics!$A$6:$U$305,MATCH($A216,Metrics!$U$6:$U$305,0),MATCH(I$5,Metrics!$A$5:$U$5,0)))</f>
        <v/>
      </c>
      <c r="J216" s="9" t="str">
        <f>IF($A216="","",INDEX(Metrics!$A$6:$U$305,MATCH($A216,Metrics!$U$6:$U$305,0),MATCH(J$5,Metrics!$A$5:$U$5,0)))</f>
        <v/>
      </c>
      <c r="K216" s="10" t="str">
        <f>IF($A216="","",INDEX(Metrics!$A$6:$U$305,MATCH($A216,Metrics!$U$6:$U$305,0),MATCH(K$5,Metrics!$A$5:$U$5,0)))</f>
        <v/>
      </c>
      <c r="L216" t="str">
        <f>IF($A216="","",INDEX(Metrics!$A$6:$U$305,MATCH($A216,Metrics!$U$6:$U$305,0),MATCH(L$5,Metrics!$A$5:$U$5,0)))</f>
        <v/>
      </c>
      <c r="M216" t="str">
        <f>IF($A216="","",INDEX(Metrics!$A$6:$U$305,MATCH($A216,Metrics!$U$6:$U$305,0),MATCH(M$5,Metrics!$A$5:$U$5,0)))</f>
        <v/>
      </c>
      <c r="N216" t="str">
        <f>IF($A216="","",INDEX(Metrics!$A$6:$U$305,MATCH($A216,Metrics!$U$6:$U$305,0),MATCH(N$5,Metrics!$A$5:$U$5,0)))</f>
        <v/>
      </c>
      <c r="O216" t="str">
        <f>IF($A216="","",INDEX(Metrics!$A$6:$U$305,MATCH($A216,Metrics!$U$6:$U$305,0),MATCH(O$5,Metrics!$A$5:$U$5,0)))</f>
        <v/>
      </c>
      <c r="P216" t="str">
        <f>IF($A216="","",INDEX(Metrics!$A$6:$U$305,MATCH($A216,Metrics!$U$6:$U$305,0),MATCH(P$5,Metrics!$A$5:$U$5,0)))</f>
        <v/>
      </c>
    </row>
    <row r="217" spans="1:16" x14ac:dyDescent="0.4">
      <c r="A217" t="str">
        <f t="shared" si="3"/>
        <v/>
      </c>
      <c r="B217" t="str">
        <f>IF($A217="","",INDEX(Metrics!$A$6:$U$305,MATCH($A217,Metrics!$U$6:$U$305,0),MATCH(B$5,Metrics!$A$5:$U$5,0)))</f>
        <v/>
      </c>
      <c r="C217" t="str">
        <f>IF($A217="","",INDEX(Metrics!$A$6:$U$305,MATCH($A217,Metrics!$U$6:$U$305,0),MATCH(C$5,Metrics!$A$5:$U$5,0)))</f>
        <v/>
      </c>
      <c r="D217" t="str">
        <f>IF($A217="","",INDEX(Metrics!$A$6:$U$305,MATCH($A217,Metrics!$U$6:$U$305,0),MATCH(D$5,Metrics!$A$5:$U$5,0)))</f>
        <v/>
      </c>
      <c r="E217" s="14" t="str">
        <f>IF($A217="","",INDEX(Metrics!$A$6:$U$305,MATCH($A217,Metrics!$U$6:$U$305,0),MATCH(E$5,Metrics!$A$5:$U$5,0)))</f>
        <v/>
      </c>
      <c r="F217" s="7" t="str">
        <f>IF($A217="","",INDEX(Metrics!$A$6:$U$305,MATCH($A217,Metrics!$U$6:$U$305,0),MATCH(F$5,Metrics!$A$5:$U$5,0)))</f>
        <v/>
      </c>
      <c r="G217" s="9" t="str">
        <f>IF($A217="","",INDEX(Metrics!$A$6:$U$305,MATCH($A217,Metrics!$U$6:$U$305,0),MATCH(G$5,Metrics!$A$5:$U$5,0)))</f>
        <v/>
      </c>
      <c r="H217" s="9" t="str">
        <f>IF($A217="","",INDEX(Metrics!$A$6:$U$305,MATCH($A217,Metrics!$U$6:$U$305,0),MATCH(H$5,Metrics!$A$5:$U$5,0)))</f>
        <v/>
      </c>
      <c r="I217" s="7" t="str">
        <f>IF($A217="","",INDEX(Metrics!$A$6:$U$305,MATCH($A217,Metrics!$U$6:$U$305,0),MATCH(I$5,Metrics!$A$5:$U$5,0)))</f>
        <v/>
      </c>
      <c r="J217" s="9" t="str">
        <f>IF($A217="","",INDEX(Metrics!$A$6:$U$305,MATCH($A217,Metrics!$U$6:$U$305,0),MATCH(J$5,Metrics!$A$5:$U$5,0)))</f>
        <v/>
      </c>
      <c r="K217" s="10" t="str">
        <f>IF($A217="","",INDEX(Metrics!$A$6:$U$305,MATCH($A217,Metrics!$U$6:$U$305,0),MATCH(K$5,Metrics!$A$5:$U$5,0)))</f>
        <v/>
      </c>
      <c r="L217" t="str">
        <f>IF($A217="","",INDEX(Metrics!$A$6:$U$305,MATCH($A217,Metrics!$U$6:$U$305,0),MATCH(L$5,Metrics!$A$5:$U$5,0)))</f>
        <v/>
      </c>
      <c r="M217" t="str">
        <f>IF($A217="","",INDEX(Metrics!$A$6:$U$305,MATCH($A217,Metrics!$U$6:$U$305,0),MATCH(M$5,Metrics!$A$5:$U$5,0)))</f>
        <v/>
      </c>
      <c r="N217" t="str">
        <f>IF($A217="","",INDEX(Metrics!$A$6:$U$305,MATCH($A217,Metrics!$U$6:$U$305,0),MATCH(N$5,Metrics!$A$5:$U$5,0)))</f>
        <v/>
      </c>
      <c r="O217" t="str">
        <f>IF($A217="","",INDEX(Metrics!$A$6:$U$305,MATCH($A217,Metrics!$U$6:$U$305,0),MATCH(O$5,Metrics!$A$5:$U$5,0)))</f>
        <v/>
      </c>
      <c r="P217" t="str">
        <f>IF($A217="","",INDEX(Metrics!$A$6:$U$305,MATCH($A217,Metrics!$U$6:$U$305,0),MATCH(P$5,Metrics!$A$5:$U$5,0)))</f>
        <v/>
      </c>
    </row>
    <row r="218" spans="1:16" x14ac:dyDescent="0.4">
      <c r="A218" t="str">
        <f t="shared" si="3"/>
        <v/>
      </c>
      <c r="B218" t="str">
        <f>IF($A218="","",INDEX(Metrics!$A$6:$U$305,MATCH($A218,Metrics!$U$6:$U$305,0),MATCH(B$5,Metrics!$A$5:$U$5,0)))</f>
        <v/>
      </c>
      <c r="C218" t="str">
        <f>IF($A218="","",INDEX(Metrics!$A$6:$U$305,MATCH($A218,Metrics!$U$6:$U$305,0),MATCH(C$5,Metrics!$A$5:$U$5,0)))</f>
        <v/>
      </c>
      <c r="D218" t="str">
        <f>IF($A218="","",INDEX(Metrics!$A$6:$U$305,MATCH($A218,Metrics!$U$6:$U$305,0),MATCH(D$5,Metrics!$A$5:$U$5,0)))</f>
        <v/>
      </c>
      <c r="E218" s="14" t="str">
        <f>IF($A218="","",INDEX(Metrics!$A$6:$U$305,MATCH($A218,Metrics!$U$6:$U$305,0),MATCH(E$5,Metrics!$A$5:$U$5,0)))</f>
        <v/>
      </c>
      <c r="F218" s="7" t="str">
        <f>IF($A218="","",INDEX(Metrics!$A$6:$U$305,MATCH($A218,Metrics!$U$6:$U$305,0),MATCH(F$5,Metrics!$A$5:$U$5,0)))</f>
        <v/>
      </c>
      <c r="G218" s="9" t="str">
        <f>IF($A218="","",INDEX(Metrics!$A$6:$U$305,MATCH($A218,Metrics!$U$6:$U$305,0),MATCH(G$5,Metrics!$A$5:$U$5,0)))</f>
        <v/>
      </c>
      <c r="H218" s="9" t="str">
        <f>IF($A218="","",INDEX(Metrics!$A$6:$U$305,MATCH($A218,Metrics!$U$6:$U$305,0),MATCH(H$5,Metrics!$A$5:$U$5,0)))</f>
        <v/>
      </c>
      <c r="I218" s="7" t="str">
        <f>IF($A218="","",INDEX(Metrics!$A$6:$U$305,MATCH($A218,Metrics!$U$6:$U$305,0),MATCH(I$5,Metrics!$A$5:$U$5,0)))</f>
        <v/>
      </c>
      <c r="J218" s="9" t="str">
        <f>IF($A218="","",INDEX(Metrics!$A$6:$U$305,MATCH($A218,Metrics!$U$6:$U$305,0),MATCH(J$5,Metrics!$A$5:$U$5,0)))</f>
        <v/>
      </c>
      <c r="K218" s="10" t="str">
        <f>IF($A218="","",INDEX(Metrics!$A$6:$U$305,MATCH($A218,Metrics!$U$6:$U$305,0),MATCH(K$5,Metrics!$A$5:$U$5,0)))</f>
        <v/>
      </c>
      <c r="L218" t="str">
        <f>IF($A218="","",INDEX(Metrics!$A$6:$U$305,MATCH($A218,Metrics!$U$6:$U$305,0),MATCH(L$5,Metrics!$A$5:$U$5,0)))</f>
        <v/>
      </c>
      <c r="M218" t="str">
        <f>IF($A218="","",INDEX(Metrics!$A$6:$U$305,MATCH($A218,Metrics!$U$6:$U$305,0),MATCH(M$5,Metrics!$A$5:$U$5,0)))</f>
        <v/>
      </c>
      <c r="N218" t="str">
        <f>IF($A218="","",INDEX(Metrics!$A$6:$U$305,MATCH($A218,Metrics!$U$6:$U$305,0),MATCH(N$5,Metrics!$A$5:$U$5,0)))</f>
        <v/>
      </c>
      <c r="O218" t="str">
        <f>IF($A218="","",INDEX(Metrics!$A$6:$U$305,MATCH($A218,Metrics!$U$6:$U$305,0),MATCH(O$5,Metrics!$A$5:$U$5,0)))</f>
        <v/>
      </c>
      <c r="P218" t="str">
        <f>IF($A218="","",INDEX(Metrics!$A$6:$U$305,MATCH($A218,Metrics!$U$6:$U$305,0),MATCH(P$5,Metrics!$A$5:$U$5,0)))</f>
        <v/>
      </c>
    </row>
    <row r="219" spans="1:16" x14ac:dyDescent="0.4">
      <c r="A219" t="str">
        <f t="shared" si="3"/>
        <v/>
      </c>
      <c r="B219" t="str">
        <f>IF($A219="","",INDEX(Metrics!$A$6:$U$305,MATCH($A219,Metrics!$U$6:$U$305,0),MATCH(B$5,Metrics!$A$5:$U$5,0)))</f>
        <v/>
      </c>
      <c r="C219" t="str">
        <f>IF($A219="","",INDEX(Metrics!$A$6:$U$305,MATCH($A219,Metrics!$U$6:$U$305,0),MATCH(C$5,Metrics!$A$5:$U$5,0)))</f>
        <v/>
      </c>
      <c r="D219" t="str">
        <f>IF($A219="","",INDEX(Metrics!$A$6:$U$305,MATCH($A219,Metrics!$U$6:$U$305,0),MATCH(D$5,Metrics!$A$5:$U$5,0)))</f>
        <v/>
      </c>
      <c r="E219" s="14" t="str">
        <f>IF($A219="","",INDEX(Metrics!$A$6:$U$305,MATCH($A219,Metrics!$U$6:$U$305,0),MATCH(E$5,Metrics!$A$5:$U$5,0)))</f>
        <v/>
      </c>
      <c r="F219" s="7" t="str">
        <f>IF($A219="","",INDEX(Metrics!$A$6:$U$305,MATCH($A219,Metrics!$U$6:$U$305,0),MATCH(F$5,Metrics!$A$5:$U$5,0)))</f>
        <v/>
      </c>
      <c r="G219" s="9" t="str">
        <f>IF($A219="","",INDEX(Metrics!$A$6:$U$305,MATCH($A219,Metrics!$U$6:$U$305,0),MATCH(G$5,Metrics!$A$5:$U$5,0)))</f>
        <v/>
      </c>
      <c r="H219" s="9" t="str">
        <f>IF($A219="","",INDEX(Metrics!$A$6:$U$305,MATCH($A219,Metrics!$U$6:$U$305,0),MATCH(H$5,Metrics!$A$5:$U$5,0)))</f>
        <v/>
      </c>
      <c r="I219" s="7" t="str">
        <f>IF($A219="","",INDEX(Metrics!$A$6:$U$305,MATCH($A219,Metrics!$U$6:$U$305,0),MATCH(I$5,Metrics!$A$5:$U$5,0)))</f>
        <v/>
      </c>
      <c r="J219" s="9" t="str">
        <f>IF($A219="","",INDEX(Metrics!$A$6:$U$305,MATCH($A219,Metrics!$U$6:$U$305,0),MATCH(J$5,Metrics!$A$5:$U$5,0)))</f>
        <v/>
      </c>
      <c r="K219" s="10" t="str">
        <f>IF($A219="","",INDEX(Metrics!$A$6:$U$305,MATCH($A219,Metrics!$U$6:$U$305,0),MATCH(K$5,Metrics!$A$5:$U$5,0)))</f>
        <v/>
      </c>
      <c r="L219" t="str">
        <f>IF($A219="","",INDEX(Metrics!$A$6:$U$305,MATCH($A219,Metrics!$U$6:$U$305,0),MATCH(L$5,Metrics!$A$5:$U$5,0)))</f>
        <v/>
      </c>
      <c r="M219" t="str">
        <f>IF($A219="","",INDEX(Metrics!$A$6:$U$305,MATCH($A219,Metrics!$U$6:$U$305,0),MATCH(M$5,Metrics!$A$5:$U$5,0)))</f>
        <v/>
      </c>
      <c r="N219" t="str">
        <f>IF($A219="","",INDEX(Metrics!$A$6:$U$305,MATCH($A219,Metrics!$U$6:$U$305,0),MATCH(N$5,Metrics!$A$5:$U$5,0)))</f>
        <v/>
      </c>
      <c r="O219" t="str">
        <f>IF($A219="","",INDEX(Metrics!$A$6:$U$305,MATCH($A219,Metrics!$U$6:$U$305,0),MATCH(O$5,Metrics!$A$5:$U$5,0)))</f>
        <v/>
      </c>
      <c r="P219" t="str">
        <f>IF($A219="","",INDEX(Metrics!$A$6:$U$305,MATCH($A219,Metrics!$U$6:$U$305,0),MATCH(P$5,Metrics!$A$5:$U$5,0)))</f>
        <v/>
      </c>
    </row>
    <row r="220" spans="1:16" x14ac:dyDescent="0.4">
      <c r="A220" t="str">
        <f t="shared" si="3"/>
        <v/>
      </c>
      <c r="B220" t="str">
        <f>IF($A220="","",INDEX(Metrics!$A$6:$U$305,MATCH($A220,Metrics!$U$6:$U$305,0),MATCH(B$5,Metrics!$A$5:$U$5,0)))</f>
        <v/>
      </c>
      <c r="C220" t="str">
        <f>IF($A220="","",INDEX(Metrics!$A$6:$U$305,MATCH($A220,Metrics!$U$6:$U$305,0),MATCH(C$5,Metrics!$A$5:$U$5,0)))</f>
        <v/>
      </c>
      <c r="D220" t="str">
        <f>IF($A220="","",INDEX(Metrics!$A$6:$U$305,MATCH($A220,Metrics!$U$6:$U$305,0),MATCH(D$5,Metrics!$A$5:$U$5,0)))</f>
        <v/>
      </c>
      <c r="E220" s="14" t="str">
        <f>IF($A220="","",INDEX(Metrics!$A$6:$U$305,MATCH($A220,Metrics!$U$6:$U$305,0),MATCH(E$5,Metrics!$A$5:$U$5,0)))</f>
        <v/>
      </c>
      <c r="F220" s="7" t="str">
        <f>IF($A220="","",INDEX(Metrics!$A$6:$U$305,MATCH($A220,Metrics!$U$6:$U$305,0),MATCH(F$5,Metrics!$A$5:$U$5,0)))</f>
        <v/>
      </c>
      <c r="G220" s="9" t="str">
        <f>IF($A220="","",INDEX(Metrics!$A$6:$U$305,MATCH($A220,Metrics!$U$6:$U$305,0),MATCH(G$5,Metrics!$A$5:$U$5,0)))</f>
        <v/>
      </c>
      <c r="H220" s="9" t="str">
        <f>IF($A220="","",INDEX(Metrics!$A$6:$U$305,MATCH($A220,Metrics!$U$6:$U$305,0),MATCH(H$5,Metrics!$A$5:$U$5,0)))</f>
        <v/>
      </c>
      <c r="I220" s="7" t="str">
        <f>IF($A220="","",INDEX(Metrics!$A$6:$U$305,MATCH($A220,Metrics!$U$6:$U$305,0),MATCH(I$5,Metrics!$A$5:$U$5,0)))</f>
        <v/>
      </c>
      <c r="J220" s="9" t="str">
        <f>IF($A220="","",INDEX(Metrics!$A$6:$U$305,MATCH($A220,Metrics!$U$6:$U$305,0),MATCH(J$5,Metrics!$A$5:$U$5,0)))</f>
        <v/>
      </c>
      <c r="K220" s="10" t="str">
        <f>IF($A220="","",INDEX(Metrics!$A$6:$U$305,MATCH($A220,Metrics!$U$6:$U$305,0),MATCH(K$5,Metrics!$A$5:$U$5,0)))</f>
        <v/>
      </c>
      <c r="L220" t="str">
        <f>IF($A220="","",INDEX(Metrics!$A$6:$U$305,MATCH($A220,Metrics!$U$6:$U$305,0),MATCH(L$5,Metrics!$A$5:$U$5,0)))</f>
        <v/>
      </c>
      <c r="M220" t="str">
        <f>IF($A220="","",INDEX(Metrics!$A$6:$U$305,MATCH($A220,Metrics!$U$6:$U$305,0),MATCH(M$5,Metrics!$A$5:$U$5,0)))</f>
        <v/>
      </c>
      <c r="N220" t="str">
        <f>IF($A220="","",INDEX(Metrics!$A$6:$U$305,MATCH($A220,Metrics!$U$6:$U$305,0),MATCH(N$5,Metrics!$A$5:$U$5,0)))</f>
        <v/>
      </c>
      <c r="O220" t="str">
        <f>IF($A220="","",INDEX(Metrics!$A$6:$U$305,MATCH($A220,Metrics!$U$6:$U$305,0),MATCH(O$5,Metrics!$A$5:$U$5,0)))</f>
        <v/>
      </c>
      <c r="P220" t="str">
        <f>IF($A220="","",INDEX(Metrics!$A$6:$U$305,MATCH($A220,Metrics!$U$6:$U$305,0),MATCH(P$5,Metrics!$A$5:$U$5,0)))</f>
        <v/>
      </c>
    </row>
    <row r="221" spans="1:16" x14ac:dyDescent="0.4">
      <c r="A221" t="str">
        <f t="shared" si="3"/>
        <v/>
      </c>
      <c r="B221" t="str">
        <f>IF($A221="","",INDEX(Metrics!$A$6:$U$305,MATCH($A221,Metrics!$U$6:$U$305,0),MATCH(B$5,Metrics!$A$5:$U$5,0)))</f>
        <v/>
      </c>
      <c r="C221" t="str">
        <f>IF($A221="","",INDEX(Metrics!$A$6:$U$305,MATCH($A221,Metrics!$U$6:$U$305,0),MATCH(C$5,Metrics!$A$5:$U$5,0)))</f>
        <v/>
      </c>
      <c r="D221" t="str">
        <f>IF($A221="","",INDEX(Metrics!$A$6:$U$305,MATCH($A221,Metrics!$U$6:$U$305,0),MATCH(D$5,Metrics!$A$5:$U$5,0)))</f>
        <v/>
      </c>
      <c r="E221" s="14" t="str">
        <f>IF($A221="","",INDEX(Metrics!$A$6:$U$305,MATCH($A221,Metrics!$U$6:$U$305,0),MATCH(E$5,Metrics!$A$5:$U$5,0)))</f>
        <v/>
      </c>
      <c r="F221" s="7" t="str">
        <f>IF($A221="","",INDEX(Metrics!$A$6:$U$305,MATCH($A221,Metrics!$U$6:$U$305,0),MATCH(F$5,Metrics!$A$5:$U$5,0)))</f>
        <v/>
      </c>
      <c r="G221" s="9" t="str">
        <f>IF($A221="","",INDEX(Metrics!$A$6:$U$305,MATCH($A221,Metrics!$U$6:$U$305,0),MATCH(G$5,Metrics!$A$5:$U$5,0)))</f>
        <v/>
      </c>
      <c r="H221" s="9" t="str">
        <f>IF($A221="","",INDEX(Metrics!$A$6:$U$305,MATCH($A221,Metrics!$U$6:$U$305,0),MATCH(H$5,Metrics!$A$5:$U$5,0)))</f>
        <v/>
      </c>
      <c r="I221" s="7" t="str">
        <f>IF($A221="","",INDEX(Metrics!$A$6:$U$305,MATCH($A221,Metrics!$U$6:$U$305,0),MATCH(I$5,Metrics!$A$5:$U$5,0)))</f>
        <v/>
      </c>
      <c r="J221" s="9" t="str">
        <f>IF($A221="","",INDEX(Metrics!$A$6:$U$305,MATCH($A221,Metrics!$U$6:$U$305,0),MATCH(J$5,Metrics!$A$5:$U$5,0)))</f>
        <v/>
      </c>
      <c r="K221" s="10" t="str">
        <f>IF($A221="","",INDEX(Metrics!$A$6:$U$305,MATCH($A221,Metrics!$U$6:$U$305,0),MATCH(K$5,Metrics!$A$5:$U$5,0)))</f>
        <v/>
      </c>
      <c r="L221" t="str">
        <f>IF($A221="","",INDEX(Metrics!$A$6:$U$305,MATCH($A221,Metrics!$U$6:$U$305,0),MATCH(L$5,Metrics!$A$5:$U$5,0)))</f>
        <v/>
      </c>
      <c r="M221" t="str">
        <f>IF($A221="","",INDEX(Metrics!$A$6:$U$305,MATCH($A221,Metrics!$U$6:$U$305,0),MATCH(M$5,Metrics!$A$5:$U$5,0)))</f>
        <v/>
      </c>
      <c r="N221" t="str">
        <f>IF($A221="","",INDEX(Metrics!$A$6:$U$305,MATCH($A221,Metrics!$U$6:$U$305,0),MATCH(N$5,Metrics!$A$5:$U$5,0)))</f>
        <v/>
      </c>
      <c r="O221" t="str">
        <f>IF($A221="","",INDEX(Metrics!$A$6:$U$305,MATCH($A221,Metrics!$U$6:$U$305,0),MATCH(O$5,Metrics!$A$5:$U$5,0)))</f>
        <v/>
      </c>
      <c r="P221" t="str">
        <f>IF($A221="","",INDEX(Metrics!$A$6:$U$305,MATCH($A221,Metrics!$U$6:$U$305,0),MATCH(P$5,Metrics!$A$5:$U$5,0)))</f>
        <v/>
      </c>
    </row>
    <row r="222" spans="1:16" x14ac:dyDescent="0.4">
      <c r="A222" t="str">
        <f t="shared" si="3"/>
        <v/>
      </c>
      <c r="B222" t="str">
        <f>IF($A222="","",INDEX(Metrics!$A$6:$U$305,MATCH($A222,Metrics!$U$6:$U$305,0),MATCH(B$5,Metrics!$A$5:$U$5,0)))</f>
        <v/>
      </c>
      <c r="C222" t="str">
        <f>IF($A222="","",INDEX(Metrics!$A$6:$U$305,MATCH($A222,Metrics!$U$6:$U$305,0),MATCH(C$5,Metrics!$A$5:$U$5,0)))</f>
        <v/>
      </c>
      <c r="D222" t="str">
        <f>IF($A222="","",INDEX(Metrics!$A$6:$U$305,MATCH($A222,Metrics!$U$6:$U$305,0),MATCH(D$5,Metrics!$A$5:$U$5,0)))</f>
        <v/>
      </c>
      <c r="E222" s="14" t="str">
        <f>IF($A222="","",INDEX(Metrics!$A$6:$U$305,MATCH($A222,Metrics!$U$6:$U$305,0),MATCH(E$5,Metrics!$A$5:$U$5,0)))</f>
        <v/>
      </c>
      <c r="F222" s="7" t="str">
        <f>IF($A222="","",INDEX(Metrics!$A$6:$U$305,MATCH($A222,Metrics!$U$6:$U$305,0),MATCH(F$5,Metrics!$A$5:$U$5,0)))</f>
        <v/>
      </c>
      <c r="G222" s="9" t="str">
        <f>IF($A222="","",INDEX(Metrics!$A$6:$U$305,MATCH($A222,Metrics!$U$6:$U$305,0),MATCH(G$5,Metrics!$A$5:$U$5,0)))</f>
        <v/>
      </c>
      <c r="H222" s="9" t="str">
        <f>IF($A222="","",INDEX(Metrics!$A$6:$U$305,MATCH($A222,Metrics!$U$6:$U$305,0),MATCH(H$5,Metrics!$A$5:$U$5,0)))</f>
        <v/>
      </c>
      <c r="I222" s="7" t="str">
        <f>IF($A222="","",INDEX(Metrics!$A$6:$U$305,MATCH($A222,Metrics!$U$6:$U$305,0),MATCH(I$5,Metrics!$A$5:$U$5,0)))</f>
        <v/>
      </c>
      <c r="J222" s="9" t="str">
        <f>IF($A222="","",INDEX(Metrics!$A$6:$U$305,MATCH($A222,Metrics!$U$6:$U$305,0),MATCH(J$5,Metrics!$A$5:$U$5,0)))</f>
        <v/>
      </c>
      <c r="K222" s="10" t="str">
        <f>IF($A222="","",INDEX(Metrics!$A$6:$U$305,MATCH($A222,Metrics!$U$6:$U$305,0),MATCH(K$5,Metrics!$A$5:$U$5,0)))</f>
        <v/>
      </c>
      <c r="L222" t="str">
        <f>IF($A222="","",INDEX(Metrics!$A$6:$U$305,MATCH($A222,Metrics!$U$6:$U$305,0),MATCH(L$5,Metrics!$A$5:$U$5,0)))</f>
        <v/>
      </c>
      <c r="M222" t="str">
        <f>IF($A222="","",INDEX(Metrics!$A$6:$U$305,MATCH($A222,Metrics!$U$6:$U$305,0),MATCH(M$5,Metrics!$A$5:$U$5,0)))</f>
        <v/>
      </c>
      <c r="N222" t="str">
        <f>IF($A222="","",INDEX(Metrics!$A$6:$U$305,MATCH($A222,Metrics!$U$6:$U$305,0),MATCH(N$5,Metrics!$A$5:$U$5,0)))</f>
        <v/>
      </c>
      <c r="O222" t="str">
        <f>IF($A222="","",INDEX(Metrics!$A$6:$U$305,MATCH($A222,Metrics!$U$6:$U$305,0),MATCH(O$5,Metrics!$A$5:$U$5,0)))</f>
        <v/>
      </c>
      <c r="P222" t="str">
        <f>IF($A222="","",INDEX(Metrics!$A$6:$U$305,MATCH($A222,Metrics!$U$6:$U$305,0),MATCH(P$5,Metrics!$A$5:$U$5,0)))</f>
        <v/>
      </c>
    </row>
    <row r="223" spans="1:16" x14ac:dyDescent="0.4">
      <c r="A223" t="str">
        <f t="shared" si="3"/>
        <v/>
      </c>
      <c r="B223" t="str">
        <f>IF($A223="","",INDEX(Metrics!$A$6:$U$305,MATCH($A223,Metrics!$U$6:$U$305,0),MATCH(B$5,Metrics!$A$5:$U$5,0)))</f>
        <v/>
      </c>
      <c r="C223" t="str">
        <f>IF($A223="","",INDEX(Metrics!$A$6:$U$305,MATCH($A223,Metrics!$U$6:$U$305,0),MATCH(C$5,Metrics!$A$5:$U$5,0)))</f>
        <v/>
      </c>
      <c r="D223" t="str">
        <f>IF($A223="","",INDEX(Metrics!$A$6:$U$305,MATCH($A223,Metrics!$U$6:$U$305,0),MATCH(D$5,Metrics!$A$5:$U$5,0)))</f>
        <v/>
      </c>
      <c r="E223" s="14" t="str">
        <f>IF($A223="","",INDEX(Metrics!$A$6:$U$305,MATCH($A223,Metrics!$U$6:$U$305,0),MATCH(E$5,Metrics!$A$5:$U$5,0)))</f>
        <v/>
      </c>
      <c r="F223" s="7" t="str">
        <f>IF($A223="","",INDEX(Metrics!$A$6:$U$305,MATCH($A223,Metrics!$U$6:$U$305,0),MATCH(F$5,Metrics!$A$5:$U$5,0)))</f>
        <v/>
      </c>
      <c r="G223" s="9" t="str">
        <f>IF($A223="","",INDEX(Metrics!$A$6:$U$305,MATCH($A223,Metrics!$U$6:$U$305,0),MATCH(G$5,Metrics!$A$5:$U$5,0)))</f>
        <v/>
      </c>
      <c r="H223" s="9" t="str">
        <f>IF($A223="","",INDEX(Metrics!$A$6:$U$305,MATCH($A223,Metrics!$U$6:$U$305,0),MATCH(H$5,Metrics!$A$5:$U$5,0)))</f>
        <v/>
      </c>
      <c r="I223" s="7" t="str">
        <f>IF($A223="","",INDEX(Metrics!$A$6:$U$305,MATCH($A223,Metrics!$U$6:$U$305,0),MATCH(I$5,Metrics!$A$5:$U$5,0)))</f>
        <v/>
      </c>
      <c r="J223" s="9" t="str">
        <f>IF($A223="","",INDEX(Metrics!$A$6:$U$305,MATCH($A223,Metrics!$U$6:$U$305,0),MATCH(J$5,Metrics!$A$5:$U$5,0)))</f>
        <v/>
      </c>
      <c r="K223" s="10" t="str">
        <f>IF($A223="","",INDEX(Metrics!$A$6:$U$305,MATCH($A223,Metrics!$U$6:$U$305,0),MATCH(K$5,Metrics!$A$5:$U$5,0)))</f>
        <v/>
      </c>
      <c r="L223" t="str">
        <f>IF($A223="","",INDEX(Metrics!$A$6:$U$305,MATCH($A223,Metrics!$U$6:$U$305,0),MATCH(L$5,Metrics!$A$5:$U$5,0)))</f>
        <v/>
      </c>
      <c r="M223" t="str">
        <f>IF($A223="","",INDEX(Metrics!$A$6:$U$305,MATCH($A223,Metrics!$U$6:$U$305,0),MATCH(M$5,Metrics!$A$5:$U$5,0)))</f>
        <v/>
      </c>
      <c r="N223" t="str">
        <f>IF($A223="","",INDEX(Metrics!$A$6:$U$305,MATCH($A223,Metrics!$U$6:$U$305,0),MATCH(N$5,Metrics!$A$5:$U$5,0)))</f>
        <v/>
      </c>
      <c r="O223" t="str">
        <f>IF($A223="","",INDEX(Metrics!$A$6:$U$305,MATCH($A223,Metrics!$U$6:$U$305,0),MATCH(O$5,Metrics!$A$5:$U$5,0)))</f>
        <v/>
      </c>
      <c r="P223" t="str">
        <f>IF($A223="","",INDEX(Metrics!$A$6:$U$305,MATCH($A223,Metrics!$U$6:$U$305,0),MATCH(P$5,Metrics!$A$5:$U$5,0)))</f>
        <v/>
      </c>
    </row>
    <row r="224" spans="1:16" x14ac:dyDescent="0.4">
      <c r="A224" t="str">
        <f t="shared" si="3"/>
        <v/>
      </c>
      <c r="B224" t="str">
        <f>IF($A224="","",INDEX(Metrics!$A$6:$U$305,MATCH($A224,Metrics!$U$6:$U$305,0),MATCH(B$5,Metrics!$A$5:$U$5,0)))</f>
        <v/>
      </c>
      <c r="C224" t="str">
        <f>IF($A224="","",INDEX(Metrics!$A$6:$U$305,MATCH($A224,Metrics!$U$6:$U$305,0),MATCH(C$5,Metrics!$A$5:$U$5,0)))</f>
        <v/>
      </c>
      <c r="D224" t="str">
        <f>IF($A224="","",INDEX(Metrics!$A$6:$U$305,MATCH($A224,Metrics!$U$6:$U$305,0),MATCH(D$5,Metrics!$A$5:$U$5,0)))</f>
        <v/>
      </c>
      <c r="E224" s="14" t="str">
        <f>IF($A224="","",INDEX(Metrics!$A$6:$U$305,MATCH($A224,Metrics!$U$6:$U$305,0),MATCH(E$5,Metrics!$A$5:$U$5,0)))</f>
        <v/>
      </c>
      <c r="F224" s="7" t="str">
        <f>IF($A224="","",INDEX(Metrics!$A$6:$U$305,MATCH($A224,Metrics!$U$6:$U$305,0),MATCH(F$5,Metrics!$A$5:$U$5,0)))</f>
        <v/>
      </c>
      <c r="G224" s="9" t="str">
        <f>IF($A224="","",INDEX(Metrics!$A$6:$U$305,MATCH($A224,Metrics!$U$6:$U$305,0),MATCH(G$5,Metrics!$A$5:$U$5,0)))</f>
        <v/>
      </c>
      <c r="H224" s="9" t="str">
        <f>IF($A224="","",INDEX(Metrics!$A$6:$U$305,MATCH($A224,Metrics!$U$6:$U$305,0),MATCH(H$5,Metrics!$A$5:$U$5,0)))</f>
        <v/>
      </c>
      <c r="I224" s="7" t="str">
        <f>IF($A224="","",INDEX(Metrics!$A$6:$U$305,MATCH($A224,Metrics!$U$6:$U$305,0),MATCH(I$5,Metrics!$A$5:$U$5,0)))</f>
        <v/>
      </c>
      <c r="J224" s="9" t="str">
        <f>IF($A224="","",INDEX(Metrics!$A$6:$U$305,MATCH($A224,Metrics!$U$6:$U$305,0),MATCH(J$5,Metrics!$A$5:$U$5,0)))</f>
        <v/>
      </c>
      <c r="K224" s="10" t="str">
        <f>IF($A224="","",INDEX(Metrics!$A$6:$U$305,MATCH($A224,Metrics!$U$6:$U$305,0),MATCH(K$5,Metrics!$A$5:$U$5,0)))</f>
        <v/>
      </c>
      <c r="L224" t="str">
        <f>IF($A224="","",INDEX(Metrics!$A$6:$U$305,MATCH($A224,Metrics!$U$6:$U$305,0),MATCH(L$5,Metrics!$A$5:$U$5,0)))</f>
        <v/>
      </c>
      <c r="M224" t="str">
        <f>IF($A224="","",INDEX(Metrics!$A$6:$U$305,MATCH($A224,Metrics!$U$6:$U$305,0),MATCH(M$5,Metrics!$A$5:$U$5,0)))</f>
        <v/>
      </c>
      <c r="N224" t="str">
        <f>IF($A224="","",INDEX(Metrics!$A$6:$U$305,MATCH($A224,Metrics!$U$6:$U$305,0),MATCH(N$5,Metrics!$A$5:$U$5,0)))</f>
        <v/>
      </c>
      <c r="O224" t="str">
        <f>IF($A224="","",INDEX(Metrics!$A$6:$U$305,MATCH($A224,Metrics!$U$6:$U$305,0),MATCH(O$5,Metrics!$A$5:$U$5,0)))</f>
        <v/>
      </c>
      <c r="P224" t="str">
        <f>IF($A224="","",INDEX(Metrics!$A$6:$U$305,MATCH($A224,Metrics!$U$6:$U$305,0),MATCH(P$5,Metrics!$A$5:$U$5,0)))</f>
        <v/>
      </c>
    </row>
    <row r="225" spans="1:16" x14ac:dyDescent="0.4">
      <c r="A225" t="str">
        <f t="shared" si="3"/>
        <v/>
      </c>
      <c r="B225" t="str">
        <f>IF($A225="","",INDEX(Metrics!$A$6:$U$305,MATCH($A225,Metrics!$U$6:$U$305,0),MATCH(B$5,Metrics!$A$5:$U$5,0)))</f>
        <v/>
      </c>
      <c r="C225" t="str">
        <f>IF($A225="","",INDEX(Metrics!$A$6:$U$305,MATCH($A225,Metrics!$U$6:$U$305,0),MATCH(C$5,Metrics!$A$5:$U$5,0)))</f>
        <v/>
      </c>
      <c r="D225" t="str">
        <f>IF($A225="","",INDEX(Metrics!$A$6:$U$305,MATCH($A225,Metrics!$U$6:$U$305,0),MATCH(D$5,Metrics!$A$5:$U$5,0)))</f>
        <v/>
      </c>
      <c r="E225" s="14" t="str">
        <f>IF($A225="","",INDEX(Metrics!$A$6:$U$305,MATCH($A225,Metrics!$U$6:$U$305,0),MATCH(E$5,Metrics!$A$5:$U$5,0)))</f>
        <v/>
      </c>
      <c r="F225" s="7" t="str">
        <f>IF($A225="","",INDEX(Metrics!$A$6:$U$305,MATCH($A225,Metrics!$U$6:$U$305,0),MATCH(F$5,Metrics!$A$5:$U$5,0)))</f>
        <v/>
      </c>
      <c r="G225" s="9" t="str">
        <f>IF($A225="","",INDEX(Metrics!$A$6:$U$305,MATCH($A225,Metrics!$U$6:$U$305,0),MATCH(G$5,Metrics!$A$5:$U$5,0)))</f>
        <v/>
      </c>
      <c r="H225" s="9" t="str">
        <f>IF($A225="","",INDEX(Metrics!$A$6:$U$305,MATCH($A225,Metrics!$U$6:$U$305,0),MATCH(H$5,Metrics!$A$5:$U$5,0)))</f>
        <v/>
      </c>
      <c r="I225" s="7" t="str">
        <f>IF($A225="","",INDEX(Metrics!$A$6:$U$305,MATCH($A225,Metrics!$U$6:$U$305,0),MATCH(I$5,Metrics!$A$5:$U$5,0)))</f>
        <v/>
      </c>
      <c r="J225" s="9" t="str">
        <f>IF($A225="","",INDEX(Metrics!$A$6:$U$305,MATCH($A225,Metrics!$U$6:$U$305,0),MATCH(J$5,Metrics!$A$5:$U$5,0)))</f>
        <v/>
      </c>
      <c r="K225" s="10" t="str">
        <f>IF($A225="","",INDEX(Metrics!$A$6:$U$305,MATCH($A225,Metrics!$U$6:$U$305,0),MATCH(K$5,Metrics!$A$5:$U$5,0)))</f>
        <v/>
      </c>
      <c r="L225" t="str">
        <f>IF($A225="","",INDEX(Metrics!$A$6:$U$305,MATCH($A225,Metrics!$U$6:$U$305,0),MATCH(L$5,Metrics!$A$5:$U$5,0)))</f>
        <v/>
      </c>
      <c r="M225" t="str">
        <f>IF($A225="","",INDEX(Metrics!$A$6:$U$305,MATCH($A225,Metrics!$U$6:$U$305,0),MATCH(M$5,Metrics!$A$5:$U$5,0)))</f>
        <v/>
      </c>
      <c r="N225" t="str">
        <f>IF($A225="","",INDEX(Metrics!$A$6:$U$305,MATCH($A225,Metrics!$U$6:$U$305,0),MATCH(N$5,Metrics!$A$5:$U$5,0)))</f>
        <v/>
      </c>
      <c r="O225" t="str">
        <f>IF($A225="","",INDEX(Metrics!$A$6:$U$305,MATCH($A225,Metrics!$U$6:$U$305,0),MATCH(O$5,Metrics!$A$5:$U$5,0)))</f>
        <v/>
      </c>
      <c r="P225" t="str">
        <f>IF($A225="","",INDEX(Metrics!$A$6:$U$305,MATCH($A225,Metrics!$U$6:$U$305,0),MATCH(P$5,Metrics!$A$5:$U$5,0)))</f>
        <v/>
      </c>
    </row>
    <row r="226" spans="1:16" x14ac:dyDescent="0.4">
      <c r="A226" t="str">
        <f t="shared" si="3"/>
        <v/>
      </c>
      <c r="B226" t="str">
        <f>IF($A226="","",INDEX(Metrics!$A$6:$U$305,MATCH($A226,Metrics!$U$6:$U$305,0),MATCH(B$5,Metrics!$A$5:$U$5,0)))</f>
        <v/>
      </c>
      <c r="C226" t="str">
        <f>IF($A226="","",INDEX(Metrics!$A$6:$U$305,MATCH($A226,Metrics!$U$6:$U$305,0),MATCH(C$5,Metrics!$A$5:$U$5,0)))</f>
        <v/>
      </c>
      <c r="D226" t="str">
        <f>IF($A226="","",INDEX(Metrics!$A$6:$U$305,MATCH($A226,Metrics!$U$6:$U$305,0),MATCH(D$5,Metrics!$A$5:$U$5,0)))</f>
        <v/>
      </c>
      <c r="E226" s="14" t="str">
        <f>IF($A226="","",INDEX(Metrics!$A$6:$U$305,MATCH($A226,Metrics!$U$6:$U$305,0),MATCH(E$5,Metrics!$A$5:$U$5,0)))</f>
        <v/>
      </c>
      <c r="F226" s="7" t="str">
        <f>IF($A226="","",INDEX(Metrics!$A$6:$U$305,MATCH($A226,Metrics!$U$6:$U$305,0),MATCH(F$5,Metrics!$A$5:$U$5,0)))</f>
        <v/>
      </c>
      <c r="G226" s="9" t="str">
        <f>IF($A226="","",INDEX(Metrics!$A$6:$U$305,MATCH($A226,Metrics!$U$6:$U$305,0),MATCH(G$5,Metrics!$A$5:$U$5,0)))</f>
        <v/>
      </c>
      <c r="H226" s="9" t="str">
        <f>IF($A226="","",INDEX(Metrics!$A$6:$U$305,MATCH($A226,Metrics!$U$6:$U$305,0),MATCH(H$5,Metrics!$A$5:$U$5,0)))</f>
        <v/>
      </c>
      <c r="I226" s="7" t="str">
        <f>IF($A226="","",INDEX(Metrics!$A$6:$U$305,MATCH($A226,Metrics!$U$6:$U$305,0),MATCH(I$5,Metrics!$A$5:$U$5,0)))</f>
        <v/>
      </c>
      <c r="J226" s="9" t="str">
        <f>IF($A226="","",INDEX(Metrics!$A$6:$U$305,MATCH($A226,Metrics!$U$6:$U$305,0),MATCH(J$5,Metrics!$A$5:$U$5,0)))</f>
        <v/>
      </c>
      <c r="K226" s="10" t="str">
        <f>IF($A226="","",INDEX(Metrics!$A$6:$U$305,MATCH($A226,Metrics!$U$6:$U$305,0),MATCH(K$5,Metrics!$A$5:$U$5,0)))</f>
        <v/>
      </c>
      <c r="L226" t="str">
        <f>IF($A226="","",INDEX(Metrics!$A$6:$U$305,MATCH($A226,Metrics!$U$6:$U$305,0),MATCH(L$5,Metrics!$A$5:$U$5,0)))</f>
        <v/>
      </c>
      <c r="M226" t="str">
        <f>IF($A226="","",INDEX(Metrics!$A$6:$U$305,MATCH($A226,Metrics!$U$6:$U$305,0),MATCH(M$5,Metrics!$A$5:$U$5,0)))</f>
        <v/>
      </c>
      <c r="N226" t="str">
        <f>IF($A226="","",INDEX(Metrics!$A$6:$U$305,MATCH($A226,Metrics!$U$6:$U$305,0),MATCH(N$5,Metrics!$A$5:$U$5,0)))</f>
        <v/>
      </c>
      <c r="O226" t="str">
        <f>IF($A226="","",INDEX(Metrics!$A$6:$U$305,MATCH($A226,Metrics!$U$6:$U$305,0),MATCH(O$5,Metrics!$A$5:$U$5,0)))</f>
        <v/>
      </c>
      <c r="P226" t="str">
        <f>IF($A226="","",INDEX(Metrics!$A$6:$U$305,MATCH($A226,Metrics!$U$6:$U$305,0),MATCH(P$5,Metrics!$A$5:$U$5,0)))</f>
        <v/>
      </c>
    </row>
    <row r="227" spans="1:16" x14ac:dyDescent="0.4">
      <c r="A227" t="str">
        <f t="shared" si="3"/>
        <v/>
      </c>
      <c r="B227" t="str">
        <f>IF($A227="","",INDEX(Metrics!$A$6:$U$305,MATCH($A227,Metrics!$U$6:$U$305,0),MATCH(B$5,Metrics!$A$5:$U$5,0)))</f>
        <v/>
      </c>
      <c r="C227" t="str">
        <f>IF($A227="","",INDEX(Metrics!$A$6:$U$305,MATCH($A227,Metrics!$U$6:$U$305,0),MATCH(C$5,Metrics!$A$5:$U$5,0)))</f>
        <v/>
      </c>
      <c r="D227" t="str">
        <f>IF($A227="","",INDEX(Metrics!$A$6:$U$305,MATCH($A227,Metrics!$U$6:$U$305,0),MATCH(D$5,Metrics!$A$5:$U$5,0)))</f>
        <v/>
      </c>
      <c r="E227" s="14" t="str">
        <f>IF($A227="","",INDEX(Metrics!$A$6:$U$305,MATCH($A227,Metrics!$U$6:$U$305,0),MATCH(E$5,Metrics!$A$5:$U$5,0)))</f>
        <v/>
      </c>
      <c r="F227" s="7" t="str">
        <f>IF($A227="","",INDEX(Metrics!$A$6:$U$305,MATCH($A227,Metrics!$U$6:$U$305,0),MATCH(F$5,Metrics!$A$5:$U$5,0)))</f>
        <v/>
      </c>
      <c r="G227" s="9" t="str">
        <f>IF($A227="","",INDEX(Metrics!$A$6:$U$305,MATCH($A227,Metrics!$U$6:$U$305,0),MATCH(G$5,Metrics!$A$5:$U$5,0)))</f>
        <v/>
      </c>
      <c r="H227" s="9" t="str">
        <f>IF($A227="","",INDEX(Metrics!$A$6:$U$305,MATCH($A227,Metrics!$U$6:$U$305,0),MATCH(H$5,Metrics!$A$5:$U$5,0)))</f>
        <v/>
      </c>
      <c r="I227" s="7" t="str">
        <f>IF($A227="","",INDEX(Metrics!$A$6:$U$305,MATCH($A227,Metrics!$U$6:$U$305,0),MATCH(I$5,Metrics!$A$5:$U$5,0)))</f>
        <v/>
      </c>
      <c r="J227" s="9" t="str">
        <f>IF($A227="","",INDEX(Metrics!$A$6:$U$305,MATCH($A227,Metrics!$U$6:$U$305,0),MATCH(J$5,Metrics!$A$5:$U$5,0)))</f>
        <v/>
      </c>
      <c r="K227" s="10" t="str">
        <f>IF($A227="","",INDEX(Metrics!$A$6:$U$305,MATCH($A227,Metrics!$U$6:$U$305,0),MATCH(K$5,Metrics!$A$5:$U$5,0)))</f>
        <v/>
      </c>
      <c r="L227" t="str">
        <f>IF($A227="","",INDEX(Metrics!$A$6:$U$305,MATCH($A227,Metrics!$U$6:$U$305,0),MATCH(L$5,Metrics!$A$5:$U$5,0)))</f>
        <v/>
      </c>
      <c r="M227" t="str">
        <f>IF($A227="","",INDEX(Metrics!$A$6:$U$305,MATCH($A227,Metrics!$U$6:$U$305,0),MATCH(M$5,Metrics!$A$5:$U$5,0)))</f>
        <v/>
      </c>
      <c r="N227" t="str">
        <f>IF($A227="","",INDEX(Metrics!$A$6:$U$305,MATCH($A227,Metrics!$U$6:$U$305,0),MATCH(N$5,Metrics!$A$5:$U$5,0)))</f>
        <v/>
      </c>
      <c r="O227" t="str">
        <f>IF($A227="","",INDEX(Metrics!$A$6:$U$305,MATCH($A227,Metrics!$U$6:$U$305,0),MATCH(O$5,Metrics!$A$5:$U$5,0)))</f>
        <v/>
      </c>
      <c r="P227" t="str">
        <f>IF($A227="","",INDEX(Metrics!$A$6:$U$305,MATCH($A227,Metrics!$U$6:$U$305,0),MATCH(P$5,Metrics!$A$5:$U$5,0)))</f>
        <v/>
      </c>
    </row>
    <row r="228" spans="1:16" x14ac:dyDescent="0.4">
      <c r="A228" t="str">
        <f t="shared" si="3"/>
        <v/>
      </c>
      <c r="B228" t="str">
        <f>IF($A228="","",INDEX(Metrics!$A$6:$U$305,MATCH($A228,Metrics!$U$6:$U$305,0),MATCH(B$5,Metrics!$A$5:$U$5,0)))</f>
        <v/>
      </c>
      <c r="C228" t="str">
        <f>IF($A228="","",INDEX(Metrics!$A$6:$U$305,MATCH($A228,Metrics!$U$6:$U$305,0),MATCH(C$5,Metrics!$A$5:$U$5,0)))</f>
        <v/>
      </c>
      <c r="D228" t="str">
        <f>IF($A228="","",INDEX(Metrics!$A$6:$U$305,MATCH($A228,Metrics!$U$6:$U$305,0),MATCH(D$5,Metrics!$A$5:$U$5,0)))</f>
        <v/>
      </c>
      <c r="E228" s="14" t="str">
        <f>IF($A228="","",INDEX(Metrics!$A$6:$U$305,MATCH($A228,Metrics!$U$6:$U$305,0),MATCH(E$5,Metrics!$A$5:$U$5,0)))</f>
        <v/>
      </c>
      <c r="F228" s="7" t="str">
        <f>IF($A228="","",INDEX(Metrics!$A$6:$U$305,MATCH($A228,Metrics!$U$6:$U$305,0),MATCH(F$5,Metrics!$A$5:$U$5,0)))</f>
        <v/>
      </c>
      <c r="G228" s="9" t="str">
        <f>IF($A228="","",INDEX(Metrics!$A$6:$U$305,MATCH($A228,Metrics!$U$6:$U$305,0),MATCH(G$5,Metrics!$A$5:$U$5,0)))</f>
        <v/>
      </c>
      <c r="H228" s="9" t="str">
        <f>IF($A228="","",INDEX(Metrics!$A$6:$U$305,MATCH($A228,Metrics!$U$6:$U$305,0),MATCH(H$5,Metrics!$A$5:$U$5,0)))</f>
        <v/>
      </c>
      <c r="I228" s="7" t="str">
        <f>IF($A228="","",INDEX(Metrics!$A$6:$U$305,MATCH($A228,Metrics!$U$6:$U$305,0),MATCH(I$5,Metrics!$A$5:$U$5,0)))</f>
        <v/>
      </c>
      <c r="J228" s="9" t="str">
        <f>IF($A228="","",INDEX(Metrics!$A$6:$U$305,MATCH($A228,Metrics!$U$6:$U$305,0),MATCH(J$5,Metrics!$A$5:$U$5,0)))</f>
        <v/>
      </c>
      <c r="K228" s="10" t="str">
        <f>IF($A228="","",INDEX(Metrics!$A$6:$U$305,MATCH($A228,Metrics!$U$6:$U$305,0),MATCH(K$5,Metrics!$A$5:$U$5,0)))</f>
        <v/>
      </c>
      <c r="L228" t="str">
        <f>IF($A228="","",INDEX(Metrics!$A$6:$U$305,MATCH($A228,Metrics!$U$6:$U$305,0),MATCH(L$5,Metrics!$A$5:$U$5,0)))</f>
        <v/>
      </c>
      <c r="M228" t="str">
        <f>IF($A228="","",INDEX(Metrics!$A$6:$U$305,MATCH($A228,Metrics!$U$6:$U$305,0),MATCH(M$5,Metrics!$A$5:$U$5,0)))</f>
        <v/>
      </c>
      <c r="N228" t="str">
        <f>IF($A228="","",INDEX(Metrics!$A$6:$U$305,MATCH($A228,Metrics!$U$6:$U$305,0),MATCH(N$5,Metrics!$A$5:$U$5,0)))</f>
        <v/>
      </c>
      <c r="O228" t="str">
        <f>IF($A228="","",INDEX(Metrics!$A$6:$U$305,MATCH($A228,Metrics!$U$6:$U$305,0),MATCH(O$5,Metrics!$A$5:$U$5,0)))</f>
        <v/>
      </c>
      <c r="P228" t="str">
        <f>IF($A228="","",INDEX(Metrics!$A$6:$U$305,MATCH($A228,Metrics!$U$6:$U$305,0),MATCH(P$5,Metrics!$A$5:$U$5,0)))</f>
        <v/>
      </c>
    </row>
    <row r="229" spans="1:16" x14ac:dyDescent="0.4">
      <c r="A229" t="str">
        <f t="shared" si="3"/>
        <v/>
      </c>
      <c r="B229" t="str">
        <f>IF($A229="","",INDEX(Metrics!$A$6:$U$305,MATCH($A229,Metrics!$U$6:$U$305,0),MATCH(B$5,Metrics!$A$5:$U$5,0)))</f>
        <v/>
      </c>
      <c r="C229" t="str">
        <f>IF($A229="","",INDEX(Metrics!$A$6:$U$305,MATCH($A229,Metrics!$U$6:$U$305,0),MATCH(C$5,Metrics!$A$5:$U$5,0)))</f>
        <v/>
      </c>
      <c r="D229" t="str">
        <f>IF($A229="","",INDEX(Metrics!$A$6:$U$305,MATCH($A229,Metrics!$U$6:$U$305,0),MATCH(D$5,Metrics!$A$5:$U$5,0)))</f>
        <v/>
      </c>
      <c r="E229" s="14" t="str">
        <f>IF($A229="","",INDEX(Metrics!$A$6:$U$305,MATCH($A229,Metrics!$U$6:$U$305,0),MATCH(E$5,Metrics!$A$5:$U$5,0)))</f>
        <v/>
      </c>
      <c r="F229" s="7" t="str">
        <f>IF($A229="","",INDEX(Metrics!$A$6:$U$305,MATCH($A229,Metrics!$U$6:$U$305,0),MATCH(F$5,Metrics!$A$5:$U$5,0)))</f>
        <v/>
      </c>
      <c r="G229" s="9" t="str">
        <f>IF($A229="","",INDEX(Metrics!$A$6:$U$305,MATCH($A229,Metrics!$U$6:$U$305,0),MATCH(G$5,Metrics!$A$5:$U$5,0)))</f>
        <v/>
      </c>
      <c r="H229" s="9" t="str">
        <f>IF($A229="","",INDEX(Metrics!$A$6:$U$305,MATCH($A229,Metrics!$U$6:$U$305,0),MATCH(H$5,Metrics!$A$5:$U$5,0)))</f>
        <v/>
      </c>
      <c r="I229" s="7" t="str">
        <f>IF($A229="","",INDEX(Metrics!$A$6:$U$305,MATCH($A229,Metrics!$U$6:$U$305,0),MATCH(I$5,Metrics!$A$5:$U$5,0)))</f>
        <v/>
      </c>
      <c r="J229" s="9" t="str">
        <f>IF($A229="","",INDEX(Metrics!$A$6:$U$305,MATCH($A229,Metrics!$U$6:$U$305,0),MATCH(J$5,Metrics!$A$5:$U$5,0)))</f>
        <v/>
      </c>
      <c r="K229" s="10" t="str">
        <f>IF($A229="","",INDEX(Metrics!$A$6:$U$305,MATCH($A229,Metrics!$U$6:$U$305,0),MATCH(K$5,Metrics!$A$5:$U$5,0)))</f>
        <v/>
      </c>
      <c r="L229" t="str">
        <f>IF($A229="","",INDEX(Metrics!$A$6:$U$305,MATCH($A229,Metrics!$U$6:$U$305,0),MATCH(L$5,Metrics!$A$5:$U$5,0)))</f>
        <v/>
      </c>
      <c r="M229" t="str">
        <f>IF($A229="","",INDEX(Metrics!$A$6:$U$305,MATCH($A229,Metrics!$U$6:$U$305,0),MATCH(M$5,Metrics!$A$5:$U$5,0)))</f>
        <v/>
      </c>
      <c r="N229" t="str">
        <f>IF($A229="","",INDEX(Metrics!$A$6:$U$305,MATCH($A229,Metrics!$U$6:$U$305,0),MATCH(N$5,Metrics!$A$5:$U$5,0)))</f>
        <v/>
      </c>
      <c r="O229" t="str">
        <f>IF($A229="","",INDEX(Metrics!$A$6:$U$305,MATCH($A229,Metrics!$U$6:$U$305,0),MATCH(O$5,Metrics!$A$5:$U$5,0)))</f>
        <v/>
      </c>
      <c r="P229" t="str">
        <f>IF($A229="","",INDEX(Metrics!$A$6:$U$305,MATCH($A229,Metrics!$U$6:$U$305,0),MATCH(P$5,Metrics!$A$5:$U$5,0)))</f>
        <v/>
      </c>
    </row>
    <row r="230" spans="1:16" x14ac:dyDescent="0.4">
      <c r="A230" t="str">
        <f t="shared" si="3"/>
        <v/>
      </c>
      <c r="B230" t="str">
        <f>IF($A230="","",INDEX(Metrics!$A$6:$U$305,MATCH($A230,Metrics!$U$6:$U$305,0),MATCH(B$5,Metrics!$A$5:$U$5,0)))</f>
        <v/>
      </c>
      <c r="C230" t="str">
        <f>IF($A230="","",INDEX(Metrics!$A$6:$U$305,MATCH($A230,Metrics!$U$6:$U$305,0),MATCH(C$5,Metrics!$A$5:$U$5,0)))</f>
        <v/>
      </c>
      <c r="D230" t="str">
        <f>IF($A230="","",INDEX(Metrics!$A$6:$U$305,MATCH($A230,Metrics!$U$6:$U$305,0),MATCH(D$5,Metrics!$A$5:$U$5,0)))</f>
        <v/>
      </c>
      <c r="E230" s="14" t="str">
        <f>IF($A230="","",INDEX(Metrics!$A$6:$U$305,MATCH($A230,Metrics!$U$6:$U$305,0),MATCH(E$5,Metrics!$A$5:$U$5,0)))</f>
        <v/>
      </c>
      <c r="F230" s="7" t="str">
        <f>IF($A230="","",INDEX(Metrics!$A$6:$U$305,MATCH($A230,Metrics!$U$6:$U$305,0),MATCH(F$5,Metrics!$A$5:$U$5,0)))</f>
        <v/>
      </c>
      <c r="G230" s="9" t="str">
        <f>IF($A230="","",INDEX(Metrics!$A$6:$U$305,MATCH($A230,Metrics!$U$6:$U$305,0),MATCH(G$5,Metrics!$A$5:$U$5,0)))</f>
        <v/>
      </c>
      <c r="H230" s="9" t="str">
        <f>IF($A230="","",INDEX(Metrics!$A$6:$U$305,MATCH($A230,Metrics!$U$6:$U$305,0),MATCH(H$5,Metrics!$A$5:$U$5,0)))</f>
        <v/>
      </c>
      <c r="I230" s="7" t="str">
        <f>IF($A230="","",INDEX(Metrics!$A$6:$U$305,MATCH($A230,Metrics!$U$6:$U$305,0),MATCH(I$5,Metrics!$A$5:$U$5,0)))</f>
        <v/>
      </c>
      <c r="J230" s="9" t="str">
        <f>IF($A230="","",INDEX(Metrics!$A$6:$U$305,MATCH($A230,Metrics!$U$6:$U$305,0),MATCH(J$5,Metrics!$A$5:$U$5,0)))</f>
        <v/>
      </c>
      <c r="K230" s="10" t="str">
        <f>IF($A230="","",INDEX(Metrics!$A$6:$U$305,MATCH($A230,Metrics!$U$6:$U$305,0),MATCH(K$5,Metrics!$A$5:$U$5,0)))</f>
        <v/>
      </c>
      <c r="L230" t="str">
        <f>IF($A230="","",INDEX(Metrics!$A$6:$U$305,MATCH($A230,Metrics!$U$6:$U$305,0),MATCH(L$5,Metrics!$A$5:$U$5,0)))</f>
        <v/>
      </c>
      <c r="M230" t="str">
        <f>IF($A230="","",INDEX(Metrics!$A$6:$U$305,MATCH($A230,Metrics!$U$6:$U$305,0),MATCH(M$5,Metrics!$A$5:$U$5,0)))</f>
        <v/>
      </c>
      <c r="N230" t="str">
        <f>IF($A230="","",INDEX(Metrics!$A$6:$U$305,MATCH($A230,Metrics!$U$6:$U$305,0),MATCH(N$5,Metrics!$A$5:$U$5,0)))</f>
        <v/>
      </c>
      <c r="O230" t="str">
        <f>IF($A230="","",INDEX(Metrics!$A$6:$U$305,MATCH($A230,Metrics!$U$6:$U$305,0),MATCH(O$5,Metrics!$A$5:$U$5,0)))</f>
        <v/>
      </c>
      <c r="P230" t="str">
        <f>IF($A230="","",INDEX(Metrics!$A$6:$U$305,MATCH($A230,Metrics!$U$6:$U$305,0),MATCH(P$5,Metrics!$A$5:$U$5,0)))</f>
        <v/>
      </c>
    </row>
    <row r="231" spans="1:16" x14ac:dyDescent="0.4">
      <c r="A231" t="str">
        <f t="shared" si="3"/>
        <v/>
      </c>
      <c r="B231" t="str">
        <f>IF($A231="","",INDEX(Metrics!$A$6:$U$305,MATCH($A231,Metrics!$U$6:$U$305,0),MATCH(B$5,Metrics!$A$5:$U$5,0)))</f>
        <v/>
      </c>
      <c r="C231" t="str">
        <f>IF($A231="","",INDEX(Metrics!$A$6:$U$305,MATCH($A231,Metrics!$U$6:$U$305,0),MATCH(C$5,Metrics!$A$5:$U$5,0)))</f>
        <v/>
      </c>
      <c r="D231" t="str">
        <f>IF($A231="","",INDEX(Metrics!$A$6:$U$305,MATCH($A231,Metrics!$U$6:$U$305,0),MATCH(D$5,Metrics!$A$5:$U$5,0)))</f>
        <v/>
      </c>
      <c r="E231" s="14" t="str">
        <f>IF($A231="","",INDEX(Metrics!$A$6:$U$305,MATCH($A231,Metrics!$U$6:$U$305,0),MATCH(E$5,Metrics!$A$5:$U$5,0)))</f>
        <v/>
      </c>
      <c r="F231" s="7" t="str">
        <f>IF($A231="","",INDEX(Metrics!$A$6:$U$305,MATCH($A231,Metrics!$U$6:$U$305,0),MATCH(F$5,Metrics!$A$5:$U$5,0)))</f>
        <v/>
      </c>
      <c r="G231" s="9" t="str">
        <f>IF($A231="","",INDEX(Metrics!$A$6:$U$305,MATCH($A231,Metrics!$U$6:$U$305,0),MATCH(G$5,Metrics!$A$5:$U$5,0)))</f>
        <v/>
      </c>
      <c r="H231" s="9" t="str">
        <f>IF($A231="","",INDEX(Metrics!$A$6:$U$305,MATCH($A231,Metrics!$U$6:$U$305,0),MATCH(H$5,Metrics!$A$5:$U$5,0)))</f>
        <v/>
      </c>
      <c r="I231" s="7" t="str">
        <f>IF($A231="","",INDEX(Metrics!$A$6:$U$305,MATCH($A231,Metrics!$U$6:$U$305,0),MATCH(I$5,Metrics!$A$5:$U$5,0)))</f>
        <v/>
      </c>
      <c r="J231" s="9" t="str">
        <f>IF($A231="","",INDEX(Metrics!$A$6:$U$305,MATCH($A231,Metrics!$U$6:$U$305,0),MATCH(J$5,Metrics!$A$5:$U$5,0)))</f>
        <v/>
      </c>
      <c r="K231" s="10" t="str">
        <f>IF($A231="","",INDEX(Metrics!$A$6:$U$305,MATCH($A231,Metrics!$U$6:$U$305,0),MATCH(K$5,Metrics!$A$5:$U$5,0)))</f>
        <v/>
      </c>
      <c r="L231" t="str">
        <f>IF($A231="","",INDEX(Metrics!$A$6:$U$305,MATCH($A231,Metrics!$U$6:$U$305,0),MATCH(L$5,Metrics!$A$5:$U$5,0)))</f>
        <v/>
      </c>
      <c r="M231" t="str">
        <f>IF($A231="","",INDEX(Metrics!$A$6:$U$305,MATCH($A231,Metrics!$U$6:$U$305,0),MATCH(M$5,Metrics!$A$5:$U$5,0)))</f>
        <v/>
      </c>
      <c r="N231" t="str">
        <f>IF($A231="","",INDEX(Metrics!$A$6:$U$305,MATCH($A231,Metrics!$U$6:$U$305,0),MATCH(N$5,Metrics!$A$5:$U$5,0)))</f>
        <v/>
      </c>
      <c r="O231" t="str">
        <f>IF($A231="","",INDEX(Metrics!$A$6:$U$305,MATCH($A231,Metrics!$U$6:$U$305,0),MATCH(O$5,Metrics!$A$5:$U$5,0)))</f>
        <v/>
      </c>
      <c r="P231" t="str">
        <f>IF($A231="","",INDEX(Metrics!$A$6:$U$305,MATCH($A231,Metrics!$U$6:$U$305,0),MATCH(P$5,Metrics!$A$5:$U$5,0)))</f>
        <v/>
      </c>
    </row>
    <row r="232" spans="1:16" x14ac:dyDescent="0.4">
      <c r="A232" t="str">
        <f t="shared" si="3"/>
        <v/>
      </c>
      <c r="B232" t="str">
        <f>IF($A232="","",INDEX(Metrics!$A$6:$U$305,MATCH($A232,Metrics!$U$6:$U$305,0),MATCH(B$5,Metrics!$A$5:$U$5,0)))</f>
        <v/>
      </c>
      <c r="C232" t="str">
        <f>IF($A232="","",INDEX(Metrics!$A$6:$U$305,MATCH($A232,Metrics!$U$6:$U$305,0),MATCH(C$5,Metrics!$A$5:$U$5,0)))</f>
        <v/>
      </c>
      <c r="D232" t="str">
        <f>IF($A232="","",INDEX(Metrics!$A$6:$U$305,MATCH($A232,Metrics!$U$6:$U$305,0),MATCH(D$5,Metrics!$A$5:$U$5,0)))</f>
        <v/>
      </c>
      <c r="E232" s="14" t="str">
        <f>IF($A232="","",INDEX(Metrics!$A$6:$U$305,MATCH($A232,Metrics!$U$6:$U$305,0),MATCH(E$5,Metrics!$A$5:$U$5,0)))</f>
        <v/>
      </c>
      <c r="F232" s="7" t="str">
        <f>IF($A232="","",INDEX(Metrics!$A$6:$U$305,MATCH($A232,Metrics!$U$6:$U$305,0),MATCH(F$5,Metrics!$A$5:$U$5,0)))</f>
        <v/>
      </c>
      <c r="G232" s="9" t="str">
        <f>IF($A232="","",INDEX(Metrics!$A$6:$U$305,MATCH($A232,Metrics!$U$6:$U$305,0),MATCH(G$5,Metrics!$A$5:$U$5,0)))</f>
        <v/>
      </c>
      <c r="H232" s="9" t="str">
        <f>IF($A232="","",INDEX(Metrics!$A$6:$U$305,MATCH($A232,Metrics!$U$6:$U$305,0),MATCH(H$5,Metrics!$A$5:$U$5,0)))</f>
        <v/>
      </c>
      <c r="I232" s="7" t="str">
        <f>IF($A232="","",INDEX(Metrics!$A$6:$U$305,MATCH($A232,Metrics!$U$6:$U$305,0),MATCH(I$5,Metrics!$A$5:$U$5,0)))</f>
        <v/>
      </c>
      <c r="J232" s="9" t="str">
        <f>IF($A232="","",INDEX(Metrics!$A$6:$U$305,MATCH($A232,Metrics!$U$6:$U$305,0),MATCH(J$5,Metrics!$A$5:$U$5,0)))</f>
        <v/>
      </c>
      <c r="K232" s="10" t="str">
        <f>IF($A232="","",INDEX(Metrics!$A$6:$U$305,MATCH($A232,Metrics!$U$6:$U$305,0),MATCH(K$5,Metrics!$A$5:$U$5,0)))</f>
        <v/>
      </c>
      <c r="L232" t="str">
        <f>IF($A232="","",INDEX(Metrics!$A$6:$U$305,MATCH($A232,Metrics!$U$6:$U$305,0),MATCH(L$5,Metrics!$A$5:$U$5,0)))</f>
        <v/>
      </c>
      <c r="M232" t="str">
        <f>IF($A232="","",INDEX(Metrics!$A$6:$U$305,MATCH($A232,Metrics!$U$6:$U$305,0),MATCH(M$5,Metrics!$A$5:$U$5,0)))</f>
        <v/>
      </c>
      <c r="N232" t="str">
        <f>IF($A232="","",INDEX(Metrics!$A$6:$U$305,MATCH($A232,Metrics!$U$6:$U$305,0),MATCH(N$5,Metrics!$A$5:$U$5,0)))</f>
        <v/>
      </c>
      <c r="O232" t="str">
        <f>IF($A232="","",INDEX(Metrics!$A$6:$U$305,MATCH($A232,Metrics!$U$6:$U$305,0),MATCH(O$5,Metrics!$A$5:$U$5,0)))</f>
        <v/>
      </c>
      <c r="P232" t="str">
        <f>IF($A232="","",INDEX(Metrics!$A$6:$U$305,MATCH($A232,Metrics!$U$6:$U$305,0),MATCH(P$5,Metrics!$A$5:$U$5,0)))</f>
        <v/>
      </c>
    </row>
    <row r="233" spans="1:16" x14ac:dyDescent="0.4">
      <c r="A233" t="str">
        <f t="shared" si="3"/>
        <v/>
      </c>
      <c r="B233" t="str">
        <f>IF($A233="","",INDEX(Metrics!$A$6:$U$305,MATCH($A233,Metrics!$U$6:$U$305,0),MATCH(B$5,Metrics!$A$5:$U$5,0)))</f>
        <v/>
      </c>
      <c r="C233" t="str">
        <f>IF($A233="","",INDEX(Metrics!$A$6:$U$305,MATCH($A233,Metrics!$U$6:$U$305,0),MATCH(C$5,Metrics!$A$5:$U$5,0)))</f>
        <v/>
      </c>
      <c r="D233" t="str">
        <f>IF($A233="","",INDEX(Metrics!$A$6:$U$305,MATCH($A233,Metrics!$U$6:$U$305,0),MATCH(D$5,Metrics!$A$5:$U$5,0)))</f>
        <v/>
      </c>
      <c r="E233" s="14" t="str">
        <f>IF($A233="","",INDEX(Metrics!$A$6:$U$305,MATCH($A233,Metrics!$U$6:$U$305,0),MATCH(E$5,Metrics!$A$5:$U$5,0)))</f>
        <v/>
      </c>
      <c r="F233" s="7" t="str">
        <f>IF($A233="","",INDEX(Metrics!$A$6:$U$305,MATCH($A233,Metrics!$U$6:$U$305,0),MATCH(F$5,Metrics!$A$5:$U$5,0)))</f>
        <v/>
      </c>
      <c r="G233" s="9" t="str">
        <f>IF($A233="","",INDEX(Metrics!$A$6:$U$305,MATCH($A233,Metrics!$U$6:$U$305,0),MATCH(G$5,Metrics!$A$5:$U$5,0)))</f>
        <v/>
      </c>
      <c r="H233" s="9" t="str">
        <f>IF($A233="","",INDEX(Metrics!$A$6:$U$305,MATCH($A233,Metrics!$U$6:$U$305,0),MATCH(H$5,Metrics!$A$5:$U$5,0)))</f>
        <v/>
      </c>
      <c r="I233" s="7" t="str">
        <f>IF($A233="","",INDEX(Metrics!$A$6:$U$305,MATCH($A233,Metrics!$U$6:$U$305,0),MATCH(I$5,Metrics!$A$5:$U$5,0)))</f>
        <v/>
      </c>
      <c r="J233" s="9" t="str">
        <f>IF($A233="","",INDEX(Metrics!$A$6:$U$305,MATCH($A233,Metrics!$U$6:$U$305,0),MATCH(J$5,Metrics!$A$5:$U$5,0)))</f>
        <v/>
      </c>
      <c r="K233" s="10" t="str">
        <f>IF($A233="","",INDEX(Metrics!$A$6:$U$305,MATCH($A233,Metrics!$U$6:$U$305,0),MATCH(K$5,Metrics!$A$5:$U$5,0)))</f>
        <v/>
      </c>
      <c r="L233" t="str">
        <f>IF($A233="","",INDEX(Metrics!$A$6:$U$305,MATCH($A233,Metrics!$U$6:$U$305,0),MATCH(L$5,Metrics!$A$5:$U$5,0)))</f>
        <v/>
      </c>
      <c r="M233" t="str">
        <f>IF($A233="","",INDEX(Metrics!$A$6:$U$305,MATCH($A233,Metrics!$U$6:$U$305,0),MATCH(M$5,Metrics!$A$5:$U$5,0)))</f>
        <v/>
      </c>
      <c r="N233" t="str">
        <f>IF($A233="","",INDEX(Metrics!$A$6:$U$305,MATCH($A233,Metrics!$U$6:$U$305,0),MATCH(N$5,Metrics!$A$5:$U$5,0)))</f>
        <v/>
      </c>
      <c r="O233" t="str">
        <f>IF($A233="","",INDEX(Metrics!$A$6:$U$305,MATCH($A233,Metrics!$U$6:$U$305,0),MATCH(O$5,Metrics!$A$5:$U$5,0)))</f>
        <v/>
      </c>
      <c r="P233" t="str">
        <f>IF($A233="","",INDEX(Metrics!$A$6:$U$305,MATCH($A233,Metrics!$U$6:$U$305,0),MATCH(P$5,Metrics!$A$5:$U$5,0)))</f>
        <v/>
      </c>
    </row>
    <row r="234" spans="1:16" x14ac:dyDescent="0.4">
      <c r="A234" t="str">
        <f t="shared" si="3"/>
        <v/>
      </c>
      <c r="B234" t="str">
        <f>IF($A234="","",INDEX(Metrics!$A$6:$U$305,MATCH($A234,Metrics!$U$6:$U$305,0),MATCH(B$5,Metrics!$A$5:$U$5,0)))</f>
        <v/>
      </c>
      <c r="C234" t="str">
        <f>IF($A234="","",INDEX(Metrics!$A$6:$U$305,MATCH($A234,Metrics!$U$6:$U$305,0),MATCH(C$5,Metrics!$A$5:$U$5,0)))</f>
        <v/>
      </c>
      <c r="D234" t="str">
        <f>IF($A234="","",INDEX(Metrics!$A$6:$U$305,MATCH($A234,Metrics!$U$6:$U$305,0),MATCH(D$5,Metrics!$A$5:$U$5,0)))</f>
        <v/>
      </c>
      <c r="E234" s="14" t="str">
        <f>IF($A234="","",INDEX(Metrics!$A$6:$U$305,MATCH($A234,Metrics!$U$6:$U$305,0),MATCH(E$5,Metrics!$A$5:$U$5,0)))</f>
        <v/>
      </c>
      <c r="F234" s="7" t="str">
        <f>IF($A234="","",INDEX(Metrics!$A$6:$U$305,MATCH($A234,Metrics!$U$6:$U$305,0),MATCH(F$5,Metrics!$A$5:$U$5,0)))</f>
        <v/>
      </c>
      <c r="G234" s="9" t="str">
        <f>IF($A234="","",INDEX(Metrics!$A$6:$U$305,MATCH($A234,Metrics!$U$6:$U$305,0),MATCH(G$5,Metrics!$A$5:$U$5,0)))</f>
        <v/>
      </c>
      <c r="H234" s="9" t="str">
        <f>IF($A234="","",INDEX(Metrics!$A$6:$U$305,MATCH($A234,Metrics!$U$6:$U$305,0),MATCH(H$5,Metrics!$A$5:$U$5,0)))</f>
        <v/>
      </c>
      <c r="I234" s="7" t="str">
        <f>IF($A234="","",INDEX(Metrics!$A$6:$U$305,MATCH($A234,Metrics!$U$6:$U$305,0),MATCH(I$5,Metrics!$A$5:$U$5,0)))</f>
        <v/>
      </c>
      <c r="J234" s="9" t="str">
        <f>IF($A234="","",INDEX(Metrics!$A$6:$U$305,MATCH($A234,Metrics!$U$6:$U$305,0),MATCH(J$5,Metrics!$A$5:$U$5,0)))</f>
        <v/>
      </c>
      <c r="K234" s="10" t="str">
        <f>IF($A234="","",INDEX(Metrics!$A$6:$U$305,MATCH($A234,Metrics!$U$6:$U$305,0),MATCH(K$5,Metrics!$A$5:$U$5,0)))</f>
        <v/>
      </c>
      <c r="L234" t="str">
        <f>IF($A234="","",INDEX(Metrics!$A$6:$U$305,MATCH($A234,Metrics!$U$6:$U$305,0),MATCH(L$5,Metrics!$A$5:$U$5,0)))</f>
        <v/>
      </c>
      <c r="M234" t="str">
        <f>IF($A234="","",INDEX(Metrics!$A$6:$U$305,MATCH($A234,Metrics!$U$6:$U$305,0),MATCH(M$5,Metrics!$A$5:$U$5,0)))</f>
        <v/>
      </c>
      <c r="N234" t="str">
        <f>IF($A234="","",INDEX(Metrics!$A$6:$U$305,MATCH($A234,Metrics!$U$6:$U$305,0),MATCH(N$5,Metrics!$A$5:$U$5,0)))</f>
        <v/>
      </c>
      <c r="O234" t="str">
        <f>IF($A234="","",INDEX(Metrics!$A$6:$U$305,MATCH($A234,Metrics!$U$6:$U$305,0),MATCH(O$5,Metrics!$A$5:$U$5,0)))</f>
        <v/>
      </c>
      <c r="P234" t="str">
        <f>IF($A234="","",INDEX(Metrics!$A$6:$U$305,MATCH($A234,Metrics!$U$6:$U$305,0),MATCH(P$5,Metrics!$A$5:$U$5,0)))</f>
        <v/>
      </c>
    </row>
    <row r="235" spans="1:16" x14ac:dyDescent="0.4">
      <c r="A235" t="str">
        <f t="shared" si="3"/>
        <v/>
      </c>
      <c r="B235" t="str">
        <f>IF($A235="","",INDEX(Metrics!$A$6:$U$305,MATCH($A235,Metrics!$U$6:$U$305,0),MATCH(B$5,Metrics!$A$5:$U$5,0)))</f>
        <v/>
      </c>
      <c r="C235" t="str">
        <f>IF($A235="","",INDEX(Metrics!$A$6:$U$305,MATCH($A235,Metrics!$U$6:$U$305,0),MATCH(C$5,Metrics!$A$5:$U$5,0)))</f>
        <v/>
      </c>
      <c r="D235" t="str">
        <f>IF($A235="","",INDEX(Metrics!$A$6:$U$305,MATCH($A235,Metrics!$U$6:$U$305,0),MATCH(D$5,Metrics!$A$5:$U$5,0)))</f>
        <v/>
      </c>
      <c r="E235" s="14" t="str">
        <f>IF($A235="","",INDEX(Metrics!$A$6:$U$305,MATCH($A235,Metrics!$U$6:$U$305,0),MATCH(E$5,Metrics!$A$5:$U$5,0)))</f>
        <v/>
      </c>
      <c r="F235" s="7" t="str">
        <f>IF($A235="","",INDEX(Metrics!$A$6:$U$305,MATCH($A235,Metrics!$U$6:$U$305,0),MATCH(F$5,Metrics!$A$5:$U$5,0)))</f>
        <v/>
      </c>
      <c r="G235" s="9" t="str">
        <f>IF($A235="","",INDEX(Metrics!$A$6:$U$305,MATCH($A235,Metrics!$U$6:$U$305,0),MATCH(G$5,Metrics!$A$5:$U$5,0)))</f>
        <v/>
      </c>
      <c r="H235" s="9" t="str">
        <f>IF($A235="","",INDEX(Metrics!$A$6:$U$305,MATCH($A235,Metrics!$U$6:$U$305,0),MATCH(H$5,Metrics!$A$5:$U$5,0)))</f>
        <v/>
      </c>
      <c r="I235" s="7" t="str">
        <f>IF($A235="","",INDEX(Metrics!$A$6:$U$305,MATCH($A235,Metrics!$U$6:$U$305,0),MATCH(I$5,Metrics!$A$5:$U$5,0)))</f>
        <v/>
      </c>
      <c r="J235" s="9" t="str">
        <f>IF($A235="","",INDEX(Metrics!$A$6:$U$305,MATCH($A235,Metrics!$U$6:$U$305,0),MATCH(J$5,Metrics!$A$5:$U$5,0)))</f>
        <v/>
      </c>
      <c r="K235" s="10" t="str">
        <f>IF($A235="","",INDEX(Metrics!$A$6:$U$305,MATCH($A235,Metrics!$U$6:$U$305,0),MATCH(K$5,Metrics!$A$5:$U$5,0)))</f>
        <v/>
      </c>
      <c r="L235" t="str">
        <f>IF($A235="","",INDEX(Metrics!$A$6:$U$305,MATCH($A235,Metrics!$U$6:$U$305,0),MATCH(L$5,Metrics!$A$5:$U$5,0)))</f>
        <v/>
      </c>
      <c r="M235" t="str">
        <f>IF($A235="","",INDEX(Metrics!$A$6:$U$305,MATCH($A235,Metrics!$U$6:$U$305,0),MATCH(M$5,Metrics!$A$5:$U$5,0)))</f>
        <v/>
      </c>
      <c r="N235" t="str">
        <f>IF($A235="","",INDEX(Metrics!$A$6:$U$305,MATCH($A235,Metrics!$U$6:$U$305,0),MATCH(N$5,Metrics!$A$5:$U$5,0)))</f>
        <v/>
      </c>
      <c r="O235" t="str">
        <f>IF($A235="","",INDEX(Metrics!$A$6:$U$305,MATCH($A235,Metrics!$U$6:$U$305,0),MATCH(O$5,Metrics!$A$5:$U$5,0)))</f>
        <v/>
      </c>
      <c r="P235" t="str">
        <f>IF($A235="","",INDEX(Metrics!$A$6:$U$305,MATCH($A235,Metrics!$U$6:$U$305,0),MATCH(P$5,Metrics!$A$5:$U$5,0)))</f>
        <v/>
      </c>
    </row>
    <row r="236" spans="1:16" x14ac:dyDescent="0.4">
      <c r="A236" t="str">
        <f t="shared" si="3"/>
        <v/>
      </c>
      <c r="B236" t="str">
        <f>IF($A236="","",INDEX(Metrics!$A$6:$U$305,MATCH($A236,Metrics!$U$6:$U$305,0),MATCH(B$5,Metrics!$A$5:$U$5,0)))</f>
        <v/>
      </c>
      <c r="C236" t="str">
        <f>IF($A236="","",INDEX(Metrics!$A$6:$U$305,MATCH($A236,Metrics!$U$6:$U$305,0),MATCH(C$5,Metrics!$A$5:$U$5,0)))</f>
        <v/>
      </c>
      <c r="D236" t="str">
        <f>IF($A236="","",INDEX(Metrics!$A$6:$U$305,MATCH($A236,Metrics!$U$6:$U$305,0),MATCH(D$5,Metrics!$A$5:$U$5,0)))</f>
        <v/>
      </c>
      <c r="E236" s="14" t="str">
        <f>IF($A236="","",INDEX(Metrics!$A$6:$U$305,MATCH($A236,Metrics!$U$6:$U$305,0),MATCH(E$5,Metrics!$A$5:$U$5,0)))</f>
        <v/>
      </c>
      <c r="F236" s="7" t="str">
        <f>IF($A236="","",INDEX(Metrics!$A$6:$U$305,MATCH($A236,Metrics!$U$6:$U$305,0),MATCH(F$5,Metrics!$A$5:$U$5,0)))</f>
        <v/>
      </c>
      <c r="G236" s="9" t="str">
        <f>IF($A236="","",INDEX(Metrics!$A$6:$U$305,MATCH($A236,Metrics!$U$6:$U$305,0),MATCH(G$5,Metrics!$A$5:$U$5,0)))</f>
        <v/>
      </c>
      <c r="H236" s="9" t="str">
        <f>IF($A236="","",INDEX(Metrics!$A$6:$U$305,MATCH($A236,Metrics!$U$6:$U$305,0),MATCH(H$5,Metrics!$A$5:$U$5,0)))</f>
        <v/>
      </c>
      <c r="I236" s="7" t="str">
        <f>IF($A236="","",INDEX(Metrics!$A$6:$U$305,MATCH($A236,Metrics!$U$6:$U$305,0),MATCH(I$5,Metrics!$A$5:$U$5,0)))</f>
        <v/>
      </c>
      <c r="J236" s="9" t="str">
        <f>IF($A236="","",INDEX(Metrics!$A$6:$U$305,MATCH($A236,Metrics!$U$6:$U$305,0),MATCH(J$5,Metrics!$A$5:$U$5,0)))</f>
        <v/>
      </c>
      <c r="K236" s="10" t="str">
        <f>IF($A236="","",INDEX(Metrics!$A$6:$U$305,MATCH($A236,Metrics!$U$6:$U$305,0),MATCH(K$5,Metrics!$A$5:$U$5,0)))</f>
        <v/>
      </c>
      <c r="L236" t="str">
        <f>IF($A236="","",INDEX(Metrics!$A$6:$U$305,MATCH($A236,Metrics!$U$6:$U$305,0),MATCH(L$5,Metrics!$A$5:$U$5,0)))</f>
        <v/>
      </c>
      <c r="M236" t="str">
        <f>IF($A236="","",INDEX(Metrics!$A$6:$U$305,MATCH($A236,Metrics!$U$6:$U$305,0),MATCH(M$5,Metrics!$A$5:$U$5,0)))</f>
        <v/>
      </c>
      <c r="N236" t="str">
        <f>IF($A236="","",INDEX(Metrics!$A$6:$U$305,MATCH($A236,Metrics!$U$6:$U$305,0),MATCH(N$5,Metrics!$A$5:$U$5,0)))</f>
        <v/>
      </c>
      <c r="O236" t="str">
        <f>IF($A236="","",INDEX(Metrics!$A$6:$U$305,MATCH($A236,Metrics!$U$6:$U$305,0),MATCH(O$5,Metrics!$A$5:$U$5,0)))</f>
        <v/>
      </c>
      <c r="P236" t="str">
        <f>IF($A236="","",INDEX(Metrics!$A$6:$U$305,MATCH($A236,Metrics!$U$6:$U$305,0),MATCH(P$5,Metrics!$A$5:$U$5,0)))</f>
        <v/>
      </c>
    </row>
    <row r="237" spans="1:16" x14ac:dyDescent="0.4">
      <c r="A237" t="str">
        <f t="shared" si="3"/>
        <v/>
      </c>
      <c r="B237" t="str">
        <f>IF($A237="","",INDEX(Metrics!$A$6:$U$305,MATCH($A237,Metrics!$U$6:$U$305,0),MATCH(B$5,Metrics!$A$5:$U$5,0)))</f>
        <v/>
      </c>
      <c r="C237" t="str">
        <f>IF($A237="","",INDEX(Metrics!$A$6:$U$305,MATCH($A237,Metrics!$U$6:$U$305,0),MATCH(C$5,Metrics!$A$5:$U$5,0)))</f>
        <v/>
      </c>
      <c r="D237" t="str">
        <f>IF($A237="","",INDEX(Metrics!$A$6:$U$305,MATCH($A237,Metrics!$U$6:$U$305,0),MATCH(D$5,Metrics!$A$5:$U$5,0)))</f>
        <v/>
      </c>
      <c r="E237" s="14" t="str">
        <f>IF($A237="","",INDEX(Metrics!$A$6:$U$305,MATCH($A237,Metrics!$U$6:$U$305,0),MATCH(E$5,Metrics!$A$5:$U$5,0)))</f>
        <v/>
      </c>
      <c r="F237" s="7" t="str">
        <f>IF($A237="","",INDEX(Metrics!$A$6:$U$305,MATCH($A237,Metrics!$U$6:$U$305,0),MATCH(F$5,Metrics!$A$5:$U$5,0)))</f>
        <v/>
      </c>
      <c r="G237" s="9" t="str">
        <f>IF($A237="","",INDEX(Metrics!$A$6:$U$305,MATCH($A237,Metrics!$U$6:$U$305,0),MATCH(G$5,Metrics!$A$5:$U$5,0)))</f>
        <v/>
      </c>
      <c r="H237" s="9" t="str">
        <f>IF($A237="","",INDEX(Metrics!$A$6:$U$305,MATCH($A237,Metrics!$U$6:$U$305,0),MATCH(H$5,Metrics!$A$5:$U$5,0)))</f>
        <v/>
      </c>
      <c r="I237" s="7" t="str">
        <f>IF($A237="","",INDEX(Metrics!$A$6:$U$305,MATCH($A237,Metrics!$U$6:$U$305,0),MATCH(I$5,Metrics!$A$5:$U$5,0)))</f>
        <v/>
      </c>
      <c r="J237" s="9" t="str">
        <f>IF($A237="","",INDEX(Metrics!$A$6:$U$305,MATCH($A237,Metrics!$U$6:$U$305,0),MATCH(J$5,Metrics!$A$5:$U$5,0)))</f>
        <v/>
      </c>
      <c r="K237" s="10" t="str">
        <f>IF($A237="","",INDEX(Metrics!$A$6:$U$305,MATCH($A237,Metrics!$U$6:$U$305,0),MATCH(K$5,Metrics!$A$5:$U$5,0)))</f>
        <v/>
      </c>
      <c r="L237" t="str">
        <f>IF($A237="","",INDEX(Metrics!$A$6:$U$305,MATCH($A237,Metrics!$U$6:$U$305,0),MATCH(L$5,Metrics!$A$5:$U$5,0)))</f>
        <v/>
      </c>
      <c r="M237" t="str">
        <f>IF($A237="","",INDEX(Metrics!$A$6:$U$305,MATCH($A237,Metrics!$U$6:$U$305,0),MATCH(M$5,Metrics!$A$5:$U$5,0)))</f>
        <v/>
      </c>
      <c r="N237" t="str">
        <f>IF($A237="","",INDEX(Metrics!$A$6:$U$305,MATCH($A237,Metrics!$U$6:$U$305,0),MATCH(N$5,Metrics!$A$5:$U$5,0)))</f>
        <v/>
      </c>
      <c r="O237" t="str">
        <f>IF($A237="","",INDEX(Metrics!$A$6:$U$305,MATCH($A237,Metrics!$U$6:$U$305,0),MATCH(O$5,Metrics!$A$5:$U$5,0)))</f>
        <v/>
      </c>
      <c r="P237" t="str">
        <f>IF($A237="","",INDEX(Metrics!$A$6:$U$305,MATCH($A237,Metrics!$U$6:$U$305,0),MATCH(P$5,Metrics!$A$5:$U$5,0)))</f>
        <v/>
      </c>
    </row>
    <row r="238" spans="1:16" x14ac:dyDescent="0.4">
      <c r="A238" t="str">
        <f t="shared" si="3"/>
        <v/>
      </c>
      <c r="B238" t="str">
        <f>IF($A238="","",INDEX(Metrics!$A$6:$U$305,MATCH($A238,Metrics!$U$6:$U$305,0),MATCH(B$5,Metrics!$A$5:$U$5,0)))</f>
        <v/>
      </c>
      <c r="C238" t="str">
        <f>IF($A238="","",INDEX(Metrics!$A$6:$U$305,MATCH($A238,Metrics!$U$6:$U$305,0),MATCH(C$5,Metrics!$A$5:$U$5,0)))</f>
        <v/>
      </c>
      <c r="D238" t="str">
        <f>IF($A238="","",INDEX(Metrics!$A$6:$U$305,MATCH($A238,Metrics!$U$6:$U$305,0),MATCH(D$5,Metrics!$A$5:$U$5,0)))</f>
        <v/>
      </c>
      <c r="E238" s="14" t="str">
        <f>IF($A238="","",INDEX(Metrics!$A$6:$U$305,MATCH($A238,Metrics!$U$6:$U$305,0),MATCH(E$5,Metrics!$A$5:$U$5,0)))</f>
        <v/>
      </c>
      <c r="F238" s="7" t="str">
        <f>IF($A238="","",INDEX(Metrics!$A$6:$U$305,MATCH($A238,Metrics!$U$6:$U$305,0),MATCH(F$5,Metrics!$A$5:$U$5,0)))</f>
        <v/>
      </c>
      <c r="G238" s="9" t="str">
        <f>IF($A238="","",INDEX(Metrics!$A$6:$U$305,MATCH($A238,Metrics!$U$6:$U$305,0),MATCH(G$5,Metrics!$A$5:$U$5,0)))</f>
        <v/>
      </c>
      <c r="H238" s="9" t="str">
        <f>IF($A238="","",INDEX(Metrics!$A$6:$U$305,MATCH($A238,Metrics!$U$6:$U$305,0),MATCH(H$5,Metrics!$A$5:$U$5,0)))</f>
        <v/>
      </c>
      <c r="I238" s="7" t="str">
        <f>IF($A238="","",INDEX(Metrics!$A$6:$U$305,MATCH($A238,Metrics!$U$6:$U$305,0),MATCH(I$5,Metrics!$A$5:$U$5,0)))</f>
        <v/>
      </c>
      <c r="J238" s="9" t="str">
        <f>IF($A238="","",INDEX(Metrics!$A$6:$U$305,MATCH($A238,Metrics!$U$6:$U$305,0),MATCH(J$5,Metrics!$A$5:$U$5,0)))</f>
        <v/>
      </c>
      <c r="K238" s="10" t="str">
        <f>IF($A238="","",INDEX(Metrics!$A$6:$U$305,MATCH($A238,Metrics!$U$6:$U$305,0),MATCH(K$5,Metrics!$A$5:$U$5,0)))</f>
        <v/>
      </c>
      <c r="L238" t="str">
        <f>IF($A238="","",INDEX(Metrics!$A$6:$U$305,MATCH($A238,Metrics!$U$6:$U$305,0),MATCH(L$5,Metrics!$A$5:$U$5,0)))</f>
        <v/>
      </c>
      <c r="M238" t="str">
        <f>IF($A238="","",INDEX(Metrics!$A$6:$U$305,MATCH($A238,Metrics!$U$6:$U$305,0),MATCH(M$5,Metrics!$A$5:$U$5,0)))</f>
        <v/>
      </c>
      <c r="N238" t="str">
        <f>IF($A238="","",INDEX(Metrics!$A$6:$U$305,MATCH($A238,Metrics!$U$6:$U$305,0),MATCH(N$5,Metrics!$A$5:$U$5,0)))</f>
        <v/>
      </c>
      <c r="O238" t="str">
        <f>IF($A238="","",INDEX(Metrics!$A$6:$U$305,MATCH($A238,Metrics!$U$6:$U$305,0),MATCH(O$5,Metrics!$A$5:$U$5,0)))</f>
        <v/>
      </c>
      <c r="P238" t="str">
        <f>IF($A238="","",INDEX(Metrics!$A$6:$U$305,MATCH($A238,Metrics!$U$6:$U$305,0),MATCH(P$5,Metrics!$A$5:$U$5,0)))</f>
        <v/>
      </c>
    </row>
    <row r="239" spans="1:16" x14ac:dyDescent="0.4">
      <c r="A239" t="str">
        <f t="shared" si="3"/>
        <v/>
      </c>
      <c r="B239" t="str">
        <f>IF($A239="","",INDEX(Metrics!$A$6:$U$305,MATCH($A239,Metrics!$U$6:$U$305,0),MATCH(B$5,Metrics!$A$5:$U$5,0)))</f>
        <v/>
      </c>
      <c r="C239" t="str">
        <f>IF($A239="","",INDEX(Metrics!$A$6:$U$305,MATCH($A239,Metrics!$U$6:$U$305,0),MATCH(C$5,Metrics!$A$5:$U$5,0)))</f>
        <v/>
      </c>
      <c r="D239" t="str">
        <f>IF($A239="","",INDEX(Metrics!$A$6:$U$305,MATCH($A239,Metrics!$U$6:$U$305,0),MATCH(D$5,Metrics!$A$5:$U$5,0)))</f>
        <v/>
      </c>
      <c r="E239" s="14" t="str">
        <f>IF($A239="","",INDEX(Metrics!$A$6:$U$305,MATCH($A239,Metrics!$U$6:$U$305,0),MATCH(E$5,Metrics!$A$5:$U$5,0)))</f>
        <v/>
      </c>
      <c r="F239" s="7" t="str">
        <f>IF($A239="","",INDEX(Metrics!$A$6:$U$305,MATCH($A239,Metrics!$U$6:$U$305,0),MATCH(F$5,Metrics!$A$5:$U$5,0)))</f>
        <v/>
      </c>
      <c r="G239" s="9" t="str">
        <f>IF($A239="","",INDEX(Metrics!$A$6:$U$305,MATCH($A239,Metrics!$U$6:$U$305,0),MATCH(G$5,Metrics!$A$5:$U$5,0)))</f>
        <v/>
      </c>
      <c r="H239" s="9" t="str">
        <f>IF($A239="","",INDEX(Metrics!$A$6:$U$305,MATCH($A239,Metrics!$U$6:$U$305,0),MATCH(H$5,Metrics!$A$5:$U$5,0)))</f>
        <v/>
      </c>
      <c r="I239" s="7" t="str">
        <f>IF($A239="","",INDEX(Metrics!$A$6:$U$305,MATCH($A239,Metrics!$U$6:$U$305,0),MATCH(I$5,Metrics!$A$5:$U$5,0)))</f>
        <v/>
      </c>
      <c r="J239" s="9" t="str">
        <f>IF($A239="","",INDEX(Metrics!$A$6:$U$305,MATCH($A239,Metrics!$U$6:$U$305,0),MATCH(J$5,Metrics!$A$5:$U$5,0)))</f>
        <v/>
      </c>
      <c r="K239" s="10" t="str">
        <f>IF($A239="","",INDEX(Metrics!$A$6:$U$305,MATCH($A239,Metrics!$U$6:$U$305,0),MATCH(K$5,Metrics!$A$5:$U$5,0)))</f>
        <v/>
      </c>
      <c r="L239" t="str">
        <f>IF($A239="","",INDEX(Metrics!$A$6:$U$305,MATCH($A239,Metrics!$U$6:$U$305,0),MATCH(L$5,Metrics!$A$5:$U$5,0)))</f>
        <v/>
      </c>
      <c r="M239" t="str">
        <f>IF($A239="","",INDEX(Metrics!$A$6:$U$305,MATCH($A239,Metrics!$U$6:$U$305,0),MATCH(M$5,Metrics!$A$5:$U$5,0)))</f>
        <v/>
      </c>
      <c r="N239" t="str">
        <f>IF($A239="","",INDEX(Metrics!$A$6:$U$305,MATCH($A239,Metrics!$U$6:$U$305,0),MATCH(N$5,Metrics!$A$5:$U$5,0)))</f>
        <v/>
      </c>
      <c r="O239" t="str">
        <f>IF($A239="","",INDEX(Metrics!$A$6:$U$305,MATCH($A239,Metrics!$U$6:$U$305,0),MATCH(O$5,Metrics!$A$5:$U$5,0)))</f>
        <v/>
      </c>
      <c r="P239" t="str">
        <f>IF($A239="","",INDEX(Metrics!$A$6:$U$305,MATCH($A239,Metrics!$U$6:$U$305,0),MATCH(P$5,Metrics!$A$5:$U$5,0)))</f>
        <v/>
      </c>
    </row>
    <row r="240" spans="1:16" x14ac:dyDescent="0.4">
      <c r="A240" t="str">
        <f t="shared" si="3"/>
        <v/>
      </c>
      <c r="B240" t="str">
        <f>IF($A240="","",INDEX(Metrics!$A$6:$U$305,MATCH($A240,Metrics!$U$6:$U$305,0),MATCH(B$5,Metrics!$A$5:$U$5,0)))</f>
        <v/>
      </c>
      <c r="C240" t="str">
        <f>IF($A240="","",INDEX(Metrics!$A$6:$U$305,MATCH($A240,Metrics!$U$6:$U$305,0),MATCH(C$5,Metrics!$A$5:$U$5,0)))</f>
        <v/>
      </c>
      <c r="D240" t="str">
        <f>IF($A240="","",INDEX(Metrics!$A$6:$U$305,MATCH($A240,Metrics!$U$6:$U$305,0),MATCH(D$5,Metrics!$A$5:$U$5,0)))</f>
        <v/>
      </c>
      <c r="E240" s="14" t="str">
        <f>IF($A240="","",INDEX(Metrics!$A$6:$U$305,MATCH($A240,Metrics!$U$6:$U$305,0),MATCH(E$5,Metrics!$A$5:$U$5,0)))</f>
        <v/>
      </c>
      <c r="F240" s="7" t="str">
        <f>IF($A240="","",INDEX(Metrics!$A$6:$U$305,MATCH($A240,Metrics!$U$6:$U$305,0),MATCH(F$5,Metrics!$A$5:$U$5,0)))</f>
        <v/>
      </c>
      <c r="G240" s="9" t="str">
        <f>IF($A240="","",INDEX(Metrics!$A$6:$U$305,MATCH($A240,Metrics!$U$6:$U$305,0),MATCH(G$5,Metrics!$A$5:$U$5,0)))</f>
        <v/>
      </c>
      <c r="H240" s="9" t="str">
        <f>IF($A240="","",INDEX(Metrics!$A$6:$U$305,MATCH($A240,Metrics!$U$6:$U$305,0),MATCH(H$5,Metrics!$A$5:$U$5,0)))</f>
        <v/>
      </c>
      <c r="I240" s="7" t="str">
        <f>IF($A240="","",INDEX(Metrics!$A$6:$U$305,MATCH($A240,Metrics!$U$6:$U$305,0),MATCH(I$5,Metrics!$A$5:$U$5,0)))</f>
        <v/>
      </c>
      <c r="J240" s="9" t="str">
        <f>IF($A240="","",INDEX(Metrics!$A$6:$U$305,MATCH($A240,Metrics!$U$6:$U$305,0),MATCH(J$5,Metrics!$A$5:$U$5,0)))</f>
        <v/>
      </c>
      <c r="K240" s="10" t="str">
        <f>IF($A240="","",INDEX(Metrics!$A$6:$U$305,MATCH($A240,Metrics!$U$6:$U$305,0),MATCH(K$5,Metrics!$A$5:$U$5,0)))</f>
        <v/>
      </c>
      <c r="L240" t="str">
        <f>IF($A240="","",INDEX(Metrics!$A$6:$U$305,MATCH($A240,Metrics!$U$6:$U$305,0),MATCH(L$5,Metrics!$A$5:$U$5,0)))</f>
        <v/>
      </c>
      <c r="M240" t="str">
        <f>IF($A240="","",INDEX(Metrics!$A$6:$U$305,MATCH($A240,Metrics!$U$6:$U$305,0),MATCH(M$5,Metrics!$A$5:$U$5,0)))</f>
        <v/>
      </c>
      <c r="N240" t="str">
        <f>IF($A240="","",INDEX(Metrics!$A$6:$U$305,MATCH($A240,Metrics!$U$6:$U$305,0),MATCH(N$5,Metrics!$A$5:$U$5,0)))</f>
        <v/>
      </c>
      <c r="O240" t="str">
        <f>IF($A240="","",INDEX(Metrics!$A$6:$U$305,MATCH($A240,Metrics!$U$6:$U$305,0),MATCH(O$5,Metrics!$A$5:$U$5,0)))</f>
        <v/>
      </c>
      <c r="P240" t="str">
        <f>IF($A240="","",INDEX(Metrics!$A$6:$U$305,MATCH($A240,Metrics!$U$6:$U$305,0),MATCH(P$5,Metrics!$A$5:$U$5,0)))</f>
        <v/>
      </c>
    </row>
    <row r="241" spans="1:16" x14ac:dyDescent="0.4">
      <c r="A241" t="str">
        <f t="shared" si="3"/>
        <v/>
      </c>
      <c r="B241" t="str">
        <f>IF($A241="","",INDEX(Metrics!$A$6:$U$305,MATCH($A241,Metrics!$U$6:$U$305,0),MATCH(B$5,Metrics!$A$5:$U$5,0)))</f>
        <v/>
      </c>
      <c r="C241" t="str">
        <f>IF($A241="","",INDEX(Metrics!$A$6:$U$305,MATCH($A241,Metrics!$U$6:$U$305,0),MATCH(C$5,Metrics!$A$5:$U$5,0)))</f>
        <v/>
      </c>
      <c r="D241" t="str">
        <f>IF($A241="","",INDEX(Metrics!$A$6:$U$305,MATCH($A241,Metrics!$U$6:$U$305,0),MATCH(D$5,Metrics!$A$5:$U$5,0)))</f>
        <v/>
      </c>
      <c r="E241" s="14" t="str">
        <f>IF($A241="","",INDEX(Metrics!$A$6:$U$305,MATCH($A241,Metrics!$U$6:$U$305,0),MATCH(E$5,Metrics!$A$5:$U$5,0)))</f>
        <v/>
      </c>
      <c r="F241" s="7" t="str">
        <f>IF($A241="","",INDEX(Metrics!$A$6:$U$305,MATCH($A241,Metrics!$U$6:$U$305,0),MATCH(F$5,Metrics!$A$5:$U$5,0)))</f>
        <v/>
      </c>
      <c r="G241" s="9" t="str">
        <f>IF($A241="","",INDEX(Metrics!$A$6:$U$305,MATCH($A241,Metrics!$U$6:$U$305,0),MATCH(G$5,Metrics!$A$5:$U$5,0)))</f>
        <v/>
      </c>
      <c r="H241" s="9" t="str">
        <f>IF($A241="","",INDEX(Metrics!$A$6:$U$305,MATCH($A241,Metrics!$U$6:$U$305,0),MATCH(H$5,Metrics!$A$5:$U$5,0)))</f>
        <v/>
      </c>
      <c r="I241" s="7" t="str">
        <f>IF($A241="","",INDEX(Metrics!$A$6:$U$305,MATCH($A241,Metrics!$U$6:$U$305,0),MATCH(I$5,Metrics!$A$5:$U$5,0)))</f>
        <v/>
      </c>
      <c r="J241" s="9" t="str">
        <f>IF($A241="","",INDEX(Metrics!$A$6:$U$305,MATCH($A241,Metrics!$U$6:$U$305,0),MATCH(J$5,Metrics!$A$5:$U$5,0)))</f>
        <v/>
      </c>
      <c r="K241" s="10" t="str">
        <f>IF($A241="","",INDEX(Metrics!$A$6:$U$305,MATCH($A241,Metrics!$U$6:$U$305,0),MATCH(K$5,Metrics!$A$5:$U$5,0)))</f>
        <v/>
      </c>
      <c r="L241" t="str">
        <f>IF($A241="","",INDEX(Metrics!$A$6:$U$305,MATCH($A241,Metrics!$U$6:$U$305,0),MATCH(L$5,Metrics!$A$5:$U$5,0)))</f>
        <v/>
      </c>
      <c r="M241" t="str">
        <f>IF($A241="","",INDEX(Metrics!$A$6:$U$305,MATCH($A241,Metrics!$U$6:$U$305,0),MATCH(M$5,Metrics!$A$5:$U$5,0)))</f>
        <v/>
      </c>
      <c r="N241" t="str">
        <f>IF($A241="","",INDEX(Metrics!$A$6:$U$305,MATCH($A241,Metrics!$U$6:$U$305,0),MATCH(N$5,Metrics!$A$5:$U$5,0)))</f>
        <v/>
      </c>
      <c r="O241" t="str">
        <f>IF($A241="","",INDEX(Metrics!$A$6:$U$305,MATCH($A241,Metrics!$U$6:$U$305,0),MATCH(O$5,Metrics!$A$5:$U$5,0)))</f>
        <v/>
      </c>
      <c r="P241" t="str">
        <f>IF($A241="","",INDEX(Metrics!$A$6:$U$305,MATCH($A241,Metrics!$U$6:$U$305,0),MATCH(P$5,Metrics!$A$5:$U$5,0)))</f>
        <v/>
      </c>
    </row>
    <row r="242" spans="1:16" x14ac:dyDescent="0.4">
      <c r="A242" t="str">
        <f t="shared" si="3"/>
        <v/>
      </c>
      <c r="B242" t="str">
        <f>IF($A242="","",INDEX(Metrics!$A$6:$U$305,MATCH($A242,Metrics!$U$6:$U$305,0),MATCH(B$5,Metrics!$A$5:$U$5,0)))</f>
        <v/>
      </c>
      <c r="C242" t="str">
        <f>IF($A242="","",INDEX(Metrics!$A$6:$U$305,MATCH($A242,Metrics!$U$6:$U$305,0),MATCH(C$5,Metrics!$A$5:$U$5,0)))</f>
        <v/>
      </c>
      <c r="D242" t="str">
        <f>IF($A242="","",INDEX(Metrics!$A$6:$U$305,MATCH($A242,Metrics!$U$6:$U$305,0),MATCH(D$5,Metrics!$A$5:$U$5,0)))</f>
        <v/>
      </c>
      <c r="E242" s="14" t="str">
        <f>IF($A242="","",INDEX(Metrics!$A$6:$U$305,MATCH($A242,Metrics!$U$6:$U$305,0),MATCH(E$5,Metrics!$A$5:$U$5,0)))</f>
        <v/>
      </c>
      <c r="F242" s="7" t="str">
        <f>IF($A242="","",INDEX(Metrics!$A$6:$U$305,MATCH($A242,Metrics!$U$6:$U$305,0),MATCH(F$5,Metrics!$A$5:$U$5,0)))</f>
        <v/>
      </c>
      <c r="G242" s="9" t="str">
        <f>IF($A242="","",INDEX(Metrics!$A$6:$U$305,MATCH($A242,Metrics!$U$6:$U$305,0),MATCH(G$5,Metrics!$A$5:$U$5,0)))</f>
        <v/>
      </c>
      <c r="H242" s="9" t="str">
        <f>IF($A242="","",INDEX(Metrics!$A$6:$U$305,MATCH($A242,Metrics!$U$6:$U$305,0),MATCH(H$5,Metrics!$A$5:$U$5,0)))</f>
        <v/>
      </c>
      <c r="I242" s="7" t="str">
        <f>IF($A242="","",INDEX(Metrics!$A$6:$U$305,MATCH($A242,Metrics!$U$6:$U$305,0),MATCH(I$5,Metrics!$A$5:$U$5,0)))</f>
        <v/>
      </c>
      <c r="J242" s="9" t="str">
        <f>IF($A242="","",INDEX(Metrics!$A$6:$U$305,MATCH($A242,Metrics!$U$6:$U$305,0),MATCH(J$5,Metrics!$A$5:$U$5,0)))</f>
        <v/>
      </c>
      <c r="K242" s="10" t="str">
        <f>IF($A242="","",INDEX(Metrics!$A$6:$U$305,MATCH($A242,Metrics!$U$6:$U$305,0),MATCH(K$5,Metrics!$A$5:$U$5,0)))</f>
        <v/>
      </c>
      <c r="L242" t="str">
        <f>IF($A242="","",INDEX(Metrics!$A$6:$U$305,MATCH($A242,Metrics!$U$6:$U$305,0),MATCH(L$5,Metrics!$A$5:$U$5,0)))</f>
        <v/>
      </c>
      <c r="M242" t="str">
        <f>IF($A242="","",INDEX(Metrics!$A$6:$U$305,MATCH($A242,Metrics!$U$6:$U$305,0),MATCH(M$5,Metrics!$A$5:$U$5,0)))</f>
        <v/>
      </c>
      <c r="N242" t="str">
        <f>IF($A242="","",INDEX(Metrics!$A$6:$U$305,MATCH($A242,Metrics!$U$6:$U$305,0),MATCH(N$5,Metrics!$A$5:$U$5,0)))</f>
        <v/>
      </c>
      <c r="O242" t="str">
        <f>IF($A242="","",INDEX(Metrics!$A$6:$U$305,MATCH($A242,Metrics!$U$6:$U$305,0),MATCH(O$5,Metrics!$A$5:$U$5,0)))</f>
        <v/>
      </c>
      <c r="P242" t="str">
        <f>IF($A242="","",INDEX(Metrics!$A$6:$U$305,MATCH($A242,Metrics!$U$6:$U$305,0),MATCH(P$5,Metrics!$A$5:$U$5,0)))</f>
        <v/>
      </c>
    </row>
    <row r="243" spans="1:16" x14ac:dyDescent="0.4">
      <c r="A243" t="str">
        <f t="shared" si="3"/>
        <v/>
      </c>
      <c r="B243" t="str">
        <f>IF($A243="","",INDEX(Metrics!$A$6:$U$305,MATCH($A243,Metrics!$U$6:$U$305,0),MATCH(B$5,Metrics!$A$5:$U$5,0)))</f>
        <v/>
      </c>
      <c r="C243" t="str">
        <f>IF($A243="","",INDEX(Metrics!$A$6:$U$305,MATCH($A243,Metrics!$U$6:$U$305,0),MATCH(C$5,Metrics!$A$5:$U$5,0)))</f>
        <v/>
      </c>
      <c r="D243" t="str">
        <f>IF($A243="","",INDEX(Metrics!$A$6:$U$305,MATCH($A243,Metrics!$U$6:$U$305,0),MATCH(D$5,Metrics!$A$5:$U$5,0)))</f>
        <v/>
      </c>
      <c r="E243" s="14" t="str">
        <f>IF($A243="","",INDEX(Metrics!$A$6:$U$305,MATCH($A243,Metrics!$U$6:$U$305,0),MATCH(E$5,Metrics!$A$5:$U$5,0)))</f>
        <v/>
      </c>
      <c r="F243" s="7" t="str">
        <f>IF($A243="","",INDEX(Metrics!$A$6:$U$305,MATCH($A243,Metrics!$U$6:$U$305,0),MATCH(F$5,Metrics!$A$5:$U$5,0)))</f>
        <v/>
      </c>
      <c r="G243" s="9" t="str">
        <f>IF($A243="","",INDEX(Metrics!$A$6:$U$305,MATCH($A243,Metrics!$U$6:$U$305,0),MATCH(G$5,Metrics!$A$5:$U$5,0)))</f>
        <v/>
      </c>
      <c r="H243" s="9" t="str">
        <f>IF($A243="","",INDEX(Metrics!$A$6:$U$305,MATCH($A243,Metrics!$U$6:$U$305,0),MATCH(H$5,Metrics!$A$5:$U$5,0)))</f>
        <v/>
      </c>
      <c r="I243" s="7" t="str">
        <f>IF($A243="","",INDEX(Metrics!$A$6:$U$305,MATCH($A243,Metrics!$U$6:$U$305,0),MATCH(I$5,Metrics!$A$5:$U$5,0)))</f>
        <v/>
      </c>
      <c r="J243" s="9" t="str">
        <f>IF($A243="","",INDEX(Metrics!$A$6:$U$305,MATCH($A243,Metrics!$U$6:$U$305,0),MATCH(J$5,Metrics!$A$5:$U$5,0)))</f>
        <v/>
      </c>
      <c r="K243" s="10" t="str">
        <f>IF($A243="","",INDEX(Metrics!$A$6:$U$305,MATCH($A243,Metrics!$U$6:$U$305,0),MATCH(K$5,Metrics!$A$5:$U$5,0)))</f>
        <v/>
      </c>
      <c r="L243" t="str">
        <f>IF($A243="","",INDEX(Metrics!$A$6:$U$305,MATCH($A243,Metrics!$U$6:$U$305,0),MATCH(L$5,Metrics!$A$5:$U$5,0)))</f>
        <v/>
      </c>
      <c r="M243" t="str">
        <f>IF($A243="","",INDEX(Metrics!$A$6:$U$305,MATCH($A243,Metrics!$U$6:$U$305,0),MATCH(M$5,Metrics!$A$5:$U$5,0)))</f>
        <v/>
      </c>
      <c r="N243" t="str">
        <f>IF($A243="","",INDEX(Metrics!$A$6:$U$305,MATCH($A243,Metrics!$U$6:$U$305,0),MATCH(N$5,Metrics!$A$5:$U$5,0)))</f>
        <v/>
      </c>
      <c r="O243" t="str">
        <f>IF($A243="","",INDEX(Metrics!$A$6:$U$305,MATCH($A243,Metrics!$U$6:$U$305,0),MATCH(O$5,Metrics!$A$5:$U$5,0)))</f>
        <v/>
      </c>
      <c r="P243" t="str">
        <f>IF($A243="","",INDEX(Metrics!$A$6:$U$305,MATCH($A243,Metrics!$U$6:$U$305,0),MATCH(P$5,Metrics!$A$5:$U$5,0)))</f>
        <v/>
      </c>
    </row>
    <row r="244" spans="1:16" x14ac:dyDescent="0.4">
      <c r="A244" t="str">
        <f t="shared" si="3"/>
        <v/>
      </c>
      <c r="B244" t="str">
        <f>IF($A244="","",INDEX(Metrics!$A$6:$U$305,MATCH($A244,Metrics!$U$6:$U$305,0),MATCH(B$5,Metrics!$A$5:$U$5,0)))</f>
        <v/>
      </c>
      <c r="C244" t="str">
        <f>IF($A244="","",INDEX(Metrics!$A$6:$U$305,MATCH($A244,Metrics!$U$6:$U$305,0),MATCH(C$5,Metrics!$A$5:$U$5,0)))</f>
        <v/>
      </c>
      <c r="D244" t="str">
        <f>IF($A244="","",INDEX(Metrics!$A$6:$U$305,MATCH($A244,Metrics!$U$6:$U$305,0),MATCH(D$5,Metrics!$A$5:$U$5,0)))</f>
        <v/>
      </c>
      <c r="E244" s="14" t="str">
        <f>IF($A244="","",INDEX(Metrics!$A$6:$U$305,MATCH($A244,Metrics!$U$6:$U$305,0),MATCH(E$5,Metrics!$A$5:$U$5,0)))</f>
        <v/>
      </c>
      <c r="F244" s="7" t="str">
        <f>IF($A244="","",INDEX(Metrics!$A$6:$U$305,MATCH($A244,Metrics!$U$6:$U$305,0),MATCH(F$5,Metrics!$A$5:$U$5,0)))</f>
        <v/>
      </c>
      <c r="G244" s="9" t="str">
        <f>IF($A244="","",INDEX(Metrics!$A$6:$U$305,MATCH($A244,Metrics!$U$6:$U$305,0),MATCH(G$5,Metrics!$A$5:$U$5,0)))</f>
        <v/>
      </c>
      <c r="H244" s="9" t="str">
        <f>IF($A244="","",INDEX(Metrics!$A$6:$U$305,MATCH($A244,Metrics!$U$6:$U$305,0),MATCH(H$5,Metrics!$A$5:$U$5,0)))</f>
        <v/>
      </c>
      <c r="I244" s="7" t="str">
        <f>IF($A244="","",INDEX(Metrics!$A$6:$U$305,MATCH($A244,Metrics!$U$6:$U$305,0),MATCH(I$5,Metrics!$A$5:$U$5,0)))</f>
        <v/>
      </c>
      <c r="J244" s="9" t="str">
        <f>IF($A244="","",INDEX(Metrics!$A$6:$U$305,MATCH($A244,Metrics!$U$6:$U$305,0),MATCH(J$5,Metrics!$A$5:$U$5,0)))</f>
        <v/>
      </c>
      <c r="K244" s="10" t="str">
        <f>IF($A244="","",INDEX(Metrics!$A$6:$U$305,MATCH($A244,Metrics!$U$6:$U$305,0),MATCH(K$5,Metrics!$A$5:$U$5,0)))</f>
        <v/>
      </c>
      <c r="L244" t="str">
        <f>IF($A244="","",INDEX(Metrics!$A$6:$U$305,MATCH($A244,Metrics!$U$6:$U$305,0),MATCH(L$5,Metrics!$A$5:$U$5,0)))</f>
        <v/>
      </c>
      <c r="M244" t="str">
        <f>IF($A244="","",INDEX(Metrics!$A$6:$U$305,MATCH($A244,Metrics!$U$6:$U$305,0),MATCH(M$5,Metrics!$A$5:$U$5,0)))</f>
        <v/>
      </c>
      <c r="N244" t="str">
        <f>IF($A244="","",INDEX(Metrics!$A$6:$U$305,MATCH($A244,Metrics!$U$6:$U$305,0),MATCH(N$5,Metrics!$A$5:$U$5,0)))</f>
        <v/>
      </c>
      <c r="O244" t="str">
        <f>IF($A244="","",INDEX(Metrics!$A$6:$U$305,MATCH($A244,Metrics!$U$6:$U$305,0),MATCH(O$5,Metrics!$A$5:$U$5,0)))</f>
        <v/>
      </c>
      <c r="P244" t="str">
        <f>IF($A244="","",INDEX(Metrics!$A$6:$U$305,MATCH($A244,Metrics!$U$6:$U$305,0),MATCH(P$5,Metrics!$A$5:$U$5,0)))</f>
        <v/>
      </c>
    </row>
    <row r="245" spans="1:16" x14ac:dyDescent="0.4">
      <c r="A245" t="str">
        <f t="shared" si="3"/>
        <v/>
      </c>
      <c r="B245" t="str">
        <f>IF($A245="","",INDEX(Metrics!$A$6:$U$305,MATCH($A245,Metrics!$U$6:$U$305,0),MATCH(B$5,Metrics!$A$5:$U$5,0)))</f>
        <v/>
      </c>
      <c r="C245" t="str">
        <f>IF($A245="","",INDEX(Metrics!$A$6:$U$305,MATCH($A245,Metrics!$U$6:$U$305,0),MATCH(C$5,Metrics!$A$5:$U$5,0)))</f>
        <v/>
      </c>
      <c r="D245" t="str">
        <f>IF($A245="","",INDEX(Metrics!$A$6:$U$305,MATCH($A245,Metrics!$U$6:$U$305,0),MATCH(D$5,Metrics!$A$5:$U$5,0)))</f>
        <v/>
      </c>
      <c r="E245" s="14" t="str">
        <f>IF($A245="","",INDEX(Metrics!$A$6:$U$305,MATCH($A245,Metrics!$U$6:$U$305,0),MATCH(E$5,Metrics!$A$5:$U$5,0)))</f>
        <v/>
      </c>
      <c r="F245" s="7" t="str">
        <f>IF($A245="","",INDEX(Metrics!$A$6:$U$305,MATCH($A245,Metrics!$U$6:$U$305,0),MATCH(F$5,Metrics!$A$5:$U$5,0)))</f>
        <v/>
      </c>
      <c r="G245" s="9" t="str">
        <f>IF($A245="","",INDEX(Metrics!$A$6:$U$305,MATCH($A245,Metrics!$U$6:$U$305,0),MATCH(G$5,Metrics!$A$5:$U$5,0)))</f>
        <v/>
      </c>
      <c r="H245" s="9" t="str">
        <f>IF($A245="","",INDEX(Metrics!$A$6:$U$305,MATCH($A245,Metrics!$U$6:$U$305,0),MATCH(H$5,Metrics!$A$5:$U$5,0)))</f>
        <v/>
      </c>
      <c r="I245" s="7" t="str">
        <f>IF($A245="","",INDEX(Metrics!$A$6:$U$305,MATCH($A245,Metrics!$U$6:$U$305,0),MATCH(I$5,Metrics!$A$5:$U$5,0)))</f>
        <v/>
      </c>
      <c r="J245" s="9" t="str">
        <f>IF($A245="","",INDEX(Metrics!$A$6:$U$305,MATCH($A245,Metrics!$U$6:$U$305,0),MATCH(J$5,Metrics!$A$5:$U$5,0)))</f>
        <v/>
      </c>
      <c r="K245" s="10" t="str">
        <f>IF($A245="","",INDEX(Metrics!$A$6:$U$305,MATCH($A245,Metrics!$U$6:$U$305,0),MATCH(K$5,Metrics!$A$5:$U$5,0)))</f>
        <v/>
      </c>
      <c r="L245" t="str">
        <f>IF($A245="","",INDEX(Metrics!$A$6:$U$305,MATCH($A245,Metrics!$U$6:$U$305,0),MATCH(L$5,Metrics!$A$5:$U$5,0)))</f>
        <v/>
      </c>
      <c r="M245" t="str">
        <f>IF($A245="","",INDEX(Metrics!$A$6:$U$305,MATCH($A245,Metrics!$U$6:$U$305,0),MATCH(M$5,Metrics!$A$5:$U$5,0)))</f>
        <v/>
      </c>
      <c r="N245" t="str">
        <f>IF($A245="","",INDEX(Metrics!$A$6:$U$305,MATCH($A245,Metrics!$U$6:$U$305,0),MATCH(N$5,Metrics!$A$5:$U$5,0)))</f>
        <v/>
      </c>
      <c r="O245" t="str">
        <f>IF($A245="","",INDEX(Metrics!$A$6:$U$305,MATCH($A245,Metrics!$U$6:$U$305,0),MATCH(O$5,Metrics!$A$5:$U$5,0)))</f>
        <v/>
      </c>
      <c r="P245" t="str">
        <f>IF($A245="","",INDEX(Metrics!$A$6:$U$305,MATCH($A245,Metrics!$U$6:$U$305,0),MATCH(P$5,Metrics!$A$5:$U$5,0)))</f>
        <v/>
      </c>
    </row>
    <row r="246" spans="1:16" x14ac:dyDescent="0.4">
      <c r="A246" t="str">
        <f t="shared" si="3"/>
        <v/>
      </c>
      <c r="B246" t="str">
        <f>IF($A246="","",INDEX(Metrics!$A$6:$U$305,MATCH($A246,Metrics!$U$6:$U$305,0),MATCH(B$5,Metrics!$A$5:$U$5,0)))</f>
        <v/>
      </c>
      <c r="C246" t="str">
        <f>IF($A246="","",INDEX(Metrics!$A$6:$U$305,MATCH($A246,Metrics!$U$6:$U$305,0),MATCH(C$5,Metrics!$A$5:$U$5,0)))</f>
        <v/>
      </c>
      <c r="D246" t="str">
        <f>IF($A246="","",INDEX(Metrics!$A$6:$U$305,MATCH($A246,Metrics!$U$6:$U$305,0),MATCH(D$5,Metrics!$A$5:$U$5,0)))</f>
        <v/>
      </c>
      <c r="E246" s="14" t="str">
        <f>IF($A246="","",INDEX(Metrics!$A$6:$U$305,MATCH($A246,Metrics!$U$6:$U$305,0),MATCH(E$5,Metrics!$A$5:$U$5,0)))</f>
        <v/>
      </c>
      <c r="F246" s="7" t="str">
        <f>IF($A246="","",INDEX(Metrics!$A$6:$U$305,MATCH($A246,Metrics!$U$6:$U$305,0),MATCH(F$5,Metrics!$A$5:$U$5,0)))</f>
        <v/>
      </c>
      <c r="G246" s="9" t="str">
        <f>IF($A246="","",INDEX(Metrics!$A$6:$U$305,MATCH($A246,Metrics!$U$6:$U$305,0),MATCH(G$5,Metrics!$A$5:$U$5,0)))</f>
        <v/>
      </c>
      <c r="H246" s="9" t="str">
        <f>IF($A246="","",INDEX(Metrics!$A$6:$U$305,MATCH($A246,Metrics!$U$6:$U$305,0),MATCH(H$5,Metrics!$A$5:$U$5,0)))</f>
        <v/>
      </c>
      <c r="I246" s="7" t="str">
        <f>IF($A246="","",INDEX(Metrics!$A$6:$U$305,MATCH($A246,Metrics!$U$6:$U$305,0),MATCH(I$5,Metrics!$A$5:$U$5,0)))</f>
        <v/>
      </c>
      <c r="J246" s="9" t="str">
        <f>IF($A246="","",INDEX(Metrics!$A$6:$U$305,MATCH($A246,Metrics!$U$6:$U$305,0),MATCH(J$5,Metrics!$A$5:$U$5,0)))</f>
        <v/>
      </c>
      <c r="K246" s="10" t="str">
        <f>IF($A246="","",INDEX(Metrics!$A$6:$U$305,MATCH($A246,Metrics!$U$6:$U$305,0),MATCH(K$5,Metrics!$A$5:$U$5,0)))</f>
        <v/>
      </c>
      <c r="L246" t="str">
        <f>IF($A246="","",INDEX(Metrics!$A$6:$U$305,MATCH($A246,Metrics!$U$6:$U$305,0),MATCH(L$5,Metrics!$A$5:$U$5,0)))</f>
        <v/>
      </c>
      <c r="M246" t="str">
        <f>IF($A246="","",INDEX(Metrics!$A$6:$U$305,MATCH($A246,Metrics!$U$6:$U$305,0),MATCH(M$5,Metrics!$A$5:$U$5,0)))</f>
        <v/>
      </c>
      <c r="N246" t="str">
        <f>IF($A246="","",INDEX(Metrics!$A$6:$U$305,MATCH($A246,Metrics!$U$6:$U$305,0),MATCH(N$5,Metrics!$A$5:$U$5,0)))</f>
        <v/>
      </c>
      <c r="O246" t="str">
        <f>IF($A246="","",INDEX(Metrics!$A$6:$U$305,MATCH($A246,Metrics!$U$6:$U$305,0),MATCH(O$5,Metrics!$A$5:$U$5,0)))</f>
        <v/>
      </c>
      <c r="P246" t="str">
        <f>IF($A246="","",INDEX(Metrics!$A$6:$U$305,MATCH($A246,Metrics!$U$6:$U$305,0),MATCH(P$5,Metrics!$A$5:$U$5,0)))</f>
        <v/>
      </c>
    </row>
    <row r="247" spans="1:16" x14ac:dyDescent="0.4">
      <c r="A247" t="str">
        <f t="shared" si="3"/>
        <v/>
      </c>
      <c r="B247" t="str">
        <f>IF($A247="","",INDEX(Metrics!$A$6:$U$305,MATCH($A247,Metrics!$U$6:$U$305,0),MATCH(B$5,Metrics!$A$5:$U$5,0)))</f>
        <v/>
      </c>
      <c r="C247" t="str">
        <f>IF($A247="","",INDEX(Metrics!$A$6:$U$305,MATCH($A247,Metrics!$U$6:$U$305,0),MATCH(C$5,Metrics!$A$5:$U$5,0)))</f>
        <v/>
      </c>
      <c r="D247" t="str">
        <f>IF($A247="","",INDEX(Metrics!$A$6:$U$305,MATCH($A247,Metrics!$U$6:$U$305,0),MATCH(D$5,Metrics!$A$5:$U$5,0)))</f>
        <v/>
      </c>
      <c r="E247" s="14" t="str">
        <f>IF($A247="","",INDEX(Metrics!$A$6:$U$305,MATCH($A247,Metrics!$U$6:$U$305,0),MATCH(E$5,Metrics!$A$5:$U$5,0)))</f>
        <v/>
      </c>
      <c r="F247" s="7" t="str">
        <f>IF($A247="","",INDEX(Metrics!$A$6:$U$305,MATCH($A247,Metrics!$U$6:$U$305,0),MATCH(F$5,Metrics!$A$5:$U$5,0)))</f>
        <v/>
      </c>
      <c r="G247" s="9" t="str">
        <f>IF($A247="","",INDEX(Metrics!$A$6:$U$305,MATCH($A247,Metrics!$U$6:$U$305,0),MATCH(G$5,Metrics!$A$5:$U$5,0)))</f>
        <v/>
      </c>
      <c r="H247" s="9" t="str">
        <f>IF($A247="","",INDEX(Metrics!$A$6:$U$305,MATCH($A247,Metrics!$U$6:$U$305,0),MATCH(H$5,Metrics!$A$5:$U$5,0)))</f>
        <v/>
      </c>
      <c r="I247" s="7" t="str">
        <f>IF($A247="","",INDEX(Metrics!$A$6:$U$305,MATCH($A247,Metrics!$U$6:$U$305,0),MATCH(I$5,Metrics!$A$5:$U$5,0)))</f>
        <v/>
      </c>
      <c r="J247" s="9" t="str">
        <f>IF($A247="","",INDEX(Metrics!$A$6:$U$305,MATCH($A247,Metrics!$U$6:$U$305,0),MATCH(J$5,Metrics!$A$5:$U$5,0)))</f>
        <v/>
      </c>
      <c r="K247" s="10" t="str">
        <f>IF($A247="","",INDEX(Metrics!$A$6:$U$305,MATCH($A247,Metrics!$U$6:$U$305,0),MATCH(K$5,Metrics!$A$5:$U$5,0)))</f>
        <v/>
      </c>
      <c r="L247" t="str">
        <f>IF($A247="","",INDEX(Metrics!$A$6:$U$305,MATCH($A247,Metrics!$U$6:$U$305,0),MATCH(L$5,Metrics!$A$5:$U$5,0)))</f>
        <v/>
      </c>
      <c r="M247" t="str">
        <f>IF($A247="","",INDEX(Metrics!$A$6:$U$305,MATCH($A247,Metrics!$U$6:$U$305,0),MATCH(M$5,Metrics!$A$5:$U$5,0)))</f>
        <v/>
      </c>
      <c r="N247" t="str">
        <f>IF($A247="","",INDEX(Metrics!$A$6:$U$305,MATCH($A247,Metrics!$U$6:$U$305,0),MATCH(N$5,Metrics!$A$5:$U$5,0)))</f>
        <v/>
      </c>
      <c r="O247" t="str">
        <f>IF($A247="","",INDEX(Metrics!$A$6:$U$305,MATCH($A247,Metrics!$U$6:$U$305,0),MATCH(O$5,Metrics!$A$5:$U$5,0)))</f>
        <v/>
      </c>
      <c r="P247" t="str">
        <f>IF($A247="","",INDEX(Metrics!$A$6:$U$305,MATCH($A247,Metrics!$U$6:$U$305,0),MATCH(P$5,Metrics!$A$5:$U$5,0)))</f>
        <v/>
      </c>
    </row>
    <row r="248" spans="1:16" x14ac:dyDescent="0.4">
      <c r="A248" t="str">
        <f t="shared" si="3"/>
        <v/>
      </c>
      <c r="B248" t="str">
        <f>IF($A248="","",INDEX(Metrics!$A$6:$U$305,MATCH($A248,Metrics!$U$6:$U$305,0),MATCH(B$5,Metrics!$A$5:$U$5,0)))</f>
        <v/>
      </c>
      <c r="C248" t="str">
        <f>IF($A248="","",INDEX(Metrics!$A$6:$U$305,MATCH($A248,Metrics!$U$6:$U$305,0),MATCH(C$5,Metrics!$A$5:$U$5,0)))</f>
        <v/>
      </c>
      <c r="D248" t="str">
        <f>IF($A248="","",INDEX(Metrics!$A$6:$U$305,MATCH($A248,Metrics!$U$6:$U$305,0),MATCH(D$5,Metrics!$A$5:$U$5,0)))</f>
        <v/>
      </c>
      <c r="E248" s="14" t="str">
        <f>IF($A248="","",INDEX(Metrics!$A$6:$U$305,MATCH($A248,Metrics!$U$6:$U$305,0),MATCH(E$5,Metrics!$A$5:$U$5,0)))</f>
        <v/>
      </c>
      <c r="F248" s="7" t="str">
        <f>IF($A248="","",INDEX(Metrics!$A$6:$U$305,MATCH($A248,Metrics!$U$6:$U$305,0),MATCH(F$5,Metrics!$A$5:$U$5,0)))</f>
        <v/>
      </c>
      <c r="G248" s="9" t="str">
        <f>IF($A248="","",INDEX(Metrics!$A$6:$U$305,MATCH($A248,Metrics!$U$6:$U$305,0),MATCH(G$5,Metrics!$A$5:$U$5,0)))</f>
        <v/>
      </c>
      <c r="H248" s="9" t="str">
        <f>IF($A248="","",INDEX(Metrics!$A$6:$U$305,MATCH($A248,Metrics!$U$6:$U$305,0),MATCH(H$5,Metrics!$A$5:$U$5,0)))</f>
        <v/>
      </c>
      <c r="I248" s="7" t="str">
        <f>IF($A248="","",INDEX(Metrics!$A$6:$U$305,MATCH($A248,Metrics!$U$6:$U$305,0),MATCH(I$5,Metrics!$A$5:$U$5,0)))</f>
        <v/>
      </c>
      <c r="J248" s="9" t="str">
        <f>IF($A248="","",INDEX(Metrics!$A$6:$U$305,MATCH($A248,Metrics!$U$6:$U$305,0),MATCH(J$5,Metrics!$A$5:$U$5,0)))</f>
        <v/>
      </c>
      <c r="K248" s="10" t="str">
        <f>IF($A248="","",INDEX(Metrics!$A$6:$U$305,MATCH($A248,Metrics!$U$6:$U$305,0),MATCH(K$5,Metrics!$A$5:$U$5,0)))</f>
        <v/>
      </c>
      <c r="L248" t="str">
        <f>IF($A248="","",INDEX(Metrics!$A$6:$U$305,MATCH($A248,Metrics!$U$6:$U$305,0),MATCH(L$5,Metrics!$A$5:$U$5,0)))</f>
        <v/>
      </c>
      <c r="M248" t="str">
        <f>IF($A248="","",INDEX(Metrics!$A$6:$U$305,MATCH($A248,Metrics!$U$6:$U$305,0),MATCH(M$5,Metrics!$A$5:$U$5,0)))</f>
        <v/>
      </c>
      <c r="N248" t="str">
        <f>IF($A248="","",INDEX(Metrics!$A$6:$U$305,MATCH($A248,Metrics!$U$6:$U$305,0),MATCH(N$5,Metrics!$A$5:$U$5,0)))</f>
        <v/>
      </c>
      <c r="O248" t="str">
        <f>IF($A248="","",INDEX(Metrics!$A$6:$U$305,MATCH($A248,Metrics!$U$6:$U$305,0),MATCH(O$5,Metrics!$A$5:$U$5,0)))</f>
        <v/>
      </c>
      <c r="P248" t="str">
        <f>IF($A248="","",INDEX(Metrics!$A$6:$U$305,MATCH($A248,Metrics!$U$6:$U$305,0),MATCH(P$5,Metrics!$A$5:$U$5,0)))</f>
        <v/>
      </c>
    </row>
    <row r="249" spans="1:16" x14ac:dyDescent="0.4">
      <c r="A249" t="str">
        <f t="shared" si="3"/>
        <v/>
      </c>
      <c r="B249" t="str">
        <f>IF($A249="","",INDEX(Metrics!$A$6:$U$305,MATCH($A249,Metrics!$U$6:$U$305,0),MATCH(B$5,Metrics!$A$5:$U$5,0)))</f>
        <v/>
      </c>
      <c r="C249" t="str">
        <f>IF($A249="","",INDEX(Metrics!$A$6:$U$305,MATCH($A249,Metrics!$U$6:$U$305,0),MATCH(C$5,Metrics!$A$5:$U$5,0)))</f>
        <v/>
      </c>
      <c r="D249" t="str">
        <f>IF($A249="","",INDEX(Metrics!$A$6:$U$305,MATCH($A249,Metrics!$U$6:$U$305,0),MATCH(D$5,Metrics!$A$5:$U$5,0)))</f>
        <v/>
      </c>
      <c r="E249" s="14" t="str">
        <f>IF($A249="","",INDEX(Metrics!$A$6:$U$305,MATCH($A249,Metrics!$U$6:$U$305,0),MATCH(E$5,Metrics!$A$5:$U$5,0)))</f>
        <v/>
      </c>
      <c r="F249" s="7" t="str">
        <f>IF($A249="","",INDEX(Metrics!$A$6:$U$305,MATCH($A249,Metrics!$U$6:$U$305,0),MATCH(F$5,Metrics!$A$5:$U$5,0)))</f>
        <v/>
      </c>
      <c r="G249" s="9" t="str">
        <f>IF($A249="","",INDEX(Metrics!$A$6:$U$305,MATCH($A249,Metrics!$U$6:$U$305,0),MATCH(G$5,Metrics!$A$5:$U$5,0)))</f>
        <v/>
      </c>
      <c r="H249" s="9" t="str">
        <f>IF($A249="","",INDEX(Metrics!$A$6:$U$305,MATCH($A249,Metrics!$U$6:$U$305,0),MATCH(H$5,Metrics!$A$5:$U$5,0)))</f>
        <v/>
      </c>
      <c r="I249" s="7" t="str">
        <f>IF($A249="","",INDEX(Metrics!$A$6:$U$305,MATCH($A249,Metrics!$U$6:$U$305,0),MATCH(I$5,Metrics!$A$5:$U$5,0)))</f>
        <v/>
      </c>
      <c r="J249" s="9" t="str">
        <f>IF($A249="","",INDEX(Metrics!$A$6:$U$305,MATCH($A249,Metrics!$U$6:$U$305,0),MATCH(J$5,Metrics!$A$5:$U$5,0)))</f>
        <v/>
      </c>
      <c r="K249" s="10" t="str">
        <f>IF($A249="","",INDEX(Metrics!$A$6:$U$305,MATCH($A249,Metrics!$U$6:$U$305,0),MATCH(K$5,Metrics!$A$5:$U$5,0)))</f>
        <v/>
      </c>
      <c r="L249" t="str">
        <f>IF($A249="","",INDEX(Metrics!$A$6:$U$305,MATCH($A249,Metrics!$U$6:$U$305,0),MATCH(L$5,Metrics!$A$5:$U$5,0)))</f>
        <v/>
      </c>
      <c r="M249" t="str">
        <f>IF($A249="","",INDEX(Metrics!$A$6:$U$305,MATCH($A249,Metrics!$U$6:$U$305,0),MATCH(M$5,Metrics!$A$5:$U$5,0)))</f>
        <v/>
      </c>
      <c r="N249" t="str">
        <f>IF($A249="","",INDEX(Metrics!$A$6:$U$305,MATCH($A249,Metrics!$U$6:$U$305,0),MATCH(N$5,Metrics!$A$5:$U$5,0)))</f>
        <v/>
      </c>
      <c r="O249" t="str">
        <f>IF($A249="","",INDEX(Metrics!$A$6:$U$305,MATCH($A249,Metrics!$U$6:$U$305,0),MATCH(O$5,Metrics!$A$5:$U$5,0)))</f>
        <v/>
      </c>
      <c r="P249" t="str">
        <f>IF($A249="","",INDEX(Metrics!$A$6:$U$305,MATCH($A249,Metrics!$U$6:$U$305,0),MATCH(P$5,Metrics!$A$5:$U$5,0)))</f>
        <v/>
      </c>
    </row>
    <row r="250" spans="1:16" x14ac:dyDescent="0.4">
      <c r="A250" t="str">
        <f t="shared" si="3"/>
        <v/>
      </c>
      <c r="B250" t="str">
        <f>IF($A250="","",INDEX(Metrics!$A$6:$U$305,MATCH($A250,Metrics!$U$6:$U$305,0),MATCH(B$5,Metrics!$A$5:$U$5,0)))</f>
        <v/>
      </c>
      <c r="C250" t="str">
        <f>IF($A250="","",INDEX(Metrics!$A$6:$U$305,MATCH($A250,Metrics!$U$6:$U$305,0),MATCH(C$5,Metrics!$A$5:$U$5,0)))</f>
        <v/>
      </c>
      <c r="D250" t="str">
        <f>IF($A250="","",INDEX(Metrics!$A$6:$U$305,MATCH($A250,Metrics!$U$6:$U$305,0),MATCH(D$5,Metrics!$A$5:$U$5,0)))</f>
        <v/>
      </c>
      <c r="E250" s="14" t="str">
        <f>IF($A250="","",INDEX(Metrics!$A$6:$U$305,MATCH($A250,Metrics!$U$6:$U$305,0),MATCH(E$5,Metrics!$A$5:$U$5,0)))</f>
        <v/>
      </c>
      <c r="F250" s="7" t="str">
        <f>IF($A250="","",INDEX(Metrics!$A$6:$U$305,MATCH($A250,Metrics!$U$6:$U$305,0),MATCH(F$5,Metrics!$A$5:$U$5,0)))</f>
        <v/>
      </c>
      <c r="G250" s="9" t="str">
        <f>IF($A250="","",INDEX(Metrics!$A$6:$U$305,MATCH($A250,Metrics!$U$6:$U$305,0),MATCH(G$5,Metrics!$A$5:$U$5,0)))</f>
        <v/>
      </c>
      <c r="H250" s="9" t="str">
        <f>IF($A250="","",INDEX(Metrics!$A$6:$U$305,MATCH($A250,Metrics!$U$6:$U$305,0),MATCH(H$5,Metrics!$A$5:$U$5,0)))</f>
        <v/>
      </c>
      <c r="I250" s="7" t="str">
        <f>IF($A250="","",INDEX(Metrics!$A$6:$U$305,MATCH($A250,Metrics!$U$6:$U$305,0),MATCH(I$5,Metrics!$A$5:$U$5,0)))</f>
        <v/>
      </c>
      <c r="J250" s="9" t="str">
        <f>IF($A250="","",INDEX(Metrics!$A$6:$U$305,MATCH($A250,Metrics!$U$6:$U$305,0),MATCH(J$5,Metrics!$A$5:$U$5,0)))</f>
        <v/>
      </c>
      <c r="K250" s="10" t="str">
        <f>IF($A250="","",INDEX(Metrics!$A$6:$U$305,MATCH($A250,Metrics!$U$6:$U$305,0),MATCH(K$5,Metrics!$A$5:$U$5,0)))</f>
        <v/>
      </c>
      <c r="L250" t="str">
        <f>IF($A250="","",INDEX(Metrics!$A$6:$U$305,MATCH($A250,Metrics!$U$6:$U$305,0),MATCH(L$5,Metrics!$A$5:$U$5,0)))</f>
        <v/>
      </c>
      <c r="M250" t="str">
        <f>IF($A250="","",INDEX(Metrics!$A$6:$U$305,MATCH($A250,Metrics!$U$6:$U$305,0),MATCH(M$5,Metrics!$A$5:$U$5,0)))</f>
        <v/>
      </c>
      <c r="N250" t="str">
        <f>IF($A250="","",INDEX(Metrics!$A$6:$U$305,MATCH($A250,Metrics!$U$6:$U$305,0),MATCH(N$5,Metrics!$A$5:$U$5,0)))</f>
        <v/>
      </c>
      <c r="O250" t="str">
        <f>IF($A250="","",INDEX(Metrics!$A$6:$U$305,MATCH($A250,Metrics!$U$6:$U$305,0),MATCH(O$5,Metrics!$A$5:$U$5,0)))</f>
        <v/>
      </c>
      <c r="P250" t="str">
        <f>IF($A250="","",INDEX(Metrics!$A$6:$U$305,MATCH($A250,Metrics!$U$6:$U$305,0),MATCH(P$5,Metrics!$A$5:$U$5,0)))</f>
        <v/>
      </c>
    </row>
    <row r="251" spans="1:16" x14ac:dyDescent="0.4">
      <c r="A251" t="str">
        <f t="shared" si="3"/>
        <v/>
      </c>
      <c r="B251" t="str">
        <f>IF($A251="","",INDEX(Metrics!$A$6:$U$305,MATCH($A251,Metrics!$U$6:$U$305,0),MATCH(B$5,Metrics!$A$5:$U$5,0)))</f>
        <v/>
      </c>
      <c r="C251" t="str">
        <f>IF($A251="","",INDEX(Metrics!$A$6:$U$305,MATCH($A251,Metrics!$U$6:$U$305,0),MATCH(C$5,Metrics!$A$5:$U$5,0)))</f>
        <v/>
      </c>
      <c r="D251" t="str">
        <f>IF($A251="","",INDEX(Metrics!$A$6:$U$305,MATCH($A251,Metrics!$U$6:$U$305,0),MATCH(D$5,Metrics!$A$5:$U$5,0)))</f>
        <v/>
      </c>
      <c r="E251" s="14" t="str">
        <f>IF($A251="","",INDEX(Metrics!$A$6:$U$305,MATCH($A251,Metrics!$U$6:$U$305,0),MATCH(E$5,Metrics!$A$5:$U$5,0)))</f>
        <v/>
      </c>
      <c r="F251" s="7" t="str">
        <f>IF($A251="","",INDEX(Metrics!$A$6:$U$305,MATCH($A251,Metrics!$U$6:$U$305,0),MATCH(F$5,Metrics!$A$5:$U$5,0)))</f>
        <v/>
      </c>
      <c r="G251" s="9" t="str">
        <f>IF($A251="","",INDEX(Metrics!$A$6:$U$305,MATCH($A251,Metrics!$U$6:$U$305,0),MATCH(G$5,Metrics!$A$5:$U$5,0)))</f>
        <v/>
      </c>
      <c r="H251" s="9" t="str">
        <f>IF($A251="","",INDEX(Metrics!$A$6:$U$305,MATCH($A251,Metrics!$U$6:$U$305,0),MATCH(H$5,Metrics!$A$5:$U$5,0)))</f>
        <v/>
      </c>
      <c r="I251" s="7" t="str">
        <f>IF($A251="","",INDEX(Metrics!$A$6:$U$305,MATCH($A251,Metrics!$U$6:$U$305,0),MATCH(I$5,Metrics!$A$5:$U$5,0)))</f>
        <v/>
      </c>
      <c r="J251" s="9" t="str">
        <f>IF($A251="","",INDEX(Metrics!$A$6:$U$305,MATCH($A251,Metrics!$U$6:$U$305,0),MATCH(J$5,Metrics!$A$5:$U$5,0)))</f>
        <v/>
      </c>
      <c r="K251" s="10" t="str">
        <f>IF($A251="","",INDEX(Metrics!$A$6:$U$305,MATCH($A251,Metrics!$U$6:$U$305,0),MATCH(K$5,Metrics!$A$5:$U$5,0)))</f>
        <v/>
      </c>
      <c r="L251" t="str">
        <f>IF($A251="","",INDEX(Metrics!$A$6:$U$305,MATCH($A251,Metrics!$U$6:$U$305,0),MATCH(L$5,Metrics!$A$5:$U$5,0)))</f>
        <v/>
      </c>
      <c r="M251" t="str">
        <f>IF($A251="","",INDEX(Metrics!$A$6:$U$305,MATCH($A251,Metrics!$U$6:$U$305,0),MATCH(M$5,Metrics!$A$5:$U$5,0)))</f>
        <v/>
      </c>
      <c r="N251" t="str">
        <f>IF($A251="","",INDEX(Metrics!$A$6:$U$305,MATCH($A251,Metrics!$U$6:$U$305,0),MATCH(N$5,Metrics!$A$5:$U$5,0)))</f>
        <v/>
      </c>
      <c r="O251" t="str">
        <f>IF($A251="","",INDEX(Metrics!$A$6:$U$305,MATCH($A251,Metrics!$U$6:$U$305,0),MATCH(O$5,Metrics!$A$5:$U$5,0)))</f>
        <v/>
      </c>
      <c r="P251" t="str">
        <f>IF($A251="","",INDEX(Metrics!$A$6:$U$305,MATCH($A251,Metrics!$U$6:$U$305,0),MATCH(P$5,Metrics!$A$5:$U$5,0)))</f>
        <v/>
      </c>
    </row>
    <row r="252" spans="1:16" x14ac:dyDescent="0.4">
      <c r="A252" t="str">
        <f t="shared" si="3"/>
        <v/>
      </c>
      <c r="B252" t="str">
        <f>IF($A252="","",INDEX(Metrics!$A$6:$U$305,MATCH($A252,Metrics!$U$6:$U$305,0),MATCH(B$5,Metrics!$A$5:$U$5,0)))</f>
        <v/>
      </c>
      <c r="C252" t="str">
        <f>IF($A252="","",INDEX(Metrics!$A$6:$U$305,MATCH($A252,Metrics!$U$6:$U$305,0),MATCH(C$5,Metrics!$A$5:$U$5,0)))</f>
        <v/>
      </c>
      <c r="D252" t="str">
        <f>IF($A252="","",INDEX(Metrics!$A$6:$U$305,MATCH($A252,Metrics!$U$6:$U$305,0),MATCH(D$5,Metrics!$A$5:$U$5,0)))</f>
        <v/>
      </c>
      <c r="E252" s="14" t="str">
        <f>IF($A252="","",INDEX(Metrics!$A$6:$U$305,MATCH($A252,Metrics!$U$6:$U$305,0),MATCH(E$5,Metrics!$A$5:$U$5,0)))</f>
        <v/>
      </c>
      <c r="F252" s="7" t="str">
        <f>IF($A252="","",INDEX(Metrics!$A$6:$U$305,MATCH($A252,Metrics!$U$6:$U$305,0),MATCH(F$5,Metrics!$A$5:$U$5,0)))</f>
        <v/>
      </c>
      <c r="G252" s="9" t="str">
        <f>IF($A252="","",INDEX(Metrics!$A$6:$U$305,MATCH($A252,Metrics!$U$6:$U$305,0),MATCH(G$5,Metrics!$A$5:$U$5,0)))</f>
        <v/>
      </c>
      <c r="H252" s="9" t="str">
        <f>IF($A252="","",INDEX(Metrics!$A$6:$U$305,MATCH($A252,Metrics!$U$6:$U$305,0),MATCH(H$5,Metrics!$A$5:$U$5,0)))</f>
        <v/>
      </c>
      <c r="I252" s="7" t="str">
        <f>IF($A252="","",INDEX(Metrics!$A$6:$U$305,MATCH($A252,Metrics!$U$6:$U$305,0),MATCH(I$5,Metrics!$A$5:$U$5,0)))</f>
        <v/>
      </c>
      <c r="J252" s="9" t="str">
        <f>IF($A252="","",INDEX(Metrics!$A$6:$U$305,MATCH($A252,Metrics!$U$6:$U$305,0),MATCH(J$5,Metrics!$A$5:$U$5,0)))</f>
        <v/>
      </c>
      <c r="K252" s="10" t="str">
        <f>IF($A252="","",INDEX(Metrics!$A$6:$U$305,MATCH($A252,Metrics!$U$6:$U$305,0),MATCH(K$5,Metrics!$A$5:$U$5,0)))</f>
        <v/>
      </c>
      <c r="L252" t="str">
        <f>IF($A252="","",INDEX(Metrics!$A$6:$U$305,MATCH($A252,Metrics!$U$6:$U$305,0),MATCH(L$5,Metrics!$A$5:$U$5,0)))</f>
        <v/>
      </c>
      <c r="M252" t="str">
        <f>IF($A252="","",INDEX(Metrics!$A$6:$U$305,MATCH($A252,Metrics!$U$6:$U$305,0),MATCH(M$5,Metrics!$A$5:$U$5,0)))</f>
        <v/>
      </c>
      <c r="N252" t="str">
        <f>IF($A252="","",INDEX(Metrics!$A$6:$U$305,MATCH($A252,Metrics!$U$6:$U$305,0),MATCH(N$5,Metrics!$A$5:$U$5,0)))</f>
        <v/>
      </c>
      <c r="O252" t="str">
        <f>IF($A252="","",INDEX(Metrics!$A$6:$U$305,MATCH($A252,Metrics!$U$6:$U$305,0),MATCH(O$5,Metrics!$A$5:$U$5,0)))</f>
        <v/>
      </c>
      <c r="P252" t="str">
        <f>IF($A252="","",INDEX(Metrics!$A$6:$U$305,MATCH($A252,Metrics!$U$6:$U$305,0),MATCH(P$5,Metrics!$A$5:$U$5,0)))</f>
        <v/>
      </c>
    </row>
    <row r="253" spans="1:16" x14ac:dyDescent="0.4">
      <c r="A253" t="str">
        <f t="shared" si="3"/>
        <v/>
      </c>
      <c r="B253" t="str">
        <f>IF($A253="","",INDEX(Metrics!$A$6:$U$305,MATCH($A253,Metrics!$U$6:$U$305,0),MATCH(B$5,Metrics!$A$5:$U$5,0)))</f>
        <v/>
      </c>
      <c r="C253" t="str">
        <f>IF($A253="","",INDEX(Metrics!$A$6:$U$305,MATCH($A253,Metrics!$U$6:$U$305,0),MATCH(C$5,Metrics!$A$5:$U$5,0)))</f>
        <v/>
      </c>
      <c r="D253" t="str">
        <f>IF($A253="","",INDEX(Metrics!$A$6:$U$305,MATCH($A253,Metrics!$U$6:$U$305,0),MATCH(D$5,Metrics!$A$5:$U$5,0)))</f>
        <v/>
      </c>
      <c r="E253" s="14" t="str">
        <f>IF($A253="","",INDEX(Metrics!$A$6:$U$305,MATCH($A253,Metrics!$U$6:$U$305,0),MATCH(E$5,Metrics!$A$5:$U$5,0)))</f>
        <v/>
      </c>
      <c r="F253" s="7" t="str">
        <f>IF($A253="","",INDEX(Metrics!$A$6:$U$305,MATCH($A253,Metrics!$U$6:$U$305,0),MATCH(F$5,Metrics!$A$5:$U$5,0)))</f>
        <v/>
      </c>
      <c r="G253" s="9" t="str">
        <f>IF($A253="","",INDEX(Metrics!$A$6:$U$305,MATCH($A253,Metrics!$U$6:$U$305,0),MATCH(G$5,Metrics!$A$5:$U$5,0)))</f>
        <v/>
      </c>
      <c r="H253" s="9" t="str">
        <f>IF($A253="","",INDEX(Metrics!$A$6:$U$305,MATCH($A253,Metrics!$U$6:$U$305,0),MATCH(H$5,Metrics!$A$5:$U$5,0)))</f>
        <v/>
      </c>
      <c r="I253" s="7" t="str">
        <f>IF($A253="","",INDEX(Metrics!$A$6:$U$305,MATCH($A253,Metrics!$U$6:$U$305,0),MATCH(I$5,Metrics!$A$5:$U$5,0)))</f>
        <v/>
      </c>
      <c r="J253" s="9" t="str">
        <f>IF($A253="","",INDEX(Metrics!$A$6:$U$305,MATCH($A253,Metrics!$U$6:$U$305,0),MATCH(J$5,Metrics!$A$5:$U$5,0)))</f>
        <v/>
      </c>
      <c r="K253" s="10" t="str">
        <f>IF($A253="","",INDEX(Metrics!$A$6:$U$305,MATCH($A253,Metrics!$U$6:$U$305,0),MATCH(K$5,Metrics!$A$5:$U$5,0)))</f>
        <v/>
      </c>
      <c r="L253" t="str">
        <f>IF($A253="","",INDEX(Metrics!$A$6:$U$305,MATCH($A253,Metrics!$U$6:$U$305,0),MATCH(L$5,Metrics!$A$5:$U$5,0)))</f>
        <v/>
      </c>
      <c r="M253" t="str">
        <f>IF($A253="","",INDEX(Metrics!$A$6:$U$305,MATCH($A253,Metrics!$U$6:$U$305,0),MATCH(M$5,Metrics!$A$5:$U$5,0)))</f>
        <v/>
      </c>
      <c r="N253" t="str">
        <f>IF($A253="","",INDEX(Metrics!$A$6:$U$305,MATCH($A253,Metrics!$U$6:$U$305,0),MATCH(N$5,Metrics!$A$5:$U$5,0)))</f>
        <v/>
      </c>
      <c r="O253" t="str">
        <f>IF($A253="","",INDEX(Metrics!$A$6:$U$305,MATCH($A253,Metrics!$U$6:$U$305,0),MATCH(O$5,Metrics!$A$5:$U$5,0)))</f>
        <v/>
      </c>
      <c r="P253" t="str">
        <f>IF($A253="","",INDEX(Metrics!$A$6:$U$305,MATCH($A253,Metrics!$U$6:$U$305,0),MATCH(P$5,Metrics!$A$5:$U$5,0)))</f>
        <v/>
      </c>
    </row>
    <row r="254" spans="1:16" x14ac:dyDescent="0.4">
      <c r="A254" t="str">
        <f t="shared" si="3"/>
        <v/>
      </c>
      <c r="B254" t="str">
        <f>IF($A254="","",INDEX(Metrics!$A$6:$U$305,MATCH($A254,Metrics!$U$6:$U$305,0),MATCH(B$5,Metrics!$A$5:$U$5,0)))</f>
        <v/>
      </c>
      <c r="C254" t="str">
        <f>IF($A254="","",INDEX(Metrics!$A$6:$U$305,MATCH($A254,Metrics!$U$6:$U$305,0),MATCH(C$5,Metrics!$A$5:$U$5,0)))</f>
        <v/>
      </c>
      <c r="D254" t="str">
        <f>IF($A254="","",INDEX(Metrics!$A$6:$U$305,MATCH($A254,Metrics!$U$6:$U$305,0),MATCH(D$5,Metrics!$A$5:$U$5,0)))</f>
        <v/>
      </c>
      <c r="E254" s="14" t="str">
        <f>IF($A254="","",INDEX(Metrics!$A$6:$U$305,MATCH($A254,Metrics!$U$6:$U$305,0),MATCH(E$5,Metrics!$A$5:$U$5,0)))</f>
        <v/>
      </c>
      <c r="F254" s="7" t="str">
        <f>IF($A254="","",INDEX(Metrics!$A$6:$U$305,MATCH($A254,Metrics!$U$6:$U$305,0),MATCH(F$5,Metrics!$A$5:$U$5,0)))</f>
        <v/>
      </c>
      <c r="G254" s="9" t="str">
        <f>IF($A254="","",INDEX(Metrics!$A$6:$U$305,MATCH($A254,Metrics!$U$6:$U$305,0),MATCH(G$5,Metrics!$A$5:$U$5,0)))</f>
        <v/>
      </c>
      <c r="H254" s="9" t="str">
        <f>IF($A254="","",INDEX(Metrics!$A$6:$U$305,MATCH($A254,Metrics!$U$6:$U$305,0),MATCH(H$5,Metrics!$A$5:$U$5,0)))</f>
        <v/>
      </c>
      <c r="I254" s="7" t="str">
        <f>IF($A254="","",INDEX(Metrics!$A$6:$U$305,MATCH($A254,Metrics!$U$6:$U$305,0),MATCH(I$5,Metrics!$A$5:$U$5,0)))</f>
        <v/>
      </c>
      <c r="J254" s="9" t="str">
        <f>IF($A254="","",INDEX(Metrics!$A$6:$U$305,MATCH($A254,Metrics!$U$6:$U$305,0),MATCH(J$5,Metrics!$A$5:$U$5,0)))</f>
        <v/>
      </c>
      <c r="K254" s="10" t="str">
        <f>IF($A254="","",INDEX(Metrics!$A$6:$U$305,MATCH($A254,Metrics!$U$6:$U$305,0),MATCH(K$5,Metrics!$A$5:$U$5,0)))</f>
        <v/>
      </c>
      <c r="L254" t="str">
        <f>IF($A254="","",INDEX(Metrics!$A$6:$U$305,MATCH($A254,Metrics!$U$6:$U$305,0),MATCH(L$5,Metrics!$A$5:$U$5,0)))</f>
        <v/>
      </c>
      <c r="M254" t="str">
        <f>IF($A254="","",INDEX(Metrics!$A$6:$U$305,MATCH($A254,Metrics!$U$6:$U$305,0),MATCH(M$5,Metrics!$A$5:$U$5,0)))</f>
        <v/>
      </c>
      <c r="N254" t="str">
        <f>IF($A254="","",INDEX(Metrics!$A$6:$U$305,MATCH($A254,Metrics!$U$6:$U$305,0),MATCH(N$5,Metrics!$A$5:$U$5,0)))</f>
        <v/>
      </c>
      <c r="O254" t="str">
        <f>IF($A254="","",INDEX(Metrics!$A$6:$U$305,MATCH($A254,Metrics!$U$6:$U$305,0),MATCH(O$5,Metrics!$A$5:$U$5,0)))</f>
        <v/>
      </c>
      <c r="P254" t="str">
        <f>IF($A254="","",INDEX(Metrics!$A$6:$U$305,MATCH($A254,Metrics!$U$6:$U$305,0),MATCH(P$5,Metrics!$A$5:$U$5,0)))</f>
        <v/>
      </c>
    </row>
    <row r="255" spans="1:16" x14ac:dyDescent="0.4">
      <c r="A255" t="str">
        <f t="shared" si="3"/>
        <v/>
      </c>
      <c r="B255" t="str">
        <f>IF($A255="","",INDEX(Metrics!$A$6:$U$305,MATCH($A255,Metrics!$U$6:$U$305,0),MATCH(B$5,Metrics!$A$5:$U$5,0)))</f>
        <v/>
      </c>
      <c r="C255" t="str">
        <f>IF($A255="","",INDEX(Metrics!$A$6:$U$305,MATCH($A255,Metrics!$U$6:$U$305,0),MATCH(C$5,Metrics!$A$5:$U$5,0)))</f>
        <v/>
      </c>
      <c r="D255" t="str">
        <f>IF($A255="","",INDEX(Metrics!$A$6:$U$305,MATCH($A255,Metrics!$U$6:$U$305,0),MATCH(D$5,Metrics!$A$5:$U$5,0)))</f>
        <v/>
      </c>
      <c r="E255" s="14" t="str">
        <f>IF($A255="","",INDEX(Metrics!$A$6:$U$305,MATCH($A255,Metrics!$U$6:$U$305,0),MATCH(E$5,Metrics!$A$5:$U$5,0)))</f>
        <v/>
      </c>
      <c r="F255" s="7" t="str">
        <f>IF($A255="","",INDEX(Metrics!$A$6:$U$305,MATCH($A255,Metrics!$U$6:$U$305,0),MATCH(F$5,Metrics!$A$5:$U$5,0)))</f>
        <v/>
      </c>
      <c r="G255" s="9" t="str">
        <f>IF($A255="","",INDEX(Metrics!$A$6:$U$305,MATCH($A255,Metrics!$U$6:$U$305,0),MATCH(G$5,Metrics!$A$5:$U$5,0)))</f>
        <v/>
      </c>
      <c r="H255" s="9" t="str">
        <f>IF($A255="","",INDEX(Metrics!$A$6:$U$305,MATCH($A255,Metrics!$U$6:$U$305,0),MATCH(H$5,Metrics!$A$5:$U$5,0)))</f>
        <v/>
      </c>
      <c r="I255" s="7" t="str">
        <f>IF($A255="","",INDEX(Metrics!$A$6:$U$305,MATCH($A255,Metrics!$U$6:$U$305,0),MATCH(I$5,Metrics!$A$5:$U$5,0)))</f>
        <v/>
      </c>
      <c r="J255" s="9" t="str">
        <f>IF($A255="","",INDEX(Metrics!$A$6:$U$305,MATCH($A255,Metrics!$U$6:$U$305,0),MATCH(J$5,Metrics!$A$5:$U$5,0)))</f>
        <v/>
      </c>
      <c r="K255" s="10" t="str">
        <f>IF($A255="","",INDEX(Metrics!$A$6:$U$305,MATCH($A255,Metrics!$U$6:$U$305,0),MATCH(K$5,Metrics!$A$5:$U$5,0)))</f>
        <v/>
      </c>
      <c r="L255" t="str">
        <f>IF($A255="","",INDEX(Metrics!$A$6:$U$305,MATCH($A255,Metrics!$U$6:$U$305,0),MATCH(L$5,Metrics!$A$5:$U$5,0)))</f>
        <v/>
      </c>
      <c r="M255" t="str">
        <f>IF($A255="","",INDEX(Metrics!$A$6:$U$305,MATCH($A255,Metrics!$U$6:$U$305,0),MATCH(M$5,Metrics!$A$5:$U$5,0)))</f>
        <v/>
      </c>
      <c r="N255" t="str">
        <f>IF($A255="","",INDEX(Metrics!$A$6:$U$305,MATCH($A255,Metrics!$U$6:$U$305,0),MATCH(N$5,Metrics!$A$5:$U$5,0)))</f>
        <v/>
      </c>
      <c r="O255" t="str">
        <f>IF($A255="","",INDEX(Metrics!$A$6:$U$305,MATCH($A255,Metrics!$U$6:$U$305,0),MATCH(O$5,Metrics!$A$5:$U$5,0)))</f>
        <v/>
      </c>
      <c r="P255" t="str">
        <f>IF($A255="","",INDEX(Metrics!$A$6:$U$305,MATCH($A255,Metrics!$U$6:$U$305,0),MATCH(P$5,Metrics!$A$5:$U$5,0)))</f>
        <v/>
      </c>
    </row>
    <row r="256" spans="1:16" x14ac:dyDescent="0.4">
      <c r="A256" t="str">
        <f t="shared" si="3"/>
        <v/>
      </c>
      <c r="B256" t="str">
        <f>IF($A256="","",INDEX(Metrics!$A$6:$U$305,MATCH($A256,Metrics!$U$6:$U$305,0),MATCH(B$5,Metrics!$A$5:$U$5,0)))</f>
        <v/>
      </c>
      <c r="C256" t="str">
        <f>IF($A256="","",INDEX(Metrics!$A$6:$U$305,MATCH($A256,Metrics!$U$6:$U$305,0),MATCH(C$5,Metrics!$A$5:$U$5,0)))</f>
        <v/>
      </c>
      <c r="D256" t="str">
        <f>IF($A256="","",INDEX(Metrics!$A$6:$U$305,MATCH($A256,Metrics!$U$6:$U$305,0),MATCH(D$5,Metrics!$A$5:$U$5,0)))</f>
        <v/>
      </c>
      <c r="E256" s="14" t="str">
        <f>IF($A256="","",INDEX(Metrics!$A$6:$U$305,MATCH($A256,Metrics!$U$6:$U$305,0),MATCH(E$5,Metrics!$A$5:$U$5,0)))</f>
        <v/>
      </c>
      <c r="F256" s="7" t="str">
        <f>IF($A256="","",INDEX(Metrics!$A$6:$U$305,MATCH($A256,Metrics!$U$6:$U$305,0),MATCH(F$5,Metrics!$A$5:$U$5,0)))</f>
        <v/>
      </c>
      <c r="G256" s="9" t="str">
        <f>IF($A256="","",INDEX(Metrics!$A$6:$U$305,MATCH($A256,Metrics!$U$6:$U$305,0),MATCH(G$5,Metrics!$A$5:$U$5,0)))</f>
        <v/>
      </c>
      <c r="H256" s="9" t="str">
        <f>IF($A256="","",INDEX(Metrics!$A$6:$U$305,MATCH($A256,Metrics!$U$6:$U$305,0),MATCH(H$5,Metrics!$A$5:$U$5,0)))</f>
        <v/>
      </c>
      <c r="I256" s="7" t="str">
        <f>IF($A256="","",INDEX(Metrics!$A$6:$U$305,MATCH($A256,Metrics!$U$6:$U$305,0),MATCH(I$5,Metrics!$A$5:$U$5,0)))</f>
        <v/>
      </c>
      <c r="J256" s="9" t="str">
        <f>IF($A256="","",INDEX(Metrics!$A$6:$U$305,MATCH($A256,Metrics!$U$6:$U$305,0),MATCH(J$5,Metrics!$A$5:$U$5,0)))</f>
        <v/>
      </c>
      <c r="K256" s="10" t="str">
        <f>IF($A256="","",INDEX(Metrics!$A$6:$U$305,MATCH($A256,Metrics!$U$6:$U$305,0),MATCH(K$5,Metrics!$A$5:$U$5,0)))</f>
        <v/>
      </c>
      <c r="L256" t="str">
        <f>IF($A256="","",INDEX(Metrics!$A$6:$U$305,MATCH($A256,Metrics!$U$6:$U$305,0),MATCH(L$5,Metrics!$A$5:$U$5,0)))</f>
        <v/>
      </c>
      <c r="M256" t="str">
        <f>IF($A256="","",INDEX(Metrics!$A$6:$U$305,MATCH($A256,Metrics!$U$6:$U$305,0),MATCH(M$5,Metrics!$A$5:$U$5,0)))</f>
        <v/>
      </c>
      <c r="N256" t="str">
        <f>IF($A256="","",INDEX(Metrics!$A$6:$U$305,MATCH($A256,Metrics!$U$6:$U$305,0),MATCH(N$5,Metrics!$A$5:$U$5,0)))</f>
        <v/>
      </c>
      <c r="O256" t="str">
        <f>IF($A256="","",INDEX(Metrics!$A$6:$U$305,MATCH($A256,Metrics!$U$6:$U$305,0),MATCH(O$5,Metrics!$A$5:$U$5,0)))</f>
        <v/>
      </c>
      <c r="P256" t="str">
        <f>IF($A256="","",INDEX(Metrics!$A$6:$U$305,MATCH($A256,Metrics!$U$6:$U$305,0),MATCH(P$5,Metrics!$A$5:$U$5,0)))</f>
        <v/>
      </c>
    </row>
    <row r="257" spans="1:16" x14ac:dyDescent="0.4">
      <c r="A257" t="str">
        <f t="shared" si="3"/>
        <v/>
      </c>
      <c r="B257" t="str">
        <f>IF($A257="","",INDEX(Metrics!$A$6:$U$305,MATCH($A257,Metrics!$U$6:$U$305,0),MATCH(B$5,Metrics!$A$5:$U$5,0)))</f>
        <v/>
      </c>
      <c r="C257" t="str">
        <f>IF($A257="","",INDEX(Metrics!$A$6:$U$305,MATCH($A257,Metrics!$U$6:$U$305,0),MATCH(C$5,Metrics!$A$5:$U$5,0)))</f>
        <v/>
      </c>
      <c r="D257" t="str">
        <f>IF($A257="","",INDEX(Metrics!$A$6:$U$305,MATCH($A257,Metrics!$U$6:$U$305,0),MATCH(D$5,Metrics!$A$5:$U$5,0)))</f>
        <v/>
      </c>
      <c r="E257" s="14" t="str">
        <f>IF($A257="","",INDEX(Metrics!$A$6:$U$305,MATCH($A257,Metrics!$U$6:$U$305,0),MATCH(E$5,Metrics!$A$5:$U$5,0)))</f>
        <v/>
      </c>
      <c r="F257" s="7" t="str">
        <f>IF($A257="","",INDEX(Metrics!$A$6:$U$305,MATCH($A257,Metrics!$U$6:$U$305,0),MATCH(F$5,Metrics!$A$5:$U$5,0)))</f>
        <v/>
      </c>
      <c r="G257" s="9" t="str">
        <f>IF($A257="","",INDEX(Metrics!$A$6:$U$305,MATCH($A257,Metrics!$U$6:$U$305,0),MATCH(G$5,Metrics!$A$5:$U$5,0)))</f>
        <v/>
      </c>
      <c r="H257" s="9" t="str">
        <f>IF($A257="","",INDEX(Metrics!$A$6:$U$305,MATCH($A257,Metrics!$U$6:$U$305,0),MATCH(H$5,Metrics!$A$5:$U$5,0)))</f>
        <v/>
      </c>
      <c r="I257" s="7" t="str">
        <f>IF($A257="","",INDEX(Metrics!$A$6:$U$305,MATCH($A257,Metrics!$U$6:$U$305,0),MATCH(I$5,Metrics!$A$5:$U$5,0)))</f>
        <v/>
      </c>
      <c r="J257" s="9" t="str">
        <f>IF($A257="","",INDEX(Metrics!$A$6:$U$305,MATCH($A257,Metrics!$U$6:$U$305,0),MATCH(J$5,Metrics!$A$5:$U$5,0)))</f>
        <v/>
      </c>
      <c r="K257" s="10" t="str">
        <f>IF($A257="","",INDEX(Metrics!$A$6:$U$305,MATCH($A257,Metrics!$U$6:$U$305,0),MATCH(K$5,Metrics!$A$5:$U$5,0)))</f>
        <v/>
      </c>
      <c r="L257" t="str">
        <f>IF($A257="","",INDEX(Metrics!$A$6:$U$305,MATCH($A257,Metrics!$U$6:$U$305,0),MATCH(L$5,Metrics!$A$5:$U$5,0)))</f>
        <v/>
      </c>
      <c r="M257" t="str">
        <f>IF($A257="","",INDEX(Metrics!$A$6:$U$305,MATCH($A257,Metrics!$U$6:$U$305,0),MATCH(M$5,Metrics!$A$5:$U$5,0)))</f>
        <v/>
      </c>
      <c r="N257" t="str">
        <f>IF($A257="","",INDEX(Metrics!$A$6:$U$305,MATCH($A257,Metrics!$U$6:$U$305,0),MATCH(N$5,Metrics!$A$5:$U$5,0)))</f>
        <v/>
      </c>
      <c r="O257" t="str">
        <f>IF($A257="","",INDEX(Metrics!$A$6:$U$305,MATCH($A257,Metrics!$U$6:$U$305,0),MATCH(O$5,Metrics!$A$5:$U$5,0)))</f>
        <v/>
      </c>
      <c r="P257" t="str">
        <f>IF($A257="","",INDEX(Metrics!$A$6:$U$305,MATCH($A257,Metrics!$U$6:$U$305,0),MATCH(P$5,Metrics!$A$5:$U$5,0)))</f>
        <v/>
      </c>
    </row>
    <row r="258" spans="1:16" x14ac:dyDescent="0.4">
      <c r="A258" t="str">
        <f t="shared" si="3"/>
        <v/>
      </c>
      <c r="B258" t="str">
        <f>IF($A258="","",INDEX(Metrics!$A$6:$U$305,MATCH($A258,Metrics!$U$6:$U$305,0),MATCH(B$5,Metrics!$A$5:$U$5,0)))</f>
        <v/>
      </c>
      <c r="C258" t="str">
        <f>IF($A258="","",INDEX(Metrics!$A$6:$U$305,MATCH($A258,Metrics!$U$6:$U$305,0),MATCH(C$5,Metrics!$A$5:$U$5,0)))</f>
        <v/>
      </c>
      <c r="D258" t="str">
        <f>IF($A258="","",INDEX(Metrics!$A$6:$U$305,MATCH($A258,Metrics!$U$6:$U$305,0),MATCH(D$5,Metrics!$A$5:$U$5,0)))</f>
        <v/>
      </c>
      <c r="E258" s="14" t="str">
        <f>IF($A258="","",INDEX(Metrics!$A$6:$U$305,MATCH($A258,Metrics!$U$6:$U$305,0),MATCH(E$5,Metrics!$A$5:$U$5,0)))</f>
        <v/>
      </c>
      <c r="F258" s="7" t="str">
        <f>IF($A258="","",INDEX(Metrics!$A$6:$U$305,MATCH($A258,Metrics!$U$6:$U$305,0),MATCH(F$5,Metrics!$A$5:$U$5,0)))</f>
        <v/>
      </c>
      <c r="G258" s="9" t="str">
        <f>IF($A258="","",INDEX(Metrics!$A$6:$U$305,MATCH($A258,Metrics!$U$6:$U$305,0),MATCH(G$5,Metrics!$A$5:$U$5,0)))</f>
        <v/>
      </c>
      <c r="H258" s="9" t="str">
        <f>IF($A258="","",INDEX(Metrics!$A$6:$U$305,MATCH($A258,Metrics!$U$6:$U$305,0),MATCH(H$5,Metrics!$A$5:$U$5,0)))</f>
        <v/>
      </c>
      <c r="I258" s="7" t="str">
        <f>IF($A258="","",INDEX(Metrics!$A$6:$U$305,MATCH($A258,Metrics!$U$6:$U$305,0),MATCH(I$5,Metrics!$A$5:$U$5,0)))</f>
        <v/>
      </c>
      <c r="J258" s="9" t="str">
        <f>IF($A258="","",INDEX(Metrics!$A$6:$U$305,MATCH($A258,Metrics!$U$6:$U$305,0),MATCH(J$5,Metrics!$A$5:$U$5,0)))</f>
        <v/>
      </c>
      <c r="K258" s="10" t="str">
        <f>IF($A258="","",INDEX(Metrics!$A$6:$U$305,MATCH($A258,Metrics!$U$6:$U$305,0),MATCH(K$5,Metrics!$A$5:$U$5,0)))</f>
        <v/>
      </c>
      <c r="L258" t="str">
        <f>IF($A258="","",INDEX(Metrics!$A$6:$U$305,MATCH($A258,Metrics!$U$6:$U$305,0),MATCH(L$5,Metrics!$A$5:$U$5,0)))</f>
        <v/>
      </c>
      <c r="M258" t="str">
        <f>IF($A258="","",INDEX(Metrics!$A$6:$U$305,MATCH($A258,Metrics!$U$6:$U$305,0),MATCH(M$5,Metrics!$A$5:$U$5,0)))</f>
        <v/>
      </c>
      <c r="N258" t="str">
        <f>IF($A258="","",INDEX(Metrics!$A$6:$U$305,MATCH($A258,Metrics!$U$6:$U$305,0),MATCH(N$5,Metrics!$A$5:$U$5,0)))</f>
        <v/>
      </c>
      <c r="O258" t="str">
        <f>IF($A258="","",INDEX(Metrics!$A$6:$U$305,MATCH($A258,Metrics!$U$6:$U$305,0),MATCH(O$5,Metrics!$A$5:$U$5,0)))</f>
        <v/>
      </c>
      <c r="P258" t="str">
        <f>IF($A258="","",INDEX(Metrics!$A$6:$U$305,MATCH($A258,Metrics!$U$6:$U$305,0),MATCH(P$5,Metrics!$A$5:$U$5,0)))</f>
        <v/>
      </c>
    </row>
    <row r="259" spans="1:16" x14ac:dyDescent="0.4">
      <c r="A259" t="str">
        <f t="shared" si="3"/>
        <v/>
      </c>
      <c r="B259" t="str">
        <f>IF($A259="","",INDEX(Metrics!$A$6:$U$305,MATCH($A259,Metrics!$U$6:$U$305,0),MATCH(B$5,Metrics!$A$5:$U$5,0)))</f>
        <v/>
      </c>
      <c r="C259" t="str">
        <f>IF($A259="","",INDEX(Metrics!$A$6:$U$305,MATCH($A259,Metrics!$U$6:$U$305,0),MATCH(C$5,Metrics!$A$5:$U$5,0)))</f>
        <v/>
      </c>
      <c r="D259" t="str">
        <f>IF($A259="","",INDEX(Metrics!$A$6:$U$305,MATCH($A259,Metrics!$U$6:$U$305,0),MATCH(D$5,Metrics!$A$5:$U$5,0)))</f>
        <v/>
      </c>
      <c r="E259" s="14" t="str">
        <f>IF($A259="","",INDEX(Metrics!$A$6:$U$305,MATCH($A259,Metrics!$U$6:$U$305,0),MATCH(E$5,Metrics!$A$5:$U$5,0)))</f>
        <v/>
      </c>
      <c r="F259" s="7" t="str">
        <f>IF($A259="","",INDEX(Metrics!$A$6:$U$305,MATCH($A259,Metrics!$U$6:$U$305,0),MATCH(F$5,Metrics!$A$5:$U$5,0)))</f>
        <v/>
      </c>
      <c r="G259" s="9" t="str">
        <f>IF($A259="","",INDEX(Metrics!$A$6:$U$305,MATCH($A259,Metrics!$U$6:$U$305,0),MATCH(G$5,Metrics!$A$5:$U$5,0)))</f>
        <v/>
      </c>
      <c r="H259" s="9" t="str">
        <f>IF($A259="","",INDEX(Metrics!$A$6:$U$305,MATCH($A259,Metrics!$U$6:$U$305,0),MATCH(H$5,Metrics!$A$5:$U$5,0)))</f>
        <v/>
      </c>
      <c r="I259" s="7" t="str">
        <f>IF($A259="","",INDEX(Metrics!$A$6:$U$305,MATCH($A259,Metrics!$U$6:$U$305,0),MATCH(I$5,Metrics!$A$5:$U$5,0)))</f>
        <v/>
      </c>
      <c r="J259" s="9" t="str">
        <f>IF($A259="","",INDEX(Metrics!$A$6:$U$305,MATCH($A259,Metrics!$U$6:$U$305,0),MATCH(J$5,Metrics!$A$5:$U$5,0)))</f>
        <v/>
      </c>
      <c r="K259" s="10" t="str">
        <f>IF($A259="","",INDEX(Metrics!$A$6:$U$305,MATCH($A259,Metrics!$U$6:$U$305,0),MATCH(K$5,Metrics!$A$5:$U$5,0)))</f>
        <v/>
      </c>
      <c r="L259" t="str">
        <f>IF($A259="","",INDEX(Metrics!$A$6:$U$305,MATCH($A259,Metrics!$U$6:$U$305,0),MATCH(L$5,Metrics!$A$5:$U$5,0)))</f>
        <v/>
      </c>
      <c r="M259" t="str">
        <f>IF($A259="","",INDEX(Metrics!$A$6:$U$305,MATCH($A259,Metrics!$U$6:$U$305,0),MATCH(M$5,Metrics!$A$5:$U$5,0)))</f>
        <v/>
      </c>
      <c r="N259" t="str">
        <f>IF($A259="","",INDEX(Metrics!$A$6:$U$305,MATCH($A259,Metrics!$U$6:$U$305,0),MATCH(N$5,Metrics!$A$5:$U$5,0)))</f>
        <v/>
      </c>
      <c r="O259" t="str">
        <f>IF($A259="","",INDEX(Metrics!$A$6:$U$305,MATCH($A259,Metrics!$U$6:$U$305,0),MATCH(O$5,Metrics!$A$5:$U$5,0)))</f>
        <v/>
      </c>
      <c r="P259" t="str">
        <f>IF($A259="","",INDEX(Metrics!$A$6:$U$305,MATCH($A259,Metrics!$U$6:$U$305,0),MATCH(P$5,Metrics!$A$5:$U$5,0)))</f>
        <v/>
      </c>
    </row>
    <row r="260" spans="1:16" x14ac:dyDescent="0.4">
      <c r="A260" t="str">
        <f t="shared" si="3"/>
        <v/>
      </c>
      <c r="B260" t="str">
        <f>IF($A260="","",INDEX(Metrics!$A$6:$U$305,MATCH($A260,Metrics!$U$6:$U$305,0),MATCH(B$5,Metrics!$A$5:$U$5,0)))</f>
        <v/>
      </c>
      <c r="C260" t="str">
        <f>IF($A260="","",INDEX(Metrics!$A$6:$U$305,MATCH($A260,Metrics!$U$6:$U$305,0),MATCH(C$5,Metrics!$A$5:$U$5,0)))</f>
        <v/>
      </c>
      <c r="D260" t="str">
        <f>IF($A260="","",INDEX(Metrics!$A$6:$U$305,MATCH($A260,Metrics!$U$6:$U$305,0),MATCH(D$5,Metrics!$A$5:$U$5,0)))</f>
        <v/>
      </c>
      <c r="E260" s="14" t="str">
        <f>IF($A260="","",INDEX(Metrics!$A$6:$U$305,MATCH($A260,Metrics!$U$6:$U$305,0),MATCH(E$5,Metrics!$A$5:$U$5,0)))</f>
        <v/>
      </c>
      <c r="F260" s="7" t="str">
        <f>IF($A260="","",INDEX(Metrics!$A$6:$U$305,MATCH($A260,Metrics!$U$6:$U$305,0),MATCH(F$5,Metrics!$A$5:$U$5,0)))</f>
        <v/>
      </c>
      <c r="G260" s="9" t="str">
        <f>IF($A260="","",INDEX(Metrics!$A$6:$U$305,MATCH($A260,Metrics!$U$6:$U$305,0),MATCH(G$5,Metrics!$A$5:$U$5,0)))</f>
        <v/>
      </c>
      <c r="H260" s="9" t="str">
        <f>IF($A260="","",INDEX(Metrics!$A$6:$U$305,MATCH($A260,Metrics!$U$6:$U$305,0),MATCH(H$5,Metrics!$A$5:$U$5,0)))</f>
        <v/>
      </c>
      <c r="I260" s="7" t="str">
        <f>IF($A260="","",INDEX(Metrics!$A$6:$U$305,MATCH($A260,Metrics!$U$6:$U$305,0),MATCH(I$5,Metrics!$A$5:$U$5,0)))</f>
        <v/>
      </c>
      <c r="J260" s="9" t="str">
        <f>IF($A260="","",INDEX(Metrics!$A$6:$U$305,MATCH($A260,Metrics!$U$6:$U$305,0),MATCH(J$5,Metrics!$A$5:$U$5,0)))</f>
        <v/>
      </c>
      <c r="K260" s="10" t="str">
        <f>IF($A260="","",INDEX(Metrics!$A$6:$U$305,MATCH($A260,Metrics!$U$6:$U$305,0),MATCH(K$5,Metrics!$A$5:$U$5,0)))</f>
        <v/>
      </c>
      <c r="L260" t="str">
        <f>IF($A260="","",INDEX(Metrics!$A$6:$U$305,MATCH($A260,Metrics!$U$6:$U$305,0),MATCH(L$5,Metrics!$A$5:$U$5,0)))</f>
        <v/>
      </c>
      <c r="M260" t="str">
        <f>IF($A260="","",INDEX(Metrics!$A$6:$U$305,MATCH($A260,Metrics!$U$6:$U$305,0),MATCH(M$5,Metrics!$A$5:$U$5,0)))</f>
        <v/>
      </c>
      <c r="N260" t="str">
        <f>IF($A260="","",INDEX(Metrics!$A$6:$U$305,MATCH($A260,Metrics!$U$6:$U$305,0),MATCH(N$5,Metrics!$A$5:$U$5,0)))</f>
        <v/>
      </c>
      <c r="O260" t="str">
        <f>IF($A260="","",INDEX(Metrics!$A$6:$U$305,MATCH($A260,Metrics!$U$6:$U$305,0),MATCH(O$5,Metrics!$A$5:$U$5,0)))</f>
        <v/>
      </c>
      <c r="P260" t="str">
        <f>IF($A260="","",INDEX(Metrics!$A$6:$U$305,MATCH($A260,Metrics!$U$6:$U$305,0),MATCH(P$5,Metrics!$A$5:$U$5,0)))</f>
        <v/>
      </c>
    </row>
    <row r="261" spans="1:16" x14ac:dyDescent="0.4">
      <c r="A261" t="str">
        <f t="shared" si="3"/>
        <v/>
      </c>
      <c r="B261" t="str">
        <f>IF($A261="","",INDEX(Metrics!$A$6:$U$305,MATCH($A261,Metrics!$U$6:$U$305,0),MATCH(B$5,Metrics!$A$5:$U$5,0)))</f>
        <v/>
      </c>
      <c r="C261" t="str">
        <f>IF($A261="","",INDEX(Metrics!$A$6:$U$305,MATCH($A261,Metrics!$U$6:$U$305,0),MATCH(C$5,Metrics!$A$5:$U$5,0)))</f>
        <v/>
      </c>
      <c r="D261" t="str">
        <f>IF($A261="","",INDEX(Metrics!$A$6:$U$305,MATCH($A261,Metrics!$U$6:$U$305,0),MATCH(D$5,Metrics!$A$5:$U$5,0)))</f>
        <v/>
      </c>
      <c r="E261" s="14" t="str">
        <f>IF($A261="","",INDEX(Metrics!$A$6:$U$305,MATCH($A261,Metrics!$U$6:$U$305,0),MATCH(E$5,Metrics!$A$5:$U$5,0)))</f>
        <v/>
      </c>
      <c r="F261" s="7" t="str">
        <f>IF($A261="","",INDEX(Metrics!$A$6:$U$305,MATCH($A261,Metrics!$U$6:$U$305,0),MATCH(F$5,Metrics!$A$5:$U$5,0)))</f>
        <v/>
      </c>
      <c r="G261" s="9" t="str">
        <f>IF($A261="","",INDEX(Metrics!$A$6:$U$305,MATCH($A261,Metrics!$U$6:$U$305,0),MATCH(G$5,Metrics!$A$5:$U$5,0)))</f>
        <v/>
      </c>
      <c r="H261" s="9" t="str">
        <f>IF($A261="","",INDEX(Metrics!$A$6:$U$305,MATCH($A261,Metrics!$U$6:$U$305,0),MATCH(H$5,Metrics!$A$5:$U$5,0)))</f>
        <v/>
      </c>
      <c r="I261" s="7" t="str">
        <f>IF($A261="","",INDEX(Metrics!$A$6:$U$305,MATCH($A261,Metrics!$U$6:$U$305,0),MATCH(I$5,Metrics!$A$5:$U$5,0)))</f>
        <v/>
      </c>
      <c r="J261" s="9" t="str">
        <f>IF($A261="","",INDEX(Metrics!$A$6:$U$305,MATCH($A261,Metrics!$U$6:$U$305,0),MATCH(J$5,Metrics!$A$5:$U$5,0)))</f>
        <v/>
      </c>
      <c r="K261" s="10" t="str">
        <f>IF($A261="","",INDEX(Metrics!$A$6:$U$305,MATCH($A261,Metrics!$U$6:$U$305,0),MATCH(K$5,Metrics!$A$5:$U$5,0)))</f>
        <v/>
      </c>
      <c r="L261" t="str">
        <f>IF($A261="","",INDEX(Metrics!$A$6:$U$305,MATCH($A261,Metrics!$U$6:$U$305,0),MATCH(L$5,Metrics!$A$5:$U$5,0)))</f>
        <v/>
      </c>
      <c r="M261" t="str">
        <f>IF($A261="","",INDEX(Metrics!$A$6:$U$305,MATCH($A261,Metrics!$U$6:$U$305,0),MATCH(M$5,Metrics!$A$5:$U$5,0)))</f>
        <v/>
      </c>
      <c r="N261" t="str">
        <f>IF($A261="","",INDEX(Metrics!$A$6:$U$305,MATCH($A261,Metrics!$U$6:$U$305,0),MATCH(N$5,Metrics!$A$5:$U$5,0)))</f>
        <v/>
      </c>
      <c r="O261" t="str">
        <f>IF($A261="","",INDEX(Metrics!$A$6:$U$305,MATCH($A261,Metrics!$U$6:$U$305,0),MATCH(O$5,Metrics!$A$5:$U$5,0)))</f>
        <v/>
      </c>
      <c r="P261" t="str">
        <f>IF($A261="","",INDEX(Metrics!$A$6:$U$305,MATCH($A261,Metrics!$U$6:$U$305,0),MATCH(P$5,Metrics!$A$5:$U$5,0)))</f>
        <v/>
      </c>
    </row>
    <row r="262" spans="1:16" x14ac:dyDescent="0.4">
      <c r="A262" t="str">
        <f t="shared" si="3"/>
        <v/>
      </c>
      <c r="B262" t="str">
        <f>IF($A262="","",INDEX(Metrics!$A$6:$U$305,MATCH($A262,Metrics!$U$6:$U$305,0),MATCH(B$5,Metrics!$A$5:$U$5,0)))</f>
        <v/>
      </c>
      <c r="C262" t="str">
        <f>IF($A262="","",INDEX(Metrics!$A$6:$U$305,MATCH($A262,Metrics!$U$6:$U$305,0),MATCH(C$5,Metrics!$A$5:$U$5,0)))</f>
        <v/>
      </c>
      <c r="D262" t="str">
        <f>IF($A262="","",INDEX(Metrics!$A$6:$U$305,MATCH($A262,Metrics!$U$6:$U$305,0),MATCH(D$5,Metrics!$A$5:$U$5,0)))</f>
        <v/>
      </c>
      <c r="E262" s="14" t="str">
        <f>IF($A262="","",INDEX(Metrics!$A$6:$U$305,MATCH($A262,Metrics!$U$6:$U$305,0),MATCH(E$5,Metrics!$A$5:$U$5,0)))</f>
        <v/>
      </c>
      <c r="F262" s="7" t="str">
        <f>IF($A262="","",INDEX(Metrics!$A$6:$U$305,MATCH($A262,Metrics!$U$6:$U$305,0),MATCH(F$5,Metrics!$A$5:$U$5,0)))</f>
        <v/>
      </c>
      <c r="G262" s="9" t="str">
        <f>IF($A262="","",INDEX(Metrics!$A$6:$U$305,MATCH($A262,Metrics!$U$6:$U$305,0),MATCH(G$5,Metrics!$A$5:$U$5,0)))</f>
        <v/>
      </c>
      <c r="H262" s="9" t="str">
        <f>IF($A262="","",INDEX(Metrics!$A$6:$U$305,MATCH($A262,Metrics!$U$6:$U$305,0),MATCH(H$5,Metrics!$A$5:$U$5,0)))</f>
        <v/>
      </c>
      <c r="I262" s="7" t="str">
        <f>IF($A262="","",INDEX(Metrics!$A$6:$U$305,MATCH($A262,Metrics!$U$6:$U$305,0),MATCH(I$5,Metrics!$A$5:$U$5,0)))</f>
        <v/>
      </c>
      <c r="J262" s="9" t="str">
        <f>IF($A262="","",INDEX(Metrics!$A$6:$U$305,MATCH($A262,Metrics!$U$6:$U$305,0),MATCH(J$5,Metrics!$A$5:$U$5,0)))</f>
        <v/>
      </c>
      <c r="K262" s="10" t="str">
        <f>IF($A262="","",INDEX(Metrics!$A$6:$U$305,MATCH($A262,Metrics!$U$6:$U$305,0),MATCH(K$5,Metrics!$A$5:$U$5,0)))</f>
        <v/>
      </c>
      <c r="L262" t="str">
        <f>IF($A262="","",INDEX(Metrics!$A$6:$U$305,MATCH($A262,Metrics!$U$6:$U$305,0),MATCH(L$5,Metrics!$A$5:$U$5,0)))</f>
        <v/>
      </c>
      <c r="M262" t="str">
        <f>IF($A262="","",INDEX(Metrics!$A$6:$U$305,MATCH($A262,Metrics!$U$6:$U$305,0),MATCH(M$5,Metrics!$A$5:$U$5,0)))</f>
        <v/>
      </c>
      <c r="N262" t="str">
        <f>IF($A262="","",INDEX(Metrics!$A$6:$U$305,MATCH($A262,Metrics!$U$6:$U$305,0),MATCH(N$5,Metrics!$A$5:$U$5,0)))</f>
        <v/>
      </c>
      <c r="O262" t="str">
        <f>IF($A262="","",INDEX(Metrics!$A$6:$U$305,MATCH($A262,Metrics!$U$6:$U$305,0),MATCH(O$5,Metrics!$A$5:$U$5,0)))</f>
        <v/>
      </c>
      <c r="P262" t="str">
        <f>IF($A262="","",INDEX(Metrics!$A$6:$U$305,MATCH($A262,Metrics!$U$6:$U$305,0),MATCH(P$5,Metrics!$A$5:$U$5,0)))</f>
        <v/>
      </c>
    </row>
    <row r="263" spans="1:16" x14ac:dyDescent="0.4">
      <c r="A263" t="str">
        <f t="shared" ref="A263:A305" si="4">IF($A262="","",IF($A262+1&gt;N_Co,"",$A262+1))</f>
        <v/>
      </c>
      <c r="B263" t="str">
        <f>IF($A263="","",INDEX(Metrics!$A$6:$U$305,MATCH($A263,Metrics!$U$6:$U$305,0),MATCH(B$5,Metrics!$A$5:$U$5,0)))</f>
        <v/>
      </c>
      <c r="C263" t="str">
        <f>IF($A263="","",INDEX(Metrics!$A$6:$U$305,MATCH($A263,Metrics!$U$6:$U$305,0),MATCH(C$5,Metrics!$A$5:$U$5,0)))</f>
        <v/>
      </c>
      <c r="D263" t="str">
        <f>IF($A263="","",INDEX(Metrics!$A$6:$U$305,MATCH($A263,Metrics!$U$6:$U$305,0),MATCH(D$5,Metrics!$A$5:$U$5,0)))</f>
        <v/>
      </c>
      <c r="E263" s="14" t="str">
        <f>IF($A263="","",INDEX(Metrics!$A$6:$U$305,MATCH($A263,Metrics!$U$6:$U$305,0),MATCH(E$5,Metrics!$A$5:$U$5,0)))</f>
        <v/>
      </c>
      <c r="F263" s="7" t="str">
        <f>IF($A263="","",INDEX(Metrics!$A$6:$U$305,MATCH($A263,Metrics!$U$6:$U$305,0),MATCH(F$5,Metrics!$A$5:$U$5,0)))</f>
        <v/>
      </c>
      <c r="G263" s="9" t="str">
        <f>IF($A263="","",INDEX(Metrics!$A$6:$U$305,MATCH($A263,Metrics!$U$6:$U$305,0),MATCH(G$5,Metrics!$A$5:$U$5,0)))</f>
        <v/>
      </c>
      <c r="H263" s="9" t="str">
        <f>IF($A263="","",INDEX(Metrics!$A$6:$U$305,MATCH($A263,Metrics!$U$6:$U$305,0),MATCH(H$5,Metrics!$A$5:$U$5,0)))</f>
        <v/>
      </c>
      <c r="I263" s="7" t="str">
        <f>IF($A263="","",INDEX(Metrics!$A$6:$U$305,MATCH($A263,Metrics!$U$6:$U$305,0),MATCH(I$5,Metrics!$A$5:$U$5,0)))</f>
        <v/>
      </c>
      <c r="J263" s="9" t="str">
        <f>IF($A263="","",INDEX(Metrics!$A$6:$U$305,MATCH($A263,Metrics!$U$6:$U$305,0),MATCH(J$5,Metrics!$A$5:$U$5,0)))</f>
        <v/>
      </c>
      <c r="K263" s="10" t="str">
        <f>IF($A263="","",INDEX(Metrics!$A$6:$U$305,MATCH($A263,Metrics!$U$6:$U$305,0),MATCH(K$5,Metrics!$A$5:$U$5,0)))</f>
        <v/>
      </c>
      <c r="L263" t="str">
        <f>IF($A263="","",INDEX(Metrics!$A$6:$U$305,MATCH($A263,Metrics!$U$6:$U$305,0),MATCH(L$5,Metrics!$A$5:$U$5,0)))</f>
        <v/>
      </c>
      <c r="M263" t="str">
        <f>IF($A263="","",INDEX(Metrics!$A$6:$U$305,MATCH($A263,Metrics!$U$6:$U$305,0),MATCH(M$5,Metrics!$A$5:$U$5,0)))</f>
        <v/>
      </c>
      <c r="N263" t="str">
        <f>IF($A263="","",INDEX(Metrics!$A$6:$U$305,MATCH($A263,Metrics!$U$6:$U$305,0),MATCH(N$5,Metrics!$A$5:$U$5,0)))</f>
        <v/>
      </c>
      <c r="O263" t="str">
        <f>IF($A263="","",INDEX(Metrics!$A$6:$U$305,MATCH($A263,Metrics!$U$6:$U$305,0),MATCH(O$5,Metrics!$A$5:$U$5,0)))</f>
        <v/>
      </c>
      <c r="P263" t="str">
        <f>IF($A263="","",INDEX(Metrics!$A$6:$U$305,MATCH($A263,Metrics!$U$6:$U$305,0),MATCH(P$5,Metrics!$A$5:$U$5,0)))</f>
        <v/>
      </c>
    </row>
    <row r="264" spans="1:16" x14ac:dyDescent="0.4">
      <c r="A264" t="str">
        <f t="shared" si="4"/>
        <v/>
      </c>
      <c r="B264" t="str">
        <f>IF($A264="","",INDEX(Metrics!$A$6:$U$305,MATCH($A264,Metrics!$U$6:$U$305,0),MATCH(B$5,Metrics!$A$5:$U$5,0)))</f>
        <v/>
      </c>
      <c r="C264" t="str">
        <f>IF($A264="","",INDEX(Metrics!$A$6:$U$305,MATCH($A264,Metrics!$U$6:$U$305,0),MATCH(C$5,Metrics!$A$5:$U$5,0)))</f>
        <v/>
      </c>
      <c r="D264" t="str">
        <f>IF($A264="","",INDEX(Metrics!$A$6:$U$305,MATCH($A264,Metrics!$U$6:$U$305,0),MATCH(D$5,Metrics!$A$5:$U$5,0)))</f>
        <v/>
      </c>
      <c r="E264" s="14" t="str">
        <f>IF($A264="","",INDEX(Metrics!$A$6:$U$305,MATCH($A264,Metrics!$U$6:$U$305,0),MATCH(E$5,Metrics!$A$5:$U$5,0)))</f>
        <v/>
      </c>
      <c r="F264" s="7" t="str">
        <f>IF($A264="","",INDEX(Metrics!$A$6:$U$305,MATCH($A264,Metrics!$U$6:$U$305,0),MATCH(F$5,Metrics!$A$5:$U$5,0)))</f>
        <v/>
      </c>
      <c r="G264" s="9" t="str">
        <f>IF($A264="","",INDEX(Metrics!$A$6:$U$305,MATCH($A264,Metrics!$U$6:$U$305,0),MATCH(G$5,Metrics!$A$5:$U$5,0)))</f>
        <v/>
      </c>
      <c r="H264" s="9" t="str">
        <f>IF($A264="","",INDEX(Metrics!$A$6:$U$305,MATCH($A264,Metrics!$U$6:$U$305,0),MATCH(H$5,Metrics!$A$5:$U$5,0)))</f>
        <v/>
      </c>
      <c r="I264" s="7" t="str">
        <f>IF($A264="","",INDEX(Metrics!$A$6:$U$305,MATCH($A264,Metrics!$U$6:$U$305,0),MATCH(I$5,Metrics!$A$5:$U$5,0)))</f>
        <v/>
      </c>
      <c r="J264" s="9" t="str">
        <f>IF($A264="","",INDEX(Metrics!$A$6:$U$305,MATCH($A264,Metrics!$U$6:$U$305,0),MATCH(J$5,Metrics!$A$5:$U$5,0)))</f>
        <v/>
      </c>
      <c r="K264" s="10" t="str">
        <f>IF($A264="","",INDEX(Metrics!$A$6:$U$305,MATCH($A264,Metrics!$U$6:$U$305,0),MATCH(K$5,Metrics!$A$5:$U$5,0)))</f>
        <v/>
      </c>
      <c r="L264" t="str">
        <f>IF($A264="","",INDEX(Metrics!$A$6:$U$305,MATCH($A264,Metrics!$U$6:$U$305,0),MATCH(L$5,Metrics!$A$5:$U$5,0)))</f>
        <v/>
      </c>
      <c r="M264" t="str">
        <f>IF($A264="","",INDEX(Metrics!$A$6:$U$305,MATCH($A264,Metrics!$U$6:$U$305,0),MATCH(M$5,Metrics!$A$5:$U$5,0)))</f>
        <v/>
      </c>
      <c r="N264" t="str">
        <f>IF($A264="","",INDEX(Metrics!$A$6:$U$305,MATCH($A264,Metrics!$U$6:$U$305,0),MATCH(N$5,Metrics!$A$5:$U$5,0)))</f>
        <v/>
      </c>
      <c r="O264" t="str">
        <f>IF($A264="","",INDEX(Metrics!$A$6:$U$305,MATCH($A264,Metrics!$U$6:$U$305,0),MATCH(O$5,Metrics!$A$5:$U$5,0)))</f>
        <v/>
      </c>
      <c r="P264" t="str">
        <f>IF($A264="","",INDEX(Metrics!$A$6:$U$305,MATCH($A264,Metrics!$U$6:$U$305,0),MATCH(P$5,Metrics!$A$5:$U$5,0)))</f>
        <v/>
      </c>
    </row>
    <row r="265" spans="1:16" x14ac:dyDescent="0.4">
      <c r="A265" t="str">
        <f t="shared" si="4"/>
        <v/>
      </c>
      <c r="B265" t="str">
        <f>IF($A265="","",INDEX(Metrics!$A$6:$U$305,MATCH($A265,Metrics!$U$6:$U$305,0),MATCH(B$5,Metrics!$A$5:$U$5,0)))</f>
        <v/>
      </c>
      <c r="C265" t="str">
        <f>IF($A265="","",INDEX(Metrics!$A$6:$U$305,MATCH($A265,Metrics!$U$6:$U$305,0),MATCH(C$5,Metrics!$A$5:$U$5,0)))</f>
        <v/>
      </c>
      <c r="D265" t="str">
        <f>IF($A265="","",INDEX(Metrics!$A$6:$U$305,MATCH($A265,Metrics!$U$6:$U$305,0),MATCH(D$5,Metrics!$A$5:$U$5,0)))</f>
        <v/>
      </c>
      <c r="E265" s="14" t="str">
        <f>IF($A265="","",INDEX(Metrics!$A$6:$U$305,MATCH($A265,Metrics!$U$6:$U$305,0),MATCH(E$5,Metrics!$A$5:$U$5,0)))</f>
        <v/>
      </c>
      <c r="F265" s="7" t="str">
        <f>IF($A265="","",INDEX(Metrics!$A$6:$U$305,MATCH($A265,Metrics!$U$6:$U$305,0),MATCH(F$5,Metrics!$A$5:$U$5,0)))</f>
        <v/>
      </c>
      <c r="G265" s="9" t="str">
        <f>IF($A265="","",INDEX(Metrics!$A$6:$U$305,MATCH($A265,Metrics!$U$6:$U$305,0),MATCH(G$5,Metrics!$A$5:$U$5,0)))</f>
        <v/>
      </c>
      <c r="H265" s="9" t="str">
        <f>IF($A265="","",INDEX(Metrics!$A$6:$U$305,MATCH($A265,Metrics!$U$6:$U$305,0),MATCH(H$5,Metrics!$A$5:$U$5,0)))</f>
        <v/>
      </c>
      <c r="I265" s="7" t="str">
        <f>IF($A265="","",INDEX(Metrics!$A$6:$U$305,MATCH($A265,Metrics!$U$6:$U$305,0),MATCH(I$5,Metrics!$A$5:$U$5,0)))</f>
        <v/>
      </c>
      <c r="J265" s="9" t="str">
        <f>IF($A265="","",INDEX(Metrics!$A$6:$U$305,MATCH($A265,Metrics!$U$6:$U$305,0),MATCH(J$5,Metrics!$A$5:$U$5,0)))</f>
        <v/>
      </c>
      <c r="K265" s="10" t="str">
        <f>IF($A265="","",INDEX(Metrics!$A$6:$U$305,MATCH($A265,Metrics!$U$6:$U$305,0),MATCH(K$5,Metrics!$A$5:$U$5,0)))</f>
        <v/>
      </c>
      <c r="L265" t="str">
        <f>IF($A265="","",INDEX(Metrics!$A$6:$U$305,MATCH($A265,Metrics!$U$6:$U$305,0),MATCH(L$5,Metrics!$A$5:$U$5,0)))</f>
        <v/>
      </c>
      <c r="M265" t="str">
        <f>IF($A265="","",INDEX(Metrics!$A$6:$U$305,MATCH($A265,Metrics!$U$6:$U$305,0),MATCH(M$5,Metrics!$A$5:$U$5,0)))</f>
        <v/>
      </c>
      <c r="N265" t="str">
        <f>IF($A265="","",INDEX(Metrics!$A$6:$U$305,MATCH($A265,Metrics!$U$6:$U$305,0),MATCH(N$5,Metrics!$A$5:$U$5,0)))</f>
        <v/>
      </c>
      <c r="O265" t="str">
        <f>IF($A265="","",INDEX(Metrics!$A$6:$U$305,MATCH($A265,Metrics!$U$6:$U$305,0),MATCH(O$5,Metrics!$A$5:$U$5,0)))</f>
        <v/>
      </c>
      <c r="P265" t="str">
        <f>IF($A265="","",INDEX(Metrics!$A$6:$U$305,MATCH($A265,Metrics!$U$6:$U$305,0),MATCH(P$5,Metrics!$A$5:$U$5,0)))</f>
        <v/>
      </c>
    </row>
    <row r="266" spans="1:16" x14ac:dyDescent="0.4">
      <c r="A266" t="str">
        <f t="shared" si="4"/>
        <v/>
      </c>
      <c r="B266" t="str">
        <f>IF($A266="","",INDEX(Metrics!$A$6:$U$305,MATCH($A266,Metrics!$U$6:$U$305,0),MATCH(B$5,Metrics!$A$5:$U$5,0)))</f>
        <v/>
      </c>
      <c r="C266" t="str">
        <f>IF($A266="","",INDEX(Metrics!$A$6:$U$305,MATCH($A266,Metrics!$U$6:$U$305,0),MATCH(C$5,Metrics!$A$5:$U$5,0)))</f>
        <v/>
      </c>
      <c r="D266" t="str">
        <f>IF($A266="","",INDEX(Metrics!$A$6:$U$305,MATCH($A266,Metrics!$U$6:$U$305,0),MATCH(D$5,Metrics!$A$5:$U$5,0)))</f>
        <v/>
      </c>
      <c r="E266" s="14" t="str">
        <f>IF($A266="","",INDEX(Metrics!$A$6:$U$305,MATCH($A266,Metrics!$U$6:$U$305,0),MATCH(E$5,Metrics!$A$5:$U$5,0)))</f>
        <v/>
      </c>
      <c r="F266" s="7" t="str">
        <f>IF($A266="","",INDEX(Metrics!$A$6:$U$305,MATCH($A266,Metrics!$U$6:$U$305,0),MATCH(F$5,Metrics!$A$5:$U$5,0)))</f>
        <v/>
      </c>
      <c r="G266" s="9" t="str">
        <f>IF($A266="","",INDEX(Metrics!$A$6:$U$305,MATCH($A266,Metrics!$U$6:$U$305,0),MATCH(G$5,Metrics!$A$5:$U$5,0)))</f>
        <v/>
      </c>
      <c r="H266" s="9" t="str">
        <f>IF($A266="","",INDEX(Metrics!$A$6:$U$305,MATCH($A266,Metrics!$U$6:$U$305,0),MATCH(H$5,Metrics!$A$5:$U$5,0)))</f>
        <v/>
      </c>
      <c r="I266" s="7" t="str">
        <f>IF($A266="","",INDEX(Metrics!$A$6:$U$305,MATCH($A266,Metrics!$U$6:$U$305,0),MATCH(I$5,Metrics!$A$5:$U$5,0)))</f>
        <v/>
      </c>
      <c r="J266" s="9" t="str">
        <f>IF($A266="","",INDEX(Metrics!$A$6:$U$305,MATCH($A266,Metrics!$U$6:$U$305,0),MATCH(J$5,Metrics!$A$5:$U$5,0)))</f>
        <v/>
      </c>
      <c r="K266" s="10" t="str">
        <f>IF($A266="","",INDEX(Metrics!$A$6:$U$305,MATCH($A266,Metrics!$U$6:$U$305,0),MATCH(K$5,Metrics!$A$5:$U$5,0)))</f>
        <v/>
      </c>
      <c r="L266" t="str">
        <f>IF($A266="","",INDEX(Metrics!$A$6:$U$305,MATCH($A266,Metrics!$U$6:$U$305,0),MATCH(L$5,Metrics!$A$5:$U$5,0)))</f>
        <v/>
      </c>
      <c r="M266" t="str">
        <f>IF($A266="","",INDEX(Metrics!$A$6:$U$305,MATCH($A266,Metrics!$U$6:$U$305,0),MATCH(M$5,Metrics!$A$5:$U$5,0)))</f>
        <v/>
      </c>
      <c r="N266" t="str">
        <f>IF($A266="","",INDEX(Metrics!$A$6:$U$305,MATCH($A266,Metrics!$U$6:$U$305,0),MATCH(N$5,Metrics!$A$5:$U$5,0)))</f>
        <v/>
      </c>
      <c r="O266" t="str">
        <f>IF($A266="","",INDEX(Metrics!$A$6:$U$305,MATCH($A266,Metrics!$U$6:$U$305,0),MATCH(O$5,Metrics!$A$5:$U$5,0)))</f>
        <v/>
      </c>
      <c r="P266" t="str">
        <f>IF($A266="","",INDEX(Metrics!$A$6:$U$305,MATCH($A266,Metrics!$U$6:$U$305,0),MATCH(P$5,Metrics!$A$5:$U$5,0)))</f>
        <v/>
      </c>
    </row>
    <row r="267" spans="1:16" x14ac:dyDescent="0.4">
      <c r="A267" t="str">
        <f t="shared" si="4"/>
        <v/>
      </c>
      <c r="B267" t="str">
        <f>IF($A267="","",INDEX(Metrics!$A$6:$U$305,MATCH($A267,Metrics!$U$6:$U$305,0),MATCH(B$5,Metrics!$A$5:$U$5,0)))</f>
        <v/>
      </c>
      <c r="C267" t="str">
        <f>IF($A267="","",INDEX(Metrics!$A$6:$U$305,MATCH($A267,Metrics!$U$6:$U$305,0),MATCH(C$5,Metrics!$A$5:$U$5,0)))</f>
        <v/>
      </c>
      <c r="D267" t="str">
        <f>IF($A267="","",INDEX(Metrics!$A$6:$U$305,MATCH($A267,Metrics!$U$6:$U$305,0),MATCH(D$5,Metrics!$A$5:$U$5,0)))</f>
        <v/>
      </c>
      <c r="E267" s="14" t="str">
        <f>IF($A267="","",INDEX(Metrics!$A$6:$U$305,MATCH($A267,Metrics!$U$6:$U$305,0),MATCH(E$5,Metrics!$A$5:$U$5,0)))</f>
        <v/>
      </c>
      <c r="F267" s="7" t="str">
        <f>IF($A267="","",INDEX(Metrics!$A$6:$U$305,MATCH($A267,Metrics!$U$6:$U$305,0),MATCH(F$5,Metrics!$A$5:$U$5,0)))</f>
        <v/>
      </c>
      <c r="G267" s="9" t="str">
        <f>IF($A267="","",INDEX(Metrics!$A$6:$U$305,MATCH($A267,Metrics!$U$6:$U$305,0),MATCH(G$5,Metrics!$A$5:$U$5,0)))</f>
        <v/>
      </c>
      <c r="H267" s="9" t="str">
        <f>IF($A267="","",INDEX(Metrics!$A$6:$U$305,MATCH($A267,Metrics!$U$6:$U$305,0),MATCH(H$5,Metrics!$A$5:$U$5,0)))</f>
        <v/>
      </c>
      <c r="I267" s="7" t="str">
        <f>IF($A267="","",INDEX(Metrics!$A$6:$U$305,MATCH($A267,Metrics!$U$6:$U$305,0),MATCH(I$5,Metrics!$A$5:$U$5,0)))</f>
        <v/>
      </c>
      <c r="J267" s="9" t="str">
        <f>IF($A267="","",INDEX(Metrics!$A$6:$U$305,MATCH($A267,Metrics!$U$6:$U$305,0),MATCH(J$5,Metrics!$A$5:$U$5,0)))</f>
        <v/>
      </c>
      <c r="K267" s="10" t="str">
        <f>IF($A267="","",INDEX(Metrics!$A$6:$U$305,MATCH($A267,Metrics!$U$6:$U$305,0),MATCH(K$5,Metrics!$A$5:$U$5,0)))</f>
        <v/>
      </c>
      <c r="L267" t="str">
        <f>IF($A267="","",INDEX(Metrics!$A$6:$U$305,MATCH($A267,Metrics!$U$6:$U$305,0),MATCH(L$5,Metrics!$A$5:$U$5,0)))</f>
        <v/>
      </c>
      <c r="M267" t="str">
        <f>IF($A267="","",INDEX(Metrics!$A$6:$U$305,MATCH($A267,Metrics!$U$6:$U$305,0),MATCH(M$5,Metrics!$A$5:$U$5,0)))</f>
        <v/>
      </c>
      <c r="N267" t="str">
        <f>IF($A267="","",INDEX(Metrics!$A$6:$U$305,MATCH($A267,Metrics!$U$6:$U$305,0),MATCH(N$5,Metrics!$A$5:$U$5,0)))</f>
        <v/>
      </c>
      <c r="O267" t="str">
        <f>IF($A267="","",INDEX(Metrics!$A$6:$U$305,MATCH($A267,Metrics!$U$6:$U$305,0),MATCH(O$5,Metrics!$A$5:$U$5,0)))</f>
        <v/>
      </c>
      <c r="P267" t="str">
        <f>IF($A267="","",INDEX(Metrics!$A$6:$U$305,MATCH($A267,Metrics!$U$6:$U$305,0),MATCH(P$5,Metrics!$A$5:$U$5,0)))</f>
        <v/>
      </c>
    </row>
    <row r="268" spans="1:16" x14ac:dyDescent="0.4">
      <c r="A268" t="str">
        <f t="shared" si="4"/>
        <v/>
      </c>
      <c r="B268" t="str">
        <f>IF($A268="","",INDEX(Metrics!$A$6:$U$305,MATCH($A268,Metrics!$U$6:$U$305,0),MATCH(B$5,Metrics!$A$5:$U$5,0)))</f>
        <v/>
      </c>
      <c r="C268" t="str">
        <f>IF($A268="","",INDEX(Metrics!$A$6:$U$305,MATCH($A268,Metrics!$U$6:$U$305,0),MATCH(C$5,Metrics!$A$5:$U$5,0)))</f>
        <v/>
      </c>
      <c r="D268" t="str">
        <f>IF($A268="","",INDEX(Metrics!$A$6:$U$305,MATCH($A268,Metrics!$U$6:$U$305,0),MATCH(D$5,Metrics!$A$5:$U$5,0)))</f>
        <v/>
      </c>
      <c r="E268" s="14" t="str">
        <f>IF($A268="","",INDEX(Metrics!$A$6:$U$305,MATCH($A268,Metrics!$U$6:$U$305,0),MATCH(E$5,Metrics!$A$5:$U$5,0)))</f>
        <v/>
      </c>
      <c r="F268" s="7" t="str">
        <f>IF($A268="","",INDEX(Metrics!$A$6:$U$305,MATCH($A268,Metrics!$U$6:$U$305,0),MATCH(F$5,Metrics!$A$5:$U$5,0)))</f>
        <v/>
      </c>
      <c r="G268" s="9" t="str">
        <f>IF($A268="","",INDEX(Metrics!$A$6:$U$305,MATCH($A268,Metrics!$U$6:$U$305,0),MATCH(G$5,Metrics!$A$5:$U$5,0)))</f>
        <v/>
      </c>
      <c r="H268" s="9" t="str">
        <f>IF($A268="","",INDEX(Metrics!$A$6:$U$305,MATCH($A268,Metrics!$U$6:$U$305,0),MATCH(H$5,Metrics!$A$5:$U$5,0)))</f>
        <v/>
      </c>
      <c r="I268" s="7" t="str">
        <f>IF($A268="","",INDEX(Metrics!$A$6:$U$305,MATCH($A268,Metrics!$U$6:$U$305,0),MATCH(I$5,Metrics!$A$5:$U$5,0)))</f>
        <v/>
      </c>
      <c r="J268" s="9" t="str">
        <f>IF($A268="","",INDEX(Metrics!$A$6:$U$305,MATCH($A268,Metrics!$U$6:$U$305,0),MATCH(J$5,Metrics!$A$5:$U$5,0)))</f>
        <v/>
      </c>
      <c r="K268" s="10" t="str">
        <f>IF($A268="","",INDEX(Metrics!$A$6:$U$305,MATCH($A268,Metrics!$U$6:$U$305,0),MATCH(K$5,Metrics!$A$5:$U$5,0)))</f>
        <v/>
      </c>
      <c r="L268" t="str">
        <f>IF($A268="","",INDEX(Metrics!$A$6:$U$305,MATCH($A268,Metrics!$U$6:$U$305,0),MATCH(L$5,Metrics!$A$5:$U$5,0)))</f>
        <v/>
      </c>
      <c r="M268" t="str">
        <f>IF($A268="","",INDEX(Metrics!$A$6:$U$305,MATCH($A268,Metrics!$U$6:$U$305,0),MATCH(M$5,Metrics!$A$5:$U$5,0)))</f>
        <v/>
      </c>
      <c r="N268" t="str">
        <f>IF($A268="","",INDEX(Metrics!$A$6:$U$305,MATCH($A268,Metrics!$U$6:$U$305,0),MATCH(N$5,Metrics!$A$5:$U$5,0)))</f>
        <v/>
      </c>
      <c r="O268" t="str">
        <f>IF($A268="","",INDEX(Metrics!$A$6:$U$305,MATCH($A268,Metrics!$U$6:$U$305,0),MATCH(O$5,Metrics!$A$5:$U$5,0)))</f>
        <v/>
      </c>
      <c r="P268" t="str">
        <f>IF($A268="","",INDEX(Metrics!$A$6:$U$305,MATCH($A268,Metrics!$U$6:$U$305,0),MATCH(P$5,Metrics!$A$5:$U$5,0)))</f>
        <v/>
      </c>
    </row>
    <row r="269" spans="1:16" x14ac:dyDescent="0.4">
      <c r="A269" t="str">
        <f t="shared" si="4"/>
        <v/>
      </c>
      <c r="B269" t="str">
        <f>IF($A269="","",INDEX(Metrics!$A$6:$U$305,MATCH($A269,Metrics!$U$6:$U$305,0),MATCH(B$5,Metrics!$A$5:$U$5,0)))</f>
        <v/>
      </c>
      <c r="C269" t="str">
        <f>IF($A269="","",INDEX(Metrics!$A$6:$U$305,MATCH($A269,Metrics!$U$6:$U$305,0),MATCH(C$5,Metrics!$A$5:$U$5,0)))</f>
        <v/>
      </c>
      <c r="D269" t="str">
        <f>IF($A269="","",INDEX(Metrics!$A$6:$U$305,MATCH($A269,Metrics!$U$6:$U$305,0),MATCH(D$5,Metrics!$A$5:$U$5,0)))</f>
        <v/>
      </c>
      <c r="E269" s="14" t="str">
        <f>IF($A269="","",INDEX(Metrics!$A$6:$U$305,MATCH($A269,Metrics!$U$6:$U$305,0),MATCH(E$5,Metrics!$A$5:$U$5,0)))</f>
        <v/>
      </c>
      <c r="F269" s="7" t="str">
        <f>IF($A269="","",INDEX(Metrics!$A$6:$U$305,MATCH($A269,Metrics!$U$6:$U$305,0),MATCH(F$5,Metrics!$A$5:$U$5,0)))</f>
        <v/>
      </c>
      <c r="G269" s="9" t="str">
        <f>IF($A269="","",INDEX(Metrics!$A$6:$U$305,MATCH($A269,Metrics!$U$6:$U$305,0),MATCH(G$5,Metrics!$A$5:$U$5,0)))</f>
        <v/>
      </c>
      <c r="H269" s="9" t="str">
        <f>IF($A269="","",INDEX(Metrics!$A$6:$U$305,MATCH($A269,Metrics!$U$6:$U$305,0),MATCH(H$5,Metrics!$A$5:$U$5,0)))</f>
        <v/>
      </c>
      <c r="I269" s="7" t="str">
        <f>IF($A269="","",INDEX(Metrics!$A$6:$U$305,MATCH($A269,Metrics!$U$6:$U$305,0),MATCH(I$5,Metrics!$A$5:$U$5,0)))</f>
        <v/>
      </c>
      <c r="J269" s="9" t="str">
        <f>IF($A269="","",INDEX(Metrics!$A$6:$U$305,MATCH($A269,Metrics!$U$6:$U$305,0),MATCH(J$5,Metrics!$A$5:$U$5,0)))</f>
        <v/>
      </c>
      <c r="K269" s="10" t="str">
        <f>IF($A269="","",INDEX(Metrics!$A$6:$U$305,MATCH($A269,Metrics!$U$6:$U$305,0),MATCH(K$5,Metrics!$A$5:$U$5,0)))</f>
        <v/>
      </c>
      <c r="L269" t="str">
        <f>IF($A269="","",INDEX(Metrics!$A$6:$U$305,MATCH($A269,Metrics!$U$6:$U$305,0),MATCH(L$5,Metrics!$A$5:$U$5,0)))</f>
        <v/>
      </c>
      <c r="M269" t="str">
        <f>IF($A269="","",INDEX(Metrics!$A$6:$U$305,MATCH($A269,Metrics!$U$6:$U$305,0),MATCH(M$5,Metrics!$A$5:$U$5,0)))</f>
        <v/>
      </c>
      <c r="N269" t="str">
        <f>IF($A269="","",INDEX(Metrics!$A$6:$U$305,MATCH($A269,Metrics!$U$6:$U$305,0),MATCH(N$5,Metrics!$A$5:$U$5,0)))</f>
        <v/>
      </c>
      <c r="O269" t="str">
        <f>IF($A269="","",INDEX(Metrics!$A$6:$U$305,MATCH($A269,Metrics!$U$6:$U$305,0),MATCH(O$5,Metrics!$A$5:$U$5,0)))</f>
        <v/>
      </c>
      <c r="P269" t="str">
        <f>IF($A269="","",INDEX(Metrics!$A$6:$U$305,MATCH($A269,Metrics!$U$6:$U$305,0),MATCH(P$5,Metrics!$A$5:$U$5,0)))</f>
        <v/>
      </c>
    </row>
    <row r="270" spans="1:16" x14ac:dyDescent="0.4">
      <c r="A270" t="str">
        <f t="shared" si="4"/>
        <v/>
      </c>
      <c r="B270" t="str">
        <f>IF($A270="","",INDEX(Metrics!$A$6:$U$305,MATCH($A270,Metrics!$U$6:$U$305,0),MATCH(B$5,Metrics!$A$5:$U$5,0)))</f>
        <v/>
      </c>
      <c r="C270" t="str">
        <f>IF($A270="","",INDEX(Metrics!$A$6:$U$305,MATCH($A270,Metrics!$U$6:$U$305,0),MATCH(C$5,Metrics!$A$5:$U$5,0)))</f>
        <v/>
      </c>
      <c r="D270" t="str">
        <f>IF($A270="","",INDEX(Metrics!$A$6:$U$305,MATCH($A270,Metrics!$U$6:$U$305,0),MATCH(D$5,Metrics!$A$5:$U$5,0)))</f>
        <v/>
      </c>
      <c r="E270" s="14" t="str">
        <f>IF($A270="","",INDEX(Metrics!$A$6:$U$305,MATCH($A270,Metrics!$U$6:$U$305,0),MATCH(E$5,Metrics!$A$5:$U$5,0)))</f>
        <v/>
      </c>
      <c r="F270" s="7" t="str">
        <f>IF($A270="","",INDEX(Metrics!$A$6:$U$305,MATCH($A270,Metrics!$U$6:$U$305,0),MATCH(F$5,Metrics!$A$5:$U$5,0)))</f>
        <v/>
      </c>
      <c r="G270" s="9" t="str">
        <f>IF($A270="","",INDEX(Metrics!$A$6:$U$305,MATCH($A270,Metrics!$U$6:$U$305,0),MATCH(G$5,Metrics!$A$5:$U$5,0)))</f>
        <v/>
      </c>
      <c r="H270" s="9" t="str">
        <f>IF($A270="","",INDEX(Metrics!$A$6:$U$305,MATCH($A270,Metrics!$U$6:$U$305,0),MATCH(H$5,Metrics!$A$5:$U$5,0)))</f>
        <v/>
      </c>
      <c r="I270" s="7" t="str">
        <f>IF($A270="","",INDEX(Metrics!$A$6:$U$305,MATCH($A270,Metrics!$U$6:$U$305,0),MATCH(I$5,Metrics!$A$5:$U$5,0)))</f>
        <v/>
      </c>
      <c r="J270" s="9" t="str">
        <f>IF($A270="","",INDEX(Metrics!$A$6:$U$305,MATCH($A270,Metrics!$U$6:$U$305,0),MATCH(J$5,Metrics!$A$5:$U$5,0)))</f>
        <v/>
      </c>
      <c r="K270" s="10" t="str">
        <f>IF($A270="","",INDEX(Metrics!$A$6:$U$305,MATCH($A270,Metrics!$U$6:$U$305,0),MATCH(K$5,Metrics!$A$5:$U$5,0)))</f>
        <v/>
      </c>
      <c r="L270" t="str">
        <f>IF($A270="","",INDEX(Metrics!$A$6:$U$305,MATCH($A270,Metrics!$U$6:$U$305,0),MATCH(L$5,Metrics!$A$5:$U$5,0)))</f>
        <v/>
      </c>
      <c r="M270" t="str">
        <f>IF($A270="","",INDEX(Metrics!$A$6:$U$305,MATCH($A270,Metrics!$U$6:$U$305,0),MATCH(M$5,Metrics!$A$5:$U$5,0)))</f>
        <v/>
      </c>
      <c r="N270" t="str">
        <f>IF($A270="","",INDEX(Metrics!$A$6:$U$305,MATCH($A270,Metrics!$U$6:$U$305,0),MATCH(N$5,Metrics!$A$5:$U$5,0)))</f>
        <v/>
      </c>
      <c r="O270" t="str">
        <f>IF($A270="","",INDEX(Metrics!$A$6:$U$305,MATCH($A270,Metrics!$U$6:$U$305,0),MATCH(O$5,Metrics!$A$5:$U$5,0)))</f>
        <v/>
      </c>
      <c r="P270" t="str">
        <f>IF($A270="","",INDEX(Metrics!$A$6:$U$305,MATCH($A270,Metrics!$U$6:$U$305,0),MATCH(P$5,Metrics!$A$5:$U$5,0)))</f>
        <v/>
      </c>
    </row>
    <row r="271" spans="1:16" x14ac:dyDescent="0.4">
      <c r="A271" t="str">
        <f t="shared" si="4"/>
        <v/>
      </c>
      <c r="B271" t="str">
        <f>IF($A271="","",INDEX(Metrics!$A$6:$U$305,MATCH($A271,Metrics!$U$6:$U$305,0),MATCH(B$5,Metrics!$A$5:$U$5,0)))</f>
        <v/>
      </c>
      <c r="C271" t="str">
        <f>IF($A271="","",INDEX(Metrics!$A$6:$U$305,MATCH($A271,Metrics!$U$6:$U$305,0),MATCH(C$5,Metrics!$A$5:$U$5,0)))</f>
        <v/>
      </c>
      <c r="D271" t="str">
        <f>IF($A271="","",INDEX(Metrics!$A$6:$U$305,MATCH($A271,Metrics!$U$6:$U$305,0),MATCH(D$5,Metrics!$A$5:$U$5,0)))</f>
        <v/>
      </c>
      <c r="E271" s="14" t="str">
        <f>IF($A271="","",INDEX(Metrics!$A$6:$U$305,MATCH($A271,Metrics!$U$6:$U$305,0),MATCH(E$5,Metrics!$A$5:$U$5,0)))</f>
        <v/>
      </c>
      <c r="F271" s="7" t="str">
        <f>IF($A271="","",INDEX(Metrics!$A$6:$U$305,MATCH($A271,Metrics!$U$6:$U$305,0),MATCH(F$5,Metrics!$A$5:$U$5,0)))</f>
        <v/>
      </c>
      <c r="G271" s="9" t="str">
        <f>IF($A271="","",INDEX(Metrics!$A$6:$U$305,MATCH($A271,Metrics!$U$6:$U$305,0),MATCH(G$5,Metrics!$A$5:$U$5,0)))</f>
        <v/>
      </c>
      <c r="H271" s="9" t="str">
        <f>IF($A271="","",INDEX(Metrics!$A$6:$U$305,MATCH($A271,Metrics!$U$6:$U$305,0),MATCH(H$5,Metrics!$A$5:$U$5,0)))</f>
        <v/>
      </c>
      <c r="I271" s="7" t="str">
        <f>IF($A271="","",INDEX(Metrics!$A$6:$U$305,MATCH($A271,Metrics!$U$6:$U$305,0),MATCH(I$5,Metrics!$A$5:$U$5,0)))</f>
        <v/>
      </c>
      <c r="J271" s="9" t="str">
        <f>IF($A271="","",INDEX(Metrics!$A$6:$U$305,MATCH($A271,Metrics!$U$6:$U$305,0),MATCH(J$5,Metrics!$A$5:$U$5,0)))</f>
        <v/>
      </c>
      <c r="K271" s="10" t="str">
        <f>IF($A271="","",INDEX(Metrics!$A$6:$U$305,MATCH($A271,Metrics!$U$6:$U$305,0),MATCH(K$5,Metrics!$A$5:$U$5,0)))</f>
        <v/>
      </c>
      <c r="L271" t="str">
        <f>IF($A271="","",INDEX(Metrics!$A$6:$U$305,MATCH($A271,Metrics!$U$6:$U$305,0),MATCH(L$5,Metrics!$A$5:$U$5,0)))</f>
        <v/>
      </c>
      <c r="M271" t="str">
        <f>IF($A271="","",INDEX(Metrics!$A$6:$U$305,MATCH($A271,Metrics!$U$6:$U$305,0),MATCH(M$5,Metrics!$A$5:$U$5,0)))</f>
        <v/>
      </c>
      <c r="N271" t="str">
        <f>IF($A271="","",INDEX(Metrics!$A$6:$U$305,MATCH($A271,Metrics!$U$6:$U$305,0),MATCH(N$5,Metrics!$A$5:$U$5,0)))</f>
        <v/>
      </c>
      <c r="O271" t="str">
        <f>IF($A271="","",INDEX(Metrics!$A$6:$U$305,MATCH($A271,Metrics!$U$6:$U$305,0),MATCH(O$5,Metrics!$A$5:$U$5,0)))</f>
        <v/>
      </c>
      <c r="P271" t="str">
        <f>IF($A271="","",INDEX(Metrics!$A$6:$U$305,MATCH($A271,Metrics!$U$6:$U$305,0),MATCH(P$5,Metrics!$A$5:$U$5,0)))</f>
        <v/>
      </c>
    </row>
    <row r="272" spans="1:16" x14ac:dyDescent="0.4">
      <c r="A272" t="str">
        <f t="shared" si="4"/>
        <v/>
      </c>
      <c r="B272" t="str">
        <f>IF($A272="","",INDEX(Metrics!$A$6:$U$305,MATCH($A272,Metrics!$U$6:$U$305,0),MATCH(B$5,Metrics!$A$5:$U$5,0)))</f>
        <v/>
      </c>
      <c r="C272" t="str">
        <f>IF($A272="","",INDEX(Metrics!$A$6:$U$305,MATCH($A272,Metrics!$U$6:$U$305,0),MATCH(C$5,Metrics!$A$5:$U$5,0)))</f>
        <v/>
      </c>
      <c r="D272" t="str">
        <f>IF($A272="","",INDEX(Metrics!$A$6:$U$305,MATCH($A272,Metrics!$U$6:$U$305,0),MATCH(D$5,Metrics!$A$5:$U$5,0)))</f>
        <v/>
      </c>
      <c r="E272" s="14" t="str">
        <f>IF($A272="","",INDEX(Metrics!$A$6:$U$305,MATCH($A272,Metrics!$U$6:$U$305,0),MATCH(E$5,Metrics!$A$5:$U$5,0)))</f>
        <v/>
      </c>
      <c r="F272" s="7" t="str">
        <f>IF($A272="","",INDEX(Metrics!$A$6:$U$305,MATCH($A272,Metrics!$U$6:$U$305,0),MATCH(F$5,Metrics!$A$5:$U$5,0)))</f>
        <v/>
      </c>
      <c r="G272" s="9" t="str">
        <f>IF($A272="","",INDEX(Metrics!$A$6:$U$305,MATCH($A272,Metrics!$U$6:$U$305,0),MATCH(G$5,Metrics!$A$5:$U$5,0)))</f>
        <v/>
      </c>
      <c r="H272" s="9" t="str">
        <f>IF($A272="","",INDEX(Metrics!$A$6:$U$305,MATCH($A272,Metrics!$U$6:$U$305,0),MATCH(H$5,Metrics!$A$5:$U$5,0)))</f>
        <v/>
      </c>
      <c r="I272" s="7" t="str">
        <f>IF($A272="","",INDEX(Metrics!$A$6:$U$305,MATCH($A272,Metrics!$U$6:$U$305,0),MATCH(I$5,Metrics!$A$5:$U$5,0)))</f>
        <v/>
      </c>
      <c r="J272" s="9" t="str">
        <f>IF($A272="","",INDEX(Metrics!$A$6:$U$305,MATCH($A272,Metrics!$U$6:$U$305,0),MATCH(J$5,Metrics!$A$5:$U$5,0)))</f>
        <v/>
      </c>
      <c r="K272" s="10" t="str">
        <f>IF($A272="","",INDEX(Metrics!$A$6:$U$305,MATCH($A272,Metrics!$U$6:$U$305,0),MATCH(K$5,Metrics!$A$5:$U$5,0)))</f>
        <v/>
      </c>
      <c r="L272" t="str">
        <f>IF($A272="","",INDEX(Metrics!$A$6:$U$305,MATCH($A272,Metrics!$U$6:$U$305,0),MATCH(L$5,Metrics!$A$5:$U$5,0)))</f>
        <v/>
      </c>
      <c r="M272" t="str">
        <f>IF($A272="","",INDEX(Metrics!$A$6:$U$305,MATCH($A272,Metrics!$U$6:$U$305,0),MATCH(M$5,Metrics!$A$5:$U$5,0)))</f>
        <v/>
      </c>
      <c r="N272" t="str">
        <f>IF($A272="","",INDEX(Metrics!$A$6:$U$305,MATCH($A272,Metrics!$U$6:$U$305,0),MATCH(N$5,Metrics!$A$5:$U$5,0)))</f>
        <v/>
      </c>
      <c r="O272" t="str">
        <f>IF($A272="","",INDEX(Metrics!$A$6:$U$305,MATCH($A272,Metrics!$U$6:$U$305,0),MATCH(O$5,Metrics!$A$5:$U$5,0)))</f>
        <v/>
      </c>
      <c r="P272" t="str">
        <f>IF($A272="","",INDEX(Metrics!$A$6:$U$305,MATCH($A272,Metrics!$U$6:$U$305,0),MATCH(P$5,Metrics!$A$5:$U$5,0)))</f>
        <v/>
      </c>
    </row>
    <row r="273" spans="1:16" x14ac:dyDescent="0.4">
      <c r="A273" t="str">
        <f t="shared" si="4"/>
        <v/>
      </c>
      <c r="B273" t="str">
        <f>IF($A273="","",INDEX(Metrics!$A$6:$U$305,MATCH($A273,Metrics!$U$6:$U$305,0),MATCH(B$5,Metrics!$A$5:$U$5,0)))</f>
        <v/>
      </c>
      <c r="C273" t="str">
        <f>IF($A273="","",INDEX(Metrics!$A$6:$U$305,MATCH($A273,Metrics!$U$6:$U$305,0),MATCH(C$5,Metrics!$A$5:$U$5,0)))</f>
        <v/>
      </c>
      <c r="D273" t="str">
        <f>IF($A273="","",INDEX(Metrics!$A$6:$U$305,MATCH($A273,Metrics!$U$6:$U$305,0),MATCH(D$5,Metrics!$A$5:$U$5,0)))</f>
        <v/>
      </c>
      <c r="E273" s="14" t="str">
        <f>IF($A273="","",INDEX(Metrics!$A$6:$U$305,MATCH($A273,Metrics!$U$6:$U$305,0),MATCH(E$5,Metrics!$A$5:$U$5,0)))</f>
        <v/>
      </c>
      <c r="F273" s="7" t="str">
        <f>IF($A273="","",INDEX(Metrics!$A$6:$U$305,MATCH($A273,Metrics!$U$6:$U$305,0),MATCH(F$5,Metrics!$A$5:$U$5,0)))</f>
        <v/>
      </c>
      <c r="G273" s="9" t="str">
        <f>IF($A273="","",INDEX(Metrics!$A$6:$U$305,MATCH($A273,Metrics!$U$6:$U$305,0),MATCH(G$5,Metrics!$A$5:$U$5,0)))</f>
        <v/>
      </c>
      <c r="H273" s="9" t="str">
        <f>IF($A273="","",INDEX(Metrics!$A$6:$U$305,MATCH($A273,Metrics!$U$6:$U$305,0),MATCH(H$5,Metrics!$A$5:$U$5,0)))</f>
        <v/>
      </c>
      <c r="I273" s="7" t="str">
        <f>IF($A273="","",INDEX(Metrics!$A$6:$U$305,MATCH($A273,Metrics!$U$6:$U$305,0),MATCH(I$5,Metrics!$A$5:$U$5,0)))</f>
        <v/>
      </c>
      <c r="J273" s="9" t="str">
        <f>IF($A273="","",INDEX(Metrics!$A$6:$U$305,MATCH($A273,Metrics!$U$6:$U$305,0),MATCH(J$5,Metrics!$A$5:$U$5,0)))</f>
        <v/>
      </c>
      <c r="K273" s="10" t="str">
        <f>IF($A273="","",INDEX(Metrics!$A$6:$U$305,MATCH($A273,Metrics!$U$6:$U$305,0),MATCH(K$5,Metrics!$A$5:$U$5,0)))</f>
        <v/>
      </c>
      <c r="L273" t="str">
        <f>IF($A273="","",INDEX(Metrics!$A$6:$U$305,MATCH($A273,Metrics!$U$6:$U$305,0),MATCH(L$5,Metrics!$A$5:$U$5,0)))</f>
        <v/>
      </c>
      <c r="M273" t="str">
        <f>IF($A273="","",INDEX(Metrics!$A$6:$U$305,MATCH($A273,Metrics!$U$6:$U$305,0),MATCH(M$5,Metrics!$A$5:$U$5,0)))</f>
        <v/>
      </c>
      <c r="N273" t="str">
        <f>IF($A273="","",INDEX(Metrics!$A$6:$U$305,MATCH($A273,Metrics!$U$6:$U$305,0),MATCH(N$5,Metrics!$A$5:$U$5,0)))</f>
        <v/>
      </c>
      <c r="O273" t="str">
        <f>IF($A273="","",INDEX(Metrics!$A$6:$U$305,MATCH($A273,Metrics!$U$6:$U$305,0),MATCH(O$5,Metrics!$A$5:$U$5,0)))</f>
        <v/>
      </c>
      <c r="P273" t="str">
        <f>IF($A273="","",INDEX(Metrics!$A$6:$U$305,MATCH($A273,Metrics!$U$6:$U$305,0),MATCH(P$5,Metrics!$A$5:$U$5,0)))</f>
        <v/>
      </c>
    </row>
    <row r="274" spans="1:16" x14ac:dyDescent="0.4">
      <c r="A274" t="str">
        <f t="shared" si="4"/>
        <v/>
      </c>
      <c r="B274" t="str">
        <f>IF($A274="","",INDEX(Metrics!$A$6:$U$305,MATCH($A274,Metrics!$U$6:$U$305,0),MATCH(B$5,Metrics!$A$5:$U$5,0)))</f>
        <v/>
      </c>
      <c r="C274" t="str">
        <f>IF($A274="","",INDEX(Metrics!$A$6:$U$305,MATCH($A274,Metrics!$U$6:$U$305,0),MATCH(C$5,Metrics!$A$5:$U$5,0)))</f>
        <v/>
      </c>
      <c r="D274" t="str">
        <f>IF($A274="","",INDEX(Metrics!$A$6:$U$305,MATCH($A274,Metrics!$U$6:$U$305,0),MATCH(D$5,Metrics!$A$5:$U$5,0)))</f>
        <v/>
      </c>
      <c r="E274" s="14" t="str">
        <f>IF($A274="","",INDEX(Metrics!$A$6:$U$305,MATCH($A274,Metrics!$U$6:$U$305,0),MATCH(E$5,Metrics!$A$5:$U$5,0)))</f>
        <v/>
      </c>
      <c r="F274" s="7" t="str">
        <f>IF($A274="","",INDEX(Metrics!$A$6:$U$305,MATCH($A274,Metrics!$U$6:$U$305,0),MATCH(F$5,Metrics!$A$5:$U$5,0)))</f>
        <v/>
      </c>
      <c r="G274" s="9" t="str">
        <f>IF($A274="","",INDEX(Metrics!$A$6:$U$305,MATCH($A274,Metrics!$U$6:$U$305,0),MATCH(G$5,Metrics!$A$5:$U$5,0)))</f>
        <v/>
      </c>
      <c r="H274" s="9" t="str">
        <f>IF($A274="","",INDEX(Metrics!$A$6:$U$305,MATCH($A274,Metrics!$U$6:$U$305,0),MATCH(H$5,Metrics!$A$5:$U$5,0)))</f>
        <v/>
      </c>
      <c r="I274" s="7" t="str">
        <f>IF($A274="","",INDEX(Metrics!$A$6:$U$305,MATCH($A274,Metrics!$U$6:$U$305,0),MATCH(I$5,Metrics!$A$5:$U$5,0)))</f>
        <v/>
      </c>
      <c r="J274" s="9" t="str">
        <f>IF($A274="","",INDEX(Metrics!$A$6:$U$305,MATCH($A274,Metrics!$U$6:$U$305,0),MATCH(J$5,Metrics!$A$5:$U$5,0)))</f>
        <v/>
      </c>
      <c r="K274" s="10" t="str">
        <f>IF($A274="","",INDEX(Metrics!$A$6:$U$305,MATCH($A274,Metrics!$U$6:$U$305,0),MATCH(K$5,Metrics!$A$5:$U$5,0)))</f>
        <v/>
      </c>
      <c r="L274" t="str">
        <f>IF($A274="","",INDEX(Metrics!$A$6:$U$305,MATCH($A274,Metrics!$U$6:$U$305,0),MATCH(L$5,Metrics!$A$5:$U$5,0)))</f>
        <v/>
      </c>
      <c r="M274" t="str">
        <f>IF($A274="","",INDEX(Metrics!$A$6:$U$305,MATCH($A274,Metrics!$U$6:$U$305,0),MATCH(M$5,Metrics!$A$5:$U$5,0)))</f>
        <v/>
      </c>
      <c r="N274" t="str">
        <f>IF($A274="","",INDEX(Metrics!$A$6:$U$305,MATCH($A274,Metrics!$U$6:$U$305,0),MATCH(N$5,Metrics!$A$5:$U$5,0)))</f>
        <v/>
      </c>
      <c r="O274" t="str">
        <f>IF($A274="","",INDEX(Metrics!$A$6:$U$305,MATCH($A274,Metrics!$U$6:$U$305,0),MATCH(O$5,Metrics!$A$5:$U$5,0)))</f>
        <v/>
      </c>
      <c r="P274" t="str">
        <f>IF($A274="","",INDEX(Metrics!$A$6:$U$305,MATCH($A274,Metrics!$U$6:$U$305,0),MATCH(P$5,Metrics!$A$5:$U$5,0)))</f>
        <v/>
      </c>
    </row>
    <row r="275" spans="1:16" x14ac:dyDescent="0.4">
      <c r="A275" t="str">
        <f t="shared" si="4"/>
        <v/>
      </c>
      <c r="B275" t="str">
        <f>IF($A275="","",INDEX(Metrics!$A$6:$U$305,MATCH($A275,Metrics!$U$6:$U$305,0),MATCH(B$5,Metrics!$A$5:$U$5,0)))</f>
        <v/>
      </c>
      <c r="C275" t="str">
        <f>IF($A275="","",INDEX(Metrics!$A$6:$U$305,MATCH($A275,Metrics!$U$6:$U$305,0),MATCH(C$5,Metrics!$A$5:$U$5,0)))</f>
        <v/>
      </c>
      <c r="D275" t="str">
        <f>IF($A275="","",INDEX(Metrics!$A$6:$U$305,MATCH($A275,Metrics!$U$6:$U$305,0),MATCH(D$5,Metrics!$A$5:$U$5,0)))</f>
        <v/>
      </c>
      <c r="E275" s="14" t="str">
        <f>IF($A275="","",INDEX(Metrics!$A$6:$U$305,MATCH($A275,Metrics!$U$6:$U$305,0),MATCH(E$5,Metrics!$A$5:$U$5,0)))</f>
        <v/>
      </c>
      <c r="F275" s="7" t="str">
        <f>IF($A275="","",INDEX(Metrics!$A$6:$U$305,MATCH($A275,Metrics!$U$6:$U$305,0),MATCH(F$5,Metrics!$A$5:$U$5,0)))</f>
        <v/>
      </c>
      <c r="G275" s="9" t="str">
        <f>IF($A275="","",INDEX(Metrics!$A$6:$U$305,MATCH($A275,Metrics!$U$6:$U$305,0),MATCH(G$5,Metrics!$A$5:$U$5,0)))</f>
        <v/>
      </c>
      <c r="H275" s="9" t="str">
        <f>IF($A275="","",INDEX(Metrics!$A$6:$U$305,MATCH($A275,Metrics!$U$6:$U$305,0),MATCH(H$5,Metrics!$A$5:$U$5,0)))</f>
        <v/>
      </c>
      <c r="I275" s="7" t="str">
        <f>IF($A275="","",INDEX(Metrics!$A$6:$U$305,MATCH($A275,Metrics!$U$6:$U$305,0),MATCH(I$5,Metrics!$A$5:$U$5,0)))</f>
        <v/>
      </c>
      <c r="J275" s="9" t="str">
        <f>IF($A275="","",INDEX(Metrics!$A$6:$U$305,MATCH($A275,Metrics!$U$6:$U$305,0),MATCH(J$5,Metrics!$A$5:$U$5,0)))</f>
        <v/>
      </c>
      <c r="K275" s="10" t="str">
        <f>IF($A275="","",INDEX(Metrics!$A$6:$U$305,MATCH($A275,Metrics!$U$6:$U$305,0),MATCH(K$5,Metrics!$A$5:$U$5,0)))</f>
        <v/>
      </c>
      <c r="L275" t="str">
        <f>IF($A275="","",INDEX(Metrics!$A$6:$U$305,MATCH($A275,Metrics!$U$6:$U$305,0),MATCH(L$5,Metrics!$A$5:$U$5,0)))</f>
        <v/>
      </c>
      <c r="M275" t="str">
        <f>IF($A275="","",INDEX(Metrics!$A$6:$U$305,MATCH($A275,Metrics!$U$6:$U$305,0),MATCH(M$5,Metrics!$A$5:$U$5,0)))</f>
        <v/>
      </c>
      <c r="N275" t="str">
        <f>IF($A275="","",INDEX(Metrics!$A$6:$U$305,MATCH($A275,Metrics!$U$6:$U$305,0),MATCH(N$5,Metrics!$A$5:$U$5,0)))</f>
        <v/>
      </c>
      <c r="O275" t="str">
        <f>IF($A275="","",INDEX(Metrics!$A$6:$U$305,MATCH($A275,Metrics!$U$6:$U$305,0),MATCH(O$5,Metrics!$A$5:$U$5,0)))</f>
        <v/>
      </c>
      <c r="P275" t="str">
        <f>IF($A275="","",INDEX(Metrics!$A$6:$U$305,MATCH($A275,Metrics!$U$6:$U$305,0),MATCH(P$5,Metrics!$A$5:$U$5,0)))</f>
        <v/>
      </c>
    </row>
    <row r="276" spans="1:16" x14ac:dyDescent="0.4">
      <c r="A276" t="str">
        <f t="shared" si="4"/>
        <v/>
      </c>
      <c r="B276" t="str">
        <f>IF($A276="","",INDEX(Metrics!$A$6:$U$305,MATCH($A276,Metrics!$U$6:$U$305,0),MATCH(B$5,Metrics!$A$5:$U$5,0)))</f>
        <v/>
      </c>
      <c r="C276" t="str">
        <f>IF($A276="","",INDEX(Metrics!$A$6:$U$305,MATCH($A276,Metrics!$U$6:$U$305,0),MATCH(C$5,Metrics!$A$5:$U$5,0)))</f>
        <v/>
      </c>
      <c r="D276" t="str">
        <f>IF($A276="","",INDEX(Metrics!$A$6:$U$305,MATCH($A276,Metrics!$U$6:$U$305,0),MATCH(D$5,Metrics!$A$5:$U$5,0)))</f>
        <v/>
      </c>
      <c r="E276" s="14" t="str">
        <f>IF($A276="","",INDEX(Metrics!$A$6:$U$305,MATCH($A276,Metrics!$U$6:$U$305,0),MATCH(E$5,Metrics!$A$5:$U$5,0)))</f>
        <v/>
      </c>
      <c r="F276" s="7" t="str">
        <f>IF($A276="","",INDEX(Metrics!$A$6:$U$305,MATCH($A276,Metrics!$U$6:$U$305,0),MATCH(F$5,Metrics!$A$5:$U$5,0)))</f>
        <v/>
      </c>
      <c r="G276" s="9" t="str">
        <f>IF($A276="","",INDEX(Metrics!$A$6:$U$305,MATCH($A276,Metrics!$U$6:$U$305,0),MATCH(G$5,Metrics!$A$5:$U$5,0)))</f>
        <v/>
      </c>
      <c r="H276" s="9" t="str">
        <f>IF($A276="","",INDEX(Metrics!$A$6:$U$305,MATCH($A276,Metrics!$U$6:$U$305,0),MATCH(H$5,Metrics!$A$5:$U$5,0)))</f>
        <v/>
      </c>
      <c r="I276" s="7" t="str">
        <f>IF($A276="","",INDEX(Metrics!$A$6:$U$305,MATCH($A276,Metrics!$U$6:$U$305,0),MATCH(I$5,Metrics!$A$5:$U$5,0)))</f>
        <v/>
      </c>
      <c r="J276" s="9" t="str">
        <f>IF($A276="","",INDEX(Metrics!$A$6:$U$305,MATCH($A276,Metrics!$U$6:$U$305,0),MATCH(J$5,Metrics!$A$5:$U$5,0)))</f>
        <v/>
      </c>
      <c r="K276" s="10" t="str">
        <f>IF($A276="","",INDEX(Metrics!$A$6:$U$305,MATCH($A276,Metrics!$U$6:$U$305,0),MATCH(K$5,Metrics!$A$5:$U$5,0)))</f>
        <v/>
      </c>
      <c r="L276" t="str">
        <f>IF($A276="","",INDEX(Metrics!$A$6:$U$305,MATCH($A276,Metrics!$U$6:$U$305,0),MATCH(L$5,Metrics!$A$5:$U$5,0)))</f>
        <v/>
      </c>
      <c r="M276" t="str">
        <f>IF($A276="","",INDEX(Metrics!$A$6:$U$305,MATCH($A276,Metrics!$U$6:$U$305,0),MATCH(M$5,Metrics!$A$5:$U$5,0)))</f>
        <v/>
      </c>
      <c r="N276" t="str">
        <f>IF($A276="","",INDEX(Metrics!$A$6:$U$305,MATCH($A276,Metrics!$U$6:$U$305,0),MATCH(N$5,Metrics!$A$5:$U$5,0)))</f>
        <v/>
      </c>
      <c r="O276" t="str">
        <f>IF($A276="","",INDEX(Metrics!$A$6:$U$305,MATCH($A276,Metrics!$U$6:$U$305,0),MATCH(O$5,Metrics!$A$5:$U$5,0)))</f>
        <v/>
      </c>
      <c r="P276" t="str">
        <f>IF($A276="","",INDEX(Metrics!$A$6:$U$305,MATCH($A276,Metrics!$U$6:$U$305,0),MATCH(P$5,Metrics!$A$5:$U$5,0)))</f>
        <v/>
      </c>
    </row>
    <row r="277" spans="1:16" x14ac:dyDescent="0.4">
      <c r="A277" t="str">
        <f t="shared" si="4"/>
        <v/>
      </c>
      <c r="B277" t="str">
        <f>IF($A277="","",INDEX(Metrics!$A$6:$U$305,MATCH($A277,Metrics!$U$6:$U$305,0),MATCH(B$5,Metrics!$A$5:$U$5,0)))</f>
        <v/>
      </c>
      <c r="C277" t="str">
        <f>IF($A277="","",INDEX(Metrics!$A$6:$U$305,MATCH($A277,Metrics!$U$6:$U$305,0),MATCH(C$5,Metrics!$A$5:$U$5,0)))</f>
        <v/>
      </c>
      <c r="D277" t="str">
        <f>IF($A277="","",INDEX(Metrics!$A$6:$U$305,MATCH($A277,Metrics!$U$6:$U$305,0),MATCH(D$5,Metrics!$A$5:$U$5,0)))</f>
        <v/>
      </c>
      <c r="E277" s="14" t="str">
        <f>IF($A277="","",INDEX(Metrics!$A$6:$U$305,MATCH($A277,Metrics!$U$6:$U$305,0),MATCH(E$5,Metrics!$A$5:$U$5,0)))</f>
        <v/>
      </c>
      <c r="F277" s="7" t="str">
        <f>IF($A277="","",INDEX(Metrics!$A$6:$U$305,MATCH($A277,Metrics!$U$6:$U$305,0),MATCH(F$5,Metrics!$A$5:$U$5,0)))</f>
        <v/>
      </c>
      <c r="G277" s="9" t="str">
        <f>IF($A277="","",INDEX(Metrics!$A$6:$U$305,MATCH($A277,Metrics!$U$6:$U$305,0),MATCH(G$5,Metrics!$A$5:$U$5,0)))</f>
        <v/>
      </c>
      <c r="H277" s="9" t="str">
        <f>IF($A277="","",INDEX(Metrics!$A$6:$U$305,MATCH($A277,Metrics!$U$6:$U$305,0),MATCH(H$5,Metrics!$A$5:$U$5,0)))</f>
        <v/>
      </c>
      <c r="I277" s="7" t="str">
        <f>IF($A277="","",INDEX(Metrics!$A$6:$U$305,MATCH($A277,Metrics!$U$6:$U$305,0),MATCH(I$5,Metrics!$A$5:$U$5,0)))</f>
        <v/>
      </c>
      <c r="J277" s="9" t="str">
        <f>IF($A277="","",INDEX(Metrics!$A$6:$U$305,MATCH($A277,Metrics!$U$6:$U$305,0),MATCH(J$5,Metrics!$A$5:$U$5,0)))</f>
        <v/>
      </c>
      <c r="K277" s="10" t="str">
        <f>IF($A277="","",INDEX(Metrics!$A$6:$U$305,MATCH($A277,Metrics!$U$6:$U$305,0),MATCH(K$5,Metrics!$A$5:$U$5,0)))</f>
        <v/>
      </c>
      <c r="L277" t="str">
        <f>IF($A277="","",INDEX(Metrics!$A$6:$U$305,MATCH($A277,Metrics!$U$6:$U$305,0),MATCH(L$5,Metrics!$A$5:$U$5,0)))</f>
        <v/>
      </c>
      <c r="M277" t="str">
        <f>IF($A277="","",INDEX(Metrics!$A$6:$U$305,MATCH($A277,Metrics!$U$6:$U$305,0),MATCH(M$5,Metrics!$A$5:$U$5,0)))</f>
        <v/>
      </c>
      <c r="N277" t="str">
        <f>IF($A277="","",INDEX(Metrics!$A$6:$U$305,MATCH($A277,Metrics!$U$6:$U$305,0),MATCH(N$5,Metrics!$A$5:$U$5,0)))</f>
        <v/>
      </c>
      <c r="O277" t="str">
        <f>IF($A277="","",INDEX(Metrics!$A$6:$U$305,MATCH($A277,Metrics!$U$6:$U$305,0),MATCH(O$5,Metrics!$A$5:$U$5,0)))</f>
        <v/>
      </c>
      <c r="P277" t="str">
        <f>IF($A277="","",INDEX(Metrics!$A$6:$U$305,MATCH($A277,Metrics!$U$6:$U$305,0),MATCH(P$5,Metrics!$A$5:$U$5,0)))</f>
        <v/>
      </c>
    </row>
    <row r="278" spans="1:16" x14ac:dyDescent="0.4">
      <c r="A278" t="str">
        <f t="shared" si="4"/>
        <v/>
      </c>
      <c r="B278" t="str">
        <f>IF($A278="","",INDEX(Metrics!$A$6:$U$305,MATCH($A278,Metrics!$U$6:$U$305,0),MATCH(B$5,Metrics!$A$5:$U$5,0)))</f>
        <v/>
      </c>
      <c r="C278" t="str">
        <f>IF($A278="","",INDEX(Metrics!$A$6:$U$305,MATCH($A278,Metrics!$U$6:$U$305,0),MATCH(C$5,Metrics!$A$5:$U$5,0)))</f>
        <v/>
      </c>
      <c r="D278" t="str">
        <f>IF($A278="","",INDEX(Metrics!$A$6:$U$305,MATCH($A278,Metrics!$U$6:$U$305,0),MATCH(D$5,Metrics!$A$5:$U$5,0)))</f>
        <v/>
      </c>
      <c r="E278" s="14" t="str">
        <f>IF($A278="","",INDEX(Metrics!$A$6:$U$305,MATCH($A278,Metrics!$U$6:$U$305,0),MATCH(E$5,Metrics!$A$5:$U$5,0)))</f>
        <v/>
      </c>
      <c r="F278" s="7" t="str">
        <f>IF($A278="","",INDEX(Metrics!$A$6:$U$305,MATCH($A278,Metrics!$U$6:$U$305,0),MATCH(F$5,Metrics!$A$5:$U$5,0)))</f>
        <v/>
      </c>
      <c r="G278" s="9" t="str">
        <f>IF($A278="","",INDEX(Metrics!$A$6:$U$305,MATCH($A278,Metrics!$U$6:$U$305,0),MATCH(G$5,Metrics!$A$5:$U$5,0)))</f>
        <v/>
      </c>
      <c r="H278" s="9" t="str">
        <f>IF($A278="","",INDEX(Metrics!$A$6:$U$305,MATCH($A278,Metrics!$U$6:$U$305,0),MATCH(H$5,Metrics!$A$5:$U$5,0)))</f>
        <v/>
      </c>
      <c r="I278" s="7" t="str">
        <f>IF($A278="","",INDEX(Metrics!$A$6:$U$305,MATCH($A278,Metrics!$U$6:$U$305,0),MATCH(I$5,Metrics!$A$5:$U$5,0)))</f>
        <v/>
      </c>
      <c r="J278" s="9" t="str">
        <f>IF($A278="","",INDEX(Metrics!$A$6:$U$305,MATCH($A278,Metrics!$U$6:$U$305,0),MATCH(J$5,Metrics!$A$5:$U$5,0)))</f>
        <v/>
      </c>
      <c r="K278" s="10" t="str">
        <f>IF($A278="","",INDEX(Metrics!$A$6:$U$305,MATCH($A278,Metrics!$U$6:$U$305,0),MATCH(K$5,Metrics!$A$5:$U$5,0)))</f>
        <v/>
      </c>
      <c r="L278" t="str">
        <f>IF($A278="","",INDEX(Metrics!$A$6:$U$305,MATCH($A278,Metrics!$U$6:$U$305,0),MATCH(L$5,Metrics!$A$5:$U$5,0)))</f>
        <v/>
      </c>
      <c r="M278" t="str">
        <f>IF($A278="","",INDEX(Metrics!$A$6:$U$305,MATCH($A278,Metrics!$U$6:$U$305,0),MATCH(M$5,Metrics!$A$5:$U$5,0)))</f>
        <v/>
      </c>
      <c r="N278" t="str">
        <f>IF($A278="","",INDEX(Metrics!$A$6:$U$305,MATCH($A278,Metrics!$U$6:$U$305,0),MATCH(N$5,Metrics!$A$5:$U$5,0)))</f>
        <v/>
      </c>
      <c r="O278" t="str">
        <f>IF($A278="","",INDEX(Metrics!$A$6:$U$305,MATCH($A278,Metrics!$U$6:$U$305,0),MATCH(O$5,Metrics!$A$5:$U$5,0)))</f>
        <v/>
      </c>
      <c r="P278" t="str">
        <f>IF($A278="","",INDEX(Metrics!$A$6:$U$305,MATCH($A278,Metrics!$U$6:$U$305,0),MATCH(P$5,Metrics!$A$5:$U$5,0)))</f>
        <v/>
      </c>
    </row>
    <row r="279" spans="1:16" x14ac:dyDescent="0.4">
      <c r="A279" t="str">
        <f t="shared" si="4"/>
        <v/>
      </c>
      <c r="B279" t="str">
        <f>IF($A279="","",INDEX(Metrics!$A$6:$U$305,MATCH($A279,Metrics!$U$6:$U$305,0),MATCH(B$5,Metrics!$A$5:$U$5,0)))</f>
        <v/>
      </c>
      <c r="C279" t="str">
        <f>IF($A279="","",INDEX(Metrics!$A$6:$U$305,MATCH($A279,Metrics!$U$6:$U$305,0),MATCH(C$5,Metrics!$A$5:$U$5,0)))</f>
        <v/>
      </c>
      <c r="D279" t="str">
        <f>IF($A279="","",INDEX(Metrics!$A$6:$U$305,MATCH($A279,Metrics!$U$6:$U$305,0),MATCH(D$5,Metrics!$A$5:$U$5,0)))</f>
        <v/>
      </c>
      <c r="E279" s="14" t="str">
        <f>IF($A279="","",INDEX(Metrics!$A$6:$U$305,MATCH($A279,Metrics!$U$6:$U$305,0),MATCH(E$5,Metrics!$A$5:$U$5,0)))</f>
        <v/>
      </c>
      <c r="F279" s="7" t="str">
        <f>IF($A279="","",INDEX(Metrics!$A$6:$U$305,MATCH($A279,Metrics!$U$6:$U$305,0),MATCH(F$5,Metrics!$A$5:$U$5,0)))</f>
        <v/>
      </c>
      <c r="G279" s="9" t="str">
        <f>IF($A279="","",INDEX(Metrics!$A$6:$U$305,MATCH($A279,Metrics!$U$6:$U$305,0),MATCH(G$5,Metrics!$A$5:$U$5,0)))</f>
        <v/>
      </c>
      <c r="H279" s="9" t="str">
        <f>IF($A279="","",INDEX(Metrics!$A$6:$U$305,MATCH($A279,Metrics!$U$6:$U$305,0),MATCH(H$5,Metrics!$A$5:$U$5,0)))</f>
        <v/>
      </c>
      <c r="I279" s="7" t="str">
        <f>IF($A279="","",INDEX(Metrics!$A$6:$U$305,MATCH($A279,Metrics!$U$6:$U$305,0),MATCH(I$5,Metrics!$A$5:$U$5,0)))</f>
        <v/>
      </c>
      <c r="J279" s="9" t="str">
        <f>IF($A279="","",INDEX(Metrics!$A$6:$U$305,MATCH($A279,Metrics!$U$6:$U$305,0),MATCH(J$5,Metrics!$A$5:$U$5,0)))</f>
        <v/>
      </c>
      <c r="K279" s="10" t="str">
        <f>IF($A279="","",INDEX(Metrics!$A$6:$U$305,MATCH($A279,Metrics!$U$6:$U$305,0),MATCH(K$5,Metrics!$A$5:$U$5,0)))</f>
        <v/>
      </c>
      <c r="L279" t="str">
        <f>IF($A279="","",INDEX(Metrics!$A$6:$U$305,MATCH($A279,Metrics!$U$6:$U$305,0),MATCH(L$5,Metrics!$A$5:$U$5,0)))</f>
        <v/>
      </c>
      <c r="M279" t="str">
        <f>IF($A279="","",INDEX(Metrics!$A$6:$U$305,MATCH($A279,Metrics!$U$6:$U$305,0),MATCH(M$5,Metrics!$A$5:$U$5,0)))</f>
        <v/>
      </c>
      <c r="N279" t="str">
        <f>IF($A279="","",INDEX(Metrics!$A$6:$U$305,MATCH($A279,Metrics!$U$6:$U$305,0),MATCH(N$5,Metrics!$A$5:$U$5,0)))</f>
        <v/>
      </c>
      <c r="O279" t="str">
        <f>IF($A279="","",INDEX(Metrics!$A$6:$U$305,MATCH($A279,Metrics!$U$6:$U$305,0),MATCH(O$5,Metrics!$A$5:$U$5,0)))</f>
        <v/>
      </c>
      <c r="P279" t="str">
        <f>IF($A279="","",INDEX(Metrics!$A$6:$U$305,MATCH($A279,Metrics!$U$6:$U$305,0),MATCH(P$5,Metrics!$A$5:$U$5,0)))</f>
        <v/>
      </c>
    </row>
    <row r="280" spans="1:16" x14ac:dyDescent="0.4">
      <c r="A280" t="str">
        <f t="shared" si="4"/>
        <v/>
      </c>
      <c r="B280" t="str">
        <f>IF($A280="","",INDEX(Metrics!$A$6:$U$305,MATCH($A280,Metrics!$U$6:$U$305,0),MATCH(B$5,Metrics!$A$5:$U$5,0)))</f>
        <v/>
      </c>
      <c r="C280" t="str">
        <f>IF($A280="","",INDEX(Metrics!$A$6:$U$305,MATCH($A280,Metrics!$U$6:$U$305,0),MATCH(C$5,Metrics!$A$5:$U$5,0)))</f>
        <v/>
      </c>
      <c r="D280" t="str">
        <f>IF($A280="","",INDEX(Metrics!$A$6:$U$305,MATCH($A280,Metrics!$U$6:$U$305,0),MATCH(D$5,Metrics!$A$5:$U$5,0)))</f>
        <v/>
      </c>
      <c r="E280" s="14" t="str">
        <f>IF($A280="","",INDEX(Metrics!$A$6:$U$305,MATCH($A280,Metrics!$U$6:$U$305,0),MATCH(E$5,Metrics!$A$5:$U$5,0)))</f>
        <v/>
      </c>
      <c r="F280" s="7" t="str">
        <f>IF($A280="","",INDEX(Metrics!$A$6:$U$305,MATCH($A280,Metrics!$U$6:$U$305,0),MATCH(F$5,Metrics!$A$5:$U$5,0)))</f>
        <v/>
      </c>
      <c r="G280" s="9" t="str">
        <f>IF($A280="","",INDEX(Metrics!$A$6:$U$305,MATCH($A280,Metrics!$U$6:$U$305,0),MATCH(G$5,Metrics!$A$5:$U$5,0)))</f>
        <v/>
      </c>
      <c r="H280" s="9" t="str">
        <f>IF($A280="","",INDEX(Metrics!$A$6:$U$305,MATCH($A280,Metrics!$U$6:$U$305,0),MATCH(H$5,Metrics!$A$5:$U$5,0)))</f>
        <v/>
      </c>
      <c r="I280" s="7" t="str">
        <f>IF($A280="","",INDEX(Metrics!$A$6:$U$305,MATCH($A280,Metrics!$U$6:$U$305,0),MATCH(I$5,Metrics!$A$5:$U$5,0)))</f>
        <v/>
      </c>
      <c r="J280" s="9" t="str">
        <f>IF($A280="","",INDEX(Metrics!$A$6:$U$305,MATCH($A280,Metrics!$U$6:$U$305,0),MATCH(J$5,Metrics!$A$5:$U$5,0)))</f>
        <v/>
      </c>
      <c r="K280" s="10" t="str">
        <f>IF($A280="","",INDEX(Metrics!$A$6:$U$305,MATCH($A280,Metrics!$U$6:$U$305,0),MATCH(K$5,Metrics!$A$5:$U$5,0)))</f>
        <v/>
      </c>
      <c r="L280" t="str">
        <f>IF($A280="","",INDEX(Metrics!$A$6:$U$305,MATCH($A280,Metrics!$U$6:$U$305,0),MATCH(L$5,Metrics!$A$5:$U$5,0)))</f>
        <v/>
      </c>
      <c r="M280" t="str">
        <f>IF($A280="","",INDEX(Metrics!$A$6:$U$305,MATCH($A280,Metrics!$U$6:$U$305,0),MATCH(M$5,Metrics!$A$5:$U$5,0)))</f>
        <v/>
      </c>
      <c r="N280" t="str">
        <f>IF($A280="","",INDEX(Metrics!$A$6:$U$305,MATCH($A280,Metrics!$U$6:$U$305,0),MATCH(N$5,Metrics!$A$5:$U$5,0)))</f>
        <v/>
      </c>
      <c r="O280" t="str">
        <f>IF($A280="","",INDEX(Metrics!$A$6:$U$305,MATCH($A280,Metrics!$U$6:$U$305,0),MATCH(O$5,Metrics!$A$5:$U$5,0)))</f>
        <v/>
      </c>
      <c r="P280" t="str">
        <f>IF($A280="","",INDEX(Metrics!$A$6:$U$305,MATCH($A280,Metrics!$U$6:$U$305,0),MATCH(P$5,Metrics!$A$5:$U$5,0)))</f>
        <v/>
      </c>
    </row>
    <row r="281" spans="1:16" x14ac:dyDescent="0.4">
      <c r="A281" t="str">
        <f t="shared" si="4"/>
        <v/>
      </c>
      <c r="B281" t="str">
        <f>IF($A281="","",INDEX(Metrics!$A$6:$U$305,MATCH($A281,Metrics!$U$6:$U$305,0),MATCH(B$5,Metrics!$A$5:$U$5,0)))</f>
        <v/>
      </c>
      <c r="C281" t="str">
        <f>IF($A281="","",INDEX(Metrics!$A$6:$U$305,MATCH($A281,Metrics!$U$6:$U$305,0),MATCH(C$5,Metrics!$A$5:$U$5,0)))</f>
        <v/>
      </c>
      <c r="D281" t="str">
        <f>IF($A281="","",INDEX(Metrics!$A$6:$U$305,MATCH($A281,Metrics!$U$6:$U$305,0),MATCH(D$5,Metrics!$A$5:$U$5,0)))</f>
        <v/>
      </c>
      <c r="E281" s="14" t="str">
        <f>IF($A281="","",INDEX(Metrics!$A$6:$U$305,MATCH($A281,Metrics!$U$6:$U$305,0),MATCH(E$5,Metrics!$A$5:$U$5,0)))</f>
        <v/>
      </c>
      <c r="F281" s="7" t="str">
        <f>IF($A281="","",INDEX(Metrics!$A$6:$U$305,MATCH($A281,Metrics!$U$6:$U$305,0),MATCH(F$5,Metrics!$A$5:$U$5,0)))</f>
        <v/>
      </c>
      <c r="G281" s="9" t="str">
        <f>IF($A281="","",INDEX(Metrics!$A$6:$U$305,MATCH($A281,Metrics!$U$6:$U$305,0),MATCH(G$5,Metrics!$A$5:$U$5,0)))</f>
        <v/>
      </c>
      <c r="H281" s="9" t="str">
        <f>IF($A281="","",INDEX(Metrics!$A$6:$U$305,MATCH($A281,Metrics!$U$6:$U$305,0),MATCH(H$5,Metrics!$A$5:$U$5,0)))</f>
        <v/>
      </c>
      <c r="I281" s="7" t="str">
        <f>IF($A281="","",INDEX(Metrics!$A$6:$U$305,MATCH($A281,Metrics!$U$6:$U$305,0),MATCH(I$5,Metrics!$A$5:$U$5,0)))</f>
        <v/>
      </c>
      <c r="J281" s="9" t="str">
        <f>IF($A281="","",INDEX(Metrics!$A$6:$U$305,MATCH($A281,Metrics!$U$6:$U$305,0),MATCH(J$5,Metrics!$A$5:$U$5,0)))</f>
        <v/>
      </c>
      <c r="K281" s="10" t="str">
        <f>IF($A281="","",INDEX(Metrics!$A$6:$U$305,MATCH($A281,Metrics!$U$6:$U$305,0),MATCH(K$5,Metrics!$A$5:$U$5,0)))</f>
        <v/>
      </c>
      <c r="L281" t="str">
        <f>IF($A281="","",INDEX(Metrics!$A$6:$U$305,MATCH($A281,Metrics!$U$6:$U$305,0),MATCH(L$5,Metrics!$A$5:$U$5,0)))</f>
        <v/>
      </c>
      <c r="M281" t="str">
        <f>IF($A281="","",INDEX(Metrics!$A$6:$U$305,MATCH($A281,Metrics!$U$6:$U$305,0),MATCH(M$5,Metrics!$A$5:$U$5,0)))</f>
        <v/>
      </c>
      <c r="N281" t="str">
        <f>IF($A281="","",INDEX(Metrics!$A$6:$U$305,MATCH($A281,Metrics!$U$6:$U$305,0),MATCH(N$5,Metrics!$A$5:$U$5,0)))</f>
        <v/>
      </c>
      <c r="O281" t="str">
        <f>IF($A281="","",INDEX(Metrics!$A$6:$U$305,MATCH($A281,Metrics!$U$6:$U$305,0),MATCH(O$5,Metrics!$A$5:$U$5,0)))</f>
        <v/>
      </c>
      <c r="P281" t="str">
        <f>IF($A281="","",INDEX(Metrics!$A$6:$U$305,MATCH($A281,Metrics!$U$6:$U$305,0),MATCH(P$5,Metrics!$A$5:$U$5,0)))</f>
        <v/>
      </c>
    </row>
    <row r="282" spans="1:16" x14ac:dyDescent="0.4">
      <c r="A282" t="str">
        <f t="shared" si="4"/>
        <v/>
      </c>
      <c r="B282" t="str">
        <f>IF($A282="","",INDEX(Metrics!$A$6:$U$305,MATCH($A282,Metrics!$U$6:$U$305,0),MATCH(B$5,Metrics!$A$5:$U$5,0)))</f>
        <v/>
      </c>
      <c r="C282" t="str">
        <f>IF($A282="","",INDEX(Metrics!$A$6:$U$305,MATCH($A282,Metrics!$U$6:$U$305,0),MATCH(C$5,Metrics!$A$5:$U$5,0)))</f>
        <v/>
      </c>
      <c r="D282" t="str">
        <f>IF($A282="","",INDEX(Metrics!$A$6:$U$305,MATCH($A282,Metrics!$U$6:$U$305,0),MATCH(D$5,Metrics!$A$5:$U$5,0)))</f>
        <v/>
      </c>
      <c r="E282" s="14" t="str">
        <f>IF($A282="","",INDEX(Metrics!$A$6:$U$305,MATCH($A282,Metrics!$U$6:$U$305,0),MATCH(E$5,Metrics!$A$5:$U$5,0)))</f>
        <v/>
      </c>
      <c r="F282" s="7" t="str">
        <f>IF($A282="","",INDEX(Metrics!$A$6:$U$305,MATCH($A282,Metrics!$U$6:$U$305,0),MATCH(F$5,Metrics!$A$5:$U$5,0)))</f>
        <v/>
      </c>
      <c r="G282" s="9" t="str">
        <f>IF($A282="","",INDEX(Metrics!$A$6:$U$305,MATCH($A282,Metrics!$U$6:$U$305,0),MATCH(G$5,Metrics!$A$5:$U$5,0)))</f>
        <v/>
      </c>
      <c r="H282" s="9" t="str">
        <f>IF($A282="","",INDEX(Metrics!$A$6:$U$305,MATCH($A282,Metrics!$U$6:$U$305,0),MATCH(H$5,Metrics!$A$5:$U$5,0)))</f>
        <v/>
      </c>
      <c r="I282" s="7" t="str">
        <f>IF($A282="","",INDEX(Metrics!$A$6:$U$305,MATCH($A282,Metrics!$U$6:$U$305,0),MATCH(I$5,Metrics!$A$5:$U$5,0)))</f>
        <v/>
      </c>
      <c r="J282" s="9" t="str">
        <f>IF($A282="","",INDEX(Metrics!$A$6:$U$305,MATCH($A282,Metrics!$U$6:$U$305,0),MATCH(J$5,Metrics!$A$5:$U$5,0)))</f>
        <v/>
      </c>
      <c r="K282" s="10" t="str">
        <f>IF($A282="","",INDEX(Metrics!$A$6:$U$305,MATCH($A282,Metrics!$U$6:$U$305,0),MATCH(K$5,Metrics!$A$5:$U$5,0)))</f>
        <v/>
      </c>
      <c r="L282" t="str">
        <f>IF($A282="","",INDEX(Metrics!$A$6:$U$305,MATCH($A282,Metrics!$U$6:$U$305,0),MATCH(L$5,Metrics!$A$5:$U$5,0)))</f>
        <v/>
      </c>
      <c r="M282" t="str">
        <f>IF($A282="","",INDEX(Metrics!$A$6:$U$305,MATCH($A282,Metrics!$U$6:$U$305,0),MATCH(M$5,Metrics!$A$5:$U$5,0)))</f>
        <v/>
      </c>
      <c r="N282" t="str">
        <f>IF($A282="","",INDEX(Metrics!$A$6:$U$305,MATCH($A282,Metrics!$U$6:$U$305,0),MATCH(N$5,Metrics!$A$5:$U$5,0)))</f>
        <v/>
      </c>
      <c r="O282" t="str">
        <f>IF($A282="","",INDEX(Metrics!$A$6:$U$305,MATCH($A282,Metrics!$U$6:$U$305,0),MATCH(O$5,Metrics!$A$5:$U$5,0)))</f>
        <v/>
      </c>
      <c r="P282" t="str">
        <f>IF($A282="","",INDEX(Metrics!$A$6:$U$305,MATCH($A282,Metrics!$U$6:$U$305,0),MATCH(P$5,Metrics!$A$5:$U$5,0)))</f>
        <v/>
      </c>
    </row>
    <row r="283" spans="1:16" x14ac:dyDescent="0.4">
      <c r="A283" t="str">
        <f t="shared" si="4"/>
        <v/>
      </c>
      <c r="B283" t="str">
        <f>IF($A283="","",INDEX(Metrics!$A$6:$U$305,MATCH($A283,Metrics!$U$6:$U$305,0),MATCH(B$5,Metrics!$A$5:$U$5,0)))</f>
        <v/>
      </c>
      <c r="C283" t="str">
        <f>IF($A283="","",INDEX(Metrics!$A$6:$U$305,MATCH($A283,Metrics!$U$6:$U$305,0),MATCH(C$5,Metrics!$A$5:$U$5,0)))</f>
        <v/>
      </c>
      <c r="D283" t="str">
        <f>IF($A283="","",INDEX(Metrics!$A$6:$U$305,MATCH($A283,Metrics!$U$6:$U$305,0),MATCH(D$5,Metrics!$A$5:$U$5,0)))</f>
        <v/>
      </c>
      <c r="E283" s="14" t="str">
        <f>IF($A283="","",INDEX(Metrics!$A$6:$U$305,MATCH($A283,Metrics!$U$6:$U$305,0),MATCH(E$5,Metrics!$A$5:$U$5,0)))</f>
        <v/>
      </c>
      <c r="F283" s="7" t="str">
        <f>IF($A283="","",INDEX(Metrics!$A$6:$U$305,MATCH($A283,Metrics!$U$6:$U$305,0),MATCH(F$5,Metrics!$A$5:$U$5,0)))</f>
        <v/>
      </c>
      <c r="G283" s="9" t="str">
        <f>IF($A283="","",INDEX(Metrics!$A$6:$U$305,MATCH($A283,Metrics!$U$6:$U$305,0),MATCH(G$5,Metrics!$A$5:$U$5,0)))</f>
        <v/>
      </c>
      <c r="H283" s="9" t="str">
        <f>IF($A283="","",INDEX(Metrics!$A$6:$U$305,MATCH($A283,Metrics!$U$6:$U$305,0),MATCH(H$5,Metrics!$A$5:$U$5,0)))</f>
        <v/>
      </c>
      <c r="I283" s="7" t="str">
        <f>IF($A283="","",INDEX(Metrics!$A$6:$U$305,MATCH($A283,Metrics!$U$6:$U$305,0),MATCH(I$5,Metrics!$A$5:$U$5,0)))</f>
        <v/>
      </c>
      <c r="J283" s="9" t="str">
        <f>IF($A283="","",INDEX(Metrics!$A$6:$U$305,MATCH($A283,Metrics!$U$6:$U$305,0),MATCH(J$5,Metrics!$A$5:$U$5,0)))</f>
        <v/>
      </c>
      <c r="K283" s="10" t="str">
        <f>IF($A283="","",INDEX(Metrics!$A$6:$U$305,MATCH($A283,Metrics!$U$6:$U$305,0),MATCH(K$5,Metrics!$A$5:$U$5,0)))</f>
        <v/>
      </c>
      <c r="L283" t="str">
        <f>IF($A283="","",INDEX(Metrics!$A$6:$U$305,MATCH($A283,Metrics!$U$6:$U$305,0),MATCH(L$5,Metrics!$A$5:$U$5,0)))</f>
        <v/>
      </c>
      <c r="M283" t="str">
        <f>IF($A283="","",INDEX(Metrics!$A$6:$U$305,MATCH($A283,Metrics!$U$6:$U$305,0),MATCH(M$5,Metrics!$A$5:$U$5,0)))</f>
        <v/>
      </c>
      <c r="N283" t="str">
        <f>IF($A283="","",INDEX(Metrics!$A$6:$U$305,MATCH($A283,Metrics!$U$6:$U$305,0),MATCH(N$5,Metrics!$A$5:$U$5,0)))</f>
        <v/>
      </c>
      <c r="O283" t="str">
        <f>IF($A283="","",INDEX(Metrics!$A$6:$U$305,MATCH($A283,Metrics!$U$6:$U$305,0),MATCH(O$5,Metrics!$A$5:$U$5,0)))</f>
        <v/>
      </c>
      <c r="P283" t="str">
        <f>IF($A283="","",INDEX(Metrics!$A$6:$U$305,MATCH($A283,Metrics!$U$6:$U$305,0),MATCH(P$5,Metrics!$A$5:$U$5,0)))</f>
        <v/>
      </c>
    </row>
    <row r="284" spans="1:16" x14ac:dyDescent="0.4">
      <c r="A284" t="str">
        <f t="shared" si="4"/>
        <v/>
      </c>
      <c r="B284" t="str">
        <f>IF($A284="","",INDEX(Metrics!$A$6:$U$305,MATCH($A284,Metrics!$U$6:$U$305,0),MATCH(B$5,Metrics!$A$5:$U$5,0)))</f>
        <v/>
      </c>
      <c r="C284" t="str">
        <f>IF($A284="","",INDEX(Metrics!$A$6:$U$305,MATCH($A284,Metrics!$U$6:$U$305,0),MATCH(C$5,Metrics!$A$5:$U$5,0)))</f>
        <v/>
      </c>
      <c r="D284" t="str">
        <f>IF($A284="","",INDEX(Metrics!$A$6:$U$305,MATCH($A284,Metrics!$U$6:$U$305,0),MATCH(D$5,Metrics!$A$5:$U$5,0)))</f>
        <v/>
      </c>
      <c r="E284" s="14" t="str">
        <f>IF($A284="","",INDEX(Metrics!$A$6:$U$305,MATCH($A284,Metrics!$U$6:$U$305,0),MATCH(E$5,Metrics!$A$5:$U$5,0)))</f>
        <v/>
      </c>
      <c r="F284" s="7" t="str">
        <f>IF($A284="","",INDEX(Metrics!$A$6:$U$305,MATCH($A284,Metrics!$U$6:$U$305,0),MATCH(F$5,Metrics!$A$5:$U$5,0)))</f>
        <v/>
      </c>
      <c r="G284" s="9" t="str">
        <f>IF($A284="","",INDEX(Metrics!$A$6:$U$305,MATCH($A284,Metrics!$U$6:$U$305,0),MATCH(G$5,Metrics!$A$5:$U$5,0)))</f>
        <v/>
      </c>
      <c r="H284" s="9" t="str">
        <f>IF($A284="","",INDEX(Metrics!$A$6:$U$305,MATCH($A284,Metrics!$U$6:$U$305,0),MATCH(H$5,Metrics!$A$5:$U$5,0)))</f>
        <v/>
      </c>
      <c r="I284" s="7" t="str">
        <f>IF($A284="","",INDEX(Metrics!$A$6:$U$305,MATCH($A284,Metrics!$U$6:$U$305,0),MATCH(I$5,Metrics!$A$5:$U$5,0)))</f>
        <v/>
      </c>
      <c r="J284" s="9" t="str">
        <f>IF($A284="","",INDEX(Metrics!$A$6:$U$305,MATCH($A284,Metrics!$U$6:$U$305,0),MATCH(J$5,Metrics!$A$5:$U$5,0)))</f>
        <v/>
      </c>
      <c r="K284" s="10" t="str">
        <f>IF($A284="","",INDEX(Metrics!$A$6:$U$305,MATCH($A284,Metrics!$U$6:$U$305,0),MATCH(K$5,Metrics!$A$5:$U$5,0)))</f>
        <v/>
      </c>
      <c r="L284" t="str">
        <f>IF($A284="","",INDEX(Metrics!$A$6:$U$305,MATCH($A284,Metrics!$U$6:$U$305,0),MATCH(L$5,Metrics!$A$5:$U$5,0)))</f>
        <v/>
      </c>
      <c r="M284" t="str">
        <f>IF($A284="","",INDEX(Metrics!$A$6:$U$305,MATCH($A284,Metrics!$U$6:$U$305,0),MATCH(M$5,Metrics!$A$5:$U$5,0)))</f>
        <v/>
      </c>
      <c r="N284" t="str">
        <f>IF($A284="","",INDEX(Metrics!$A$6:$U$305,MATCH($A284,Metrics!$U$6:$U$305,0),MATCH(N$5,Metrics!$A$5:$U$5,0)))</f>
        <v/>
      </c>
      <c r="O284" t="str">
        <f>IF($A284="","",INDEX(Metrics!$A$6:$U$305,MATCH($A284,Metrics!$U$6:$U$305,0),MATCH(O$5,Metrics!$A$5:$U$5,0)))</f>
        <v/>
      </c>
      <c r="P284" t="str">
        <f>IF($A284="","",INDEX(Metrics!$A$6:$U$305,MATCH($A284,Metrics!$U$6:$U$305,0),MATCH(P$5,Metrics!$A$5:$U$5,0)))</f>
        <v/>
      </c>
    </row>
    <row r="285" spans="1:16" x14ac:dyDescent="0.4">
      <c r="A285" t="str">
        <f t="shared" si="4"/>
        <v/>
      </c>
      <c r="B285" t="str">
        <f>IF($A285="","",INDEX(Metrics!$A$6:$U$305,MATCH($A285,Metrics!$U$6:$U$305,0),MATCH(B$5,Metrics!$A$5:$U$5,0)))</f>
        <v/>
      </c>
      <c r="C285" t="str">
        <f>IF($A285="","",INDEX(Metrics!$A$6:$U$305,MATCH($A285,Metrics!$U$6:$U$305,0),MATCH(C$5,Metrics!$A$5:$U$5,0)))</f>
        <v/>
      </c>
      <c r="D285" t="str">
        <f>IF($A285="","",INDEX(Metrics!$A$6:$U$305,MATCH($A285,Metrics!$U$6:$U$305,0),MATCH(D$5,Metrics!$A$5:$U$5,0)))</f>
        <v/>
      </c>
      <c r="E285" s="14" t="str">
        <f>IF($A285="","",INDEX(Metrics!$A$6:$U$305,MATCH($A285,Metrics!$U$6:$U$305,0),MATCH(E$5,Metrics!$A$5:$U$5,0)))</f>
        <v/>
      </c>
      <c r="F285" s="7" t="str">
        <f>IF($A285="","",INDEX(Metrics!$A$6:$U$305,MATCH($A285,Metrics!$U$6:$U$305,0),MATCH(F$5,Metrics!$A$5:$U$5,0)))</f>
        <v/>
      </c>
      <c r="G285" s="9" t="str">
        <f>IF($A285="","",INDEX(Metrics!$A$6:$U$305,MATCH($A285,Metrics!$U$6:$U$305,0),MATCH(G$5,Metrics!$A$5:$U$5,0)))</f>
        <v/>
      </c>
      <c r="H285" s="9" t="str">
        <f>IF($A285="","",INDEX(Metrics!$A$6:$U$305,MATCH($A285,Metrics!$U$6:$U$305,0),MATCH(H$5,Metrics!$A$5:$U$5,0)))</f>
        <v/>
      </c>
      <c r="I285" s="7" t="str">
        <f>IF($A285="","",INDEX(Metrics!$A$6:$U$305,MATCH($A285,Metrics!$U$6:$U$305,0),MATCH(I$5,Metrics!$A$5:$U$5,0)))</f>
        <v/>
      </c>
      <c r="J285" s="9" t="str">
        <f>IF($A285="","",INDEX(Metrics!$A$6:$U$305,MATCH($A285,Metrics!$U$6:$U$305,0),MATCH(J$5,Metrics!$A$5:$U$5,0)))</f>
        <v/>
      </c>
      <c r="K285" s="10" t="str">
        <f>IF($A285="","",INDEX(Metrics!$A$6:$U$305,MATCH($A285,Metrics!$U$6:$U$305,0),MATCH(K$5,Metrics!$A$5:$U$5,0)))</f>
        <v/>
      </c>
      <c r="L285" t="str">
        <f>IF($A285="","",INDEX(Metrics!$A$6:$U$305,MATCH($A285,Metrics!$U$6:$U$305,0),MATCH(L$5,Metrics!$A$5:$U$5,0)))</f>
        <v/>
      </c>
      <c r="M285" t="str">
        <f>IF($A285="","",INDEX(Metrics!$A$6:$U$305,MATCH($A285,Metrics!$U$6:$U$305,0),MATCH(M$5,Metrics!$A$5:$U$5,0)))</f>
        <v/>
      </c>
      <c r="N285" t="str">
        <f>IF($A285="","",INDEX(Metrics!$A$6:$U$305,MATCH($A285,Metrics!$U$6:$U$305,0),MATCH(N$5,Metrics!$A$5:$U$5,0)))</f>
        <v/>
      </c>
      <c r="O285" t="str">
        <f>IF($A285="","",INDEX(Metrics!$A$6:$U$305,MATCH($A285,Metrics!$U$6:$U$305,0),MATCH(O$5,Metrics!$A$5:$U$5,0)))</f>
        <v/>
      </c>
      <c r="P285" t="str">
        <f>IF($A285="","",INDEX(Metrics!$A$6:$U$305,MATCH($A285,Metrics!$U$6:$U$305,0),MATCH(P$5,Metrics!$A$5:$U$5,0)))</f>
        <v/>
      </c>
    </row>
    <row r="286" spans="1:16" x14ac:dyDescent="0.4">
      <c r="A286" t="str">
        <f t="shared" si="4"/>
        <v/>
      </c>
      <c r="B286" t="str">
        <f>IF($A286="","",INDEX(Metrics!$A$6:$U$305,MATCH($A286,Metrics!$U$6:$U$305,0),MATCH(B$5,Metrics!$A$5:$U$5,0)))</f>
        <v/>
      </c>
      <c r="C286" t="str">
        <f>IF($A286="","",INDEX(Metrics!$A$6:$U$305,MATCH($A286,Metrics!$U$6:$U$305,0),MATCH(C$5,Metrics!$A$5:$U$5,0)))</f>
        <v/>
      </c>
      <c r="D286" t="str">
        <f>IF($A286="","",INDEX(Metrics!$A$6:$U$305,MATCH($A286,Metrics!$U$6:$U$305,0),MATCH(D$5,Metrics!$A$5:$U$5,0)))</f>
        <v/>
      </c>
      <c r="E286" s="14" t="str">
        <f>IF($A286="","",INDEX(Metrics!$A$6:$U$305,MATCH($A286,Metrics!$U$6:$U$305,0),MATCH(E$5,Metrics!$A$5:$U$5,0)))</f>
        <v/>
      </c>
      <c r="F286" s="7" t="str">
        <f>IF($A286="","",INDEX(Metrics!$A$6:$U$305,MATCH($A286,Metrics!$U$6:$U$305,0),MATCH(F$5,Metrics!$A$5:$U$5,0)))</f>
        <v/>
      </c>
      <c r="G286" s="9" t="str">
        <f>IF($A286="","",INDEX(Metrics!$A$6:$U$305,MATCH($A286,Metrics!$U$6:$U$305,0),MATCH(G$5,Metrics!$A$5:$U$5,0)))</f>
        <v/>
      </c>
      <c r="H286" s="9" t="str">
        <f>IF($A286="","",INDEX(Metrics!$A$6:$U$305,MATCH($A286,Metrics!$U$6:$U$305,0),MATCH(H$5,Metrics!$A$5:$U$5,0)))</f>
        <v/>
      </c>
      <c r="I286" s="7" t="str">
        <f>IF($A286="","",INDEX(Metrics!$A$6:$U$305,MATCH($A286,Metrics!$U$6:$U$305,0),MATCH(I$5,Metrics!$A$5:$U$5,0)))</f>
        <v/>
      </c>
      <c r="J286" s="9" t="str">
        <f>IF($A286="","",INDEX(Metrics!$A$6:$U$305,MATCH($A286,Metrics!$U$6:$U$305,0),MATCH(J$5,Metrics!$A$5:$U$5,0)))</f>
        <v/>
      </c>
      <c r="K286" s="10" t="str">
        <f>IF($A286="","",INDEX(Metrics!$A$6:$U$305,MATCH($A286,Metrics!$U$6:$U$305,0),MATCH(K$5,Metrics!$A$5:$U$5,0)))</f>
        <v/>
      </c>
      <c r="L286" t="str">
        <f>IF($A286="","",INDEX(Metrics!$A$6:$U$305,MATCH($A286,Metrics!$U$6:$U$305,0),MATCH(L$5,Metrics!$A$5:$U$5,0)))</f>
        <v/>
      </c>
      <c r="M286" t="str">
        <f>IF($A286="","",INDEX(Metrics!$A$6:$U$305,MATCH($A286,Metrics!$U$6:$U$305,0),MATCH(M$5,Metrics!$A$5:$U$5,0)))</f>
        <v/>
      </c>
      <c r="N286" t="str">
        <f>IF($A286="","",INDEX(Metrics!$A$6:$U$305,MATCH($A286,Metrics!$U$6:$U$305,0),MATCH(N$5,Metrics!$A$5:$U$5,0)))</f>
        <v/>
      </c>
      <c r="O286" t="str">
        <f>IF($A286="","",INDEX(Metrics!$A$6:$U$305,MATCH($A286,Metrics!$U$6:$U$305,0),MATCH(O$5,Metrics!$A$5:$U$5,0)))</f>
        <v/>
      </c>
      <c r="P286" t="str">
        <f>IF($A286="","",INDEX(Metrics!$A$6:$U$305,MATCH($A286,Metrics!$U$6:$U$305,0),MATCH(P$5,Metrics!$A$5:$U$5,0)))</f>
        <v/>
      </c>
    </row>
    <row r="287" spans="1:16" x14ac:dyDescent="0.4">
      <c r="A287" t="str">
        <f t="shared" si="4"/>
        <v/>
      </c>
      <c r="B287" t="str">
        <f>IF($A287="","",INDEX(Metrics!$A$6:$U$305,MATCH($A287,Metrics!$U$6:$U$305,0),MATCH(B$5,Metrics!$A$5:$U$5,0)))</f>
        <v/>
      </c>
      <c r="C287" t="str">
        <f>IF($A287="","",INDEX(Metrics!$A$6:$U$305,MATCH($A287,Metrics!$U$6:$U$305,0),MATCH(C$5,Metrics!$A$5:$U$5,0)))</f>
        <v/>
      </c>
      <c r="D287" t="str">
        <f>IF($A287="","",INDEX(Metrics!$A$6:$U$305,MATCH($A287,Metrics!$U$6:$U$305,0),MATCH(D$5,Metrics!$A$5:$U$5,0)))</f>
        <v/>
      </c>
      <c r="E287" s="14" t="str">
        <f>IF($A287="","",INDEX(Metrics!$A$6:$U$305,MATCH($A287,Metrics!$U$6:$U$305,0),MATCH(E$5,Metrics!$A$5:$U$5,0)))</f>
        <v/>
      </c>
      <c r="F287" s="7" t="str">
        <f>IF($A287="","",INDEX(Metrics!$A$6:$U$305,MATCH($A287,Metrics!$U$6:$U$305,0),MATCH(F$5,Metrics!$A$5:$U$5,0)))</f>
        <v/>
      </c>
      <c r="G287" s="9" t="str">
        <f>IF($A287="","",INDEX(Metrics!$A$6:$U$305,MATCH($A287,Metrics!$U$6:$U$305,0),MATCH(G$5,Metrics!$A$5:$U$5,0)))</f>
        <v/>
      </c>
      <c r="H287" s="9" t="str">
        <f>IF($A287="","",INDEX(Metrics!$A$6:$U$305,MATCH($A287,Metrics!$U$6:$U$305,0),MATCH(H$5,Metrics!$A$5:$U$5,0)))</f>
        <v/>
      </c>
      <c r="I287" s="7" t="str">
        <f>IF($A287="","",INDEX(Metrics!$A$6:$U$305,MATCH($A287,Metrics!$U$6:$U$305,0),MATCH(I$5,Metrics!$A$5:$U$5,0)))</f>
        <v/>
      </c>
      <c r="J287" s="9" t="str">
        <f>IF($A287="","",INDEX(Metrics!$A$6:$U$305,MATCH($A287,Metrics!$U$6:$U$305,0),MATCH(J$5,Metrics!$A$5:$U$5,0)))</f>
        <v/>
      </c>
      <c r="K287" s="10" t="str">
        <f>IF($A287="","",INDEX(Metrics!$A$6:$U$305,MATCH($A287,Metrics!$U$6:$U$305,0),MATCH(K$5,Metrics!$A$5:$U$5,0)))</f>
        <v/>
      </c>
      <c r="L287" t="str">
        <f>IF($A287="","",INDEX(Metrics!$A$6:$U$305,MATCH($A287,Metrics!$U$6:$U$305,0),MATCH(L$5,Metrics!$A$5:$U$5,0)))</f>
        <v/>
      </c>
      <c r="M287" t="str">
        <f>IF($A287="","",INDEX(Metrics!$A$6:$U$305,MATCH($A287,Metrics!$U$6:$U$305,0),MATCH(M$5,Metrics!$A$5:$U$5,0)))</f>
        <v/>
      </c>
      <c r="N287" t="str">
        <f>IF($A287="","",INDEX(Metrics!$A$6:$U$305,MATCH($A287,Metrics!$U$6:$U$305,0),MATCH(N$5,Metrics!$A$5:$U$5,0)))</f>
        <v/>
      </c>
      <c r="O287" t="str">
        <f>IF($A287="","",INDEX(Metrics!$A$6:$U$305,MATCH($A287,Metrics!$U$6:$U$305,0),MATCH(O$5,Metrics!$A$5:$U$5,0)))</f>
        <v/>
      </c>
      <c r="P287" t="str">
        <f>IF($A287="","",INDEX(Metrics!$A$6:$U$305,MATCH($A287,Metrics!$U$6:$U$305,0),MATCH(P$5,Metrics!$A$5:$U$5,0)))</f>
        <v/>
      </c>
    </row>
    <row r="288" spans="1:16" x14ac:dyDescent="0.4">
      <c r="A288" t="str">
        <f t="shared" si="4"/>
        <v/>
      </c>
      <c r="B288" t="str">
        <f>IF($A288="","",INDEX(Metrics!$A$6:$U$305,MATCH($A288,Metrics!$U$6:$U$305,0),MATCH(B$5,Metrics!$A$5:$U$5,0)))</f>
        <v/>
      </c>
      <c r="C288" t="str">
        <f>IF($A288="","",INDEX(Metrics!$A$6:$U$305,MATCH($A288,Metrics!$U$6:$U$305,0),MATCH(C$5,Metrics!$A$5:$U$5,0)))</f>
        <v/>
      </c>
      <c r="D288" t="str">
        <f>IF($A288="","",INDEX(Metrics!$A$6:$U$305,MATCH($A288,Metrics!$U$6:$U$305,0),MATCH(D$5,Metrics!$A$5:$U$5,0)))</f>
        <v/>
      </c>
      <c r="E288" s="14" t="str">
        <f>IF($A288="","",INDEX(Metrics!$A$6:$U$305,MATCH($A288,Metrics!$U$6:$U$305,0),MATCH(E$5,Metrics!$A$5:$U$5,0)))</f>
        <v/>
      </c>
      <c r="F288" s="7" t="str">
        <f>IF($A288="","",INDEX(Metrics!$A$6:$U$305,MATCH($A288,Metrics!$U$6:$U$305,0),MATCH(F$5,Metrics!$A$5:$U$5,0)))</f>
        <v/>
      </c>
      <c r="G288" s="9" t="str">
        <f>IF($A288="","",INDEX(Metrics!$A$6:$U$305,MATCH($A288,Metrics!$U$6:$U$305,0),MATCH(G$5,Metrics!$A$5:$U$5,0)))</f>
        <v/>
      </c>
      <c r="H288" s="9" t="str">
        <f>IF($A288="","",INDEX(Metrics!$A$6:$U$305,MATCH($A288,Metrics!$U$6:$U$305,0),MATCH(H$5,Metrics!$A$5:$U$5,0)))</f>
        <v/>
      </c>
      <c r="I288" s="7" t="str">
        <f>IF($A288="","",INDEX(Metrics!$A$6:$U$305,MATCH($A288,Metrics!$U$6:$U$305,0),MATCH(I$5,Metrics!$A$5:$U$5,0)))</f>
        <v/>
      </c>
      <c r="J288" s="9" t="str">
        <f>IF($A288="","",INDEX(Metrics!$A$6:$U$305,MATCH($A288,Metrics!$U$6:$U$305,0),MATCH(J$5,Metrics!$A$5:$U$5,0)))</f>
        <v/>
      </c>
      <c r="K288" s="10" t="str">
        <f>IF($A288="","",INDEX(Metrics!$A$6:$U$305,MATCH($A288,Metrics!$U$6:$U$305,0),MATCH(K$5,Metrics!$A$5:$U$5,0)))</f>
        <v/>
      </c>
      <c r="L288" t="str">
        <f>IF($A288="","",INDEX(Metrics!$A$6:$U$305,MATCH($A288,Metrics!$U$6:$U$305,0),MATCH(L$5,Metrics!$A$5:$U$5,0)))</f>
        <v/>
      </c>
      <c r="M288" t="str">
        <f>IF($A288="","",INDEX(Metrics!$A$6:$U$305,MATCH($A288,Metrics!$U$6:$U$305,0),MATCH(M$5,Metrics!$A$5:$U$5,0)))</f>
        <v/>
      </c>
      <c r="N288" t="str">
        <f>IF($A288="","",INDEX(Metrics!$A$6:$U$305,MATCH($A288,Metrics!$U$6:$U$305,0),MATCH(N$5,Metrics!$A$5:$U$5,0)))</f>
        <v/>
      </c>
      <c r="O288" t="str">
        <f>IF($A288="","",INDEX(Metrics!$A$6:$U$305,MATCH($A288,Metrics!$U$6:$U$305,0),MATCH(O$5,Metrics!$A$5:$U$5,0)))</f>
        <v/>
      </c>
      <c r="P288" t="str">
        <f>IF($A288="","",INDEX(Metrics!$A$6:$U$305,MATCH($A288,Metrics!$U$6:$U$305,0),MATCH(P$5,Metrics!$A$5:$U$5,0)))</f>
        <v/>
      </c>
    </row>
    <row r="289" spans="1:16" x14ac:dyDescent="0.4">
      <c r="A289" t="str">
        <f t="shared" si="4"/>
        <v/>
      </c>
      <c r="B289" t="str">
        <f>IF($A289="","",INDEX(Metrics!$A$6:$U$305,MATCH($A289,Metrics!$U$6:$U$305,0),MATCH(B$5,Metrics!$A$5:$U$5,0)))</f>
        <v/>
      </c>
      <c r="C289" t="str">
        <f>IF($A289="","",INDEX(Metrics!$A$6:$U$305,MATCH($A289,Metrics!$U$6:$U$305,0),MATCH(C$5,Metrics!$A$5:$U$5,0)))</f>
        <v/>
      </c>
      <c r="D289" t="str">
        <f>IF($A289="","",INDEX(Metrics!$A$6:$U$305,MATCH($A289,Metrics!$U$6:$U$305,0),MATCH(D$5,Metrics!$A$5:$U$5,0)))</f>
        <v/>
      </c>
      <c r="E289" s="14" t="str">
        <f>IF($A289="","",INDEX(Metrics!$A$6:$U$305,MATCH($A289,Metrics!$U$6:$U$305,0),MATCH(E$5,Metrics!$A$5:$U$5,0)))</f>
        <v/>
      </c>
      <c r="F289" s="7" t="str">
        <f>IF($A289="","",INDEX(Metrics!$A$6:$U$305,MATCH($A289,Metrics!$U$6:$U$305,0),MATCH(F$5,Metrics!$A$5:$U$5,0)))</f>
        <v/>
      </c>
      <c r="G289" s="9" t="str">
        <f>IF($A289="","",INDEX(Metrics!$A$6:$U$305,MATCH($A289,Metrics!$U$6:$U$305,0),MATCH(G$5,Metrics!$A$5:$U$5,0)))</f>
        <v/>
      </c>
      <c r="H289" s="9" t="str">
        <f>IF($A289="","",INDEX(Metrics!$A$6:$U$305,MATCH($A289,Metrics!$U$6:$U$305,0),MATCH(H$5,Metrics!$A$5:$U$5,0)))</f>
        <v/>
      </c>
      <c r="I289" s="7" t="str">
        <f>IF($A289="","",INDEX(Metrics!$A$6:$U$305,MATCH($A289,Metrics!$U$6:$U$305,0),MATCH(I$5,Metrics!$A$5:$U$5,0)))</f>
        <v/>
      </c>
      <c r="J289" s="9" t="str">
        <f>IF($A289="","",INDEX(Metrics!$A$6:$U$305,MATCH($A289,Metrics!$U$6:$U$305,0),MATCH(J$5,Metrics!$A$5:$U$5,0)))</f>
        <v/>
      </c>
      <c r="K289" s="10" t="str">
        <f>IF($A289="","",INDEX(Metrics!$A$6:$U$305,MATCH($A289,Metrics!$U$6:$U$305,0),MATCH(K$5,Metrics!$A$5:$U$5,0)))</f>
        <v/>
      </c>
      <c r="L289" t="str">
        <f>IF($A289="","",INDEX(Metrics!$A$6:$U$305,MATCH($A289,Metrics!$U$6:$U$305,0),MATCH(L$5,Metrics!$A$5:$U$5,0)))</f>
        <v/>
      </c>
      <c r="M289" t="str">
        <f>IF($A289="","",INDEX(Metrics!$A$6:$U$305,MATCH($A289,Metrics!$U$6:$U$305,0),MATCH(M$5,Metrics!$A$5:$U$5,0)))</f>
        <v/>
      </c>
      <c r="N289" t="str">
        <f>IF($A289="","",INDEX(Metrics!$A$6:$U$305,MATCH($A289,Metrics!$U$6:$U$305,0),MATCH(N$5,Metrics!$A$5:$U$5,0)))</f>
        <v/>
      </c>
      <c r="O289" t="str">
        <f>IF($A289="","",INDEX(Metrics!$A$6:$U$305,MATCH($A289,Metrics!$U$6:$U$305,0),MATCH(O$5,Metrics!$A$5:$U$5,0)))</f>
        <v/>
      </c>
      <c r="P289" t="str">
        <f>IF($A289="","",INDEX(Metrics!$A$6:$U$305,MATCH($A289,Metrics!$U$6:$U$305,0),MATCH(P$5,Metrics!$A$5:$U$5,0)))</f>
        <v/>
      </c>
    </row>
    <row r="290" spans="1:16" x14ac:dyDescent="0.4">
      <c r="A290" t="str">
        <f t="shared" si="4"/>
        <v/>
      </c>
      <c r="B290" t="str">
        <f>IF($A290="","",INDEX(Metrics!$A$6:$U$305,MATCH($A290,Metrics!$U$6:$U$305,0),MATCH(B$5,Metrics!$A$5:$U$5,0)))</f>
        <v/>
      </c>
      <c r="C290" t="str">
        <f>IF($A290="","",INDEX(Metrics!$A$6:$U$305,MATCH($A290,Metrics!$U$6:$U$305,0),MATCH(C$5,Metrics!$A$5:$U$5,0)))</f>
        <v/>
      </c>
      <c r="D290" t="str">
        <f>IF($A290="","",INDEX(Metrics!$A$6:$U$305,MATCH($A290,Metrics!$U$6:$U$305,0),MATCH(D$5,Metrics!$A$5:$U$5,0)))</f>
        <v/>
      </c>
      <c r="E290" s="14" t="str">
        <f>IF($A290="","",INDEX(Metrics!$A$6:$U$305,MATCH($A290,Metrics!$U$6:$U$305,0),MATCH(E$5,Metrics!$A$5:$U$5,0)))</f>
        <v/>
      </c>
      <c r="F290" s="7" t="str">
        <f>IF($A290="","",INDEX(Metrics!$A$6:$U$305,MATCH($A290,Metrics!$U$6:$U$305,0),MATCH(F$5,Metrics!$A$5:$U$5,0)))</f>
        <v/>
      </c>
      <c r="G290" s="9" t="str">
        <f>IF($A290="","",INDEX(Metrics!$A$6:$U$305,MATCH($A290,Metrics!$U$6:$U$305,0),MATCH(G$5,Metrics!$A$5:$U$5,0)))</f>
        <v/>
      </c>
      <c r="H290" s="9" t="str">
        <f>IF($A290="","",INDEX(Metrics!$A$6:$U$305,MATCH($A290,Metrics!$U$6:$U$305,0),MATCH(H$5,Metrics!$A$5:$U$5,0)))</f>
        <v/>
      </c>
      <c r="I290" s="7" t="str">
        <f>IF($A290="","",INDEX(Metrics!$A$6:$U$305,MATCH($A290,Metrics!$U$6:$U$305,0),MATCH(I$5,Metrics!$A$5:$U$5,0)))</f>
        <v/>
      </c>
      <c r="J290" s="9" t="str">
        <f>IF($A290="","",INDEX(Metrics!$A$6:$U$305,MATCH($A290,Metrics!$U$6:$U$305,0),MATCH(J$5,Metrics!$A$5:$U$5,0)))</f>
        <v/>
      </c>
      <c r="K290" s="10" t="str">
        <f>IF($A290="","",INDEX(Metrics!$A$6:$U$305,MATCH($A290,Metrics!$U$6:$U$305,0),MATCH(K$5,Metrics!$A$5:$U$5,0)))</f>
        <v/>
      </c>
      <c r="L290" t="str">
        <f>IF($A290="","",INDEX(Metrics!$A$6:$U$305,MATCH($A290,Metrics!$U$6:$U$305,0),MATCH(L$5,Metrics!$A$5:$U$5,0)))</f>
        <v/>
      </c>
      <c r="M290" t="str">
        <f>IF($A290="","",INDEX(Metrics!$A$6:$U$305,MATCH($A290,Metrics!$U$6:$U$305,0),MATCH(M$5,Metrics!$A$5:$U$5,0)))</f>
        <v/>
      </c>
      <c r="N290" t="str">
        <f>IF($A290="","",INDEX(Metrics!$A$6:$U$305,MATCH($A290,Metrics!$U$6:$U$305,0),MATCH(N$5,Metrics!$A$5:$U$5,0)))</f>
        <v/>
      </c>
      <c r="O290" t="str">
        <f>IF($A290="","",INDEX(Metrics!$A$6:$U$305,MATCH($A290,Metrics!$U$6:$U$305,0),MATCH(O$5,Metrics!$A$5:$U$5,0)))</f>
        <v/>
      </c>
      <c r="P290" t="str">
        <f>IF($A290="","",INDEX(Metrics!$A$6:$U$305,MATCH($A290,Metrics!$U$6:$U$305,0),MATCH(P$5,Metrics!$A$5:$U$5,0)))</f>
        <v/>
      </c>
    </row>
    <row r="291" spans="1:16" x14ac:dyDescent="0.4">
      <c r="A291" t="str">
        <f t="shared" si="4"/>
        <v/>
      </c>
      <c r="B291" t="str">
        <f>IF($A291="","",INDEX(Metrics!$A$6:$U$305,MATCH($A291,Metrics!$U$6:$U$305,0),MATCH(B$5,Metrics!$A$5:$U$5,0)))</f>
        <v/>
      </c>
      <c r="C291" t="str">
        <f>IF($A291="","",INDEX(Metrics!$A$6:$U$305,MATCH($A291,Metrics!$U$6:$U$305,0),MATCH(C$5,Metrics!$A$5:$U$5,0)))</f>
        <v/>
      </c>
      <c r="D291" t="str">
        <f>IF($A291="","",INDEX(Metrics!$A$6:$U$305,MATCH($A291,Metrics!$U$6:$U$305,0),MATCH(D$5,Metrics!$A$5:$U$5,0)))</f>
        <v/>
      </c>
      <c r="E291" s="14" t="str">
        <f>IF($A291="","",INDEX(Metrics!$A$6:$U$305,MATCH($A291,Metrics!$U$6:$U$305,0),MATCH(E$5,Metrics!$A$5:$U$5,0)))</f>
        <v/>
      </c>
      <c r="F291" s="7" t="str">
        <f>IF($A291="","",INDEX(Metrics!$A$6:$U$305,MATCH($A291,Metrics!$U$6:$U$305,0),MATCH(F$5,Metrics!$A$5:$U$5,0)))</f>
        <v/>
      </c>
      <c r="G291" s="9" t="str">
        <f>IF($A291="","",INDEX(Metrics!$A$6:$U$305,MATCH($A291,Metrics!$U$6:$U$305,0),MATCH(G$5,Metrics!$A$5:$U$5,0)))</f>
        <v/>
      </c>
      <c r="H291" s="9" t="str">
        <f>IF($A291="","",INDEX(Metrics!$A$6:$U$305,MATCH($A291,Metrics!$U$6:$U$305,0),MATCH(H$5,Metrics!$A$5:$U$5,0)))</f>
        <v/>
      </c>
      <c r="I291" s="7" t="str">
        <f>IF($A291="","",INDEX(Metrics!$A$6:$U$305,MATCH($A291,Metrics!$U$6:$U$305,0),MATCH(I$5,Metrics!$A$5:$U$5,0)))</f>
        <v/>
      </c>
      <c r="J291" s="9" t="str">
        <f>IF($A291="","",INDEX(Metrics!$A$6:$U$305,MATCH($A291,Metrics!$U$6:$U$305,0),MATCH(J$5,Metrics!$A$5:$U$5,0)))</f>
        <v/>
      </c>
      <c r="K291" s="10" t="str">
        <f>IF($A291="","",INDEX(Metrics!$A$6:$U$305,MATCH($A291,Metrics!$U$6:$U$305,0),MATCH(K$5,Metrics!$A$5:$U$5,0)))</f>
        <v/>
      </c>
      <c r="L291" t="str">
        <f>IF($A291="","",INDEX(Metrics!$A$6:$U$305,MATCH($A291,Metrics!$U$6:$U$305,0),MATCH(L$5,Metrics!$A$5:$U$5,0)))</f>
        <v/>
      </c>
      <c r="M291" t="str">
        <f>IF($A291="","",INDEX(Metrics!$A$6:$U$305,MATCH($A291,Metrics!$U$6:$U$305,0),MATCH(M$5,Metrics!$A$5:$U$5,0)))</f>
        <v/>
      </c>
      <c r="N291" t="str">
        <f>IF($A291="","",INDEX(Metrics!$A$6:$U$305,MATCH($A291,Metrics!$U$6:$U$305,0),MATCH(N$5,Metrics!$A$5:$U$5,0)))</f>
        <v/>
      </c>
      <c r="O291" t="str">
        <f>IF($A291="","",INDEX(Metrics!$A$6:$U$305,MATCH($A291,Metrics!$U$6:$U$305,0),MATCH(O$5,Metrics!$A$5:$U$5,0)))</f>
        <v/>
      </c>
      <c r="P291" t="str">
        <f>IF($A291="","",INDEX(Metrics!$A$6:$U$305,MATCH($A291,Metrics!$U$6:$U$305,0),MATCH(P$5,Metrics!$A$5:$U$5,0)))</f>
        <v/>
      </c>
    </row>
    <row r="292" spans="1:16" x14ac:dyDescent="0.4">
      <c r="A292" t="str">
        <f t="shared" si="4"/>
        <v/>
      </c>
      <c r="B292" t="str">
        <f>IF($A292="","",INDEX(Metrics!$A$6:$U$305,MATCH($A292,Metrics!$U$6:$U$305,0),MATCH(B$5,Metrics!$A$5:$U$5,0)))</f>
        <v/>
      </c>
      <c r="C292" t="str">
        <f>IF($A292="","",INDEX(Metrics!$A$6:$U$305,MATCH($A292,Metrics!$U$6:$U$305,0),MATCH(C$5,Metrics!$A$5:$U$5,0)))</f>
        <v/>
      </c>
      <c r="D292" t="str">
        <f>IF($A292="","",INDEX(Metrics!$A$6:$U$305,MATCH($A292,Metrics!$U$6:$U$305,0),MATCH(D$5,Metrics!$A$5:$U$5,0)))</f>
        <v/>
      </c>
      <c r="E292" s="14" t="str">
        <f>IF($A292="","",INDEX(Metrics!$A$6:$U$305,MATCH($A292,Metrics!$U$6:$U$305,0),MATCH(E$5,Metrics!$A$5:$U$5,0)))</f>
        <v/>
      </c>
      <c r="F292" s="7" t="str">
        <f>IF($A292="","",INDEX(Metrics!$A$6:$U$305,MATCH($A292,Metrics!$U$6:$U$305,0),MATCH(F$5,Metrics!$A$5:$U$5,0)))</f>
        <v/>
      </c>
      <c r="G292" s="9" t="str">
        <f>IF($A292="","",INDEX(Metrics!$A$6:$U$305,MATCH($A292,Metrics!$U$6:$U$305,0),MATCH(G$5,Metrics!$A$5:$U$5,0)))</f>
        <v/>
      </c>
      <c r="H292" s="9" t="str">
        <f>IF($A292="","",INDEX(Metrics!$A$6:$U$305,MATCH($A292,Metrics!$U$6:$U$305,0),MATCH(H$5,Metrics!$A$5:$U$5,0)))</f>
        <v/>
      </c>
      <c r="I292" s="7" t="str">
        <f>IF($A292="","",INDEX(Metrics!$A$6:$U$305,MATCH($A292,Metrics!$U$6:$U$305,0),MATCH(I$5,Metrics!$A$5:$U$5,0)))</f>
        <v/>
      </c>
      <c r="J292" s="9" t="str">
        <f>IF($A292="","",INDEX(Metrics!$A$6:$U$305,MATCH($A292,Metrics!$U$6:$U$305,0),MATCH(J$5,Metrics!$A$5:$U$5,0)))</f>
        <v/>
      </c>
      <c r="K292" s="10" t="str">
        <f>IF($A292="","",INDEX(Metrics!$A$6:$U$305,MATCH($A292,Metrics!$U$6:$U$305,0),MATCH(K$5,Metrics!$A$5:$U$5,0)))</f>
        <v/>
      </c>
      <c r="L292" t="str">
        <f>IF($A292="","",INDEX(Metrics!$A$6:$U$305,MATCH($A292,Metrics!$U$6:$U$305,0),MATCH(L$5,Metrics!$A$5:$U$5,0)))</f>
        <v/>
      </c>
      <c r="M292" t="str">
        <f>IF($A292="","",INDEX(Metrics!$A$6:$U$305,MATCH($A292,Metrics!$U$6:$U$305,0),MATCH(M$5,Metrics!$A$5:$U$5,0)))</f>
        <v/>
      </c>
      <c r="N292" t="str">
        <f>IF($A292="","",INDEX(Metrics!$A$6:$U$305,MATCH($A292,Metrics!$U$6:$U$305,0),MATCH(N$5,Metrics!$A$5:$U$5,0)))</f>
        <v/>
      </c>
      <c r="O292" t="str">
        <f>IF($A292="","",INDEX(Metrics!$A$6:$U$305,MATCH($A292,Metrics!$U$6:$U$305,0),MATCH(O$5,Metrics!$A$5:$U$5,0)))</f>
        <v/>
      </c>
      <c r="P292" t="str">
        <f>IF($A292="","",INDEX(Metrics!$A$6:$U$305,MATCH($A292,Metrics!$U$6:$U$305,0),MATCH(P$5,Metrics!$A$5:$U$5,0)))</f>
        <v/>
      </c>
    </row>
    <row r="293" spans="1:16" x14ac:dyDescent="0.4">
      <c r="A293" t="str">
        <f t="shared" si="4"/>
        <v/>
      </c>
      <c r="B293" t="str">
        <f>IF($A293="","",INDEX(Metrics!$A$6:$U$305,MATCH($A293,Metrics!$U$6:$U$305,0),MATCH(B$5,Metrics!$A$5:$U$5,0)))</f>
        <v/>
      </c>
      <c r="C293" t="str">
        <f>IF($A293="","",INDEX(Metrics!$A$6:$U$305,MATCH($A293,Metrics!$U$6:$U$305,0),MATCH(C$5,Metrics!$A$5:$U$5,0)))</f>
        <v/>
      </c>
      <c r="D293" t="str">
        <f>IF($A293="","",INDEX(Metrics!$A$6:$U$305,MATCH($A293,Metrics!$U$6:$U$305,0),MATCH(D$5,Metrics!$A$5:$U$5,0)))</f>
        <v/>
      </c>
      <c r="E293" s="14" t="str">
        <f>IF($A293="","",INDEX(Metrics!$A$6:$U$305,MATCH($A293,Metrics!$U$6:$U$305,0),MATCH(E$5,Metrics!$A$5:$U$5,0)))</f>
        <v/>
      </c>
      <c r="F293" s="7" t="str">
        <f>IF($A293="","",INDEX(Metrics!$A$6:$U$305,MATCH($A293,Metrics!$U$6:$U$305,0),MATCH(F$5,Metrics!$A$5:$U$5,0)))</f>
        <v/>
      </c>
      <c r="G293" s="9" t="str">
        <f>IF($A293="","",INDEX(Metrics!$A$6:$U$305,MATCH($A293,Metrics!$U$6:$U$305,0),MATCH(G$5,Metrics!$A$5:$U$5,0)))</f>
        <v/>
      </c>
      <c r="H293" s="9" t="str">
        <f>IF($A293="","",INDEX(Metrics!$A$6:$U$305,MATCH($A293,Metrics!$U$6:$U$305,0),MATCH(H$5,Metrics!$A$5:$U$5,0)))</f>
        <v/>
      </c>
      <c r="I293" s="7" t="str">
        <f>IF($A293="","",INDEX(Metrics!$A$6:$U$305,MATCH($A293,Metrics!$U$6:$U$305,0),MATCH(I$5,Metrics!$A$5:$U$5,0)))</f>
        <v/>
      </c>
      <c r="J293" s="9" t="str">
        <f>IF($A293="","",INDEX(Metrics!$A$6:$U$305,MATCH($A293,Metrics!$U$6:$U$305,0),MATCH(J$5,Metrics!$A$5:$U$5,0)))</f>
        <v/>
      </c>
      <c r="K293" s="10" t="str">
        <f>IF($A293="","",INDEX(Metrics!$A$6:$U$305,MATCH($A293,Metrics!$U$6:$U$305,0),MATCH(K$5,Metrics!$A$5:$U$5,0)))</f>
        <v/>
      </c>
      <c r="L293" t="str">
        <f>IF($A293="","",INDEX(Metrics!$A$6:$U$305,MATCH($A293,Metrics!$U$6:$U$305,0),MATCH(L$5,Metrics!$A$5:$U$5,0)))</f>
        <v/>
      </c>
      <c r="M293" t="str">
        <f>IF($A293="","",INDEX(Metrics!$A$6:$U$305,MATCH($A293,Metrics!$U$6:$U$305,0),MATCH(M$5,Metrics!$A$5:$U$5,0)))</f>
        <v/>
      </c>
      <c r="N293" t="str">
        <f>IF($A293="","",INDEX(Metrics!$A$6:$U$305,MATCH($A293,Metrics!$U$6:$U$305,0),MATCH(N$5,Metrics!$A$5:$U$5,0)))</f>
        <v/>
      </c>
      <c r="O293" t="str">
        <f>IF($A293="","",INDEX(Metrics!$A$6:$U$305,MATCH($A293,Metrics!$U$6:$U$305,0),MATCH(O$5,Metrics!$A$5:$U$5,0)))</f>
        <v/>
      </c>
      <c r="P293" t="str">
        <f>IF($A293="","",INDEX(Metrics!$A$6:$U$305,MATCH($A293,Metrics!$U$6:$U$305,0),MATCH(P$5,Metrics!$A$5:$U$5,0)))</f>
        <v/>
      </c>
    </row>
    <row r="294" spans="1:16" x14ac:dyDescent="0.4">
      <c r="A294" t="str">
        <f t="shared" si="4"/>
        <v/>
      </c>
      <c r="B294" t="str">
        <f>IF($A294="","",INDEX(Metrics!$A$6:$U$305,MATCH($A294,Metrics!$U$6:$U$305,0),MATCH(B$5,Metrics!$A$5:$U$5,0)))</f>
        <v/>
      </c>
      <c r="C294" t="str">
        <f>IF($A294="","",INDEX(Metrics!$A$6:$U$305,MATCH($A294,Metrics!$U$6:$U$305,0),MATCH(C$5,Metrics!$A$5:$U$5,0)))</f>
        <v/>
      </c>
      <c r="D294" t="str">
        <f>IF($A294="","",INDEX(Metrics!$A$6:$U$305,MATCH($A294,Metrics!$U$6:$U$305,0),MATCH(D$5,Metrics!$A$5:$U$5,0)))</f>
        <v/>
      </c>
      <c r="E294" s="14" t="str">
        <f>IF($A294="","",INDEX(Metrics!$A$6:$U$305,MATCH($A294,Metrics!$U$6:$U$305,0),MATCH(E$5,Metrics!$A$5:$U$5,0)))</f>
        <v/>
      </c>
      <c r="F294" s="7" t="str">
        <f>IF($A294="","",INDEX(Metrics!$A$6:$U$305,MATCH($A294,Metrics!$U$6:$U$305,0),MATCH(F$5,Metrics!$A$5:$U$5,0)))</f>
        <v/>
      </c>
      <c r="G294" s="9" t="str">
        <f>IF($A294="","",INDEX(Metrics!$A$6:$U$305,MATCH($A294,Metrics!$U$6:$U$305,0),MATCH(G$5,Metrics!$A$5:$U$5,0)))</f>
        <v/>
      </c>
      <c r="H294" s="9" t="str">
        <f>IF($A294="","",INDEX(Metrics!$A$6:$U$305,MATCH($A294,Metrics!$U$6:$U$305,0),MATCH(H$5,Metrics!$A$5:$U$5,0)))</f>
        <v/>
      </c>
      <c r="I294" s="7" t="str">
        <f>IF($A294="","",INDEX(Metrics!$A$6:$U$305,MATCH($A294,Metrics!$U$6:$U$305,0),MATCH(I$5,Metrics!$A$5:$U$5,0)))</f>
        <v/>
      </c>
      <c r="J294" s="9" t="str">
        <f>IF($A294="","",INDEX(Metrics!$A$6:$U$305,MATCH($A294,Metrics!$U$6:$U$305,0),MATCH(J$5,Metrics!$A$5:$U$5,0)))</f>
        <v/>
      </c>
      <c r="K294" s="10" t="str">
        <f>IF($A294="","",INDEX(Metrics!$A$6:$U$305,MATCH($A294,Metrics!$U$6:$U$305,0),MATCH(K$5,Metrics!$A$5:$U$5,0)))</f>
        <v/>
      </c>
      <c r="L294" t="str">
        <f>IF($A294="","",INDEX(Metrics!$A$6:$U$305,MATCH($A294,Metrics!$U$6:$U$305,0),MATCH(L$5,Metrics!$A$5:$U$5,0)))</f>
        <v/>
      </c>
      <c r="M294" t="str">
        <f>IF($A294="","",INDEX(Metrics!$A$6:$U$305,MATCH($A294,Metrics!$U$6:$U$305,0),MATCH(M$5,Metrics!$A$5:$U$5,0)))</f>
        <v/>
      </c>
      <c r="N294" t="str">
        <f>IF($A294="","",INDEX(Metrics!$A$6:$U$305,MATCH($A294,Metrics!$U$6:$U$305,0),MATCH(N$5,Metrics!$A$5:$U$5,0)))</f>
        <v/>
      </c>
      <c r="O294" t="str">
        <f>IF($A294="","",INDEX(Metrics!$A$6:$U$305,MATCH($A294,Metrics!$U$6:$U$305,0),MATCH(O$5,Metrics!$A$5:$U$5,0)))</f>
        <v/>
      </c>
      <c r="P294" t="str">
        <f>IF($A294="","",INDEX(Metrics!$A$6:$U$305,MATCH($A294,Metrics!$U$6:$U$305,0),MATCH(P$5,Metrics!$A$5:$U$5,0)))</f>
        <v/>
      </c>
    </row>
    <row r="295" spans="1:16" x14ac:dyDescent="0.4">
      <c r="A295" t="str">
        <f t="shared" si="4"/>
        <v/>
      </c>
      <c r="B295" t="str">
        <f>IF($A295="","",INDEX(Metrics!$A$6:$U$305,MATCH($A295,Metrics!$U$6:$U$305,0),MATCH(B$5,Metrics!$A$5:$U$5,0)))</f>
        <v/>
      </c>
      <c r="C295" t="str">
        <f>IF($A295="","",INDEX(Metrics!$A$6:$U$305,MATCH($A295,Metrics!$U$6:$U$305,0),MATCH(C$5,Metrics!$A$5:$U$5,0)))</f>
        <v/>
      </c>
      <c r="D295" t="str">
        <f>IF($A295="","",INDEX(Metrics!$A$6:$U$305,MATCH($A295,Metrics!$U$6:$U$305,0),MATCH(D$5,Metrics!$A$5:$U$5,0)))</f>
        <v/>
      </c>
      <c r="E295" s="14" t="str">
        <f>IF($A295="","",INDEX(Metrics!$A$6:$U$305,MATCH($A295,Metrics!$U$6:$U$305,0),MATCH(E$5,Metrics!$A$5:$U$5,0)))</f>
        <v/>
      </c>
      <c r="F295" s="7" t="str">
        <f>IF($A295="","",INDEX(Metrics!$A$6:$U$305,MATCH($A295,Metrics!$U$6:$U$305,0),MATCH(F$5,Metrics!$A$5:$U$5,0)))</f>
        <v/>
      </c>
      <c r="G295" s="9" t="str">
        <f>IF($A295="","",INDEX(Metrics!$A$6:$U$305,MATCH($A295,Metrics!$U$6:$U$305,0),MATCH(G$5,Metrics!$A$5:$U$5,0)))</f>
        <v/>
      </c>
      <c r="H295" s="9" t="str">
        <f>IF($A295="","",INDEX(Metrics!$A$6:$U$305,MATCH($A295,Metrics!$U$6:$U$305,0),MATCH(H$5,Metrics!$A$5:$U$5,0)))</f>
        <v/>
      </c>
      <c r="I295" s="7" t="str">
        <f>IF($A295="","",INDEX(Metrics!$A$6:$U$305,MATCH($A295,Metrics!$U$6:$U$305,0),MATCH(I$5,Metrics!$A$5:$U$5,0)))</f>
        <v/>
      </c>
      <c r="J295" s="9" t="str">
        <f>IF($A295="","",INDEX(Metrics!$A$6:$U$305,MATCH($A295,Metrics!$U$6:$U$305,0),MATCH(J$5,Metrics!$A$5:$U$5,0)))</f>
        <v/>
      </c>
      <c r="K295" s="10" t="str">
        <f>IF($A295="","",INDEX(Metrics!$A$6:$U$305,MATCH($A295,Metrics!$U$6:$U$305,0),MATCH(K$5,Metrics!$A$5:$U$5,0)))</f>
        <v/>
      </c>
      <c r="L295" t="str">
        <f>IF($A295="","",INDEX(Metrics!$A$6:$U$305,MATCH($A295,Metrics!$U$6:$U$305,0),MATCH(L$5,Metrics!$A$5:$U$5,0)))</f>
        <v/>
      </c>
      <c r="M295" t="str">
        <f>IF($A295="","",INDEX(Metrics!$A$6:$U$305,MATCH($A295,Metrics!$U$6:$U$305,0),MATCH(M$5,Metrics!$A$5:$U$5,0)))</f>
        <v/>
      </c>
      <c r="N295" t="str">
        <f>IF($A295="","",INDEX(Metrics!$A$6:$U$305,MATCH($A295,Metrics!$U$6:$U$305,0),MATCH(N$5,Metrics!$A$5:$U$5,0)))</f>
        <v/>
      </c>
      <c r="O295" t="str">
        <f>IF($A295="","",INDEX(Metrics!$A$6:$U$305,MATCH($A295,Metrics!$U$6:$U$305,0),MATCH(O$5,Metrics!$A$5:$U$5,0)))</f>
        <v/>
      </c>
      <c r="P295" t="str">
        <f>IF($A295="","",INDEX(Metrics!$A$6:$U$305,MATCH($A295,Metrics!$U$6:$U$305,0),MATCH(P$5,Metrics!$A$5:$U$5,0)))</f>
        <v/>
      </c>
    </row>
    <row r="296" spans="1:16" x14ac:dyDescent="0.4">
      <c r="A296" t="str">
        <f t="shared" si="4"/>
        <v/>
      </c>
      <c r="B296" t="str">
        <f>IF($A296="","",INDEX(Metrics!$A$6:$U$305,MATCH($A296,Metrics!$U$6:$U$305,0),MATCH(B$5,Metrics!$A$5:$U$5,0)))</f>
        <v/>
      </c>
      <c r="C296" t="str">
        <f>IF($A296="","",INDEX(Metrics!$A$6:$U$305,MATCH($A296,Metrics!$U$6:$U$305,0),MATCH(C$5,Metrics!$A$5:$U$5,0)))</f>
        <v/>
      </c>
      <c r="D296" t="str">
        <f>IF($A296="","",INDEX(Metrics!$A$6:$U$305,MATCH($A296,Metrics!$U$6:$U$305,0),MATCH(D$5,Metrics!$A$5:$U$5,0)))</f>
        <v/>
      </c>
      <c r="E296" s="14" t="str">
        <f>IF($A296="","",INDEX(Metrics!$A$6:$U$305,MATCH($A296,Metrics!$U$6:$U$305,0),MATCH(E$5,Metrics!$A$5:$U$5,0)))</f>
        <v/>
      </c>
      <c r="F296" s="7" t="str">
        <f>IF($A296="","",INDEX(Metrics!$A$6:$U$305,MATCH($A296,Metrics!$U$6:$U$305,0),MATCH(F$5,Metrics!$A$5:$U$5,0)))</f>
        <v/>
      </c>
      <c r="G296" s="9" t="str">
        <f>IF($A296="","",INDEX(Metrics!$A$6:$U$305,MATCH($A296,Metrics!$U$6:$U$305,0),MATCH(G$5,Metrics!$A$5:$U$5,0)))</f>
        <v/>
      </c>
      <c r="H296" s="9" t="str">
        <f>IF($A296="","",INDEX(Metrics!$A$6:$U$305,MATCH($A296,Metrics!$U$6:$U$305,0),MATCH(H$5,Metrics!$A$5:$U$5,0)))</f>
        <v/>
      </c>
      <c r="I296" s="7" t="str">
        <f>IF($A296="","",INDEX(Metrics!$A$6:$U$305,MATCH($A296,Metrics!$U$6:$U$305,0),MATCH(I$5,Metrics!$A$5:$U$5,0)))</f>
        <v/>
      </c>
      <c r="J296" s="9" t="str">
        <f>IF($A296="","",INDEX(Metrics!$A$6:$U$305,MATCH($A296,Metrics!$U$6:$U$305,0),MATCH(J$5,Metrics!$A$5:$U$5,0)))</f>
        <v/>
      </c>
      <c r="K296" s="10" t="str">
        <f>IF($A296="","",INDEX(Metrics!$A$6:$U$305,MATCH($A296,Metrics!$U$6:$U$305,0),MATCH(K$5,Metrics!$A$5:$U$5,0)))</f>
        <v/>
      </c>
      <c r="L296" t="str">
        <f>IF($A296="","",INDEX(Metrics!$A$6:$U$305,MATCH($A296,Metrics!$U$6:$U$305,0),MATCH(L$5,Metrics!$A$5:$U$5,0)))</f>
        <v/>
      </c>
      <c r="M296" t="str">
        <f>IF($A296="","",INDEX(Metrics!$A$6:$U$305,MATCH($A296,Metrics!$U$6:$U$305,0),MATCH(M$5,Metrics!$A$5:$U$5,0)))</f>
        <v/>
      </c>
      <c r="N296" t="str">
        <f>IF($A296="","",INDEX(Metrics!$A$6:$U$305,MATCH($A296,Metrics!$U$6:$U$305,0),MATCH(N$5,Metrics!$A$5:$U$5,0)))</f>
        <v/>
      </c>
      <c r="O296" t="str">
        <f>IF($A296="","",INDEX(Metrics!$A$6:$U$305,MATCH($A296,Metrics!$U$6:$U$305,0),MATCH(O$5,Metrics!$A$5:$U$5,0)))</f>
        <v/>
      </c>
      <c r="P296" t="str">
        <f>IF($A296="","",INDEX(Metrics!$A$6:$U$305,MATCH($A296,Metrics!$U$6:$U$305,0),MATCH(P$5,Metrics!$A$5:$U$5,0)))</f>
        <v/>
      </c>
    </row>
    <row r="297" spans="1:16" x14ac:dyDescent="0.4">
      <c r="A297" t="str">
        <f t="shared" si="4"/>
        <v/>
      </c>
      <c r="B297" t="str">
        <f>IF($A297="","",INDEX(Metrics!$A$6:$U$305,MATCH($A297,Metrics!$U$6:$U$305,0),MATCH(B$5,Metrics!$A$5:$U$5,0)))</f>
        <v/>
      </c>
      <c r="C297" t="str">
        <f>IF($A297="","",INDEX(Metrics!$A$6:$U$305,MATCH($A297,Metrics!$U$6:$U$305,0),MATCH(C$5,Metrics!$A$5:$U$5,0)))</f>
        <v/>
      </c>
      <c r="D297" t="str">
        <f>IF($A297="","",INDEX(Metrics!$A$6:$U$305,MATCH($A297,Metrics!$U$6:$U$305,0),MATCH(D$5,Metrics!$A$5:$U$5,0)))</f>
        <v/>
      </c>
      <c r="E297" s="14" t="str">
        <f>IF($A297="","",INDEX(Metrics!$A$6:$U$305,MATCH($A297,Metrics!$U$6:$U$305,0),MATCH(E$5,Metrics!$A$5:$U$5,0)))</f>
        <v/>
      </c>
      <c r="F297" s="7" t="str">
        <f>IF($A297="","",INDEX(Metrics!$A$6:$U$305,MATCH($A297,Metrics!$U$6:$U$305,0),MATCH(F$5,Metrics!$A$5:$U$5,0)))</f>
        <v/>
      </c>
      <c r="G297" s="9" t="str">
        <f>IF($A297="","",INDEX(Metrics!$A$6:$U$305,MATCH($A297,Metrics!$U$6:$U$305,0),MATCH(G$5,Metrics!$A$5:$U$5,0)))</f>
        <v/>
      </c>
      <c r="H297" s="9" t="str">
        <f>IF($A297="","",INDEX(Metrics!$A$6:$U$305,MATCH($A297,Metrics!$U$6:$U$305,0),MATCH(H$5,Metrics!$A$5:$U$5,0)))</f>
        <v/>
      </c>
      <c r="I297" s="7" t="str">
        <f>IF($A297="","",INDEX(Metrics!$A$6:$U$305,MATCH($A297,Metrics!$U$6:$U$305,0),MATCH(I$5,Metrics!$A$5:$U$5,0)))</f>
        <v/>
      </c>
      <c r="J297" s="9" t="str">
        <f>IF($A297="","",INDEX(Metrics!$A$6:$U$305,MATCH($A297,Metrics!$U$6:$U$305,0),MATCH(J$5,Metrics!$A$5:$U$5,0)))</f>
        <v/>
      </c>
      <c r="K297" s="10" t="str">
        <f>IF($A297="","",INDEX(Metrics!$A$6:$U$305,MATCH($A297,Metrics!$U$6:$U$305,0),MATCH(K$5,Metrics!$A$5:$U$5,0)))</f>
        <v/>
      </c>
      <c r="L297" t="str">
        <f>IF($A297="","",INDEX(Metrics!$A$6:$U$305,MATCH($A297,Metrics!$U$6:$U$305,0),MATCH(L$5,Metrics!$A$5:$U$5,0)))</f>
        <v/>
      </c>
      <c r="M297" t="str">
        <f>IF($A297="","",INDEX(Metrics!$A$6:$U$305,MATCH($A297,Metrics!$U$6:$U$305,0),MATCH(M$5,Metrics!$A$5:$U$5,0)))</f>
        <v/>
      </c>
      <c r="N297" t="str">
        <f>IF($A297="","",INDEX(Metrics!$A$6:$U$305,MATCH($A297,Metrics!$U$6:$U$305,0),MATCH(N$5,Metrics!$A$5:$U$5,0)))</f>
        <v/>
      </c>
      <c r="O297" t="str">
        <f>IF($A297="","",INDEX(Metrics!$A$6:$U$305,MATCH($A297,Metrics!$U$6:$U$305,0),MATCH(O$5,Metrics!$A$5:$U$5,0)))</f>
        <v/>
      </c>
      <c r="P297" t="str">
        <f>IF($A297="","",INDEX(Metrics!$A$6:$U$305,MATCH($A297,Metrics!$U$6:$U$305,0),MATCH(P$5,Metrics!$A$5:$U$5,0)))</f>
        <v/>
      </c>
    </row>
    <row r="298" spans="1:16" x14ac:dyDescent="0.4">
      <c r="A298" t="str">
        <f t="shared" si="4"/>
        <v/>
      </c>
      <c r="B298" t="str">
        <f>IF($A298="","",INDEX(Metrics!$A$6:$U$305,MATCH($A298,Metrics!$U$6:$U$305,0),MATCH(B$5,Metrics!$A$5:$U$5,0)))</f>
        <v/>
      </c>
      <c r="C298" t="str">
        <f>IF($A298="","",INDEX(Metrics!$A$6:$U$305,MATCH($A298,Metrics!$U$6:$U$305,0),MATCH(C$5,Metrics!$A$5:$U$5,0)))</f>
        <v/>
      </c>
      <c r="D298" t="str">
        <f>IF($A298="","",INDEX(Metrics!$A$6:$U$305,MATCH($A298,Metrics!$U$6:$U$305,0),MATCH(D$5,Metrics!$A$5:$U$5,0)))</f>
        <v/>
      </c>
      <c r="E298" s="14" t="str">
        <f>IF($A298="","",INDEX(Metrics!$A$6:$U$305,MATCH($A298,Metrics!$U$6:$U$305,0),MATCH(E$5,Metrics!$A$5:$U$5,0)))</f>
        <v/>
      </c>
      <c r="F298" s="7" t="str">
        <f>IF($A298="","",INDEX(Metrics!$A$6:$U$305,MATCH($A298,Metrics!$U$6:$U$305,0),MATCH(F$5,Metrics!$A$5:$U$5,0)))</f>
        <v/>
      </c>
      <c r="G298" s="9" t="str">
        <f>IF($A298="","",INDEX(Metrics!$A$6:$U$305,MATCH($A298,Metrics!$U$6:$U$305,0),MATCH(G$5,Metrics!$A$5:$U$5,0)))</f>
        <v/>
      </c>
      <c r="H298" s="9" t="str">
        <f>IF($A298="","",INDEX(Metrics!$A$6:$U$305,MATCH($A298,Metrics!$U$6:$U$305,0),MATCH(H$5,Metrics!$A$5:$U$5,0)))</f>
        <v/>
      </c>
      <c r="I298" s="7" t="str">
        <f>IF($A298="","",INDEX(Metrics!$A$6:$U$305,MATCH($A298,Metrics!$U$6:$U$305,0),MATCH(I$5,Metrics!$A$5:$U$5,0)))</f>
        <v/>
      </c>
      <c r="J298" s="9" t="str">
        <f>IF($A298="","",INDEX(Metrics!$A$6:$U$305,MATCH($A298,Metrics!$U$6:$U$305,0),MATCH(J$5,Metrics!$A$5:$U$5,0)))</f>
        <v/>
      </c>
      <c r="K298" s="10" t="str">
        <f>IF($A298="","",INDEX(Metrics!$A$6:$U$305,MATCH($A298,Metrics!$U$6:$U$305,0),MATCH(K$5,Metrics!$A$5:$U$5,0)))</f>
        <v/>
      </c>
      <c r="L298" t="str">
        <f>IF($A298="","",INDEX(Metrics!$A$6:$U$305,MATCH($A298,Metrics!$U$6:$U$305,0),MATCH(L$5,Metrics!$A$5:$U$5,0)))</f>
        <v/>
      </c>
      <c r="M298" t="str">
        <f>IF($A298="","",INDEX(Metrics!$A$6:$U$305,MATCH($A298,Metrics!$U$6:$U$305,0),MATCH(M$5,Metrics!$A$5:$U$5,0)))</f>
        <v/>
      </c>
      <c r="N298" t="str">
        <f>IF($A298="","",INDEX(Metrics!$A$6:$U$305,MATCH($A298,Metrics!$U$6:$U$305,0),MATCH(N$5,Metrics!$A$5:$U$5,0)))</f>
        <v/>
      </c>
      <c r="O298" t="str">
        <f>IF($A298="","",INDEX(Metrics!$A$6:$U$305,MATCH($A298,Metrics!$U$6:$U$305,0),MATCH(O$5,Metrics!$A$5:$U$5,0)))</f>
        <v/>
      </c>
      <c r="P298" t="str">
        <f>IF($A298="","",INDEX(Metrics!$A$6:$U$305,MATCH($A298,Metrics!$U$6:$U$305,0),MATCH(P$5,Metrics!$A$5:$U$5,0)))</f>
        <v/>
      </c>
    </row>
    <row r="299" spans="1:16" x14ac:dyDescent="0.4">
      <c r="A299" t="str">
        <f t="shared" si="4"/>
        <v/>
      </c>
      <c r="B299" t="str">
        <f>IF($A299="","",INDEX(Metrics!$A$6:$U$305,MATCH($A299,Metrics!$U$6:$U$305,0),MATCH(B$5,Metrics!$A$5:$U$5,0)))</f>
        <v/>
      </c>
      <c r="C299" t="str">
        <f>IF($A299="","",INDEX(Metrics!$A$6:$U$305,MATCH($A299,Metrics!$U$6:$U$305,0),MATCH(C$5,Metrics!$A$5:$U$5,0)))</f>
        <v/>
      </c>
      <c r="D299" t="str">
        <f>IF($A299="","",INDEX(Metrics!$A$6:$U$305,MATCH($A299,Metrics!$U$6:$U$305,0),MATCH(D$5,Metrics!$A$5:$U$5,0)))</f>
        <v/>
      </c>
      <c r="E299" s="14" t="str">
        <f>IF($A299="","",INDEX(Metrics!$A$6:$U$305,MATCH($A299,Metrics!$U$6:$U$305,0),MATCH(E$5,Metrics!$A$5:$U$5,0)))</f>
        <v/>
      </c>
      <c r="F299" s="7" t="str">
        <f>IF($A299="","",INDEX(Metrics!$A$6:$U$305,MATCH($A299,Metrics!$U$6:$U$305,0),MATCH(F$5,Metrics!$A$5:$U$5,0)))</f>
        <v/>
      </c>
      <c r="G299" s="9" t="str">
        <f>IF($A299="","",INDEX(Metrics!$A$6:$U$305,MATCH($A299,Metrics!$U$6:$U$305,0),MATCH(G$5,Metrics!$A$5:$U$5,0)))</f>
        <v/>
      </c>
      <c r="H299" s="9" t="str">
        <f>IF($A299="","",INDEX(Metrics!$A$6:$U$305,MATCH($A299,Metrics!$U$6:$U$305,0),MATCH(H$5,Metrics!$A$5:$U$5,0)))</f>
        <v/>
      </c>
      <c r="I299" s="7" t="str">
        <f>IF($A299="","",INDEX(Metrics!$A$6:$U$305,MATCH($A299,Metrics!$U$6:$U$305,0),MATCH(I$5,Metrics!$A$5:$U$5,0)))</f>
        <v/>
      </c>
      <c r="J299" s="9" t="str">
        <f>IF($A299="","",INDEX(Metrics!$A$6:$U$305,MATCH($A299,Metrics!$U$6:$U$305,0),MATCH(J$5,Metrics!$A$5:$U$5,0)))</f>
        <v/>
      </c>
      <c r="K299" s="10" t="str">
        <f>IF($A299="","",INDEX(Metrics!$A$6:$U$305,MATCH($A299,Metrics!$U$6:$U$305,0),MATCH(K$5,Metrics!$A$5:$U$5,0)))</f>
        <v/>
      </c>
      <c r="L299" t="str">
        <f>IF($A299="","",INDEX(Metrics!$A$6:$U$305,MATCH($A299,Metrics!$U$6:$U$305,0),MATCH(L$5,Metrics!$A$5:$U$5,0)))</f>
        <v/>
      </c>
      <c r="M299" t="str">
        <f>IF($A299="","",INDEX(Metrics!$A$6:$U$305,MATCH($A299,Metrics!$U$6:$U$305,0),MATCH(M$5,Metrics!$A$5:$U$5,0)))</f>
        <v/>
      </c>
      <c r="N299" t="str">
        <f>IF($A299="","",INDEX(Metrics!$A$6:$U$305,MATCH($A299,Metrics!$U$6:$U$305,0),MATCH(N$5,Metrics!$A$5:$U$5,0)))</f>
        <v/>
      </c>
      <c r="O299" t="str">
        <f>IF($A299="","",INDEX(Metrics!$A$6:$U$305,MATCH($A299,Metrics!$U$6:$U$305,0),MATCH(O$5,Metrics!$A$5:$U$5,0)))</f>
        <v/>
      </c>
      <c r="P299" t="str">
        <f>IF($A299="","",INDEX(Metrics!$A$6:$U$305,MATCH($A299,Metrics!$U$6:$U$305,0),MATCH(P$5,Metrics!$A$5:$U$5,0)))</f>
        <v/>
      </c>
    </row>
    <row r="300" spans="1:16" x14ac:dyDescent="0.4">
      <c r="A300" t="str">
        <f t="shared" si="4"/>
        <v/>
      </c>
      <c r="B300" t="str">
        <f>IF($A300="","",INDEX(Metrics!$A$6:$U$305,MATCH($A300,Metrics!$U$6:$U$305,0),MATCH(B$5,Metrics!$A$5:$U$5,0)))</f>
        <v/>
      </c>
      <c r="C300" t="str">
        <f>IF($A300="","",INDEX(Metrics!$A$6:$U$305,MATCH($A300,Metrics!$U$6:$U$305,0),MATCH(C$5,Metrics!$A$5:$U$5,0)))</f>
        <v/>
      </c>
      <c r="D300" t="str">
        <f>IF($A300="","",INDEX(Metrics!$A$6:$U$305,MATCH($A300,Metrics!$U$6:$U$305,0),MATCH(D$5,Metrics!$A$5:$U$5,0)))</f>
        <v/>
      </c>
      <c r="E300" s="14" t="str">
        <f>IF($A300="","",INDEX(Metrics!$A$6:$U$305,MATCH($A300,Metrics!$U$6:$U$305,0),MATCH(E$5,Metrics!$A$5:$U$5,0)))</f>
        <v/>
      </c>
      <c r="F300" s="7" t="str">
        <f>IF($A300="","",INDEX(Metrics!$A$6:$U$305,MATCH($A300,Metrics!$U$6:$U$305,0),MATCH(F$5,Metrics!$A$5:$U$5,0)))</f>
        <v/>
      </c>
      <c r="G300" s="9" t="str">
        <f>IF($A300="","",INDEX(Metrics!$A$6:$U$305,MATCH($A300,Metrics!$U$6:$U$305,0),MATCH(G$5,Metrics!$A$5:$U$5,0)))</f>
        <v/>
      </c>
      <c r="H300" s="9" t="str">
        <f>IF($A300="","",INDEX(Metrics!$A$6:$U$305,MATCH($A300,Metrics!$U$6:$U$305,0),MATCH(H$5,Metrics!$A$5:$U$5,0)))</f>
        <v/>
      </c>
      <c r="I300" s="7" t="str">
        <f>IF($A300="","",INDEX(Metrics!$A$6:$U$305,MATCH($A300,Metrics!$U$6:$U$305,0),MATCH(I$5,Metrics!$A$5:$U$5,0)))</f>
        <v/>
      </c>
      <c r="J300" s="9" t="str">
        <f>IF($A300="","",INDEX(Metrics!$A$6:$U$305,MATCH($A300,Metrics!$U$6:$U$305,0),MATCH(J$5,Metrics!$A$5:$U$5,0)))</f>
        <v/>
      </c>
      <c r="K300" s="10" t="str">
        <f>IF($A300="","",INDEX(Metrics!$A$6:$U$305,MATCH($A300,Metrics!$U$6:$U$305,0),MATCH(K$5,Metrics!$A$5:$U$5,0)))</f>
        <v/>
      </c>
      <c r="L300" t="str">
        <f>IF($A300="","",INDEX(Metrics!$A$6:$U$305,MATCH($A300,Metrics!$U$6:$U$305,0),MATCH(L$5,Metrics!$A$5:$U$5,0)))</f>
        <v/>
      </c>
      <c r="M300" t="str">
        <f>IF($A300="","",INDEX(Metrics!$A$6:$U$305,MATCH($A300,Metrics!$U$6:$U$305,0),MATCH(M$5,Metrics!$A$5:$U$5,0)))</f>
        <v/>
      </c>
      <c r="N300" t="str">
        <f>IF($A300="","",INDEX(Metrics!$A$6:$U$305,MATCH($A300,Metrics!$U$6:$U$305,0),MATCH(N$5,Metrics!$A$5:$U$5,0)))</f>
        <v/>
      </c>
      <c r="O300" t="str">
        <f>IF($A300="","",INDEX(Metrics!$A$6:$U$305,MATCH($A300,Metrics!$U$6:$U$305,0),MATCH(O$5,Metrics!$A$5:$U$5,0)))</f>
        <v/>
      </c>
      <c r="P300" t="str">
        <f>IF($A300="","",INDEX(Metrics!$A$6:$U$305,MATCH($A300,Metrics!$U$6:$U$305,0),MATCH(P$5,Metrics!$A$5:$U$5,0)))</f>
        <v/>
      </c>
    </row>
    <row r="301" spans="1:16" x14ac:dyDescent="0.4">
      <c r="A301" t="str">
        <f t="shared" si="4"/>
        <v/>
      </c>
      <c r="B301" t="str">
        <f>IF($A301="","",INDEX(Metrics!$A$6:$U$305,MATCH($A301,Metrics!$U$6:$U$305,0),MATCH(B$5,Metrics!$A$5:$U$5,0)))</f>
        <v/>
      </c>
      <c r="C301" t="str">
        <f>IF($A301="","",INDEX(Metrics!$A$6:$U$305,MATCH($A301,Metrics!$U$6:$U$305,0),MATCH(C$5,Metrics!$A$5:$U$5,0)))</f>
        <v/>
      </c>
      <c r="D301" t="str">
        <f>IF($A301="","",INDEX(Metrics!$A$6:$U$305,MATCH($A301,Metrics!$U$6:$U$305,0),MATCH(D$5,Metrics!$A$5:$U$5,0)))</f>
        <v/>
      </c>
      <c r="E301" s="14" t="str">
        <f>IF($A301="","",INDEX(Metrics!$A$6:$U$305,MATCH($A301,Metrics!$U$6:$U$305,0),MATCH(E$5,Metrics!$A$5:$U$5,0)))</f>
        <v/>
      </c>
      <c r="F301" s="7" t="str">
        <f>IF($A301="","",INDEX(Metrics!$A$6:$U$305,MATCH($A301,Metrics!$U$6:$U$305,0),MATCH(F$5,Metrics!$A$5:$U$5,0)))</f>
        <v/>
      </c>
      <c r="G301" s="9" t="str">
        <f>IF($A301="","",INDEX(Metrics!$A$6:$U$305,MATCH($A301,Metrics!$U$6:$U$305,0),MATCH(G$5,Metrics!$A$5:$U$5,0)))</f>
        <v/>
      </c>
      <c r="H301" s="9" t="str">
        <f>IF($A301="","",INDEX(Metrics!$A$6:$U$305,MATCH($A301,Metrics!$U$6:$U$305,0),MATCH(H$5,Metrics!$A$5:$U$5,0)))</f>
        <v/>
      </c>
      <c r="I301" s="7" t="str">
        <f>IF($A301="","",INDEX(Metrics!$A$6:$U$305,MATCH($A301,Metrics!$U$6:$U$305,0),MATCH(I$5,Metrics!$A$5:$U$5,0)))</f>
        <v/>
      </c>
      <c r="J301" s="9" t="str">
        <f>IF($A301="","",INDEX(Metrics!$A$6:$U$305,MATCH($A301,Metrics!$U$6:$U$305,0),MATCH(J$5,Metrics!$A$5:$U$5,0)))</f>
        <v/>
      </c>
      <c r="K301" s="10" t="str">
        <f>IF($A301="","",INDEX(Metrics!$A$6:$U$305,MATCH($A301,Metrics!$U$6:$U$305,0),MATCH(K$5,Metrics!$A$5:$U$5,0)))</f>
        <v/>
      </c>
      <c r="L301" t="str">
        <f>IF($A301="","",INDEX(Metrics!$A$6:$U$305,MATCH($A301,Metrics!$U$6:$U$305,0),MATCH(L$5,Metrics!$A$5:$U$5,0)))</f>
        <v/>
      </c>
      <c r="M301" t="str">
        <f>IF($A301="","",INDEX(Metrics!$A$6:$U$305,MATCH($A301,Metrics!$U$6:$U$305,0),MATCH(M$5,Metrics!$A$5:$U$5,0)))</f>
        <v/>
      </c>
      <c r="N301" t="str">
        <f>IF($A301="","",INDEX(Metrics!$A$6:$U$305,MATCH($A301,Metrics!$U$6:$U$305,0),MATCH(N$5,Metrics!$A$5:$U$5,0)))</f>
        <v/>
      </c>
      <c r="O301" t="str">
        <f>IF($A301="","",INDEX(Metrics!$A$6:$U$305,MATCH($A301,Metrics!$U$6:$U$305,0),MATCH(O$5,Metrics!$A$5:$U$5,0)))</f>
        <v/>
      </c>
      <c r="P301" t="str">
        <f>IF($A301="","",INDEX(Metrics!$A$6:$U$305,MATCH($A301,Metrics!$U$6:$U$305,0),MATCH(P$5,Metrics!$A$5:$U$5,0)))</f>
        <v/>
      </c>
    </row>
    <row r="302" spans="1:16" x14ac:dyDescent="0.4">
      <c r="A302" t="str">
        <f t="shared" si="4"/>
        <v/>
      </c>
      <c r="B302" t="str">
        <f>IF($A302="","",INDEX(Metrics!$A$6:$U$305,MATCH($A302,Metrics!$U$6:$U$305,0),MATCH(B$5,Metrics!$A$5:$U$5,0)))</f>
        <v/>
      </c>
      <c r="C302" t="str">
        <f>IF($A302="","",INDEX(Metrics!$A$6:$U$305,MATCH($A302,Metrics!$U$6:$U$305,0),MATCH(C$5,Metrics!$A$5:$U$5,0)))</f>
        <v/>
      </c>
      <c r="D302" t="str">
        <f>IF($A302="","",INDEX(Metrics!$A$6:$U$305,MATCH($A302,Metrics!$U$6:$U$305,0),MATCH(D$5,Metrics!$A$5:$U$5,0)))</f>
        <v/>
      </c>
      <c r="E302" s="14" t="str">
        <f>IF($A302="","",INDEX(Metrics!$A$6:$U$305,MATCH($A302,Metrics!$U$6:$U$305,0),MATCH(E$5,Metrics!$A$5:$U$5,0)))</f>
        <v/>
      </c>
      <c r="F302" s="7" t="str">
        <f>IF($A302="","",INDEX(Metrics!$A$6:$U$305,MATCH($A302,Metrics!$U$6:$U$305,0),MATCH(F$5,Metrics!$A$5:$U$5,0)))</f>
        <v/>
      </c>
      <c r="G302" s="9" t="str">
        <f>IF($A302="","",INDEX(Metrics!$A$6:$U$305,MATCH($A302,Metrics!$U$6:$U$305,0),MATCH(G$5,Metrics!$A$5:$U$5,0)))</f>
        <v/>
      </c>
      <c r="H302" s="9" t="str">
        <f>IF($A302="","",INDEX(Metrics!$A$6:$U$305,MATCH($A302,Metrics!$U$6:$U$305,0),MATCH(H$5,Metrics!$A$5:$U$5,0)))</f>
        <v/>
      </c>
      <c r="I302" s="7" t="str">
        <f>IF($A302="","",INDEX(Metrics!$A$6:$U$305,MATCH($A302,Metrics!$U$6:$U$305,0),MATCH(I$5,Metrics!$A$5:$U$5,0)))</f>
        <v/>
      </c>
      <c r="J302" s="9" t="str">
        <f>IF($A302="","",INDEX(Metrics!$A$6:$U$305,MATCH($A302,Metrics!$U$6:$U$305,0),MATCH(J$5,Metrics!$A$5:$U$5,0)))</f>
        <v/>
      </c>
      <c r="K302" s="10" t="str">
        <f>IF($A302="","",INDEX(Metrics!$A$6:$U$305,MATCH($A302,Metrics!$U$6:$U$305,0),MATCH(K$5,Metrics!$A$5:$U$5,0)))</f>
        <v/>
      </c>
      <c r="L302" t="str">
        <f>IF($A302="","",INDEX(Metrics!$A$6:$U$305,MATCH($A302,Metrics!$U$6:$U$305,0),MATCH(L$5,Metrics!$A$5:$U$5,0)))</f>
        <v/>
      </c>
      <c r="M302" t="str">
        <f>IF($A302="","",INDEX(Metrics!$A$6:$U$305,MATCH($A302,Metrics!$U$6:$U$305,0),MATCH(M$5,Metrics!$A$5:$U$5,0)))</f>
        <v/>
      </c>
      <c r="N302" t="str">
        <f>IF($A302="","",INDEX(Metrics!$A$6:$U$305,MATCH($A302,Metrics!$U$6:$U$305,0),MATCH(N$5,Metrics!$A$5:$U$5,0)))</f>
        <v/>
      </c>
      <c r="O302" t="str">
        <f>IF($A302="","",INDEX(Metrics!$A$6:$U$305,MATCH($A302,Metrics!$U$6:$U$305,0),MATCH(O$5,Metrics!$A$5:$U$5,0)))</f>
        <v/>
      </c>
      <c r="P302" t="str">
        <f>IF($A302="","",INDEX(Metrics!$A$6:$U$305,MATCH($A302,Metrics!$U$6:$U$305,0),MATCH(P$5,Metrics!$A$5:$U$5,0)))</f>
        <v/>
      </c>
    </row>
    <row r="303" spans="1:16" x14ac:dyDescent="0.4">
      <c r="A303" t="str">
        <f t="shared" si="4"/>
        <v/>
      </c>
      <c r="B303" t="str">
        <f>IF($A303="","",INDEX(Metrics!$A$6:$U$305,MATCH($A303,Metrics!$U$6:$U$305,0),MATCH(B$5,Metrics!$A$5:$U$5,0)))</f>
        <v/>
      </c>
      <c r="C303" t="str">
        <f>IF($A303="","",INDEX(Metrics!$A$6:$U$305,MATCH($A303,Metrics!$U$6:$U$305,0),MATCH(C$5,Metrics!$A$5:$U$5,0)))</f>
        <v/>
      </c>
      <c r="D303" t="str">
        <f>IF($A303="","",INDEX(Metrics!$A$6:$U$305,MATCH($A303,Metrics!$U$6:$U$305,0),MATCH(D$5,Metrics!$A$5:$U$5,0)))</f>
        <v/>
      </c>
      <c r="E303" s="14" t="str">
        <f>IF($A303="","",INDEX(Metrics!$A$6:$U$305,MATCH($A303,Metrics!$U$6:$U$305,0),MATCH(E$5,Metrics!$A$5:$U$5,0)))</f>
        <v/>
      </c>
      <c r="F303" s="7" t="str">
        <f>IF($A303="","",INDEX(Metrics!$A$6:$U$305,MATCH($A303,Metrics!$U$6:$U$305,0),MATCH(F$5,Metrics!$A$5:$U$5,0)))</f>
        <v/>
      </c>
      <c r="G303" s="9" t="str">
        <f>IF($A303="","",INDEX(Metrics!$A$6:$U$305,MATCH($A303,Metrics!$U$6:$U$305,0),MATCH(G$5,Metrics!$A$5:$U$5,0)))</f>
        <v/>
      </c>
      <c r="H303" s="9" t="str">
        <f>IF($A303="","",INDEX(Metrics!$A$6:$U$305,MATCH($A303,Metrics!$U$6:$U$305,0),MATCH(H$5,Metrics!$A$5:$U$5,0)))</f>
        <v/>
      </c>
      <c r="I303" s="7" t="str">
        <f>IF($A303="","",INDEX(Metrics!$A$6:$U$305,MATCH($A303,Metrics!$U$6:$U$305,0),MATCH(I$5,Metrics!$A$5:$U$5,0)))</f>
        <v/>
      </c>
      <c r="J303" s="9" t="str">
        <f>IF($A303="","",INDEX(Metrics!$A$6:$U$305,MATCH($A303,Metrics!$U$6:$U$305,0),MATCH(J$5,Metrics!$A$5:$U$5,0)))</f>
        <v/>
      </c>
      <c r="K303" s="10" t="str">
        <f>IF($A303="","",INDEX(Metrics!$A$6:$U$305,MATCH($A303,Metrics!$U$6:$U$305,0),MATCH(K$5,Metrics!$A$5:$U$5,0)))</f>
        <v/>
      </c>
      <c r="L303" t="str">
        <f>IF($A303="","",INDEX(Metrics!$A$6:$U$305,MATCH($A303,Metrics!$U$6:$U$305,0),MATCH(L$5,Metrics!$A$5:$U$5,0)))</f>
        <v/>
      </c>
      <c r="M303" t="str">
        <f>IF($A303="","",INDEX(Metrics!$A$6:$U$305,MATCH($A303,Metrics!$U$6:$U$305,0),MATCH(M$5,Metrics!$A$5:$U$5,0)))</f>
        <v/>
      </c>
      <c r="N303" t="str">
        <f>IF($A303="","",INDEX(Metrics!$A$6:$U$305,MATCH($A303,Metrics!$U$6:$U$305,0),MATCH(N$5,Metrics!$A$5:$U$5,0)))</f>
        <v/>
      </c>
      <c r="O303" t="str">
        <f>IF($A303="","",INDEX(Metrics!$A$6:$U$305,MATCH($A303,Metrics!$U$6:$U$305,0),MATCH(O$5,Metrics!$A$5:$U$5,0)))</f>
        <v/>
      </c>
      <c r="P303" t="str">
        <f>IF($A303="","",INDEX(Metrics!$A$6:$U$305,MATCH($A303,Metrics!$U$6:$U$305,0),MATCH(P$5,Metrics!$A$5:$U$5,0)))</f>
        <v/>
      </c>
    </row>
    <row r="304" spans="1:16" x14ac:dyDescent="0.4">
      <c r="A304" t="str">
        <f t="shared" si="4"/>
        <v/>
      </c>
      <c r="B304" t="str">
        <f>IF($A304="","",INDEX(Metrics!$A$6:$U$305,MATCH($A304,Metrics!$U$6:$U$305,0),MATCH(B$5,Metrics!$A$5:$U$5,0)))</f>
        <v/>
      </c>
      <c r="C304" t="str">
        <f>IF($A304="","",INDEX(Metrics!$A$6:$U$305,MATCH($A304,Metrics!$U$6:$U$305,0),MATCH(C$5,Metrics!$A$5:$U$5,0)))</f>
        <v/>
      </c>
      <c r="D304" t="str">
        <f>IF($A304="","",INDEX(Metrics!$A$6:$U$305,MATCH($A304,Metrics!$U$6:$U$305,0),MATCH(D$5,Metrics!$A$5:$U$5,0)))</f>
        <v/>
      </c>
      <c r="E304" s="14" t="str">
        <f>IF($A304="","",INDEX(Metrics!$A$6:$U$305,MATCH($A304,Metrics!$U$6:$U$305,0),MATCH(E$5,Metrics!$A$5:$U$5,0)))</f>
        <v/>
      </c>
      <c r="F304" s="7" t="str">
        <f>IF($A304="","",INDEX(Metrics!$A$6:$U$305,MATCH($A304,Metrics!$U$6:$U$305,0),MATCH(F$5,Metrics!$A$5:$U$5,0)))</f>
        <v/>
      </c>
      <c r="G304" s="9" t="str">
        <f>IF($A304="","",INDEX(Metrics!$A$6:$U$305,MATCH($A304,Metrics!$U$6:$U$305,0),MATCH(G$5,Metrics!$A$5:$U$5,0)))</f>
        <v/>
      </c>
      <c r="H304" s="9" t="str">
        <f>IF($A304="","",INDEX(Metrics!$A$6:$U$305,MATCH($A304,Metrics!$U$6:$U$305,0),MATCH(H$5,Metrics!$A$5:$U$5,0)))</f>
        <v/>
      </c>
      <c r="I304" s="7" t="str">
        <f>IF($A304="","",INDEX(Metrics!$A$6:$U$305,MATCH($A304,Metrics!$U$6:$U$305,0),MATCH(I$5,Metrics!$A$5:$U$5,0)))</f>
        <v/>
      </c>
      <c r="J304" s="9" t="str">
        <f>IF($A304="","",INDEX(Metrics!$A$6:$U$305,MATCH($A304,Metrics!$U$6:$U$305,0),MATCH(J$5,Metrics!$A$5:$U$5,0)))</f>
        <v/>
      </c>
      <c r="K304" s="10" t="str">
        <f>IF($A304="","",INDEX(Metrics!$A$6:$U$305,MATCH($A304,Metrics!$U$6:$U$305,0),MATCH(K$5,Metrics!$A$5:$U$5,0)))</f>
        <v/>
      </c>
      <c r="L304" t="str">
        <f>IF($A304="","",INDEX(Metrics!$A$6:$U$305,MATCH($A304,Metrics!$U$6:$U$305,0),MATCH(L$5,Metrics!$A$5:$U$5,0)))</f>
        <v/>
      </c>
      <c r="M304" t="str">
        <f>IF($A304="","",INDEX(Metrics!$A$6:$U$305,MATCH($A304,Metrics!$U$6:$U$305,0),MATCH(M$5,Metrics!$A$5:$U$5,0)))</f>
        <v/>
      </c>
      <c r="N304" t="str">
        <f>IF($A304="","",INDEX(Metrics!$A$6:$U$305,MATCH($A304,Metrics!$U$6:$U$305,0),MATCH(N$5,Metrics!$A$5:$U$5,0)))</f>
        <v/>
      </c>
      <c r="O304" t="str">
        <f>IF($A304="","",INDEX(Metrics!$A$6:$U$305,MATCH($A304,Metrics!$U$6:$U$305,0),MATCH(O$5,Metrics!$A$5:$U$5,0)))</f>
        <v/>
      </c>
      <c r="P304" t="str">
        <f>IF($A304="","",INDEX(Metrics!$A$6:$U$305,MATCH($A304,Metrics!$U$6:$U$305,0),MATCH(P$5,Metrics!$A$5:$U$5,0)))</f>
        <v/>
      </c>
    </row>
    <row r="305" spans="1:16" x14ac:dyDescent="0.4">
      <c r="A305" t="str">
        <f t="shared" si="4"/>
        <v/>
      </c>
      <c r="B305" t="str">
        <f>IF($A305="","",INDEX(Metrics!$A$6:$U$305,MATCH($A305,Metrics!$U$6:$U$305,0),MATCH(B$5,Metrics!$A$5:$U$5,0)))</f>
        <v/>
      </c>
      <c r="C305" t="str">
        <f>IF($A305="","",INDEX(Metrics!$A$6:$U$305,MATCH($A305,Metrics!$U$6:$U$305,0),MATCH(C$5,Metrics!$A$5:$U$5,0)))</f>
        <v/>
      </c>
      <c r="D305" t="str">
        <f>IF($A305="","",INDEX(Metrics!$A$6:$U$305,MATCH($A305,Metrics!$U$6:$U$305,0),MATCH(D$5,Metrics!$A$5:$U$5,0)))</f>
        <v/>
      </c>
      <c r="E305" s="14" t="str">
        <f>IF($A305="","",INDEX(Metrics!$A$6:$U$305,MATCH($A305,Metrics!$U$6:$U$305,0),MATCH(E$5,Metrics!$A$5:$U$5,0)))</f>
        <v/>
      </c>
      <c r="F305" s="7" t="str">
        <f>IF($A305="","",INDEX(Metrics!$A$6:$U$305,MATCH($A305,Metrics!$U$6:$U$305,0),MATCH(F$5,Metrics!$A$5:$U$5,0)))</f>
        <v/>
      </c>
      <c r="G305" s="9" t="str">
        <f>IF($A305="","",INDEX(Metrics!$A$6:$U$305,MATCH($A305,Metrics!$U$6:$U$305,0),MATCH(G$5,Metrics!$A$5:$U$5,0)))</f>
        <v/>
      </c>
      <c r="H305" s="9" t="str">
        <f>IF($A305="","",INDEX(Metrics!$A$6:$U$305,MATCH($A305,Metrics!$U$6:$U$305,0),MATCH(H$5,Metrics!$A$5:$U$5,0)))</f>
        <v/>
      </c>
      <c r="I305" s="7" t="str">
        <f>IF($A305="","",INDEX(Metrics!$A$6:$U$305,MATCH($A305,Metrics!$U$6:$U$305,0),MATCH(I$5,Metrics!$A$5:$U$5,0)))</f>
        <v/>
      </c>
      <c r="J305" s="9" t="str">
        <f>IF($A305="","",INDEX(Metrics!$A$6:$U$305,MATCH($A305,Metrics!$U$6:$U$305,0),MATCH(J$5,Metrics!$A$5:$U$5,0)))</f>
        <v/>
      </c>
      <c r="K305" s="10" t="str">
        <f>IF($A305="","",INDEX(Metrics!$A$6:$U$305,MATCH($A305,Metrics!$U$6:$U$305,0),MATCH(K$5,Metrics!$A$5:$U$5,0)))</f>
        <v/>
      </c>
      <c r="L305" t="str">
        <f>IF($A305="","",INDEX(Metrics!$A$6:$U$305,MATCH($A305,Metrics!$U$6:$U$305,0),MATCH(L$5,Metrics!$A$5:$U$5,0)))</f>
        <v/>
      </c>
      <c r="M305" t="str">
        <f>IF($A305="","",INDEX(Metrics!$A$6:$U$305,MATCH($A305,Metrics!$U$6:$U$305,0),MATCH(M$5,Metrics!$A$5:$U$5,0)))</f>
        <v/>
      </c>
      <c r="N305" t="str">
        <f>IF($A305="","",INDEX(Metrics!$A$6:$U$305,MATCH($A305,Metrics!$U$6:$U$305,0),MATCH(N$5,Metrics!$A$5:$U$5,0)))</f>
        <v/>
      </c>
      <c r="O305" t="str">
        <f>IF($A305="","",INDEX(Metrics!$A$6:$U$305,MATCH($A305,Metrics!$U$6:$U$305,0),MATCH(O$5,Metrics!$A$5:$U$5,0)))</f>
        <v/>
      </c>
      <c r="P305" t="str">
        <f>IF($A305="","",INDEX(Metrics!$A$6:$U$305,MATCH($A305,Metrics!$U$6:$U$305,0),MATCH(P$5,Metrics!$A$5:$U$5,0)))</f>
        <v/>
      </c>
    </row>
  </sheetData>
  <conditionalFormatting sqref="A6:P305">
    <cfRule type="expression" dxfId="1" priority="2">
      <formula>AND(ISNUMBER($A6),$A6&lt;=3)</formula>
    </cfRule>
  </conditionalFormatting>
  <conditionalFormatting sqref="B2">
    <cfRule type="expression" dxfId="0" priority="1">
      <formula>$B$2&lt;&gt;"All checks OK"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ED71-C11A-42CB-91D0-83A850E7ECC7}">
  <dimension ref="A1:D13"/>
  <sheetViews>
    <sheetView workbookViewId="0">
      <selection activeCell="B10" sqref="B10"/>
    </sheetView>
  </sheetViews>
  <sheetFormatPr defaultRowHeight="14.6" x14ac:dyDescent="0.4"/>
  <sheetData>
    <row r="1" spans="1:4" x14ac:dyDescent="0.4">
      <c r="A1" t="s">
        <v>107</v>
      </c>
    </row>
    <row r="3" spans="1:4" x14ac:dyDescent="0.4">
      <c r="B3" t="s">
        <v>108</v>
      </c>
      <c r="C3" t="str">
        <f>IF(COUNTIF(D6:D13,"CHECK")=0,"All checks OK","Fix issues on Checks sheet")</f>
        <v>Fix issues on Checks sheet</v>
      </c>
    </row>
    <row r="5" spans="1:4" x14ac:dyDescent="0.4">
      <c r="B5" t="s">
        <v>109</v>
      </c>
      <c r="C5" t="s">
        <v>110</v>
      </c>
      <c r="D5" t="s">
        <v>59</v>
      </c>
    </row>
    <row r="6" spans="1:4" x14ac:dyDescent="0.4">
      <c r="B6" t="s">
        <v>111</v>
      </c>
      <c r="C6" s="1">
        <f>Inputs!C9</f>
        <v>1</v>
      </c>
      <c r="D6" t="str">
        <f>IF(ROUND(C6,6)=1,"OK","CHECK")</f>
        <v>OK</v>
      </c>
    </row>
    <row r="7" spans="1:4" x14ac:dyDescent="0.4">
      <c r="B7" t="s">
        <v>112</v>
      </c>
      <c r="C7">
        <f>N_Co</f>
        <v>119</v>
      </c>
      <c r="D7" t="str">
        <f>IF(C7&gt;0,"OK","CHECK")</f>
        <v>OK</v>
      </c>
    </row>
    <row r="8" spans="1:4" x14ac:dyDescent="0.4">
      <c r="B8" t="s">
        <v>113</v>
      </c>
      <c r="C8">
        <f>COUNTIFS(Data!$E$6:$E$305,"Include",Data!$F$6:$F$305,"")</f>
        <v>119</v>
      </c>
      <c r="D8" t="str">
        <f>IF(C8=0,"OK","CHECK")</f>
        <v>CHECK</v>
      </c>
    </row>
    <row r="9" spans="1:4" x14ac:dyDescent="0.4">
      <c r="B9" t="s">
        <v>114</v>
      </c>
      <c r="C9">
        <f>COUNTIFS(Data!$E$6:$E$305,"Include",Data!$Z$6:$Z$305,"")</f>
        <v>0</v>
      </c>
      <c r="D9" t="str">
        <f>IF(C9=0,"OK","CHECK")</f>
        <v>OK</v>
      </c>
    </row>
    <row r="10" spans="1:4" x14ac:dyDescent="0.4">
      <c r="B10" t="s">
        <v>913</v>
      </c>
      <c r="C10">
        <f>COUNTIF(Data!$H$6:$H$305,"Missing FX")</f>
        <v>0</v>
      </c>
      <c r="D10" t="str">
        <f>IF(C10=0,"OK","CHECK")</f>
        <v>OK</v>
      </c>
    </row>
    <row r="11" spans="1:4" x14ac:dyDescent="0.4">
      <c r="B11" t="s">
        <v>115</v>
      </c>
      <c r="C11">
        <f>COUNTIF(Data!$Z$6:$Z$305,"&gt;20000")</f>
        <v>0</v>
      </c>
      <c r="D11" t="str">
        <f>IF(C11=0,"OK","CHECK")</f>
        <v>OK</v>
      </c>
    </row>
    <row r="12" spans="1:4" x14ac:dyDescent="0.4">
      <c r="B12" t="s">
        <v>116</v>
      </c>
      <c r="C12">
        <f>COUNT(Metrics!$U$6:$U$305)</f>
        <v>119</v>
      </c>
      <c r="D12" t="str">
        <f>IF(AND(C12=N_Co,MAX(Metrics!$U$6:$U$305)=N_Co),"OK","CHECK")</f>
        <v>OK</v>
      </c>
    </row>
    <row r="13" spans="1:4" x14ac:dyDescent="0.4">
      <c r="B13" t="s">
        <v>117</v>
      </c>
      <c r="C13" cm="1">
        <f t="array" ref="C13">SUMPRODUCT(--ISERROR(Metrics!$A$6:$U$305))</f>
        <v>119</v>
      </c>
      <c r="D13" t="str">
        <f>IF(C13=0,"OK","CHECK")</f>
        <v>CHECK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3FF2-E7B0-4DF8-AD78-A85A3E7CE43F}">
  <dimension ref="A1:D33"/>
  <sheetViews>
    <sheetView workbookViewId="0">
      <selection activeCell="C32" sqref="C32"/>
    </sheetView>
  </sheetViews>
  <sheetFormatPr defaultRowHeight="14.6" x14ac:dyDescent="0.4"/>
  <sheetData>
    <row r="1" spans="1:4" x14ac:dyDescent="0.4">
      <c r="A1" t="s">
        <v>871</v>
      </c>
    </row>
    <row r="2" spans="1:4" x14ac:dyDescent="0.4">
      <c r="B2" t="s">
        <v>872</v>
      </c>
      <c r="C2" t="s">
        <v>908</v>
      </c>
    </row>
    <row r="3" spans="1:4" x14ac:dyDescent="0.4">
      <c r="B3" t="s">
        <v>873</v>
      </c>
      <c r="C3" t="s">
        <v>874</v>
      </c>
    </row>
    <row r="4" spans="1:4" x14ac:dyDescent="0.4">
      <c r="B4" t="s">
        <v>875</v>
      </c>
      <c r="C4" t="s">
        <v>876</v>
      </c>
    </row>
    <row r="5" spans="1:4" x14ac:dyDescent="0.4">
      <c r="B5" t="s">
        <v>909</v>
      </c>
      <c r="C5">
        <v>119</v>
      </c>
    </row>
    <row r="7" spans="1:4" x14ac:dyDescent="0.4">
      <c r="A7" t="s">
        <v>877</v>
      </c>
    </row>
    <row r="8" spans="1:4" x14ac:dyDescent="0.4">
      <c r="B8" t="s">
        <v>878</v>
      </c>
      <c r="C8" t="s">
        <v>879</v>
      </c>
    </row>
    <row r="9" spans="1:4" x14ac:dyDescent="0.4">
      <c r="C9" t="s">
        <v>880</v>
      </c>
      <c r="D9" t="s">
        <v>881</v>
      </c>
    </row>
    <row r="10" spans="1:4" x14ac:dyDescent="0.4">
      <c r="C10" t="s">
        <v>882</v>
      </c>
      <c r="D10" t="s">
        <v>883</v>
      </c>
    </row>
    <row r="11" spans="1:4" x14ac:dyDescent="0.4">
      <c r="C11" t="s">
        <v>15</v>
      </c>
      <c r="D11" t="s">
        <v>884</v>
      </c>
    </row>
    <row r="13" spans="1:4" x14ac:dyDescent="0.4">
      <c r="A13" t="s">
        <v>885</v>
      </c>
    </row>
    <row r="14" spans="1:4" x14ac:dyDescent="0.4">
      <c r="B14" t="s">
        <v>4</v>
      </c>
      <c r="C14" t="s">
        <v>887</v>
      </c>
    </row>
    <row r="15" spans="1:4" x14ac:dyDescent="0.4">
      <c r="B15" t="s">
        <v>5</v>
      </c>
      <c r="C15" t="s">
        <v>886</v>
      </c>
    </row>
    <row r="16" spans="1:4" x14ac:dyDescent="0.4">
      <c r="B16" t="s">
        <v>91</v>
      </c>
      <c r="C16" t="s">
        <v>888</v>
      </c>
    </row>
    <row r="17" spans="1:3" x14ac:dyDescent="0.4">
      <c r="B17" t="s">
        <v>889</v>
      </c>
      <c r="C17" t="s">
        <v>890</v>
      </c>
    </row>
    <row r="18" spans="1:3" x14ac:dyDescent="0.4">
      <c r="B18" t="s">
        <v>7</v>
      </c>
      <c r="C18" t="s">
        <v>891</v>
      </c>
    </row>
    <row r="19" spans="1:3" x14ac:dyDescent="0.4">
      <c r="B19" t="s">
        <v>899</v>
      </c>
      <c r="C19" t="s">
        <v>907</v>
      </c>
    </row>
    <row r="21" spans="1:3" x14ac:dyDescent="0.4">
      <c r="A21" t="s">
        <v>892</v>
      </c>
      <c r="B21" t="s">
        <v>893</v>
      </c>
      <c r="C21" t="s">
        <v>894</v>
      </c>
    </row>
    <row r="22" spans="1:3" x14ac:dyDescent="0.4">
      <c r="B22" t="s">
        <v>895</v>
      </c>
      <c r="C22" t="s">
        <v>896</v>
      </c>
    </row>
    <row r="23" spans="1:3" x14ac:dyDescent="0.4">
      <c r="B23" t="s">
        <v>897</v>
      </c>
      <c r="C23" t="s">
        <v>898</v>
      </c>
    </row>
    <row r="25" spans="1:3" x14ac:dyDescent="0.4">
      <c r="A25" t="s">
        <v>900</v>
      </c>
    </row>
    <row r="26" spans="1:3" x14ac:dyDescent="0.4">
      <c r="B26" t="s">
        <v>901</v>
      </c>
      <c r="C26" t="s">
        <v>902</v>
      </c>
    </row>
    <row r="27" spans="1:3" x14ac:dyDescent="0.4">
      <c r="B27" t="s">
        <v>903</v>
      </c>
      <c r="C27" t="s">
        <v>904</v>
      </c>
    </row>
    <row r="28" spans="1:3" x14ac:dyDescent="0.4">
      <c r="B28" t="s">
        <v>80</v>
      </c>
      <c r="C28" t="s">
        <v>905</v>
      </c>
    </row>
    <row r="29" spans="1:3" x14ac:dyDescent="0.4">
      <c r="B29" t="s">
        <v>906</v>
      </c>
      <c r="C29" t="s">
        <v>910</v>
      </c>
    </row>
    <row r="32" spans="1:3" x14ac:dyDescent="0.4">
      <c r="A32" t="s">
        <v>911</v>
      </c>
    </row>
    <row r="33" spans="1:1" x14ac:dyDescent="0.4">
      <c r="A33" t="s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Inputs</vt:lpstr>
      <vt:lpstr>Universe</vt:lpstr>
      <vt:lpstr>Raw_Fund</vt:lpstr>
      <vt:lpstr>Raw_Mkt</vt:lpstr>
      <vt:lpstr>Data</vt:lpstr>
      <vt:lpstr>Metrics</vt:lpstr>
      <vt:lpstr>Screen</vt:lpstr>
      <vt:lpstr>Checks</vt:lpstr>
      <vt:lpstr>Notes</vt:lpstr>
      <vt:lpstr>ExclList</vt:lpstr>
      <vt:lpstr>FX_Ccy</vt:lpstr>
      <vt:lpstr>FX_Rate</vt:lpstr>
      <vt:lpstr>N_Co</vt:lpstr>
      <vt:lpstr>PriceDiv</vt:lpstr>
      <vt:lpstr>ScreenDate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EDGINTON-JEFFORD, JOSUA A. (Student)</dc:creator>
  <cp:lastModifiedBy>EDGINTON-JEFFORD, JOSUA A. (Student)</cp:lastModifiedBy>
  <dcterms:created xsi:type="dcterms:W3CDTF">2026-10-12T14:05:25Z</dcterms:created>
  <dcterms:modified xsi:type="dcterms:W3CDTF">2026-10-20T22:03:55Z</dcterms:modified>
</cp:coreProperties>
</file>